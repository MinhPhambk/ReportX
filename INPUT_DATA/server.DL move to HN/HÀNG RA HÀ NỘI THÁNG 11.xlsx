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6. BÁO CÁO CHUYỂN KHO HN\"/>
    </mc:Choice>
  </mc:AlternateContent>
  <xr:revisionPtr revIDLastSave="0" documentId="13_ncr:1_{56376D06-16CE-463A-960A-240F486928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011" sheetId="33" r:id="rId1"/>
    <sheet name="2911" sheetId="32" r:id="rId2"/>
    <sheet name="2811" sheetId="31" r:id="rId3"/>
    <sheet name="2711" sheetId="30" r:id="rId4"/>
    <sheet name="2611" sheetId="29" r:id="rId5"/>
    <sheet name="2511" sheetId="28" r:id="rId6"/>
    <sheet name="2411" sheetId="27" r:id="rId7"/>
    <sheet name="2311" sheetId="26" r:id="rId8"/>
    <sheet name="2211" sheetId="25" r:id="rId9"/>
    <sheet name="2111" sheetId="24" r:id="rId10"/>
    <sheet name="2011" sheetId="23" r:id="rId11"/>
    <sheet name="1911" sheetId="21" r:id="rId12"/>
    <sheet name="1811" sheetId="20" r:id="rId13"/>
    <sheet name="1711" sheetId="19" r:id="rId14"/>
    <sheet name="1611" sheetId="18" r:id="rId15"/>
    <sheet name="1511" sheetId="17" r:id="rId16"/>
    <sheet name="1411" sheetId="16" r:id="rId17"/>
    <sheet name="1311" sheetId="15" r:id="rId18"/>
    <sheet name="1211" sheetId="11" r:id="rId19"/>
    <sheet name="1111" sheetId="12" r:id="rId20"/>
    <sheet name="1011" sheetId="13" r:id="rId21"/>
    <sheet name="0911" sheetId="14" r:id="rId22"/>
    <sheet name="08.11" sheetId="10" r:id="rId23"/>
    <sheet name="07.11" sheetId="9" r:id="rId24"/>
    <sheet name="06.11" sheetId="8" r:id="rId25"/>
    <sheet name="05.11" sheetId="7" r:id="rId26"/>
    <sheet name="04.11" sheetId="6" r:id="rId27"/>
    <sheet name="03.11" sheetId="5" r:id="rId28"/>
    <sheet name="02.11" sheetId="4" r:id="rId29"/>
    <sheet name="01.11" sheetId="3" r:id="rId30"/>
    <sheet name="31.10" sheetId="2" r:id="rId31"/>
    <sheet name="30.10" sheetId="1" r:id="rId32"/>
    <sheet name="Sheet2" sheetId="22" r:id="rId33"/>
  </sheets>
  <externalReferences>
    <externalReference r:id="rId34"/>
    <externalReference r:id="rId35"/>
  </externalReferences>
  <definedNames>
    <definedName name="_xlnm._FilterDatabase" localSheetId="26" hidden="1">'04.11'!$A$1:$E$69</definedName>
    <definedName name="_xlnm._FilterDatabase" localSheetId="25" hidden="1">'05.11'!$A$1:$F$77</definedName>
    <definedName name="_xlnm._FilterDatabase" localSheetId="24" hidden="1">'06.11'!$A$1:$E$61</definedName>
    <definedName name="_xlnm._FilterDatabase" localSheetId="13" hidden="1">'1711'!$A$1:$G$47</definedName>
    <definedName name="_xlnm._FilterDatabase" localSheetId="11" hidden="1">'1911'!$A$1:$H$65</definedName>
    <definedName name="_xlnm._FilterDatabase" localSheetId="10" hidden="1">'2011'!$A$1:$F$53</definedName>
    <definedName name="_xlnm._FilterDatabase" localSheetId="9" hidden="1">'2111'!$A$1:$G$48</definedName>
    <definedName name="_xlnm._FilterDatabase" localSheetId="8" hidden="1">'2211'!$A$1:$F$50</definedName>
    <definedName name="_xlnm._FilterDatabase" localSheetId="7" hidden="1">'2311'!$A$1:$F$47</definedName>
    <definedName name="_xlnm._FilterDatabase" localSheetId="6" hidden="1">'2411'!$A$1:$F$49</definedName>
    <definedName name="_xlnm._FilterDatabase" localSheetId="4" hidden="1">'2611'!$A$1:$F$137</definedName>
    <definedName name="_xlnm._FilterDatabase" localSheetId="3" hidden="1">'2711'!$A$1:$C$132</definedName>
    <definedName name="_xlnm._FilterDatabase" localSheetId="2" hidden="1">'2811'!$A$1:$F$126</definedName>
    <definedName name="_xlnm._FilterDatabase" localSheetId="1" hidden="1">'2911'!$A$1:$D$128</definedName>
    <definedName name="_xlnm._FilterDatabase" localSheetId="0" hidden="1">'3011'!$A$1:$C$131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33" l="1"/>
  <c r="H103" i="33"/>
  <c r="H102" i="33"/>
  <c r="H100" i="33"/>
  <c r="H99" i="33"/>
  <c r="H96" i="33"/>
  <c r="H94" i="33"/>
  <c r="H92" i="33"/>
  <c r="H89" i="33"/>
  <c r="H87" i="33"/>
  <c r="H85" i="33"/>
  <c r="H84" i="33"/>
  <c r="H83" i="33"/>
  <c r="H81" i="33"/>
  <c r="H80" i="33"/>
  <c r="H79" i="33"/>
  <c r="H78" i="33"/>
  <c r="H77" i="33"/>
  <c r="H75" i="33"/>
  <c r="H73" i="33"/>
  <c r="H72" i="33"/>
  <c r="H71" i="33"/>
  <c r="H68" i="33"/>
  <c r="H67" i="33"/>
  <c r="H66" i="33"/>
  <c r="H64" i="33"/>
  <c r="H62" i="33"/>
  <c r="H61" i="33"/>
  <c r="H60" i="33"/>
  <c r="H58" i="33"/>
  <c r="H56" i="33"/>
  <c r="H53" i="33"/>
  <c r="H51" i="33"/>
  <c r="H49" i="33"/>
  <c r="H48" i="33"/>
  <c r="H45" i="33"/>
  <c r="H42" i="33"/>
  <c r="H41" i="33"/>
  <c r="H39" i="33"/>
  <c r="H38" i="33"/>
  <c r="H35" i="33"/>
  <c r="H34" i="33"/>
  <c r="H32" i="33"/>
  <c r="H30" i="33"/>
  <c r="H28" i="33"/>
  <c r="H25" i="33"/>
  <c r="H24" i="33"/>
  <c r="H21" i="33"/>
  <c r="H20" i="33"/>
  <c r="H19" i="33"/>
  <c r="H17" i="33"/>
  <c r="H14" i="33"/>
  <c r="H13" i="33"/>
  <c r="H11" i="33"/>
  <c r="H8" i="33"/>
  <c r="H7" i="33"/>
  <c r="H4" i="33"/>
  <c r="H3" i="33"/>
  <c r="F89" i="33"/>
  <c r="F83" i="33"/>
  <c r="F75" i="33"/>
  <c r="F73" i="33"/>
  <c r="F66" i="33"/>
  <c r="F67" i="33" s="1"/>
  <c r="F64" i="33"/>
  <c r="F60" i="33"/>
  <c r="F58" i="33"/>
  <c r="F56" i="33"/>
  <c r="F34" i="33"/>
  <c r="F32" i="33"/>
  <c r="F28" i="33"/>
  <c r="F25" i="33"/>
  <c r="F24" i="33"/>
  <c r="F20" i="33"/>
  <c r="F17" i="33"/>
  <c r="H1" i="32"/>
  <c r="H97" i="32"/>
  <c r="H93" i="32"/>
  <c r="H92" i="32"/>
  <c r="H91" i="32"/>
  <c r="H89" i="32"/>
  <c r="H88" i="32"/>
  <c r="H87" i="32"/>
  <c r="H86" i="32"/>
  <c r="H84" i="32"/>
  <c r="H83" i="32"/>
  <c r="H81" i="32"/>
  <c r="H80" i="32"/>
  <c r="H78" i="32"/>
  <c r="H77" i="32"/>
  <c r="H75" i="32"/>
  <c r="H73" i="32"/>
  <c r="H71" i="32"/>
  <c r="H70" i="32"/>
  <c r="H68" i="32"/>
  <c r="H65" i="32"/>
  <c r="H64" i="32"/>
  <c r="H62" i="32"/>
  <c r="H59" i="32"/>
  <c r="H58" i="32"/>
  <c r="H56" i="32"/>
  <c r="H54" i="32"/>
  <c r="H51" i="32"/>
  <c r="H50" i="32"/>
  <c r="H48" i="32"/>
  <c r="H46" i="32"/>
  <c r="H43" i="32"/>
  <c r="H41" i="32"/>
  <c r="H39" i="32"/>
  <c r="H36" i="32"/>
  <c r="H33" i="32"/>
  <c r="H32" i="32"/>
  <c r="H29" i="32"/>
  <c r="H28" i="32"/>
  <c r="H26" i="32"/>
  <c r="H25" i="32"/>
  <c r="H22" i="32"/>
  <c r="H21" i="32"/>
  <c r="H17" i="32"/>
  <c r="H14" i="32"/>
  <c r="H13" i="32"/>
  <c r="H11" i="32"/>
  <c r="H8" i="32"/>
  <c r="H5" i="32"/>
  <c r="H4" i="32"/>
  <c r="H2" i="32"/>
  <c r="F83" i="32"/>
  <c r="F75" i="32"/>
  <c r="F73" i="32"/>
  <c r="F64" i="32"/>
  <c r="F62" i="32"/>
  <c r="F58" i="32"/>
  <c r="F56" i="32"/>
  <c r="F54" i="32"/>
  <c r="F32" i="32"/>
  <c r="F28" i="32"/>
  <c r="F25" i="32"/>
  <c r="F26" i="32" s="1"/>
  <c r="F17" i="32"/>
  <c r="F13" i="32"/>
  <c r="F11" i="32"/>
  <c r="H102" i="31"/>
  <c r="H100" i="31"/>
  <c r="H99" i="31"/>
  <c r="H97" i="31"/>
  <c r="H96" i="31"/>
  <c r="H94" i="31"/>
  <c r="H92" i="31"/>
  <c r="H90" i="31"/>
  <c r="H89" i="31"/>
  <c r="H85" i="31"/>
  <c r="H83" i="31"/>
  <c r="H81" i="31"/>
  <c r="H74" i="31"/>
  <c r="H72" i="31"/>
  <c r="H70" i="31"/>
  <c r="H69" i="31"/>
  <c r="H68" i="31"/>
  <c r="H67" i="31"/>
  <c r="H66" i="31"/>
  <c r="H64" i="31"/>
  <c r="H63" i="31"/>
  <c r="H61" i="31"/>
  <c r="H57" i="31"/>
  <c r="H55" i="31"/>
  <c r="H53" i="31"/>
  <c r="H50" i="31"/>
  <c r="H49" i="31"/>
  <c r="H47" i="31"/>
  <c r="H44" i="31"/>
  <c r="H42" i="31"/>
  <c r="H40" i="31"/>
  <c r="H38" i="31"/>
  <c r="H36" i="31"/>
  <c r="H35" i="31"/>
  <c r="H34" i="31"/>
  <c r="H33" i="31"/>
  <c r="H31" i="31"/>
  <c r="H28" i="31"/>
  <c r="H27" i="31"/>
  <c r="H25" i="31"/>
  <c r="H23" i="31"/>
  <c r="H21" i="31"/>
  <c r="H19" i="31"/>
  <c r="H18" i="31"/>
  <c r="H16" i="31"/>
  <c r="H14" i="31"/>
  <c r="H11" i="31"/>
  <c r="H10" i="31"/>
  <c r="H8" i="31"/>
  <c r="H6" i="31"/>
  <c r="H4" i="31"/>
  <c r="H2" i="31"/>
  <c r="F89" i="31"/>
  <c r="F85" i="31"/>
  <c r="F66" i="31"/>
  <c r="F64" i="31"/>
  <c r="F63" i="31"/>
  <c r="F61" i="31"/>
  <c r="F57" i="31"/>
  <c r="F55" i="31"/>
  <c r="F53" i="31"/>
  <c r="F31" i="31"/>
  <c r="F27" i="31"/>
  <c r="F25" i="31"/>
  <c r="F19" i="31"/>
  <c r="F4" i="31"/>
  <c r="H1" i="30"/>
  <c r="H132" i="30"/>
  <c r="H129" i="30"/>
  <c r="H126" i="30"/>
  <c r="H125" i="30"/>
  <c r="H123" i="30"/>
  <c r="H122" i="30"/>
  <c r="H118" i="30"/>
  <c r="H116" i="30"/>
  <c r="H106" i="30"/>
  <c r="H105" i="30"/>
  <c r="H103" i="30"/>
  <c r="H101" i="30"/>
  <c r="H98" i="30"/>
  <c r="H97" i="30"/>
  <c r="H94" i="30"/>
  <c r="H89" i="30"/>
  <c r="H85" i="30"/>
  <c r="H82" i="30"/>
  <c r="H77" i="30"/>
  <c r="H75" i="30"/>
  <c r="H74" i="30"/>
  <c r="H72" i="30"/>
  <c r="H68" i="30"/>
  <c r="H67" i="30"/>
  <c r="H57" i="30"/>
  <c r="H55" i="30"/>
  <c r="H50" i="30"/>
  <c r="H49" i="30"/>
  <c r="H48" i="30"/>
  <c r="H45" i="30"/>
  <c r="H43" i="30"/>
  <c r="H38" i="30"/>
  <c r="H34" i="30"/>
  <c r="H32" i="30"/>
  <c r="H29" i="30"/>
  <c r="H27" i="30"/>
  <c r="H26" i="30"/>
  <c r="H24" i="30"/>
  <c r="H22" i="30"/>
  <c r="H20" i="30"/>
  <c r="H18" i="30"/>
  <c r="H17" i="30"/>
  <c r="H15" i="30"/>
  <c r="H13" i="30"/>
  <c r="H12" i="30"/>
  <c r="H11" i="30"/>
  <c r="H9" i="30"/>
  <c r="H6" i="30"/>
  <c r="H3" i="30"/>
  <c r="H2" i="30"/>
  <c r="F103" i="30"/>
  <c r="F101" i="30"/>
  <c r="F97" i="30"/>
  <c r="F85" i="30"/>
  <c r="F77" i="30"/>
  <c r="F74" i="30"/>
  <c r="F45" i="30"/>
  <c r="F38" i="30"/>
  <c r="F32" i="30"/>
  <c r="F26" i="30"/>
  <c r="F24" i="30"/>
  <c r="F20" i="30"/>
  <c r="F17" i="30"/>
  <c r="F12" i="30"/>
  <c r="F9" i="30"/>
  <c r="F6" i="30"/>
  <c r="H1" i="29"/>
  <c r="H137" i="29"/>
  <c r="H132" i="29"/>
  <c r="H131" i="29"/>
  <c r="H130" i="29"/>
  <c r="H128" i="29"/>
  <c r="H127" i="29"/>
  <c r="H123" i="29"/>
  <c r="H122" i="29"/>
  <c r="H112" i="29"/>
  <c r="H111" i="29"/>
  <c r="H106" i="29"/>
  <c r="H103" i="29"/>
  <c r="H102" i="29"/>
  <c r="H99" i="29"/>
  <c r="H97" i="29"/>
  <c r="H93" i="29"/>
  <c r="H90" i="29"/>
  <c r="H89" i="29"/>
  <c r="H88" i="29"/>
  <c r="H80" i="29"/>
  <c r="H78" i="29"/>
  <c r="H77" i="29"/>
  <c r="H75" i="29"/>
  <c r="H71" i="29"/>
  <c r="H70" i="29"/>
  <c r="H68" i="29"/>
  <c r="H55" i="29"/>
  <c r="H53" i="29"/>
  <c r="H50" i="29"/>
  <c r="H47" i="29"/>
  <c r="H44" i="29"/>
  <c r="H43" i="29"/>
  <c r="H41" i="29"/>
  <c r="H40" i="29"/>
  <c r="H36" i="29"/>
  <c r="H33" i="29"/>
  <c r="H32" i="29"/>
  <c r="H29" i="29"/>
  <c r="H27" i="29"/>
  <c r="H26" i="29"/>
  <c r="H24" i="29"/>
  <c r="H22" i="29"/>
  <c r="H20" i="29"/>
  <c r="H19" i="29"/>
  <c r="H18" i="29"/>
  <c r="H16" i="29"/>
  <c r="H15" i="29"/>
  <c r="H11" i="29"/>
  <c r="H9" i="29"/>
  <c r="H8" i="29"/>
  <c r="H6" i="29"/>
  <c r="F122" i="29"/>
  <c r="F106" i="29"/>
  <c r="F102" i="29"/>
  <c r="F89" i="29"/>
  <c r="F80" i="29"/>
  <c r="F77" i="29"/>
  <c r="F47" i="29"/>
  <c r="F40" i="29"/>
  <c r="F41" i="29" s="1"/>
  <c r="F32" i="29"/>
  <c r="F26" i="29"/>
  <c r="F24" i="29"/>
  <c r="F20" i="29"/>
  <c r="F11" i="29"/>
  <c r="F9" i="29"/>
  <c r="F8" i="29"/>
  <c r="F6" i="29"/>
  <c r="F103" i="33"/>
  <c r="F102" i="33"/>
  <c r="F100" i="33"/>
  <c r="F99" i="33"/>
  <c r="F94" i="33"/>
  <c r="F92" i="33"/>
  <c r="F87" i="33"/>
  <c r="F85" i="33"/>
  <c r="F84" i="33"/>
  <c r="F81" i="33"/>
  <c r="F80" i="33"/>
  <c r="F79" i="33"/>
  <c r="F78" i="33"/>
  <c r="F77" i="33"/>
  <c r="F72" i="33"/>
  <c r="F71" i="33"/>
  <c r="F68" i="33"/>
  <c r="F62" i="33"/>
  <c r="F61" i="33"/>
  <c r="F53" i="33"/>
  <c r="F49" i="33"/>
  <c r="F48" i="33"/>
  <c r="F45" i="33"/>
  <c r="F42" i="33"/>
  <c r="F39" i="33"/>
  <c r="F35" i="33"/>
  <c r="F30" i="33"/>
  <c r="F21" i="33"/>
  <c r="F19" i="33"/>
  <c r="F14" i="33"/>
  <c r="F13" i="33"/>
  <c r="F11" i="33"/>
  <c r="F8" i="33"/>
  <c r="F7" i="33"/>
  <c r="F4" i="33"/>
  <c r="F3" i="33"/>
  <c r="F97" i="32"/>
  <c r="F93" i="32"/>
  <c r="F92" i="32"/>
  <c r="F91" i="32"/>
  <c r="F89" i="32"/>
  <c r="F88" i="32"/>
  <c r="F86" i="32"/>
  <c r="F84" i="32"/>
  <c r="F81" i="32"/>
  <c r="F80" i="32"/>
  <c r="F78" i="32"/>
  <c r="F77" i="32"/>
  <c r="F71" i="32"/>
  <c r="F70" i="32"/>
  <c r="F68" i="32"/>
  <c r="F65" i="32"/>
  <c r="F59" i="32"/>
  <c r="F51" i="32"/>
  <c r="F50" i="32"/>
  <c r="F48" i="32"/>
  <c r="F46" i="32"/>
  <c r="F43" i="32"/>
  <c r="F36" i="32"/>
  <c r="F33" i="32"/>
  <c r="F29" i="32"/>
  <c r="F22" i="32"/>
  <c r="F14" i="32"/>
  <c r="F5" i="32"/>
  <c r="F4" i="32"/>
  <c r="F2" i="32"/>
  <c r="F3" i="31"/>
  <c r="F5" i="31"/>
  <c r="F6" i="31"/>
  <c r="F7" i="31"/>
  <c r="F8" i="31"/>
  <c r="F9" i="31"/>
  <c r="F10" i="31"/>
  <c r="F11" i="31"/>
  <c r="F12" i="31"/>
  <c r="F13" i="31"/>
  <c r="F15" i="31"/>
  <c r="F16" i="31"/>
  <c r="F17" i="31"/>
  <c r="F18" i="31"/>
  <c r="F20" i="31"/>
  <c r="F22" i="31"/>
  <c r="F24" i="31"/>
  <c r="F26" i="31"/>
  <c r="F28" i="31"/>
  <c r="F29" i="31"/>
  <c r="F30" i="31"/>
  <c r="F32" i="31"/>
  <c r="F33" i="31"/>
  <c r="F35" i="31"/>
  <c r="F37" i="31"/>
  <c r="F38" i="31"/>
  <c r="F39" i="31"/>
  <c r="F41" i="31"/>
  <c r="F43" i="31"/>
  <c r="F44" i="31"/>
  <c r="F45" i="31"/>
  <c r="F46" i="31"/>
  <c r="F47" i="31"/>
  <c r="F48" i="31"/>
  <c r="F49" i="31"/>
  <c r="F50" i="31"/>
  <c r="F51" i="31"/>
  <c r="F52" i="31"/>
  <c r="F54" i="31"/>
  <c r="F56" i="31"/>
  <c r="F58" i="31"/>
  <c r="F59" i="31"/>
  <c r="F60" i="31"/>
  <c r="F62" i="31"/>
  <c r="F65" i="31"/>
  <c r="F67" i="31"/>
  <c r="F68" i="31"/>
  <c r="F69" i="31"/>
  <c r="F70" i="31"/>
  <c r="F71" i="31"/>
  <c r="F72" i="31"/>
  <c r="F73" i="31"/>
  <c r="F74" i="31"/>
  <c r="F75" i="31"/>
  <c r="F76" i="31"/>
  <c r="F77" i="31"/>
  <c r="F78" i="31"/>
  <c r="F79" i="31"/>
  <c r="F80" i="31"/>
  <c r="F82" i="31"/>
  <c r="F84" i="31"/>
  <c r="F86" i="31"/>
  <c r="F87" i="31"/>
  <c r="F88" i="31"/>
  <c r="F90" i="31"/>
  <c r="F91" i="31"/>
  <c r="F92" i="31"/>
  <c r="F93" i="31"/>
  <c r="F94" i="31"/>
  <c r="F95" i="31"/>
  <c r="F97" i="31"/>
  <c r="F98" i="31"/>
  <c r="F99" i="31"/>
  <c r="F100" i="31"/>
  <c r="F101" i="31"/>
  <c r="F102" i="31"/>
  <c r="F103" i="31"/>
  <c r="F104" i="31"/>
  <c r="F105" i="31"/>
  <c r="F106" i="31"/>
  <c r="F107" i="31"/>
  <c r="F108" i="31"/>
  <c r="F109" i="31"/>
  <c r="F110" i="31"/>
  <c r="F111" i="31"/>
  <c r="F112" i="31"/>
  <c r="F113" i="31"/>
  <c r="F114" i="31"/>
  <c r="F115" i="31"/>
  <c r="F116" i="31"/>
  <c r="F117" i="31"/>
  <c r="F118" i="31"/>
  <c r="F119" i="31"/>
  <c r="F120" i="31"/>
  <c r="F121" i="31"/>
  <c r="F122" i="31"/>
  <c r="F123" i="31"/>
  <c r="F124" i="31"/>
  <c r="F125" i="31"/>
  <c r="F126" i="31"/>
  <c r="F2" i="31"/>
  <c r="F132" i="30"/>
  <c r="F129" i="30"/>
  <c r="F126" i="30"/>
  <c r="F125" i="30"/>
  <c r="F122" i="30"/>
  <c r="F118" i="30"/>
  <c r="F116" i="30"/>
  <c r="F106" i="30"/>
  <c r="F98" i="30"/>
  <c r="F94" i="30"/>
  <c r="F89" i="30"/>
  <c r="F82" i="30"/>
  <c r="F75" i="30"/>
  <c r="F72" i="30"/>
  <c r="F68" i="30"/>
  <c r="F67" i="30"/>
  <c r="F57" i="30"/>
  <c r="F50" i="30"/>
  <c r="F49" i="30"/>
  <c r="F48" i="30"/>
  <c r="F34" i="30"/>
  <c r="F29" i="30"/>
  <c r="F27" i="30"/>
  <c r="F22" i="30"/>
  <c r="F18" i="30"/>
  <c r="F15" i="30"/>
  <c r="F13" i="30"/>
  <c r="F11" i="30"/>
  <c r="F3" i="30"/>
  <c r="F2" i="30"/>
  <c r="F137" i="29"/>
  <c r="F132" i="29"/>
  <c r="F131" i="29"/>
  <c r="F130" i="29"/>
  <c r="F127" i="29"/>
  <c r="F112" i="29"/>
  <c r="F111" i="29"/>
  <c r="F103" i="29"/>
  <c r="F99" i="29"/>
  <c r="F93" i="29"/>
  <c r="F90" i="29"/>
  <c r="F88" i="29"/>
  <c r="F78" i="29"/>
  <c r="F75" i="29"/>
  <c r="F70" i="29"/>
  <c r="F68" i="29"/>
  <c r="F55" i="29"/>
  <c r="F50" i="29"/>
  <c r="F36" i="29"/>
  <c r="F33" i="29"/>
  <c r="F29" i="29"/>
  <c r="F27" i="29"/>
  <c r="F22" i="29"/>
  <c r="F19" i="29"/>
  <c r="F18" i="29"/>
  <c r="F16" i="29"/>
  <c r="F15" i="29"/>
  <c r="G2" i="28"/>
  <c r="G7" i="28"/>
  <c r="G9" i="28"/>
  <c r="G13" i="28"/>
  <c r="G16" i="28"/>
  <c r="G22" i="28"/>
  <c r="G23" i="28"/>
  <c r="G24" i="28"/>
  <c r="G32" i="28"/>
  <c r="G33" i="28"/>
  <c r="G36" i="28"/>
  <c r="G39" i="28"/>
  <c r="F37" i="28"/>
  <c r="G37" i="28" s="1"/>
  <c r="F30" i="28"/>
  <c r="G30" i="28" s="1"/>
  <c r="F26" i="28"/>
  <c r="G26" i="28" s="1"/>
  <c r="F21" i="28"/>
  <c r="G21" i="28" s="1"/>
  <c r="F19" i="28"/>
  <c r="G19" i="28" s="1"/>
  <c r="F18" i="28"/>
  <c r="G18" i="28" s="1"/>
  <c r="F17" i="28"/>
  <c r="G17" i="28" s="1"/>
  <c r="F15" i="28"/>
  <c r="G15" i="28" s="1"/>
  <c r="F12" i="28"/>
  <c r="G12" i="28" s="1"/>
  <c r="F10" i="28"/>
  <c r="G10" i="28" s="1"/>
  <c r="F8" i="28"/>
  <c r="G8" i="28" s="1"/>
  <c r="F6" i="28"/>
  <c r="G6" i="28" s="1"/>
  <c r="F4" i="28"/>
  <c r="G4" i="28" s="1"/>
  <c r="F3" i="28"/>
  <c r="G3" i="28" s="1"/>
  <c r="F5" i="28"/>
  <c r="G5" i="28" s="1"/>
  <c r="F11" i="28"/>
  <c r="G11" i="28" s="1"/>
  <c r="F14" i="28"/>
  <c r="G14" i="28" s="1"/>
  <c r="F20" i="28"/>
  <c r="G20" i="28" s="1"/>
  <c r="F25" i="28"/>
  <c r="G25" i="28" s="1"/>
  <c r="F27" i="28"/>
  <c r="G27" i="28" s="1"/>
  <c r="F28" i="28"/>
  <c r="G28" i="28" s="1"/>
  <c r="F29" i="28"/>
  <c r="G29" i="28" s="1"/>
  <c r="F31" i="28"/>
  <c r="G31" i="28" s="1"/>
  <c r="F34" i="28"/>
  <c r="G34" i="28" s="1"/>
  <c r="F35" i="28"/>
  <c r="G35" i="28" s="1"/>
  <c r="F38" i="28"/>
  <c r="G38" i="28" s="1"/>
  <c r="F40" i="28"/>
  <c r="G40" i="28" s="1"/>
  <c r="F41" i="28"/>
  <c r="G41" i="28" s="1"/>
  <c r="F42" i="28"/>
  <c r="G42" i="28" s="1"/>
  <c r="F1" i="28"/>
  <c r="G1" i="28" s="1"/>
  <c r="H1" i="31" l="1"/>
  <c r="G43" i="28"/>
  <c r="I1" i="24"/>
  <c r="H1" i="26"/>
  <c r="H3" i="26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2" i="26"/>
  <c r="H1" i="27"/>
  <c r="H3" i="27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2" i="27"/>
  <c r="F47" i="26"/>
  <c r="F40" i="27"/>
  <c r="F38" i="26"/>
  <c r="F36" i="27"/>
  <c r="F35" i="27"/>
  <c r="F37" i="26"/>
  <c r="F36" i="26"/>
  <c r="F34" i="27"/>
  <c r="F32" i="26"/>
  <c r="F28" i="27"/>
  <c r="H1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2" i="25"/>
  <c r="F40" i="25"/>
  <c r="F39" i="25"/>
  <c r="F38" i="25"/>
  <c r="F34" i="25"/>
  <c r="F33" i="25"/>
  <c r="F49" i="25"/>
  <c r="F45" i="25"/>
  <c r="F44" i="25"/>
  <c r="F43" i="25"/>
  <c r="F32" i="25"/>
  <c r="F30" i="25"/>
  <c r="F31" i="25" s="1"/>
  <c r="F28" i="25"/>
  <c r="F22" i="25"/>
  <c r="F23" i="25"/>
  <c r="F24" i="25"/>
  <c r="F25" i="25"/>
  <c r="F26" i="25"/>
  <c r="F27" i="25"/>
  <c r="F29" i="25"/>
  <c r="F35" i="25"/>
  <c r="F36" i="25"/>
  <c r="F37" i="25"/>
  <c r="F42" i="25"/>
  <c r="F46" i="25"/>
  <c r="F47" i="25"/>
  <c r="F48" i="25"/>
  <c r="F18" i="25"/>
  <c r="F16" i="26"/>
  <c r="F15" i="26"/>
  <c r="F16" i="25"/>
  <c r="F11" i="25"/>
  <c r="F9" i="27"/>
  <c r="F6" i="27"/>
  <c r="F8" i="26"/>
  <c r="F10" i="25"/>
  <c r="F5" i="25"/>
  <c r="I3" i="24"/>
  <c r="I4" i="24"/>
  <c r="I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2" i="24"/>
  <c r="G26" i="24"/>
  <c r="G5" i="24"/>
  <c r="G17" i="24"/>
  <c r="G15" i="24"/>
  <c r="G16" i="24" s="1"/>
  <c r="G18" i="24"/>
  <c r="G14" i="24"/>
  <c r="G8" i="24"/>
  <c r="G4" i="24"/>
  <c r="H1" i="23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2" i="23"/>
  <c r="F15" i="23"/>
  <c r="F13" i="23"/>
  <c r="F44" i="23"/>
  <c r="F43" i="23"/>
  <c r="F41" i="23"/>
  <c r="F37" i="23"/>
  <c r="F35" i="23"/>
  <c r="F34" i="23"/>
  <c r="F33" i="23"/>
  <c r="F21" i="23"/>
  <c r="F20" i="23"/>
  <c r="F18" i="23"/>
  <c r="F17" i="23"/>
  <c r="F11" i="23"/>
  <c r="F9" i="23"/>
  <c r="F8" i="23"/>
  <c r="F6" i="23"/>
  <c r="I1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2" i="21"/>
  <c r="F26" i="21"/>
  <c r="F25" i="21"/>
  <c r="F24" i="21"/>
  <c r="F22" i="21"/>
  <c r="F15" i="21"/>
  <c r="F54" i="21"/>
  <c r="F5" i="27"/>
  <c r="F8" i="27"/>
  <c r="F11" i="27"/>
  <c r="F13" i="27"/>
  <c r="F15" i="27"/>
  <c r="F19" i="27"/>
  <c r="F22" i="27"/>
  <c r="F23" i="27"/>
  <c r="F24" i="27"/>
  <c r="F25" i="27"/>
  <c r="F27" i="27"/>
  <c r="F30" i="27"/>
  <c r="F32" i="27"/>
  <c r="F33" i="27"/>
  <c r="F37" i="27"/>
  <c r="F38" i="27"/>
  <c r="F39" i="27"/>
  <c r="F41" i="27"/>
  <c r="F42" i="27"/>
  <c r="F43" i="27"/>
  <c r="F47" i="27"/>
  <c r="F48" i="27"/>
  <c r="F49" i="27"/>
  <c r="F7" i="26"/>
  <c r="F12" i="26"/>
  <c r="F14" i="26"/>
  <c r="F19" i="26"/>
  <c r="F20" i="26"/>
  <c r="F21" i="26"/>
  <c r="F23" i="26"/>
  <c r="F24" i="26"/>
  <c r="F25" i="26"/>
  <c r="F26" i="26"/>
  <c r="F27" i="26"/>
  <c r="F29" i="26"/>
  <c r="F34" i="26"/>
  <c r="F35" i="26"/>
  <c r="F39" i="26"/>
  <c r="F40" i="26"/>
  <c r="F41" i="26"/>
  <c r="F42" i="26"/>
  <c r="F43" i="26"/>
  <c r="F44" i="26"/>
  <c r="F4" i="25"/>
  <c r="F7" i="25"/>
  <c r="F9" i="25"/>
  <c r="F13" i="25"/>
  <c r="F14" i="25"/>
  <c r="F19" i="25"/>
  <c r="F20" i="25"/>
  <c r="F50" i="25"/>
  <c r="G7" i="24"/>
  <c r="G9" i="24"/>
  <c r="G12" i="24"/>
  <c r="G13" i="24"/>
  <c r="G19" i="24"/>
  <c r="G22" i="24"/>
  <c r="G28" i="24"/>
  <c r="G29" i="24"/>
  <c r="G31" i="24"/>
  <c r="G33" i="24"/>
  <c r="G35" i="24"/>
  <c r="G36" i="24"/>
  <c r="G37" i="24"/>
  <c r="G38" i="24"/>
  <c r="G42" i="24"/>
  <c r="G43" i="24"/>
  <c r="G44" i="24"/>
  <c r="G46" i="24"/>
  <c r="G48" i="24"/>
  <c r="F4" i="23"/>
  <c r="F5" i="23"/>
  <c r="F7" i="23"/>
  <c r="F10" i="23"/>
  <c r="F12" i="23"/>
  <c r="F14" i="23"/>
  <c r="F16" i="23"/>
  <c r="F22" i="23"/>
  <c r="F23" i="23"/>
  <c r="F25" i="23"/>
  <c r="F27" i="23"/>
  <c r="F28" i="23"/>
  <c r="F30" i="23"/>
  <c r="F31" i="23"/>
  <c r="F32" i="23"/>
  <c r="F36" i="23"/>
  <c r="F38" i="23"/>
  <c r="F39" i="23"/>
  <c r="F40" i="23"/>
  <c r="F42" i="23"/>
  <c r="F45" i="23"/>
  <c r="F46" i="23"/>
  <c r="F47" i="23"/>
  <c r="F48" i="23"/>
  <c r="F51" i="23"/>
  <c r="F53" i="23"/>
  <c r="F2" i="23"/>
  <c r="F9" i="21"/>
  <c r="F53" i="21"/>
  <c r="F52" i="21" s="1"/>
  <c r="F51" i="21"/>
  <c r="F50" i="21" s="1"/>
  <c r="F46" i="21"/>
  <c r="F44" i="21"/>
  <c r="F43" i="21" s="1"/>
  <c r="F30" i="21"/>
  <c r="F19" i="21"/>
  <c r="F13" i="21"/>
  <c r="F65" i="21"/>
  <c r="F64" i="21"/>
  <c r="F62" i="21"/>
  <c r="F60" i="21"/>
  <c r="F59" i="21"/>
  <c r="F58" i="21"/>
  <c r="F57" i="21"/>
  <c r="F55" i="21"/>
  <c r="F49" i="21"/>
  <c r="F48" i="21"/>
  <c r="F47" i="21"/>
  <c r="F42" i="21"/>
  <c r="F39" i="21"/>
  <c r="F37" i="21"/>
  <c r="F36" i="21"/>
  <c r="F35" i="21"/>
  <c r="F34" i="21"/>
  <c r="F33" i="21"/>
  <c r="F29" i="21"/>
  <c r="F28" i="21"/>
  <c r="F27" i="21"/>
  <c r="F23" i="21"/>
  <c r="F18" i="21"/>
  <c r="F14" i="21"/>
  <c r="F8" i="21"/>
  <c r="F6" i="21"/>
  <c r="F5" i="21" s="1"/>
  <c r="F2" i="21"/>
  <c r="F17" i="21"/>
  <c r="F16" i="21"/>
  <c r="G10" i="24" s="1"/>
  <c r="F12" i="21"/>
  <c r="F10" i="21"/>
  <c r="F3" i="21"/>
  <c r="G83" i="20" l="1"/>
  <c r="G76" i="20"/>
  <c r="F60" i="20"/>
  <c r="G60" i="20" s="1"/>
  <c r="F55" i="20"/>
  <c r="G55" i="20" s="1"/>
  <c r="F54" i="20"/>
  <c r="G54" i="20" s="1"/>
  <c r="F51" i="20"/>
  <c r="G51" i="20" s="1"/>
  <c r="F45" i="20"/>
  <c r="G45" i="20" s="1"/>
  <c r="F43" i="20"/>
  <c r="G43" i="20" s="1"/>
  <c r="F26" i="20"/>
  <c r="G26" i="20" s="1"/>
  <c r="F22" i="20"/>
  <c r="G22" i="20" s="1"/>
  <c r="F21" i="20"/>
  <c r="G21" i="20" s="1"/>
  <c r="F20" i="20"/>
  <c r="G20" i="20" s="1"/>
  <c r="F16" i="20"/>
  <c r="G16" i="20" s="1"/>
  <c r="F14" i="20"/>
  <c r="G14" i="20" s="1"/>
  <c r="F10" i="20"/>
  <c r="G10" i="20" s="1"/>
  <c r="F6" i="20"/>
  <c r="G6" i="20" s="1"/>
  <c r="F5" i="20"/>
  <c r="G5" i="20" s="1"/>
  <c r="G3" i="20"/>
  <c r="G13" i="20"/>
  <c r="G24" i="20"/>
  <c r="G30" i="20"/>
  <c r="G31" i="20"/>
  <c r="G32" i="20"/>
  <c r="G37" i="20"/>
  <c r="G40" i="20"/>
  <c r="G49" i="20"/>
  <c r="G61" i="20"/>
  <c r="G63" i="20"/>
  <c r="G73" i="20"/>
  <c r="G74" i="20"/>
  <c r="G80" i="20"/>
  <c r="H29" i="19"/>
  <c r="I29" i="19" s="1"/>
  <c r="H37" i="19"/>
  <c r="I37" i="19" s="1"/>
  <c r="H40" i="19"/>
  <c r="I40" i="19" s="1"/>
  <c r="G21" i="19"/>
  <c r="G5" i="18"/>
  <c r="G14" i="18"/>
  <c r="G20" i="18"/>
  <c r="G21" i="18"/>
  <c r="G24" i="18"/>
  <c r="G25" i="18"/>
  <c r="G30" i="18"/>
  <c r="G31" i="18"/>
  <c r="G32" i="18"/>
  <c r="G40" i="18"/>
  <c r="G44" i="18"/>
  <c r="G48" i="18"/>
  <c r="G51" i="18"/>
  <c r="G54" i="18"/>
  <c r="G62" i="18"/>
  <c r="G65" i="18"/>
  <c r="G73" i="18"/>
  <c r="G77" i="18"/>
  <c r="G78" i="18"/>
  <c r="F56" i="18"/>
  <c r="G56" i="18" s="1"/>
  <c r="F45" i="18"/>
  <c r="G45" i="18" s="1"/>
  <c r="F43" i="18"/>
  <c r="G43" i="18" s="1"/>
  <c r="F42" i="18"/>
  <c r="G42" i="18" s="1"/>
  <c r="F26" i="18"/>
  <c r="G26" i="18" s="1"/>
  <c r="F22" i="18"/>
  <c r="F23" i="18" s="1"/>
  <c r="G23" i="18" s="1"/>
  <c r="F17" i="18"/>
  <c r="G17" i="18" s="1"/>
  <c r="F16" i="18"/>
  <c r="G16" i="18" s="1"/>
  <c r="F13" i="18"/>
  <c r="G13" i="18" s="1"/>
  <c r="F10" i="18"/>
  <c r="G10" i="18" s="1"/>
  <c r="F7" i="18"/>
  <c r="G7" i="18" s="1"/>
  <c r="F6" i="18"/>
  <c r="G6" i="18" s="1"/>
  <c r="G5" i="17"/>
  <c r="G16" i="17"/>
  <c r="G19" i="17"/>
  <c r="G20" i="17"/>
  <c r="G25" i="17"/>
  <c r="G32" i="17"/>
  <c r="G34" i="17"/>
  <c r="G36" i="17"/>
  <c r="G39" i="17"/>
  <c r="G51" i="17"/>
  <c r="F44" i="17"/>
  <c r="G44" i="17" s="1"/>
  <c r="F43" i="17"/>
  <c r="G43" i="17" s="1"/>
  <c r="F41" i="17"/>
  <c r="G41" i="17" s="1"/>
  <c r="F33" i="17"/>
  <c r="G33" i="17" s="1"/>
  <c r="F29" i="17"/>
  <c r="G29" i="17" s="1"/>
  <c r="F21" i="17"/>
  <c r="G21" i="17" s="1"/>
  <c r="F18" i="17"/>
  <c r="G18" i="17" s="1"/>
  <c r="F13" i="17"/>
  <c r="G13" i="17" s="1"/>
  <c r="F12" i="17"/>
  <c r="G12" i="17" s="1"/>
  <c r="F11" i="17"/>
  <c r="G11" i="17" s="1"/>
  <c r="F8" i="17"/>
  <c r="G8" i="17" s="1"/>
  <c r="F4" i="17"/>
  <c r="G4" i="17" s="1"/>
  <c r="F3" i="17"/>
  <c r="G3" i="17" s="1"/>
  <c r="F2" i="20"/>
  <c r="G2" i="20" s="1"/>
  <c r="F4" i="20"/>
  <c r="G4" i="20" s="1"/>
  <c r="F7" i="20"/>
  <c r="G7" i="20" s="1"/>
  <c r="F8" i="20"/>
  <c r="G8" i="20" s="1"/>
  <c r="F9" i="20"/>
  <c r="G9" i="20" s="1"/>
  <c r="F11" i="20"/>
  <c r="G11" i="20" s="1"/>
  <c r="F12" i="20"/>
  <c r="G12" i="20" s="1"/>
  <c r="F15" i="20"/>
  <c r="G15" i="20" s="1"/>
  <c r="F17" i="20"/>
  <c r="G17" i="20" s="1"/>
  <c r="F18" i="20"/>
  <c r="G18" i="20" s="1"/>
  <c r="F19" i="20"/>
  <c r="G19" i="20" s="1"/>
  <c r="F25" i="20"/>
  <c r="G25" i="20" s="1"/>
  <c r="F27" i="20"/>
  <c r="G27" i="20" s="1"/>
  <c r="F28" i="20"/>
  <c r="G28" i="20" s="1"/>
  <c r="F29" i="20"/>
  <c r="G29" i="20" s="1"/>
  <c r="F33" i="20"/>
  <c r="G33" i="20" s="1"/>
  <c r="F34" i="20"/>
  <c r="G34" i="20" s="1"/>
  <c r="F35" i="20"/>
  <c r="G35" i="20" s="1"/>
  <c r="F36" i="20"/>
  <c r="G36" i="20" s="1"/>
  <c r="F38" i="20"/>
  <c r="G38" i="20" s="1"/>
  <c r="F39" i="20"/>
  <c r="G39" i="20" s="1"/>
  <c r="F41" i="20"/>
  <c r="G41" i="20" s="1"/>
  <c r="F42" i="20"/>
  <c r="G42" i="20" s="1"/>
  <c r="F44" i="20"/>
  <c r="G44" i="20" s="1"/>
  <c r="F46" i="20"/>
  <c r="G46" i="20" s="1"/>
  <c r="F47" i="20"/>
  <c r="G47" i="20" s="1"/>
  <c r="F48" i="20"/>
  <c r="G48" i="20" s="1"/>
  <c r="F50" i="20"/>
  <c r="G50" i="20" s="1"/>
  <c r="F52" i="20"/>
  <c r="G52" i="20" s="1"/>
  <c r="F53" i="20"/>
  <c r="G53" i="20" s="1"/>
  <c r="F56" i="20"/>
  <c r="G56" i="20" s="1"/>
  <c r="F57" i="20"/>
  <c r="G57" i="20" s="1"/>
  <c r="F58" i="20"/>
  <c r="G58" i="20" s="1"/>
  <c r="F59" i="20"/>
  <c r="G59" i="20" s="1"/>
  <c r="F62" i="20"/>
  <c r="G62" i="20" s="1"/>
  <c r="F64" i="20"/>
  <c r="G64" i="20" s="1"/>
  <c r="F65" i="20"/>
  <c r="G65" i="20" s="1"/>
  <c r="F66" i="20"/>
  <c r="G66" i="20" s="1"/>
  <c r="F67" i="20"/>
  <c r="G67" i="20" s="1"/>
  <c r="F68" i="20"/>
  <c r="G68" i="20" s="1"/>
  <c r="F69" i="20"/>
  <c r="G69" i="20" s="1"/>
  <c r="F70" i="20"/>
  <c r="G70" i="20" s="1"/>
  <c r="F71" i="20"/>
  <c r="G71" i="20" s="1"/>
  <c r="F72" i="20"/>
  <c r="G72" i="20" s="1"/>
  <c r="F75" i="20"/>
  <c r="G75" i="20" s="1"/>
  <c r="F77" i="20"/>
  <c r="G77" i="20" s="1"/>
  <c r="F78" i="20"/>
  <c r="G78" i="20" s="1"/>
  <c r="F79" i="20"/>
  <c r="G79" i="20" s="1"/>
  <c r="G81" i="20"/>
  <c r="F82" i="20"/>
  <c r="G82" i="20" s="1"/>
  <c r="F1" i="20"/>
  <c r="G1" i="20" s="1"/>
  <c r="F3" i="19"/>
  <c r="H3" i="19" s="1"/>
  <c r="I3" i="19" s="1"/>
  <c r="F4" i="19"/>
  <c r="H4" i="19" s="1"/>
  <c r="I4" i="19" s="1"/>
  <c r="F5" i="19"/>
  <c r="H5" i="19" s="1"/>
  <c r="I5" i="19" s="1"/>
  <c r="F6" i="19"/>
  <c r="H6" i="19" s="1"/>
  <c r="I6" i="19" s="1"/>
  <c r="F7" i="19"/>
  <c r="H7" i="19" s="1"/>
  <c r="I7" i="19" s="1"/>
  <c r="F8" i="19"/>
  <c r="H8" i="19" s="1"/>
  <c r="I8" i="19" s="1"/>
  <c r="F9" i="19"/>
  <c r="H9" i="19" s="1"/>
  <c r="I9" i="19" s="1"/>
  <c r="F10" i="19"/>
  <c r="H10" i="19" s="1"/>
  <c r="I10" i="19" s="1"/>
  <c r="F11" i="19"/>
  <c r="H11" i="19" s="1"/>
  <c r="I11" i="19" s="1"/>
  <c r="F12" i="19"/>
  <c r="H12" i="19" s="1"/>
  <c r="I12" i="19" s="1"/>
  <c r="F13" i="19"/>
  <c r="H13" i="19" s="1"/>
  <c r="I13" i="19" s="1"/>
  <c r="F14" i="19"/>
  <c r="H14" i="19" s="1"/>
  <c r="I14" i="19" s="1"/>
  <c r="F15" i="19"/>
  <c r="H15" i="19" s="1"/>
  <c r="I15" i="19" s="1"/>
  <c r="F16" i="19"/>
  <c r="H16" i="19" s="1"/>
  <c r="I16" i="19" s="1"/>
  <c r="F17" i="19"/>
  <c r="H17" i="19" s="1"/>
  <c r="I17" i="19" s="1"/>
  <c r="F18" i="19"/>
  <c r="H18" i="19" s="1"/>
  <c r="I18" i="19" s="1"/>
  <c r="F19" i="19"/>
  <c r="H19" i="19" s="1"/>
  <c r="I19" i="19" s="1"/>
  <c r="F20" i="19"/>
  <c r="H20" i="19" s="1"/>
  <c r="I20" i="19" s="1"/>
  <c r="F21" i="19"/>
  <c r="H21" i="19" s="1"/>
  <c r="I21" i="19" s="1"/>
  <c r="F22" i="19"/>
  <c r="H22" i="19" s="1"/>
  <c r="I22" i="19" s="1"/>
  <c r="F23" i="19"/>
  <c r="H23" i="19" s="1"/>
  <c r="I23" i="19" s="1"/>
  <c r="F24" i="19"/>
  <c r="H24" i="19" s="1"/>
  <c r="I24" i="19" s="1"/>
  <c r="F25" i="19"/>
  <c r="H25" i="19" s="1"/>
  <c r="I25" i="19" s="1"/>
  <c r="F26" i="19"/>
  <c r="H26" i="19" s="1"/>
  <c r="I26" i="19" s="1"/>
  <c r="F27" i="19"/>
  <c r="H27" i="19" s="1"/>
  <c r="I27" i="19" s="1"/>
  <c r="F28" i="19"/>
  <c r="H28" i="19" s="1"/>
  <c r="I28" i="19" s="1"/>
  <c r="F30" i="19"/>
  <c r="H30" i="19" s="1"/>
  <c r="I30" i="19" s="1"/>
  <c r="F31" i="19"/>
  <c r="H31" i="19" s="1"/>
  <c r="I31" i="19" s="1"/>
  <c r="F32" i="19"/>
  <c r="H32" i="19" s="1"/>
  <c r="I32" i="19" s="1"/>
  <c r="F33" i="19"/>
  <c r="H33" i="19" s="1"/>
  <c r="I33" i="19" s="1"/>
  <c r="F34" i="19"/>
  <c r="H34" i="19" s="1"/>
  <c r="I34" i="19" s="1"/>
  <c r="F35" i="19"/>
  <c r="H35" i="19" s="1"/>
  <c r="I35" i="19" s="1"/>
  <c r="F36" i="19"/>
  <c r="H36" i="19" s="1"/>
  <c r="I36" i="19" s="1"/>
  <c r="F38" i="19"/>
  <c r="H38" i="19" s="1"/>
  <c r="I38" i="19" s="1"/>
  <c r="F39" i="19"/>
  <c r="H39" i="19" s="1"/>
  <c r="I39" i="19" s="1"/>
  <c r="F41" i="19"/>
  <c r="H41" i="19" s="1"/>
  <c r="I41" i="19" s="1"/>
  <c r="F42" i="19"/>
  <c r="H42" i="19" s="1"/>
  <c r="I42" i="19" s="1"/>
  <c r="F43" i="19"/>
  <c r="H43" i="19" s="1"/>
  <c r="I43" i="19" s="1"/>
  <c r="F44" i="19"/>
  <c r="H44" i="19" s="1"/>
  <c r="I44" i="19" s="1"/>
  <c r="F45" i="19"/>
  <c r="H45" i="19" s="1"/>
  <c r="I45" i="19" s="1"/>
  <c r="F46" i="19"/>
  <c r="H46" i="19" s="1"/>
  <c r="I46" i="19" s="1"/>
  <c r="F47" i="19"/>
  <c r="H47" i="19" s="1"/>
  <c r="I47" i="19" s="1"/>
  <c r="F2" i="19"/>
  <c r="H2" i="19" s="1"/>
  <c r="I2" i="19" s="1"/>
  <c r="F3" i="18"/>
  <c r="G3" i="18" s="1"/>
  <c r="F4" i="18"/>
  <c r="G4" i="18" s="1"/>
  <c r="F8" i="18"/>
  <c r="G8" i="18" s="1"/>
  <c r="F9" i="18"/>
  <c r="G9" i="18" s="1"/>
  <c r="F11" i="18"/>
  <c r="G11" i="18" s="1"/>
  <c r="F12" i="18"/>
  <c r="G12" i="18" s="1"/>
  <c r="F15" i="18"/>
  <c r="G15" i="18" s="1"/>
  <c r="F18" i="18"/>
  <c r="G18" i="18" s="1"/>
  <c r="F19" i="18"/>
  <c r="G19" i="18" s="1"/>
  <c r="F27" i="18"/>
  <c r="G27" i="18" s="1"/>
  <c r="F28" i="18"/>
  <c r="G28" i="18" s="1"/>
  <c r="F29" i="18"/>
  <c r="G29" i="18" s="1"/>
  <c r="F33" i="18"/>
  <c r="G33" i="18" s="1"/>
  <c r="F34" i="18"/>
  <c r="G34" i="18" s="1"/>
  <c r="F35" i="18"/>
  <c r="G35" i="18" s="1"/>
  <c r="F36" i="18"/>
  <c r="G36" i="18" s="1"/>
  <c r="F37" i="18"/>
  <c r="G37" i="18" s="1"/>
  <c r="F38" i="18"/>
  <c r="G38" i="18" s="1"/>
  <c r="F39" i="18"/>
  <c r="G39" i="18" s="1"/>
  <c r="F41" i="18"/>
  <c r="G41" i="18" s="1"/>
  <c r="F46" i="18"/>
  <c r="G46" i="18" s="1"/>
  <c r="F47" i="18"/>
  <c r="G47" i="18" s="1"/>
  <c r="F49" i="18"/>
  <c r="G49" i="18" s="1"/>
  <c r="F50" i="18"/>
  <c r="G50" i="18" s="1"/>
  <c r="F52" i="18"/>
  <c r="G52" i="18" s="1"/>
  <c r="F53" i="18"/>
  <c r="G53" i="18" s="1"/>
  <c r="F55" i="18"/>
  <c r="G55" i="18" s="1"/>
  <c r="F57" i="18"/>
  <c r="G57" i="18" s="1"/>
  <c r="F58" i="18"/>
  <c r="G58" i="18" s="1"/>
  <c r="F59" i="18"/>
  <c r="G59" i="18" s="1"/>
  <c r="F60" i="18"/>
  <c r="G60" i="18" s="1"/>
  <c r="F61" i="18"/>
  <c r="G61" i="18" s="1"/>
  <c r="F63" i="18"/>
  <c r="G63" i="18" s="1"/>
  <c r="F64" i="18"/>
  <c r="G64" i="18" s="1"/>
  <c r="F66" i="18"/>
  <c r="G66" i="18" s="1"/>
  <c r="F67" i="18"/>
  <c r="G67" i="18" s="1"/>
  <c r="F68" i="18"/>
  <c r="G68" i="18" s="1"/>
  <c r="F69" i="18"/>
  <c r="G69" i="18" s="1"/>
  <c r="F70" i="18"/>
  <c r="G70" i="18" s="1"/>
  <c r="F71" i="18"/>
  <c r="G71" i="18" s="1"/>
  <c r="F72" i="18"/>
  <c r="G72" i="18" s="1"/>
  <c r="F74" i="18"/>
  <c r="G74" i="18" s="1"/>
  <c r="F75" i="18"/>
  <c r="G75" i="18" s="1"/>
  <c r="F76" i="18"/>
  <c r="G76" i="18" s="1"/>
  <c r="F79" i="18"/>
  <c r="G79" i="18" s="1"/>
  <c r="F80" i="18"/>
  <c r="G80" i="18" s="1"/>
  <c r="F81" i="18"/>
  <c r="G81" i="18" s="1"/>
  <c r="F82" i="18"/>
  <c r="G82" i="18" s="1"/>
  <c r="F83" i="18"/>
  <c r="G83" i="18" s="1"/>
  <c r="F84" i="18"/>
  <c r="G84" i="18" s="1"/>
  <c r="F2" i="18"/>
  <c r="G2" i="18" s="1"/>
  <c r="F6" i="17"/>
  <c r="G6" i="17" s="1"/>
  <c r="F7" i="17"/>
  <c r="G7" i="17" s="1"/>
  <c r="F9" i="17"/>
  <c r="G9" i="17" s="1"/>
  <c r="F10" i="17"/>
  <c r="G10" i="17" s="1"/>
  <c r="F14" i="17"/>
  <c r="G14" i="17" s="1"/>
  <c r="F15" i="17"/>
  <c r="G15" i="17" s="1"/>
  <c r="F17" i="17"/>
  <c r="G17" i="17" s="1"/>
  <c r="F22" i="17"/>
  <c r="G22" i="17" s="1"/>
  <c r="F23" i="17"/>
  <c r="G23" i="17" s="1"/>
  <c r="F24" i="17"/>
  <c r="G24" i="17" s="1"/>
  <c r="F26" i="17"/>
  <c r="G26" i="17" s="1"/>
  <c r="F27" i="17"/>
  <c r="G27" i="17" s="1"/>
  <c r="F28" i="17"/>
  <c r="G28" i="17" s="1"/>
  <c r="F30" i="17"/>
  <c r="G30" i="17" s="1"/>
  <c r="F31" i="17"/>
  <c r="G31" i="17" s="1"/>
  <c r="F35" i="17"/>
  <c r="G35" i="17" s="1"/>
  <c r="F37" i="17"/>
  <c r="G37" i="17" s="1"/>
  <c r="F38" i="17"/>
  <c r="G38" i="17" s="1"/>
  <c r="F40" i="17"/>
  <c r="G40" i="17" s="1"/>
  <c r="F42" i="17"/>
  <c r="G42" i="17" s="1"/>
  <c r="F45" i="17"/>
  <c r="G45" i="17" s="1"/>
  <c r="F46" i="17"/>
  <c r="G46" i="17" s="1"/>
  <c r="F47" i="17"/>
  <c r="G47" i="17" s="1"/>
  <c r="F48" i="17"/>
  <c r="G48" i="17" s="1"/>
  <c r="F49" i="17"/>
  <c r="G49" i="17" s="1"/>
  <c r="F50" i="17"/>
  <c r="G50" i="17" s="1"/>
  <c r="F52" i="17"/>
  <c r="G52" i="17" s="1"/>
  <c r="F53" i="17"/>
  <c r="G53" i="17" s="1"/>
  <c r="F2" i="17"/>
  <c r="G2" i="17" s="1"/>
  <c r="G22" i="18" l="1"/>
  <c r="G1" i="18" s="1"/>
  <c r="G1" i="17"/>
  <c r="I1" i="19"/>
  <c r="F23" i="20"/>
  <c r="G23" i="20" s="1"/>
  <c r="G84" i="20" s="1"/>
  <c r="F20" i="16"/>
  <c r="G20" i="16" s="1"/>
  <c r="F19" i="16"/>
  <c r="G19" i="16" s="1"/>
  <c r="F29" i="16"/>
  <c r="G29" i="16" s="1"/>
  <c r="F31" i="16"/>
  <c r="G31" i="16" s="1"/>
  <c r="F43" i="16"/>
  <c r="G43" i="16" s="1"/>
  <c r="F48" i="16"/>
  <c r="G48" i="16" s="1"/>
  <c r="F50" i="16"/>
  <c r="G50" i="16" s="1"/>
  <c r="F52" i="16"/>
  <c r="G52" i="16" s="1"/>
  <c r="F54" i="16"/>
  <c r="G54" i="16" s="1"/>
  <c r="F61" i="16"/>
  <c r="G61" i="16" s="1"/>
  <c r="F5" i="16"/>
  <c r="G5" i="16" s="1"/>
  <c r="F4" i="16"/>
  <c r="G4" i="16" s="1"/>
  <c r="G3" i="16"/>
  <c r="G11" i="16"/>
  <c r="G56" i="16"/>
  <c r="F6" i="16"/>
  <c r="G6" i="16" s="1"/>
  <c r="F7" i="16"/>
  <c r="G7" i="16" s="1"/>
  <c r="F8" i="16"/>
  <c r="G8" i="16" s="1"/>
  <c r="F9" i="16"/>
  <c r="G9" i="16" s="1"/>
  <c r="F10" i="16"/>
  <c r="G10" i="16" s="1"/>
  <c r="F12" i="16"/>
  <c r="G12" i="16" s="1"/>
  <c r="F13" i="16"/>
  <c r="G13" i="16" s="1"/>
  <c r="G14" i="16"/>
  <c r="F15" i="16"/>
  <c r="G15" i="16" s="1"/>
  <c r="G16" i="16"/>
  <c r="G17" i="16"/>
  <c r="F18" i="16"/>
  <c r="G18" i="16" s="1"/>
  <c r="G21" i="16"/>
  <c r="F22" i="16"/>
  <c r="G22" i="16" s="1"/>
  <c r="F23" i="16"/>
  <c r="G23" i="16" s="1"/>
  <c r="F24" i="16"/>
  <c r="G24" i="16" s="1"/>
  <c r="F25" i="16"/>
  <c r="G25" i="16" s="1"/>
  <c r="F26" i="16"/>
  <c r="G26" i="16" s="1"/>
  <c r="F27" i="16"/>
  <c r="G27" i="16" s="1"/>
  <c r="G28" i="16"/>
  <c r="F30" i="16"/>
  <c r="G30" i="16" s="1"/>
  <c r="F32" i="16"/>
  <c r="G32" i="16" s="1"/>
  <c r="F33" i="16"/>
  <c r="G33" i="16" s="1"/>
  <c r="F34" i="16"/>
  <c r="G34" i="16" s="1"/>
  <c r="F35" i="16"/>
  <c r="G35" i="16" s="1"/>
  <c r="F37" i="16"/>
  <c r="G37" i="16" s="1"/>
  <c r="F38" i="16"/>
  <c r="G38" i="16" s="1"/>
  <c r="F40" i="16"/>
  <c r="G40" i="16" s="1"/>
  <c r="G42" i="16"/>
  <c r="F44" i="16"/>
  <c r="G44" i="16" s="1"/>
  <c r="G45" i="16"/>
  <c r="F46" i="16"/>
  <c r="G46" i="16" s="1"/>
  <c r="F47" i="16"/>
  <c r="G47" i="16" s="1"/>
  <c r="F49" i="16"/>
  <c r="G49" i="16" s="1"/>
  <c r="F51" i="16"/>
  <c r="G51" i="16" s="1"/>
  <c r="F53" i="16"/>
  <c r="G53" i="16" s="1"/>
  <c r="F55" i="16"/>
  <c r="G55" i="16" s="1"/>
  <c r="F57" i="16"/>
  <c r="G57" i="16" s="1"/>
  <c r="F58" i="16"/>
  <c r="G58" i="16" s="1"/>
  <c r="G59" i="16"/>
  <c r="G60" i="16"/>
  <c r="F62" i="16"/>
  <c r="G62" i="16" s="1"/>
  <c r="F63" i="16"/>
  <c r="G63" i="16" s="1"/>
  <c r="F64" i="16"/>
  <c r="G64" i="16" s="1"/>
  <c r="F65" i="16"/>
  <c r="G65" i="16" s="1"/>
  <c r="F66" i="16"/>
  <c r="G66" i="16" s="1"/>
  <c r="F67" i="16"/>
  <c r="G67" i="16" s="1"/>
  <c r="F68" i="16"/>
  <c r="G68" i="16" s="1"/>
  <c r="F2" i="16"/>
  <c r="G2" i="16" s="1"/>
  <c r="F41" i="16" l="1"/>
  <c r="G41" i="16" s="1"/>
  <c r="F39" i="16"/>
  <c r="G39" i="16" s="1"/>
  <c r="F36" i="16"/>
  <c r="G36" i="16" s="1"/>
  <c r="F68" i="15"/>
  <c r="G68" i="15" s="1"/>
  <c r="F51" i="15"/>
  <c r="G51" i="15" s="1"/>
  <c r="F39" i="15"/>
  <c r="G39" i="15" s="1"/>
  <c r="F37" i="15"/>
  <c r="G37" i="15" s="1"/>
  <c r="F31" i="15"/>
  <c r="G31" i="15" s="1"/>
  <c r="F25" i="15"/>
  <c r="G25" i="15" s="1"/>
  <c r="F15" i="15"/>
  <c r="G15" i="15" s="1"/>
  <c r="F14" i="15"/>
  <c r="G14" i="15" s="1"/>
  <c r="F10" i="15"/>
  <c r="G10" i="15" s="1"/>
  <c r="F7" i="15"/>
  <c r="G7" i="15" s="1"/>
  <c r="G3" i="15"/>
  <c r="G11" i="15"/>
  <c r="G12" i="15"/>
  <c r="G13" i="15"/>
  <c r="G16" i="15"/>
  <c r="G18" i="15"/>
  <c r="G24" i="15"/>
  <c r="G27" i="15"/>
  <c r="G28" i="15"/>
  <c r="G32" i="15"/>
  <c r="G34" i="15"/>
  <c r="G43" i="15"/>
  <c r="G45" i="15"/>
  <c r="G46" i="15"/>
  <c r="G48" i="15"/>
  <c r="G49" i="15"/>
  <c r="G52" i="15"/>
  <c r="G58" i="15"/>
  <c r="G63" i="15"/>
  <c r="G66" i="15"/>
  <c r="G72" i="15"/>
  <c r="F4" i="15"/>
  <c r="G4" i="15" s="1"/>
  <c r="F5" i="15"/>
  <c r="F6" i="15" s="1"/>
  <c r="G6" i="15" s="1"/>
  <c r="F8" i="15"/>
  <c r="G8" i="15" s="1"/>
  <c r="F9" i="15"/>
  <c r="G9" i="15" s="1"/>
  <c r="F17" i="15"/>
  <c r="G17" i="15" s="1"/>
  <c r="F19" i="15"/>
  <c r="G19" i="15" s="1"/>
  <c r="F20" i="15"/>
  <c r="G20" i="15" s="1"/>
  <c r="F23" i="15"/>
  <c r="G23" i="15" s="1"/>
  <c r="F26" i="15"/>
  <c r="G26" i="15" s="1"/>
  <c r="F29" i="15"/>
  <c r="G29" i="15" s="1"/>
  <c r="F30" i="15"/>
  <c r="G30" i="15" s="1"/>
  <c r="F33" i="15"/>
  <c r="G33" i="15" s="1"/>
  <c r="F35" i="15"/>
  <c r="G35" i="15" s="1"/>
  <c r="F36" i="15"/>
  <c r="G36" i="15" s="1"/>
  <c r="F38" i="15"/>
  <c r="G38" i="15" s="1"/>
  <c r="F40" i="15"/>
  <c r="G40" i="15" s="1"/>
  <c r="F41" i="15"/>
  <c r="G41" i="15" s="1"/>
  <c r="F42" i="15"/>
  <c r="G42" i="15" s="1"/>
  <c r="F44" i="15"/>
  <c r="G44" i="15" s="1"/>
  <c r="F47" i="15"/>
  <c r="G47" i="15" s="1"/>
  <c r="F50" i="15"/>
  <c r="G50" i="15" s="1"/>
  <c r="F53" i="15"/>
  <c r="G53" i="15" s="1"/>
  <c r="F54" i="15"/>
  <c r="G54" i="15" s="1"/>
  <c r="F55" i="15"/>
  <c r="G55" i="15" s="1"/>
  <c r="F56" i="15"/>
  <c r="G56" i="15" s="1"/>
  <c r="F57" i="15"/>
  <c r="G57" i="15" s="1"/>
  <c r="F59" i="15"/>
  <c r="G59" i="15" s="1"/>
  <c r="F60" i="15"/>
  <c r="G60" i="15" s="1"/>
  <c r="F61" i="15"/>
  <c r="G61" i="15" s="1"/>
  <c r="F62" i="15"/>
  <c r="G62" i="15" s="1"/>
  <c r="F64" i="15"/>
  <c r="G64" i="15" s="1"/>
  <c r="F65" i="15"/>
  <c r="G65" i="15" s="1"/>
  <c r="F67" i="15"/>
  <c r="G67" i="15" s="1"/>
  <c r="F69" i="15"/>
  <c r="G69" i="15" s="1"/>
  <c r="F70" i="15"/>
  <c r="G70" i="15" s="1"/>
  <c r="F71" i="15"/>
  <c r="G71" i="15" s="1"/>
  <c r="F73" i="15"/>
  <c r="G73" i="15" s="1"/>
  <c r="F74" i="15"/>
  <c r="G74" i="15" s="1"/>
  <c r="F75" i="15"/>
  <c r="G75" i="15" s="1"/>
  <c r="F76" i="15"/>
  <c r="G76" i="15" s="1"/>
  <c r="F2" i="15"/>
  <c r="G2" i="15" s="1"/>
  <c r="G1" i="16" l="1"/>
  <c r="F21" i="15"/>
  <c r="G21" i="15" s="1"/>
  <c r="G5" i="15"/>
  <c r="F6" i="10"/>
  <c r="F22" i="15" l="1"/>
  <c r="G22" i="15" s="1"/>
  <c r="G1" i="15" s="1"/>
  <c r="F39" i="14"/>
  <c r="G39" i="14" s="1"/>
  <c r="F37" i="14"/>
  <c r="G37" i="14" s="1"/>
  <c r="F34" i="14"/>
  <c r="G34" i="14" s="1"/>
  <c r="F26" i="14"/>
  <c r="G26" i="14" s="1"/>
  <c r="F22" i="14"/>
  <c r="F23" i="14" s="1"/>
  <c r="G23" i="14" s="1"/>
  <c r="F15" i="14"/>
  <c r="G15" i="14" s="1"/>
  <c r="F9" i="14"/>
  <c r="G9" i="14" s="1"/>
  <c r="F6" i="14"/>
  <c r="G6" i="14" s="1"/>
  <c r="G11" i="14"/>
  <c r="G12" i="14"/>
  <c r="G13" i="14"/>
  <c r="G19" i="14"/>
  <c r="G25" i="14"/>
  <c r="G40" i="14"/>
  <c r="G42" i="14"/>
  <c r="G46" i="14"/>
  <c r="G53" i="14"/>
  <c r="G60" i="14"/>
  <c r="G66" i="14"/>
  <c r="G69" i="14"/>
  <c r="G76" i="14"/>
  <c r="F3" i="14"/>
  <c r="G3" i="14" s="1"/>
  <c r="F4" i="14"/>
  <c r="F5" i="14" s="1"/>
  <c r="G5" i="14" s="1"/>
  <c r="F7" i="14"/>
  <c r="G7" i="14" s="1"/>
  <c r="F8" i="14"/>
  <c r="G8" i="14" s="1"/>
  <c r="F10" i="14"/>
  <c r="G10" i="14" s="1"/>
  <c r="F14" i="14"/>
  <c r="G14" i="14" s="1"/>
  <c r="F16" i="14"/>
  <c r="G16" i="14" s="1"/>
  <c r="F17" i="14"/>
  <c r="G17" i="14" s="1"/>
  <c r="F18" i="14"/>
  <c r="G18" i="14" s="1"/>
  <c r="F20" i="14"/>
  <c r="G20" i="14" s="1"/>
  <c r="F21" i="14"/>
  <c r="G21" i="14" s="1"/>
  <c r="F24" i="14"/>
  <c r="G24" i="14" s="1"/>
  <c r="F27" i="14"/>
  <c r="G27" i="14" s="1"/>
  <c r="F28" i="14"/>
  <c r="G28" i="14" s="1"/>
  <c r="F29" i="14"/>
  <c r="G29" i="14" s="1"/>
  <c r="F30" i="14"/>
  <c r="G30" i="14" s="1"/>
  <c r="F31" i="14"/>
  <c r="G31" i="14" s="1"/>
  <c r="F32" i="14"/>
  <c r="G32" i="14" s="1"/>
  <c r="F33" i="14"/>
  <c r="G33" i="14" s="1"/>
  <c r="F35" i="14"/>
  <c r="G35" i="14" s="1"/>
  <c r="F36" i="14"/>
  <c r="G36" i="14" s="1"/>
  <c r="F38" i="14"/>
  <c r="G38" i="14" s="1"/>
  <c r="F41" i="14"/>
  <c r="G41" i="14" s="1"/>
  <c r="F43" i="14"/>
  <c r="G43" i="14" s="1"/>
  <c r="F44" i="14"/>
  <c r="G44" i="14" s="1"/>
  <c r="F45" i="14"/>
  <c r="G45" i="14" s="1"/>
  <c r="F47" i="14"/>
  <c r="F48" i="14" s="1"/>
  <c r="G48" i="14" s="1"/>
  <c r="F49" i="14"/>
  <c r="F50" i="14" s="1"/>
  <c r="G50" i="14" s="1"/>
  <c r="F51" i="14"/>
  <c r="F52" i="14" s="1"/>
  <c r="G52" i="14" s="1"/>
  <c r="F54" i="14"/>
  <c r="G54" i="14" s="1"/>
  <c r="F55" i="14"/>
  <c r="G55" i="14" s="1"/>
  <c r="F56" i="14"/>
  <c r="G56" i="14" s="1"/>
  <c r="F57" i="14"/>
  <c r="G57" i="14" s="1"/>
  <c r="F58" i="14"/>
  <c r="G58" i="14" s="1"/>
  <c r="F59" i="14"/>
  <c r="G59" i="14" s="1"/>
  <c r="F61" i="14"/>
  <c r="G61" i="14" s="1"/>
  <c r="F62" i="14"/>
  <c r="G62" i="14" s="1"/>
  <c r="F63" i="14"/>
  <c r="G63" i="14" s="1"/>
  <c r="F64" i="14"/>
  <c r="G64" i="14" s="1"/>
  <c r="F65" i="14"/>
  <c r="G65" i="14" s="1"/>
  <c r="F67" i="14"/>
  <c r="G67" i="14" s="1"/>
  <c r="F68" i="14"/>
  <c r="G68" i="14" s="1"/>
  <c r="F70" i="14"/>
  <c r="G70" i="14" s="1"/>
  <c r="F71" i="14"/>
  <c r="G71" i="14" s="1"/>
  <c r="F72" i="14"/>
  <c r="G72" i="14" s="1"/>
  <c r="F73" i="14"/>
  <c r="G73" i="14" s="1"/>
  <c r="F74" i="14"/>
  <c r="G74" i="14" s="1"/>
  <c r="F75" i="14"/>
  <c r="G75" i="14" s="1"/>
  <c r="F77" i="14"/>
  <c r="G77" i="14" s="1"/>
  <c r="F78" i="14"/>
  <c r="G78" i="14" s="1"/>
  <c r="F79" i="14"/>
  <c r="G79" i="14" s="1"/>
  <c r="F2" i="14"/>
  <c r="G2" i="14" s="1"/>
  <c r="G11" i="13"/>
  <c r="G12" i="13"/>
  <c r="G13" i="13"/>
  <c r="G17" i="13"/>
  <c r="G18" i="13"/>
  <c r="G21" i="13"/>
  <c r="G22" i="13"/>
  <c r="G24" i="13"/>
  <c r="G28" i="13"/>
  <c r="G33" i="13"/>
  <c r="G34" i="13"/>
  <c r="G36" i="13"/>
  <c r="G48" i="13"/>
  <c r="F40" i="13"/>
  <c r="G40" i="13" s="1"/>
  <c r="F39" i="13"/>
  <c r="G39" i="13" s="1"/>
  <c r="F37" i="13"/>
  <c r="F29" i="13"/>
  <c r="G29" i="13" s="1"/>
  <c r="F27" i="13"/>
  <c r="G27" i="13" s="1"/>
  <c r="F19" i="13"/>
  <c r="F14" i="13"/>
  <c r="F13" i="13"/>
  <c r="F12" i="13"/>
  <c r="F6" i="13"/>
  <c r="G6" i="13" s="1"/>
  <c r="F5" i="13"/>
  <c r="G5" i="13" s="1"/>
  <c r="F65" i="12"/>
  <c r="G65" i="12" s="1"/>
  <c r="F47" i="12"/>
  <c r="G47" i="12" s="1"/>
  <c r="F46" i="12"/>
  <c r="G46" i="12" s="1"/>
  <c r="F44" i="12"/>
  <c r="G44" i="12" s="1"/>
  <c r="F32" i="12"/>
  <c r="G32" i="12" s="1"/>
  <c r="F25" i="12"/>
  <c r="G25" i="12" s="1"/>
  <c r="F22" i="12"/>
  <c r="G22" i="12" s="1"/>
  <c r="F21" i="12"/>
  <c r="G21" i="12" s="1"/>
  <c r="F12" i="12"/>
  <c r="G12" i="12" s="1"/>
  <c r="F7" i="12"/>
  <c r="F6" i="12"/>
  <c r="G6" i="12" s="1"/>
  <c r="F4" i="12"/>
  <c r="G4" i="12" s="1"/>
  <c r="F3" i="13"/>
  <c r="F4" i="13"/>
  <c r="F7" i="13"/>
  <c r="G7" i="13" s="1"/>
  <c r="F8" i="13"/>
  <c r="F9" i="13"/>
  <c r="G9" i="13" s="1"/>
  <c r="F10" i="13"/>
  <c r="F15" i="13"/>
  <c r="F16" i="13"/>
  <c r="F20" i="13"/>
  <c r="G20" i="13" s="1"/>
  <c r="F23" i="13"/>
  <c r="F25" i="13"/>
  <c r="F26" i="13"/>
  <c r="F30" i="13"/>
  <c r="F32" i="13"/>
  <c r="G32" i="13" s="1"/>
  <c r="F35" i="13"/>
  <c r="F38" i="13"/>
  <c r="F41" i="13"/>
  <c r="F42" i="13"/>
  <c r="F43" i="13"/>
  <c r="G43" i="13" s="1"/>
  <c r="F44" i="13"/>
  <c r="F45" i="13"/>
  <c r="F46" i="13"/>
  <c r="F47" i="13"/>
  <c r="G47" i="13" s="1"/>
  <c r="F49" i="13"/>
  <c r="G49" i="13" s="1"/>
  <c r="F50" i="13"/>
  <c r="G50" i="13" s="1"/>
  <c r="F51" i="13"/>
  <c r="G51" i="13" s="1"/>
  <c r="F2" i="13"/>
  <c r="G7" i="12"/>
  <c r="G13" i="12"/>
  <c r="G27" i="12"/>
  <c r="G48" i="12"/>
  <c r="G70" i="12"/>
  <c r="F3" i="12"/>
  <c r="G3" i="12" s="1"/>
  <c r="F5" i="12"/>
  <c r="G5" i="12" s="1"/>
  <c r="F8" i="12"/>
  <c r="G8" i="12" s="1"/>
  <c r="F9" i="12"/>
  <c r="G9" i="12" s="1"/>
  <c r="F10" i="12"/>
  <c r="G10" i="12" s="1"/>
  <c r="F11" i="12"/>
  <c r="G11" i="12" s="1"/>
  <c r="G14" i="12"/>
  <c r="F15" i="12"/>
  <c r="G15" i="12" s="1"/>
  <c r="G16" i="12"/>
  <c r="F17" i="12"/>
  <c r="G17" i="12" s="1"/>
  <c r="F18" i="12"/>
  <c r="G18" i="12" s="1"/>
  <c r="G19" i="12"/>
  <c r="F20" i="12"/>
  <c r="G20" i="12" s="1"/>
  <c r="F23" i="12"/>
  <c r="G23" i="12" s="1"/>
  <c r="G24" i="12"/>
  <c r="F26" i="12"/>
  <c r="G26" i="12" s="1"/>
  <c r="F28" i="12"/>
  <c r="G28" i="12" s="1"/>
  <c r="G29" i="12"/>
  <c r="F30" i="12"/>
  <c r="G30" i="12" s="1"/>
  <c r="F31" i="12"/>
  <c r="G31" i="12" s="1"/>
  <c r="F33" i="12"/>
  <c r="G33" i="12" s="1"/>
  <c r="F34" i="12"/>
  <c r="G34" i="12" s="1"/>
  <c r="G35" i="12"/>
  <c r="F36" i="12"/>
  <c r="G36" i="12" s="1"/>
  <c r="F38" i="12"/>
  <c r="G38" i="12" s="1"/>
  <c r="G39" i="12"/>
  <c r="F40" i="12"/>
  <c r="G40" i="12" s="1"/>
  <c r="F41" i="12"/>
  <c r="G41" i="12" s="1"/>
  <c r="G42" i="12"/>
  <c r="F43" i="12"/>
  <c r="G43" i="12" s="1"/>
  <c r="F45" i="12"/>
  <c r="G45" i="12" s="1"/>
  <c r="F49" i="12"/>
  <c r="G49" i="12" s="1"/>
  <c r="F50" i="12"/>
  <c r="G50" i="12" s="1"/>
  <c r="F51" i="12"/>
  <c r="G51" i="12" s="1"/>
  <c r="F52" i="12"/>
  <c r="G52" i="12" s="1"/>
  <c r="F53" i="12"/>
  <c r="G53" i="12" s="1"/>
  <c r="G54" i="12"/>
  <c r="F55" i="12"/>
  <c r="G55" i="12" s="1"/>
  <c r="F56" i="12"/>
  <c r="G56" i="12" s="1"/>
  <c r="F57" i="12"/>
  <c r="G57" i="12" s="1"/>
  <c r="F58" i="12"/>
  <c r="G58" i="12" s="1"/>
  <c r="F59" i="12"/>
  <c r="G59" i="12" s="1"/>
  <c r="F60" i="12"/>
  <c r="G60" i="12" s="1"/>
  <c r="F61" i="12"/>
  <c r="G61" i="12" s="1"/>
  <c r="F62" i="12"/>
  <c r="G62" i="12" s="1"/>
  <c r="G63" i="12"/>
  <c r="F64" i="12"/>
  <c r="G64" i="12" s="1"/>
  <c r="F66" i="12"/>
  <c r="G66" i="12" s="1"/>
  <c r="F67" i="12"/>
  <c r="G67" i="12" s="1"/>
  <c r="F68" i="12"/>
  <c r="G68" i="12" s="1"/>
  <c r="F69" i="12"/>
  <c r="G69" i="12" s="1"/>
  <c r="F71" i="12"/>
  <c r="G71" i="12" s="1"/>
  <c r="F2" i="12"/>
  <c r="G2" i="12" s="1"/>
  <c r="F44" i="11"/>
  <c r="G44" i="11" s="1"/>
  <c r="F43" i="11"/>
  <c r="G43" i="11" s="1"/>
  <c r="F41" i="11"/>
  <c r="G41" i="11" s="1"/>
  <c r="F33" i="11"/>
  <c r="G33" i="11" s="1"/>
  <c r="F31" i="11"/>
  <c r="G31" i="11" s="1"/>
  <c r="F22" i="11"/>
  <c r="G22" i="11" s="1"/>
  <c r="F20" i="11"/>
  <c r="F19" i="11"/>
  <c r="F15" i="11"/>
  <c r="F14" i="11"/>
  <c r="F11" i="11"/>
  <c r="G11" i="11" s="1"/>
  <c r="F7" i="11"/>
  <c r="G7" i="11" s="1"/>
  <c r="F6" i="11"/>
  <c r="G6" i="11" s="1"/>
  <c r="G10" i="11"/>
  <c r="G13" i="11"/>
  <c r="G14" i="11"/>
  <c r="G15" i="11"/>
  <c r="G17" i="11"/>
  <c r="G18" i="11"/>
  <c r="G19" i="11"/>
  <c r="G20" i="11"/>
  <c r="G21" i="11"/>
  <c r="G25" i="11"/>
  <c r="G26" i="11"/>
  <c r="G30" i="11"/>
  <c r="G34" i="11"/>
  <c r="G35" i="11"/>
  <c r="G36" i="11"/>
  <c r="G47" i="11"/>
  <c r="G51" i="11"/>
  <c r="G56" i="11"/>
  <c r="G62" i="11"/>
  <c r="G63" i="11"/>
  <c r="F3" i="11"/>
  <c r="G3" i="11" s="1"/>
  <c r="F4" i="11"/>
  <c r="G4" i="11" s="1"/>
  <c r="F5" i="11"/>
  <c r="G5" i="11" s="1"/>
  <c r="F8" i="11"/>
  <c r="G8" i="11" s="1"/>
  <c r="F9" i="11"/>
  <c r="G9" i="11" s="1"/>
  <c r="F12" i="11"/>
  <c r="G12" i="11" s="1"/>
  <c r="F16" i="11"/>
  <c r="G16" i="11" s="1"/>
  <c r="F23" i="11"/>
  <c r="G23" i="11" s="1"/>
  <c r="F24" i="11"/>
  <c r="G24" i="11" s="1"/>
  <c r="F27" i="11"/>
  <c r="G27" i="11" s="1"/>
  <c r="F28" i="11"/>
  <c r="G28" i="11" s="1"/>
  <c r="F29" i="11"/>
  <c r="G29" i="11" s="1"/>
  <c r="F32" i="11"/>
  <c r="G32" i="11" s="1"/>
  <c r="F37" i="11"/>
  <c r="G37" i="11" s="1"/>
  <c r="F38" i="11"/>
  <c r="G38" i="11" s="1"/>
  <c r="F39" i="11"/>
  <c r="G39" i="11" s="1"/>
  <c r="F40" i="11"/>
  <c r="G40" i="11" s="1"/>
  <c r="F42" i="11"/>
  <c r="G42" i="11" s="1"/>
  <c r="F45" i="11"/>
  <c r="G45" i="11" s="1"/>
  <c r="F46" i="11"/>
  <c r="G46" i="11" s="1"/>
  <c r="F48" i="11"/>
  <c r="G48" i="11" s="1"/>
  <c r="F49" i="11"/>
  <c r="G49" i="11" s="1"/>
  <c r="F50" i="11"/>
  <c r="G50" i="11" s="1"/>
  <c r="F52" i="11"/>
  <c r="G52" i="11" s="1"/>
  <c r="F53" i="11"/>
  <c r="G53" i="11" s="1"/>
  <c r="F54" i="11"/>
  <c r="G54" i="11" s="1"/>
  <c r="F55" i="11"/>
  <c r="G55" i="11" s="1"/>
  <c r="F57" i="11"/>
  <c r="G57" i="11" s="1"/>
  <c r="F58" i="11"/>
  <c r="G58" i="11" s="1"/>
  <c r="F59" i="11"/>
  <c r="G59" i="11" s="1"/>
  <c r="F60" i="11"/>
  <c r="G60" i="11" s="1"/>
  <c r="F61" i="11"/>
  <c r="G61" i="11" s="1"/>
  <c r="F64" i="11"/>
  <c r="G64" i="11" s="1"/>
  <c r="F65" i="11"/>
  <c r="G65" i="11" s="1"/>
  <c r="F66" i="11"/>
  <c r="G66" i="11" s="1"/>
  <c r="F67" i="11"/>
  <c r="G67" i="11" s="1"/>
  <c r="F68" i="11"/>
  <c r="G68" i="11" s="1"/>
  <c r="F69" i="11"/>
  <c r="G69" i="11" s="1"/>
  <c r="F70" i="11"/>
  <c r="G70" i="11" s="1"/>
  <c r="F71" i="11"/>
  <c r="G71" i="11" s="1"/>
  <c r="F2" i="11"/>
  <c r="G2" i="11" s="1"/>
  <c r="F35" i="10"/>
  <c r="G35" i="10" s="1"/>
  <c r="F16" i="10"/>
  <c r="G16" i="10" s="1"/>
  <c r="G6" i="10"/>
  <c r="F5" i="10"/>
  <c r="G5" i="10" s="1"/>
  <c r="G3" i="10"/>
  <c r="G9" i="10"/>
  <c r="G12" i="10"/>
  <c r="G13" i="10"/>
  <c r="G17" i="10"/>
  <c r="G20" i="10"/>
  <c r="G24" i="10"/>
  <c r="G29" i="10"/>
  <c r="G38" i="10"/>
  <c r="G44" i="10"/>
  <c r="G53" i="10"/>
  <c r="G55" i="10"/>
  <c r="F11" i="10"/>
  <c r="G11" i="10" s="1"/>
  <c r="F31" i="10"/>
  <c r="G31" i="10" s="1"/>
  <c r="F51" i="10"/>
  <c r="G51" i="10" s="1"/>
  <c r="F52" i="10"/>
  <c r="G52" i="10" s="1"/>
  <c r="F54" i="10"/>
  <c r="G54" i="10" s="1"/>
  <c r="F56" i="10"/>
  <c r="G56" i="10" s="1"/>
  <c r="E2" i="10"/>
  <c r="F2" i="10" s="1"/>
  <c r="G2" i="10" s="1"/>
  <c r="E3" i="10"/>
  <c r="E4" i="10"/>
  <c r="F4" i="10" s="1"/>
  <c r="G4" i="10" s="1"/>
  <c r="E5" i="10"/>
  <c r="E6" i="10"/>
  <c r="E7" i="10"/>
  <c r="F7" i="10" s="1"/>
  <c r="G7" i="10" s="1"/>
  <c r="E8" i="10"/>
  <c r="F8" i="10" s="1"/>
  <c r="G8" i="10" s="1"/>
  <c r="E9" i="10"/>
  <c r="E10" i="10"/>
  <c r="F10" i="10" s="1"/>
  <c r="G10" i="10" s="1"/>
  <c r="E11" i="10"/>
  <c r="E12" i="10"/>
  <c r="E13" i="10"/>
  <c r="E14" i="10"/>
  <c r="F14" i="10" s="1"/>
  <c r="G14" i="10" s="1"/>
  <c r="E15" i="10"/>
  <c r="F15" i="10" s="1"/>
  <c r="G15" i="10" s="1"/>
  <c r="E16" i="10"/>
  <c r="E17" i="10"/>
  <c r="E18" i="10"/>
  <c r="F18" i="10" s="1"/>
  <c r="G18" i="10" s="1"/>
  <c r="E19" i="10"/>
  <c r="F19" i="10" s="1"/>
  <c r="G19" i="10" s="1"/>
  <c r="E20" i="10"/>
  <c r="E21" i="10"/>
  <c r="F21" i="10" s="1"/>
  <c r="G21" i="10" s="1"/>
  <c r="E22" i="10"/>
  <c r="F22" i="10" s="1"/>
  <c r="G22" i="10" s="1"/>
  <c r="E23" i="10"/>
  <c r="F23" i="10" s="1"/>
  <c r="G23" i="10" s="1"/>
  <c r="E24" i="10"/>
  <c r="E25" i="10"/>
  <c r="F25" i="10" s="1"/>
  <c r="G25" i="10" s="1"/>
  <c r="E26" i="10"/>
  <c r="F26" i="10" s="1"/>
  <c r="G26" i="10" s="1"/>
  <c r="E27" i="10"/>
  <c r="F27" i="10" s="1"/>
  <c r="G27" i="10" s="1"/>
  <c r="E28" i="10"/>
  <c r="F28" i="10" s="1"/>
  <c r="G28" i="10" s="1"/>
  <c r="E29" i="10"/>
  <c r="E30" i="10"/>
  <c r="F30" i="10" s="1"/>
  <c r="G30" i="10" s="1"/>
  <c r="E31" i="10"/>
  <c r="E32" i="10"/>
  <c r="F32" i="10" s="1"/>
  <c r="G32" i="10" s="1"/>
  <c r="E33" i="10"/>
  <c r="F33" i="10" s="1"/>
  <c r="G33" i="10" s="1"/>
  <c r="E34" i="10"/>
  <c r="F34" i="10" s="1"/>
  <c r="G34" i="10" s="1"/>
  <c r="E35" i="10"/>
  <c r="E36" i="10"/>
  <c r="F36" i="10" s="1"/>
  <c r="G36" i="10" s="1"/>
  <c r="E37" i="10"/>
  <c r="F37" i="10" s="1"/>
  <c r="G37" i="10" s="1"/>
  <c r="E38" i="10"/>
  <c r="E39" i="10"/>
  <c r="F39" i="10" s="1"/>
  <c r="G39" i="10" s="1"/>
  <c r="E40" i="10"/>
  <c r="F40" i="10" s="1"/>
  <c r="G40" i="10" s="1"/>
  <c r="E41" i="10"/>
  <c r="F41" i="10" s="1"/>
  <c r="G41" i="10" s="1"/>
  <c r="E42" i="10"/>
  <c r="F42" i="10" s="1"/>
  <c r="G42" i="10" s="1"/>
  <c r="E43" i="10"/>
  <c r="F43" i="10" s="1"/>
  <c r="G43" i="10" s="1"/>
  <c r="E44" i="10"/>
  <c r="E45" i="10"/>
  <c r="F45" i="10" s="1"/>
  <c r="G45" i="10" s="1"/>
  <c r="E46" i="10"/>
  <c r="F46" i="10" s="1"/>
  <c r="G46" i="10" s="1"/>
  <c r="E47" i="10"/>
  <c r="F47" i="10" s="1"/>
  <c r="G47" i="10" s="1"/>
  <c r="E48" i="10"/>
  <c r="F48" i="10" s="1"/>
  <c r="G48" i="10" s="1"/>
  <c r="E49" i="10"/>
  <c r="F49" i="10" s="1"/>
  <c r="G49" i="10" s="1"/>
  <c r="E50" i="10"/>
  <c r="F50" i="10" s="1"/>
  <c r="G50" i="10" s="1"/>
  <c r="E51" i="10"/>
  <c r="E52" i="10"/>
  <c r="E53" i="10"/>
  <c r="E54" i="10"/>
  <c r="E55" i="10"/>
  <c r="E56" i="10"/>
  <c r="E57" i="10"/>
  <c r="F57" i="10" s="1"/>
  <c r="G57" i="10" s="1"/>
  <c r="E58" i="10"/>
  <c r="F58" i="10" s="1"/>
  <c r="G58" i="10" s="1"/>
  <c r="F54" i="9"/>
  <c r="F44" i="9"/>
  <c r="F38" i="9"/>
  <c r="F35" i="9"/>
  <c r="F25" i="9"/>
  <c r="F24" i="9"/>
  <c r="F23" i="9"/>
  <c r="F20" i="9"/>
  <c r="F7" i="9"/>
  <c r="F10" i="9"/>
  <c r="F30" i="9"/>
  <c r="F31" i="9"/>
  <c r="F32" i="9"/>
  <c r="F70" i="9"/>
  <c r="F71" i="9"/>
  <c r="E2" i="9"/>
  <c r="F2" i="9" s="1"/>
  <c r="E3" i="9"/>
  <c r="F3" i="9" s="1"/>
  <c r="E4" i="9"/>
  <c r="F4" i="9" s="1"/>
  <c r="E5" i="9"/>
  <c r="F5" i="9" s="1"/>
  <c r="F6" i="9" s="1"/>
  <c r="E6" i="9"/>
  <c r="E7" i="9"/>
  <c r="E8" i="9"/>
  <c r="F8" i="9" s="1"/>
  <c r="E9" i="9"/>
  <c r="F9" i="9" s="1"/>
  <c r="E10" i="9"/>
  <c r="E11" i="9"/>
  <c r="F11" i="9" s="1"/>
  <c r="E12" i="9"/>
  <c r="F12" i="9" s="1"/>
  <c r="E13" i="9"/>
  <c r="E14" i="9"/>
  <c r="E15" i="9"/>
  <c r="F15" i="9" s="1"/>
  <c r="E16" i="9"/>
  <c r="F16" i="9" s="1"/>
  <c r="E17" i="9"/>
  <c r="E18" i="9"/>
  <c r="F18" i="9" s="1"/>
  <c r="E19" i="9"/>
  <c r="F19" i="9" s="1"/>
  <c r="E20" i="9"/>
  <c r="E21" i="9"/>
  <c r="F21" i="9" s="1"/>
  <c r="E22" i="9"/>
  <c r="E23" i="9"/>
  <c r="E24" i="9"/>
  <c r="E25" i="9"/>
  <c r="E26" i="9"/>
  <c r="F26" i="9" s="1"/>
  <c r="E27" i="9"/>
  <c r="F27" i="9" s="1"/>
  <c r="E28" i="9"/>
  <c r="E29" i="9"/>
  <c r="E30" i="9"/>
  <c r="E31" i="9"/>
  <c r="E32" i="9"/>
  <c r="E33" i="9"/>
  <c r="E34" i="9"/>
  <c r="F34" i="9" s="1"/>
  <c r="E35" i="9"/>
  <c r="E36" i="9"/>
  <c r="E37" i="9"/>
  <c r="F37" i="9" s="1"/>
  <c r="E38" i="9"/>
  <c r="E39" i="9"/>
  <c r="F39" i="9" s="1"/>
  <c r="E40" i="9"/>
  <c r="F40" i="9" s="1"/>
  <c r="E41" i="9"/>
  <c r="E42" i="9"/>
  <c r="E43" i="9"/>
  <c r="F43" i="9" s="1"/>
  <c r="E44" i="9"/>
  <c r="E45" i="9"/>
  <c r="F45" i="9" s="1"/>
  <c r="E46" i="9"/>
  <c r="F46" i="9" s="1"/>
  <c r="E47" i="9"/>
  <c r="F47" i="9" s="1"/>
  <c r="E48" i="9"/>
  <c r="E49" i="9"/>
  <c r="F49" i="9" s="1"/>
  <c r="E50" i="9"/>
  <c r="F50" i="9" s="1"/>
  <c r="E51" i="9"/>
  <c r="E52" i="9"/>
  <c r="F52" i="9" s="1"/>
  <c r="E53" i="9"/>
  <c r="F53" i="9" s="1"/>
  <c r="E54" i="9"/>
  <c r="E55" i="9"/>
  <c r="F55" i="9" s="1"/>
  <c r="E56" i="9"/>
  <c r="E57" i="9"/>
  <c r="F57" i="9" s="1"/>
  <c r="E58" i="9"/>
  <c r="F58" i="9" s="1"/>
  <c r="E59" i="9"/>
  <c r="F59" i="9" s="1"/>
  <c r="E60" i="9"/>
  <c r="F60" i="9" s="1"/>
  <c r="E61" i="9"/>
  <c r="F61" i="9" s="1"/>
  <c r="E62" i="9"/>
  <c r="F62" i="9" s="1"/>
  <c r="E63" i="9"/>
  <c r="F63" i="9" s="1"/>
  <c r="E64" i="9"/>
  <c r="F64" i="9" s="1"/>
  <c r="E65" i="9"/>
  <c r="F65" i="9" s="1"/>
  <c r="E66" i="9"/>
  <c r="E67" i="9"/>
  <c r="F67" i="9" s="1"/>
  <c r="E68" i="9"/>
  <c r="F68" i="9" s="1"/>
  <c r="E69" i="9"/>
  <c r="F69" i="9" s="1"/>
  <c r="E70" i="9"/>
  <c r="E71" i="9"/>
  <c r="G37" i="13" l="1"/>
  <c r="G41" i="13"/>
  <c r="G16" i="13"/>
  <c r="G2" i="13"/>
  <c r="G15" i="13"/>
  <c r="G10" i="13"/>
  <c r="G8" i="13"/>
  <c r="G14" i="13"/>
  <c r="G19" i="13"/>
  <c r="G46" i="13"/>
  <c r="G4" i="13"/>
  <c r="G45" i="13"/>
  <c r="G3" i="13"/>
  <c r="G44" i="13"/>
  <c r="G42" i="13"/>
  <c r="G38" i="13"/>
  <c r="G35" i="13"/>
  <c r="G30" i="13"/>
  <c r="G26" i="13"/>
  <c r="G25" i="13"/>
  <c r="G23" i="13"/>
  <c r="G4" i="14"/>
  <c r="G22" i="14"/>
  <c r="G47" i="14"/>
  <c r="F56" i="9"/>
  <c r="G56" i="9" s="1"/>
  <c r="G51" i="14"/>
  <c r="G49" i="14"/>
  <c r="F51" i="9"/>
  <c r="G51" i="9" s="1"/>
  <c r="F41" i="9"/>
  <c r="G41" i="9" s="1"/>
  <c r="F31" i="13"/>
  <c r="F37" i="12"/>
  <c r="G37" i="12" s="1"/>
  <c r="G72" i="12" s="1"/>
  <c r="G72" i="11"/>
  <c r="G59" i="10"/>
  <c r="G2" i="9"/>
  <c r="G3" i="9"/>
  <c r="G4" i="9"/>
  <c r="G5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2" i="9"/>
  <c r="G43" i="9"/>
  <c r="G44" i="9"/>
  <c r="G45" i="9"/>
  <c r="G46" i="9"/>
  <c r="G47" i="9"/>
  <c r="G48" i="9"/>
  <c r="G49" i="9"/>
  <c r="G50" i="9"/>
  <c r="G52" i="9"/>
  <c r="G53" i="9"/>
  <c r="G54" i="9"/>
  <c r="G55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" i="9"/>
  <c r="G6" i="9"/>
  <c r="C40" i="9"/>
  <c r="G40" i="9" s="1"/>
  <c r="F6" i="6"/>
  <c r="G23" i="5"/>
  <c r="G6" i="5"/>
  <c r="F36" i="4"/>
  <c r="H36" i="4" s="1"/>
  <c r="H2" i="7"/>
  <c r="F22" i="8"/>
  <c r="F28" i="8"/>
  <c r="F29" i="8"/>
  <c r="F30" i="8"/>
  <c r="F31" i="8"/>
  <c r="F32" i="8"/>
  <c r="F33" i="8"/>
  <c r="F34" i="8"/>
  <c r="F35" i="8"/>
  <c r="F36" i="8"/>
  <c r="F37" i="8"/>
  <c r="F38" i="8"/>
  <c r="F39" i="8"/>
  <c r="G39" i="8" s="1"/>
  <c r="F40" i="8"/>
  <c r="F41" i="8"/>
  <c r="F42" i="8"/>
  <c r="F43" i="8"/>
  <c r="F44" i="8"/>
  <c r="G42" i="7"/>
  <c r="G47" i="7"/>
  <c r="G37" i="7"/>
  <c r="G20" i="7"/>
  <c r="G22" i="7"/>
  <c r="F23" i="8"/>
  <c r="G21" i="7"/>
  <c r="G24" i="7"/>
  <c r="F19" i="8"/>
  <c r="G17" i="7"/>
  <c r="H17" i="7" s="1"/>
  <c r="H52" i="7"/>
  <c r="G53" i="7"/>
  <c r="H53" i="7" s="1"/>
  <c r="F2" i="7"/>
  <c r="F3" i="7"/>
  <c r="H3" i="7" s="1"/>
  <c r="F4" i="7"/>
  <c r="H4" i="7" s="1"/>
  <c r="F5" i="7"/>
  <c r="H5" i="7" s="1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H23" i="7" s="1"/>
  <c r="F24" i="7"/>
  <c r="H24" i="7" s="1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H42" i="7" s="1"/>
  <c r="F43" i="7"/>
  <c r="H43" i="7" s="1"/>
  <c r="F44" i="7"/>
  <c r="H44" i="7" s="1"/>
  <c r="F45" i="7"/>
  <c r="H45" i="7" s="1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H62" i="7" s="1"/>
  <c r="F63" i="7"/>
  <c r="H63" i="7" s="1"/>
  <c r="F64" i="7"/>
  <c r="F65" i="7"/>
  <c r="H65" i="7" s="1"/>
  <c r="F66" i="7"/>
  <c r="F67" i="7"/>
  <c r="F68" i="7"/>
  <c r="F69" i="7"/>
  <c r="F70" i="7"/>
  <c r="F71" i="7"/>
  <c r="F72" i="7"/>
  <c r="F73" i="7"/>
  <c r="F74" i="7"/>
  <c r="F75" i="7"/>
  <c r="F76" i="7"/>
  <c r="F77" i="7"/>
  <c r="G64" i="7"/>
  <c r="F16" i="8"/>
  <c r="G16" i="8" s="1"/>
  <c r="F15" i="8"/>
  <c r="G15" i="7"/>
  <c r="F14" i="8"/>
  <c r="G14" i="8" s="1"/>
  <c r="G14" i="7"/>
  <c r="H14" i="7" s="1"/>
  <c r="F9" i="8"/>
  <c r="G9" i="7"/>
  <c r="H9" i="7" s="1"/>
  <c r="G5" i="7"/>
  <c r="G4" i="7"/>
  <c r="H6" i="7"/>
  <c r="H7" i="7"/>
  <c r="H8" i="7"/>
  <c r="H10" i="7"/>
  <c r="H11" i="7"/>
  <c r="H12" i="7"/>
  <c r="H13" i="7"/>
  <c r="H15" i="7"/>
  <c r="H16" i="7"/>
  <c r="H18" i="7"/>
  <c r="H19" i="7"/>
  <c r="H20" i="7"/>
  <c r="H21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6" i="7"/>
  <c r="H47" i="7"/>
  <c r="H48" i="7"/>
  <c r="H49" i="7"/>
  <c r="H50" i="7"/>
  <c r="H51" i="7"/>
  <c r="H54" i="7"/>
  <c r="H55" i="7"/>
  <c r="H56" i="7"/>
  <c r="H57" i="7"/>
  <c r="H58" i="7"/>
  <c r="H59" i="7"/>
  <c r="H60" i="7"/>
  <c r="H61" i="7"/>
  <c r="H66" i="7"/>
  <c r="H67" i="7"/>
  <c r="H68" i="7"/>
  <c r="H69" i="7"/>
  <c r="H70" i="7"/>
  <c r="H71" i="7"/>
  <c r="H72" i="7"/>
  <c r="H73" i="7"/>
  <c r="H74" i="7"/>
  <c r="H75" i="7"/>
  <c r="H76" i="7"/>
  <c r="H77" i="7"/>
  <c r="E2" i="8"/>
  <c r="G2" i="8" s="1"/>
  <c r="E3" i="8"/>
  <c r="G3" i="8" s="1"/>
  <c r="E4" i="8"/>
  <c r="G4" i="8" s="1"/>
  <c r="E5" i="8"/>
  <c r="G5" i="8" s="1"/>
  <c r="E6" i="8"/>
  <c r="G6" i="8" s="1"/>
  <c r="E7" i="8"/>
  <c r="G7" i="8" s="1"/>
  <c r="E8" i="8"/>
  <c r="G8" i="8" s="1"/>
  <c r="E9" i="8"/>
  <c r="E10" i="8"/>
  <c r="G10" i="8" s="1"/>
  <c r="E11" i="8"/>
  <c r="G11" i="8" s="1"/>
  <c r="E12" i="8"/>
  <c r="G12" i="8" s="1"/>
  <c r="E13" i="8"/>
  <c r="G13" i="8" s="1"/>
  <c r="E14" i="8"/>
  <c r="E15" i="8"/>
  <c r="E16" i="8"/>
  <c r="E17" i="8"/>
  <c r="G17" i="8" s="1"/>
  <c r="E18" i="8"/>
  <c r="G18" i="8" s="1"/>
  <c r="E19" i="8"/>
  <c r="E20" i="8"/>
  <c r="G20" i="8" s="1"/>
  <c r="E21" i="8"/>
  <c r="G21" i="8" s="1"/>
  <c r="E22" i="8"/>
  <c r="G22" i="8" s="1"/>
  <c r="E23" i="8"/>
  <c r="G23" i="8" s="1"/>
  <c r="E24" i="8"/>
  <c r="G24" i="8" s="1"/>
  <c r="E25" i="8"/>
  <c r="G25" i="8" s="1"/>
  <c r="E26" i="8"/>
  <c r="G26" i="8" s="1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G45" i="8" s="1"/>
  <c r="E46" i="8"/>
  <c r="G46" i="8" s="1"/>
  <c r="E47" i="8"/>
  <c r="G47" i="8" s="1"/>
  <c r="E48" i="8"/>
  <c r="G48" i="8" s="1"/>
  <c r="E49" i="8"/>
  <c r="G49" i="8" s="1"/>
  <c r="E50" i="8"/>
  <c r="G50" i="8" s="1"/>
  <c r="E51" i="8"/>
  <c r="G51" i="8" s="1"/>
  <c r="E52" i="8"/>
  <c r="G52" i="8" s="1"/>
  <c r="E53" i="8"/>
  <c r="G53" i="8" s="1"/>
  <c r="E54" i="8"/>
  <c r="G54" i="8" s="1"/>
  <c r="E55" i="8"/>
  <c r="G55" i="8" s="1"/>
  <c r="E56" i="8"/>
  <c r="G56" i="8" s="1"/>
  <c r="E57" i="8"/>
  <c r="G57" i="8" s="1"/>
  <c r="E58" i="8"/>
  <c r="G58" i="8" s="1"/>
  <c r="E59" i="8"/>
  <c r="G59" i="8" s="1"/>
  <c r="E60" i="8"/>
  <c r="G60" i="8" s="1"/>
  <c r="E61" i="8"/>
  <c r="G61" i="8" s="1"/>
  <c r="F54" i="6"/>
  <c r="F28" i="6"/>
  <c r="F26" i="6"/>
  <c r="F16" i="6"/>
  <c r="G2" i="6"/>
  <c r="E2" i="6"/>
  <c r="G31" i="13" l="1"/>
  <c r="G52" i="13" s="1"/>
  <c r="G80" i="14"/>
  <c r="G38" i="8"/>
  <c r="G37" i="8"/>
  <c r="G36" i="8"/>
  <c r="G19" i="8"/>
  <c r="G15" i="8"/>
  <c r="G35" i="8"/>
  <c r="G28" i="8"/>
  <c r="G30" i="8"/>
  <c r="G29" i="8"/>
  <c r="G34" i="8"/>
  <c r="G42" i="8"/>
  <c r="G41" i="8"/>
  <c r="G9" i="8"/>
  <c r="G40" i="8"/>
  <c r="G33" i="8"/>
  <c r="G32" i="8"/>
  <c r="G31" i="8"/>
  <c r="G44" i="8"/>
  <c r="G43" i="8"/>
  <c r="G72" i="9"/>
  <c r="H22" i="7"/>
  <c r="H64" i="7"/>
  <c r="G70" i="4"/>
  <c r="G48" i="5" l="1"/>
  <c r="G45" i="5"/>
  <c r="F59" i="6"/>
  <c r="F57" i="6"/>
  <c r="G43" i="5"/>
  <c r="F52" i="6" s="1"/>
  <c r="G52" i="6" s="1"/>
  <c r="F44" i="6"/>
  <c r="F41" i="6"/>
  <c r="G41" i="6" s="1"/>
  <c r="G24" i="1"/>
  <c r="G25" i="3"/>
  <c r="G24" i="3"/>
  <c r="G26" i="4"/>
  <c r="G25" i="4"/>
  <c r="G21" i="5"/>
  <c r="G20" i="5"/>
  <c r="F25" i="6"/>
  <c r="F23" i="6"/>
  <c r="G23" i="6"/>
  <c r="G3" i="6"/>
  <c r="G5" i="6"/>
  <c r="G6" i="6"/>
  <c r="G9" i="6"/>
  <c r="G17" i="6"/>
  <c r="G20" i="6"/>
  <c r="F11" i="6"/>
  <c r="G11" i="6" s="1"/>
  <c r="F8" i="6"/>
  <c r="F15" i="6"/>
  <c r="G29" i="6"/>
  <c r="G33" i="6"/>
  <c r="G36" i="6"/>
  <c r="G38" i="6"/>
  <c r="G39" i="6"/>
  <c r="G40" i="6"/>
  <c r="G44" i="6"/>
  <c r="F47" i="6"/>
  <c r="G47" i="6" s="1"/>
  <c r="G49" i="6"/>
  <c r="F50" i="6"/>
  <c r="G50" i="6" s="1"/>
  <c r="F55" i="6"/>
  <c r="G55" i="6" s="1"/>
  <c r="G60" i="6"/>
  <c r="F61" i="6"/>
  <c r="G61" i="6" s="1"/>
  <c r="F62" i="6"/>
  <c r="F63" i="6"/>
  <c r="G63" i="6" s="1"/>
  <c r="F64" i="6"/>
  <c r="G64" i="6" s="1"/>
  <c r="F65" i="6"/>
  <c r="G65" i="6" s="1"/>
  <c r="F66" i="6"/>
  <c r="G66" i="6" s="1"/>
  <c r="F67" i="6"/>
  <c r="G67" i="6" s="1"/>
  <c r="G68" i="6"/>
  <c r="F69" i="6"/>
  <c r="G69" i="6" s="1"/>
  <c r="E3" i="6"/>
  <c r="E5" i="6"/>
  <c r="E6" i="6"/>
  <c r="E9" i="6"/>
  <c r="E10" i="6"/>
  <c r="E11" i="6"/>
  <c r="E12" i="6"/>
  <c r="E13" i="6"/>
  <c r="E16" i="6"/>
  <c r="E17" i="6"/>
  <c r="E18" i="6"/>
  <c r="E19" i="6"/>
  <c r="E20" i="6"/>
  <c r="E21" i="6"/>
  <c r="E23" i="6"/>
  <c r="E24" i="6"/>
  <c r="G24" i="6" s="1"/>
  <c r="E25" i="6"/>
  <c r="G25" i="6" s="1"/>
  <c r="E27" i="6"/>
  <c r="E29" i="6"/>
  <c r="E30" i="6"/>
  <c r="E31" i="6"/>
  <c r="E33" i="6"/>
  <c r="E35" i="6"/>
  <c r="E36" i="6"/>
  <c r="E37" i="6"/>
  <c r="E38" i="6"/>
  <c r="E39" i="6"/>
  <c r="E40" i="6"/>
  <c r="E41" i="6"/>
  <c r="E44" i="6"/>
  <c r="E45" i="6"/>
  <c r="E46" i="6"/>
  <c r="E47" i="6"/>
  <c r="E49" i="6"/>
  <c r="E50" i="6"/>
  <c r="E51" i="6"/>
  <c r="E52" i="6"/>
  <c r="E54" i="6"/>
  <c r="G54" i="6" s="1"/>
  <c r="E55" i="6"/>
  <c r="E60" i="6"/>
  <c r="E61" i="6"/>
  <c r="E63" i="6"/>
  <c r="E64" i="6"/>
  <c r="E65" i="6"/>
  <c r="E66" i="6"/>
  <c r="E67" i="6"/>
  <c r="E68" i="6"/>
  <c r="E69" i="6"/>
  <c r="E4" i="6"/>
  <c r="G4" i="6" s="1"/>
  <c r="E7" i="6"/>
  <c r="G7" i="6" s="1"/>
  <c r="E8" i="6"/>
  <c r="G8" i="6" s="1"/>
  <c r="E14" i="6"/>
  <c r="G14" i="6" s="1"/>
  <c r="E15" i="6"/>
  <c r="E22" i="6"/>
  <c r="E26" i="6"/>
  <c r="E28" i="6"/>
  <c r="E32" i="6"/>
  <c r="E34" i="6"/>
  <c r="E42" i="6"/>
  <c r="G42" i="6" s="1"/>
  <c r="E43" i="6"/>
  <c r="G43" i="6" s="1"/>
  <c r="E48" i="6"/>
  <c r="E53" i="6"/>
  <c r="G53" i="6" s="1"/>
  <c r="E56" i="6"/>
  <c r="G56" i="6" s="1"/>
  <c r="E57" i="6"/>
  <c r="G57" i="6" s="1"/>
  <c r="E58" i="6"/>
  <c r="G58" i="6" s="1"/>
  <c r="E59" i="6"/>
  <c r="G59" i="6" s="1"/>
  <c r="E62" i="6"/>
  <c r="G62" i="6" l="1"/>
  <c r="G15" i="6"/>
  <c r="G26" i="6"/>
  <c r="G33" i="5"/>
  <c r="G30" i="5"/>
  <c r="G56" i="4"/>
  <c r="G53" i="4"/>
  <c r="G50" i="4"/>
  <c r="G19" i="4"/>
  <c r="G15" i="5" s="1"/>
  <c r="F19" i="6" s="1"/>
  <c r="G19" i="6" s="1"/>
  <c r="G14" i="4"/>
  <c r="G9" i="4"/>
  <c r="G8" i="4"/>
  <c r="G4" i="5"/>
  <c r="G5" i="5"/>
  <c r="G8" i="5"/>
  <c r="H8" i="5" s="1"/>
  <c r="G10" i="5"/>
  <c r="G11" i="5"/>
  <c r="H11" i="5" s="1"/>
  <c r="G13" i="5"/>
  <c r="G14" i="5"/>
  <c r="G16" i="5"/>
  <c r="F21" i="6" s="1"/>
  <c r="G21" i="6" s="1"/>
  <c r="G17" i="5"/>
  <c r="F22" i="6" s="1"/>
  <c r="G22" i="6" s="1"/>
  <c r="G26" i="5"/>
  <c r="F32" i="6" s="1"/>
  <c r="G32" i="6" s="1"/>
  <c r="G28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H29" i="5" s="1"/>
  <c r="F30" i="5"/>
  <c r="F31" i="5"/>
  <c r="F32" i="5"/>
  <c r="F33" i="5"/>
  <c r="F34" i="5"/>
  <c r="F35" i="5"/>
  <c r="F36" i="5"/>
  <c r="F37" i="5"/>
  <c r="F38" i="5"/>
  <c r="F39" i="5"/>
  <c r="F40" i="5"/>
  <c r="F41" i="5"/>
  <c r="H41" i="5" s="1"/>
  <c r="F42" i="5"/>
  <c r="F43" i="5"/>
  <c r="H43" i="5" s="1"/>
  <c r="F44" i="5"/>
  <c r="H44" i="5" s="1"/>
  <c r="F45" i="5"/>
  <c r="H45" i="5" s="1"/>
  <c r="F46" i="5"/>
  <c r="H46" i="5" s="1"/>
  <c r="F47" i="5"/>
  <c r="H47" i="5" s="1"/>
  <c r="F48" i="5"/>
  <c r="F49" i="5"/>
  <c r="H49" i="5" s="1"/>
  <c r="F50" i="5"/>
  <c r="F51" i="5"/>
  <c r="H51" i="5" s="1"/>
  <c r="F52" i="5"/>
  <c r="H52" i="5" s="1"/>
  <c r="F53" i="5"/>
  <c r="F54" i="5"/>
  <c r="F55" i="5"/>
  <c r="H55" i="5" s="1"/>
  <c r="F56" i="5"/>
  <c r="H56" i="5" s="1"/>
  <c r="F57" i="5"/>
  <c r="H57" i="5" s="1"/>
  <c r="F58" i="5"/>
  <c r="H67" i="3"/>
  <c r="G61" i="3"/>
  <c r="G60" i="3"/>
  <c r="G53" i="3"/>
  <c r="G48" i="4" s="1"/>
  <c r="G51" i="3"/>
  <c r="H51" i="3" s="1"/>
  <c r="G48" i="3"/>
  <c r="G43" i="4"/>
  <c r="G35" i="5" s="1"/>
  <c r="F45" i="6" s="1"/>
  <c r="G45" i="6" s="1"/>
  <c r="G44" i="4"/>
  <c r="G45" i="4"/>
  <c r="G47" i="4"/>
  <c r="G49" i="4"/>
  <c r="G51" i="4"/>
  <c r="G52" i="4"/>
  <c r="H52" i="4" s="1"/>
  <c r="H53" i="4"/>
  <c r="H54" i="4"/>
  <c r="G55" i="4"/>
  <c r="G57" i="4"/>
  <c r="G58" i="4"/>
  <c r="G59" i="4"/>
  <c r="G62" i="4"/>
  <c r="G64" i="4"/>
  <c r="G66" i="4"/>
  <c r="G3" i="4"/>
  <c r="G3" i="5" s="1"/>
  <c r="H6" i="4"/>
  <c r="G10" i="4"/>
  <c r="G12" i="4"/>
  <c r="H12" i="4" s="1"/>
  <c r="G13" i="4"/>
  <c r="H14" i="4"/>
  <c r="H15" i="4"/>
  <c r="G16" i="4"/>
  <c r="H16" i="4" s="1"/>
  <c r="G17" i="4"/>
  <c r="G18" i="4"/>
  <c r="G20" i="4"/>
  <c r="H22" i="4"/>
  <c r="G23" i="4"/>
  <c r="G24" i="4"/>
  <c r="H20" i="5" s="1"/>
  <c r="G27" i="4"/>
  <c r="G22" i="5" s="1"/>
  <c r="F27" i="6" s="1"/>
  <c r="G27" i="6" s="1"/>
  <c r="G28" i="4"/>
  <c r="G28" i="6" s="1"/>
  <c r="G29" i="4"/>
  <c r="G31" i="5" s="1"/>
  <c r="G30" i="4"/>
  <c r="G31" i="4"/>
  <c r="G24" i="5" s="1"/>
  <c r="F30" i="6" s="1"/>
  <c r="G30" i="6" s="1"/>
  <c r="G32" i="4"/>
  <c r="H32" i="4" s="1"/>
  <c r="H33" i="4"/>
  <c r="G34" i="4"/>
  <c r="H34" i="4" s="1"/>
  <c r="G35" i="4"/>
  <c r="H37" i="4"/>
  <c r="G39" i="4"/>
  <c r="G34" i="5" s="1"/>
  <c r="G40" i="4"/>
  <c r="G32" i="5" s="1"/>
  <c r="G2" i="4"/>
  <c r="G2" i="5" s="1"/>
  <c r="F2" i="4"/>
  <c r="F3" i="4"/>
  <c r="F4" i="4"/>
  <c r="H4" i="4" s="1"/>
  <c r="F5" i="4"/>
  <c r="H5" i="4" s="1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H26" i="4" s="1"/>
  <c r="F27" i="4"/>
  <c r="F28" i="4"/>
  <c r="F29" i="4"/>
  <c r="F30" i="4"/>
  <c r="F31" i="4"/>
  <c r="F32" i="4"/>
  <c r="F33" i="4"/>
  <c r="F34" i="4"/>
  <c r="F35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H56" i="4" s="1"/>
  <c r="F57" i="4"/>
  <c r="F58" i="4"/>
  <c r="F59" i="4"/>
  <c r="F60" i="4"/>
  <c r="F61" i="4"/>
  <c r="F62" i="4"/>
  <c r="F63" i="4"/>
  <c r="H63" i="4" s="1"/>
  <c r="F64" i="4"/>
  <c r="F65" i="4"/>
  <c r="H65" i="4" s="1"/>
  <c r="F66" i="4"/>
  <c r="F67" i="4"/>
  <c r="F68" i="4"/>
  <c r="H68" i="4" s="1"/>
  <c r="F69" i="4"/>
  <c r="H69" i="4" s="1"/>
  <c r="F70" i="4"/>
  <c r="G45" i="3"/>
  <c r="G41" i="3"/>
  <c r="G29" i="3"/>
  <c r="G28" i="3"/>
  <c r="G22" i="3"/>
  <c r="G19" i="3"/>
  <c r="G18" i="3"/>
  <c r="G14" i="3"/>
  <c r="G8" i="3"/>
  <c r="F75" i="3"/>
  <c r="H75" i="3" s="1"/>
  <c r="F2" i="3"/>
  <c r="H2" i="3" s="1"/>
  <c r="F3" i="3"/>
  <c r="H3" i="3" s="1"/>
  <c r="F4" i="3"/>
  <c r="H4" i="3" s="1"/>
  <c r="F5" i="3"/>
  <c r="H5" i="3" s="1"/>
  <c r="F6" i="3"/>
  <c r="H6" i="3" s="1"/>
  <c r="F7" i="3"/>
  <c r="F8" i="3"/>
  <c r="H8" i="3" s="1"/>
  <c r="F9" i="3"/>
  <c r="H9" i="3" s="1"/>
  <c r="F10" i="3"/>
  <c r="H10" i="3" s="1"/>
  <c r="F11" i="3"/>
  <c r="H11" i="3" s="1"/>
  <c r="F12" i="3"/>
  <c r="H12" i="3" s="1"/>
  <c r="F13" i="3"/>
  <c r="H13" i="3" s="1"/>
  <c r="F14" i="3"/>
  <c r="F15" i="3"/>
  <c r="H15" i="3" s="1"/>
  <c r="F16" i="3"/>
  <c r="F17" i="3"/>
  <c r="H17" i="3" s="1"/>
  <c r="F18" i="3"/>
  <c r="H18" i="3" s="1"/>
  <c r="F19" i="3"/>
  <c r="H19" i="3" s="1"/>
  <c r="F20" i="3"/>
  <c r="H20" i="3" s="1"/>
  <c r="F21" i="3"/>
  <c r="H21" i="3" s="1"/>
  <c r="F22" i="3"/>
  <c r="H22" i="3" s="1"/>
  <c r="F23" i="3"/>
  <c r="H23" i="3" s="1"/>
  <c r="F24" i="3"/>
  <c r="F25" i="3"/>
  <c r="F26" i="3"/>
  <c r="F27" i="3"/>
  <c r="H27" i="3" s="1"/>
  <c r="F28" i="3"/>
  <c r="F29" i="3"/>
  <c r="F30" i="3"/>
  <c r="F31" i="3"/>
  <c r="H31" i="3" s="1"/>
  <c r="F32" i="3"/>
  <c r="H32" i="3" s="1"/>
  <c r="F33" i="3"/>
  <c r="H33" i="3" s="1"/>
  <c r="F34" i="3"/>
  <c r="H34" i="3" s="1"/>
  <c r="F35" i="3"/>
  <c r="H35" i="3" s="1"/>
  <c r="F36" i="3"/>
  <c r="H36" i="3" s="1"/>
  <c r="F37" i="3"/>
  <c r="H37" i="3" s="1"/>
  <c r="F38" i="3"/>
  <c r="F39" i="3"/>
  <c r="H39" i="3" s="1"/>
  <c r="F40" i="3"/>
  <c r="F41" i="3"/>
  <c r="H41" i="3" s="1"/>
  <c r="F42" i="3"/>
  <c r="F43" i="3"/>
  <c r="F44" i="3"/>
  <c r="H44" i="3" s="1"/>
  <c r="F45" i="3"/>
  <c r="H45" i="3" s="1"/>
  <c r="F46" i="3"/>
  <c r="F47" i="3"/>
  <c r="H47" i="3" s="1"/>
  <c r="F48" i="3"/>
  <c r="H48" i="3" s="1"/>
  <c r="F49" i="3"/>
  <c r="H49" i="3" s="1"/>
  <c r="F50" i="3"/>
  <c r="H50" i="3" s="1"/>
  <c r="F51" i="3"/>
  <c r="F52" i="3"/>
  <c r="H52" i="3" s="1"/>
  <c r="F53" i="3"/>
  <c r="F54" i="3"/>
  <c r="H54" i="3" s="1"/>
  <c r="F55" i="3"/>
  <c r="H55" i="3" s="1"/>
  <c r="F56" i="3"/>
  <c r="H56" i="3" s="1"/>
  <c r="F57" i="3"/>
  <c r="H57" i="3" s="1"/>
  <c r="F58" i="3"/>
  <c r="H58" i="3" s="1"/>
  <c r="F59" i="3"/>
  <c r="F60" i="3"/>
  <c r="F61" i="3"/>
  <c r="H61" i="3" s="1"/>
  <c r="F62" i="3"/>
  <c r="H62" i="3" s="1"/>
  <c r="F63" i="3"/>
  <c r="H63" i="3" s="1"/>
  <c r="F64" i="3"/>
  <c r="H64" i="3" s="1"/>
  <c r="F65" i="3"/>
  <c r="F66" i="3"/>
  <c r="F67" i="3"/>
  <c r="F68" i="3"/>
  <c r="H68" i="3" s="1"/>
  <c r="F69" i="3"/>
  <c r="H69" i="3" s="1"/>
  <c r="F70" i="3"/>
  <c r="H70" i="3" s="1"/>
  <c r="F71" i="3"/>
  <c r="H71" i="3" s="1"/>
  <c r="F72" i="3"/>
  <c r="H72" i="3" s="1"/>
  <c r="F73" i="3"/>
  <c r="H73" i="3" s="1"/>
  <c r="F74" i="3"/>
  <c r="H74" i="3" s="1"/>
  <c r="H48" i="5"/>
  <c r="G42" i="5"/>
  <c r="F51" i="6" s="1"/>
  <c r="G51" i="6" s="1"/>
  <c r="H66" i="3"/>
  <c r="H65" i="3"/>
  <c r="H60" i="3"/>
  <c r="H43" i="3"/>
  <c r="H29" i="3"/>
  <c r="H28" i="3"/>
  <c r="G16" i="3"/>
  <c r="G9" i="3"/>
  <c r="G5" i="3"/>
  <c r="G59" i="2"/>
  <c r="G54" i="2"/>
  <c r="G53" i="2"/>
  <c r="G50" i="2"/>
  <c r="G46" i="2"/>
  <c r="G45" i="2"/>
  <c r="G43" i="2"/>
  <c r="G42" i="2"/>
  <c r="G40" i="2"/>
  <c r="G38" i="2"/>
  <c r="G30" i="2"/>
  <c r="G26" i="2"/>
  <c r="G25" i="2"/>
  <c r="G18" i="2"/>
  <c r="G16" i="2"/>
  <c r="G15" i="2"/>
  <c r="H50" i="4" l="1"/>
  <c r="H23" i="4"/>
  <c r="H55" i="4"/>
  <c r="G25" i="5"/>
  <c r="F31" i="6" s="1"/>
  <c r="G31" i="6" s="1"/>
  <c r="F18" i="6"/>
  <c r="G18" i="6" s="1"/>
  <c r="G16" i="6"/>
  <c r="H10" i="5"/>
  <c r="F13" i="6"/>
  <c r="G13" i="6" s="1"/>
  <c r="H31" i="5"/>
  <c r="F37" i="6"/>
  <c r="H9" i="5"/>
  <c r="G12" i="6"/>
  <c r="H28" i="5"/>
  <c r="F35" i="6"/>
  <c r="G35" i="6" s="1"/>
  <c r="H26" i="5"/>
  <c r="H6" i="5"/>
  <c r="H58" i="5"/>
  <c r="H5" i="5"/>
  <c r="H24" i="5"/>
  <c r="H30" i="5"/>
  <c r="H4" i="5"/>
  <c r="H17" i="4"/>
  <c r="H35" i="4"/>
  <c r="H13" i="4"/>
  <c r="H51" i="4"/>
  <c r="G27" i="5"/>
  <c r="G7" i="5"/>
  <c r="H44" i="4"/>
  <c r="H3" i="4"/>
  <c r="H21" i="5"/>
  <c r="H45" i="4"/>
  <c r="H66" i="4"/>
  <c r="H2" i="4"/>
  <c r="H43" i="4"/>
  <c r="H49" i="4"/>
  <c r="H64" i="4"/>
  <c r="G18" i="5"/>
  <c r="H18" i="5" s="1"/>
  <c r="H25" i="4"/>
  <c r="G37" i="5"/>
  <c r="H70" i="4"/>
  <c r="H24" i="4"/>
  <c r="G36" i="5"/>
  <c r="H36" i="5" s="1"/>
  <c r="H12" i="5"/>
  <c r="H23" i="5"/>
  <c r="H3" i="5"/>
  <c r="H2" i="5"/>
  <c r="H35" i="5"/>
  <c r="H34" i="5"/>
  <c r="H22" i="5"/>
  <c r="H17" i="5"/>
  <c r="H14" i="5"/>
  <c r="H33" i="5"/>
  <c r="H32" i="5"/>
  <c r="H50" i="5"/>
  <c r="H42" i="5"/>
  <c r="H13" i="5"/>
  <c r="H15" i="5"/>
  <c r="H53" i="5"/>
  <c r="H16" i="5"/>
  <c r="H54" i="5"/>
  <c r="H19" i="5"/>
  <c r="H38" i="5"/>
  <c r="H67" i="4"/>
  <c r="H53" i="3"/>
  <c r="H48" i="4"/>
  <c r="G46" i="4"/>
  <c r="H9" i="4"/>
  <c r="H29" i="4"/>
  <c r="H38" i="4"/>
  <c r="H41" i="4"/>
  <c r="H40" i="4"/>
  <c r="H10" i="4"/>
  <c r="H20" i="4"/>
  <c r="H28" i="4"/>
  <c r="H27" i="4"/>
  <c r="H31" i="4"/>
  <c r="H11" i="4"/>
  <c r="H62" i="4"/>
  <c r="H42" i="4"/>
  <c r="H61" i="4"/>
  <c r="H59" i="4"/>
  <c r="H58" i="4"/>
  <c r="H57" i="4"/>
  <c r="H21" i="4"/>
  <c r="H19" i="4"/>
  <c r="H60" i="4"/>
  <c r="H18" i="4"/>
  <c r="H7" i="4"/>
  <c r="H8" i="4"/>
  <c r="H47" i="4"/>
  <c r="H30" i="4"/>
  <c r="H39" i="4"/>
  <c r="H30" i="3"/>
  <c r="H26" i="3"/>
  <c r="H25" i="3"/>
  <c r="H40" i="3"/>
  <c r="H24" i="3"/>
  <c r="H14" i="3"/>
  <c r="H59" i="3"/>
  <c r="H46" i="3"/>
  <c r="H38" i="3"/>
  <c r="H16" i="3"/>
  <c r="H42" i="3"/>
  <c r="H7" i="3"/>
  <c r="G13" i="2"/>
  <c r="G7" i="2"/>
  <c r="G5" i="2"/>
  <c r="F2" i="2"/>
  <c r="H2" i="2" s="1"/>
  <c r="F3" i="2"/>
  <c r="H3" i="2" s="1"/>
  <c r="F4" i="2"/>
  <c r="H4" i="2" s="1"/>
  <c r="F5" i="2"/>
  <c r="F8" i="2"/>
  <c r="H8" i="2" s="1"/>
  <c r="F6" i="2"/>
  <c r="H6" i="2" s="1"/>
  <c r="F7" i="2"/>
  <c r="H7" i="2" s="1"/>
  <c r="F11" i="2"/>
  <c r="H11" i="2" s="1"/>
  <c r="F12" i="2"/>
  <c r="H12" i="2" s="1"/>
  <c r="F13" i="2"/>
  <c r="F10" i="2"/>
  <c r="H10" i="2" s="1"/>
  <c r="F14" i="2"/>
  <c r="F15" i="2"/>
  <c r="H15" i="2" s="1"/>
  <c r="F16" i="2"/>
  <c r="F17" i="2"/>
  <c r="H17" i="2" s="1"/>
  <c r="F18" i="2"/>
  <c r="F19" i="2"/>
  <c r="F20" i="2"/>
  <c r="H20" i="2" s="1"/>
  <c r="F21" i="2"/>
  <c r="H21" i="2" s="1"/>
  <c r="F22" i="2"/>
  <c r="F23" i="2"/>
  <c r="H23" i="2" s="1"/>
  <c r="F24" i="2"/>
  <c r="H24" i="2" s="1"/>
  <c r="F25" i="2"/>
  <c r="H25" i="2" s="1"/>
  <c r="F26" i="2"/>
  <c r="H26" i="2" s="1"/>
  <c r="F27" i="2"/>
  <c r="H27" i="2" s="1"/>
  <c r="F28" i="2"/>
  <c r="H28" i="2" s="1"/>
  <c r="F29" i="2"/>
  <c r="H29" i="2" s="1"/>
  <c r="F31" i="2"/>
  <c r="F32" i="2"/>
  <c r="H32" i="2" s="1"/>
  <c r="F33" i="2"/>
  <c r="F34" i="2"/>
  <c r="H34" i="2" s="1"/>
  <c r="F35" i="2"/>
  <c r="H35" i="2" s="1"/>
  <c r="F36" i="2"/>
  <c r="H36" i="2" s="1"/>
  <c r="F30" i="2"/>
  <c r="H30" i="2" s="1"/>
  <c r="F39" i="2"/>
  <c r="H39" i="2" s="1"/>
  <c r="F40" i="2"/>
  <c r="H40" i="2" s="1"/>
  <c r="F41" i="2"/>
  <c r="H41" i="2" s="1"/>
  <c r="F38" i="2"/>
  <c r="H38" i="2" s="1"/>
  <c r="F42" i="2"/>
  <c r="H42" i="2" s="1"/>
  <c r="F43" i="2"/>
  <c r="H43" i="2" s="1"/>
  <c r="F44" i="2"/>
  <c r="H44" i="2" s="1"/>
  <c r="F45" i="2"/>
  <c r="H45" i="2" s="1"/>
  <c r="F46" i="2"/>
  <c r="H46" i="2" s="1"/>
  <c r="F47" i="2"/>
  <c r="H47" i="2" s="1"/>
  <c r="F48" i="2"/>
  <c r="H48" i="2" s="1"/>
  <c r="F49" i="2"/>
  <c r="H49" i="2" s="1"/>
  <c r="F50" i="2"/>
  <c r="H50" i="2" s="1"/>
  <c r="F51" i="2"/>
  <c r="H51" i="2" s="1"/>
  <c r="F52" i="2"/>
  <c r="H52" i="2" s="1"/>
  <c r="F53" i="2"/>
  <c r="F54" i="2"/>
  <c r="H54" i="2" s="1"/>
  <c r="F55" i="2"/>
  <c r="H55" i="2" s="1"/>
  <c r="F56" i="2"/>
  <c r="H56" i="2" s="1"/>
  <c r="F57" i="2"/>
  <c r="H57" i="2" s="1"/>
  <c r="F58" i="2"/>
  <c r="H58" i="2" s="1"/>
  <c r="F59" i="2"/>
  <c r="H59" i="2" s="1"/>
  <c r="F60" i="2"/>
  <c r="H60" i="2" s="1"/>
  <c r="F61" i="2"/>
  <c r="H61" i="2" s="1"/>
  <c r="F62" i="2"/>
  <c r="F63" i="2"/>
  <c r="H63" i="2" s="1"/>
  <c r="F64" i="2"/>
  <c r="H64" i="2" s="1"/>
  <c r="F65" i="2"/>
  <c r="H65" i="2" s="1"/>
  <c r="F66" i="2"/>
  <c r="H66" i="2" s="1"/>
  <c r="F68" i="2"/>
  <c r="H68" i="2" s="1"/>
  <c r="F69" i="2"/>
  <c r="H69" i="2" s="1"/>
  <c r="F71" i="2"/>
  <c r="H71" i="2" s="1"/>
  <c r="F72" i="2"/>
  <c r="H72" i="2" s="1"/>
  <c r="F73" i="2"/>
  <c r="H73" i="2" s="1"/>
  <c r="F74" i="2"/>
  <c r="H74" i="2" s="1"/>
  <c r="F75" i="2"/>
  <c r="H75" i="2" s="1"/>
  <c r="F37" i="2"/>
  <c r="H37" i="2" s="1"/>
  <c r="F70" i="2"/>
  <c r="H70" i="2" s="1"/>
  <c r="F67" i="2"/>
  <c r="H67" i="2" s="1"/>
  <c r="F9" i="2"/>
  <c r="H9" i="2" s="1"/>
  <c r="G19" i="2"/>
  <c r="H18" i="2"/>
  <c r="G8" i="2"/>
  <c r="H2" i="1"/>
  <c r="H3" i="1"/>
  <c r="H17" i="1"/>
  <c r="H18" i="1"/>
  <c r="H19" i="1"/>
  <c r="H20" i="1"/>
  <c r="H33" i="1"/>
  <c r="H34" i="1"/>
  <c r="H35" i="1"/>
  <c r="H36" i="1"/>
  <c r="H37" i="1"/>
  <c r="H38" i="1"/>
  <c r="H39" i="1"/>
  <c r="H40" i="1"/>
  <c r="H41" i="1"/>
  <c r="H57" i="1"/>
  <c r="H58" i="1"/>
  <c r="F2" i="1"/>
  <c r="F3" i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F18" i="1"/>
  <c r="F19" i="1"/>
  <c r="F20" i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F34" i="1"/>
  <c r="F35" i="1"/>
  <c r="F36" i="1"/>
  <c r="F37" i="1"/>
  <c r="F38" i="1"/>
  <c r="F39" i="1"/>
  <c r="F40" i="1"/>
  <c r="F41" i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F58" i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G57" i="1"/>
  <c r="G48" i="1"/>
  <c r="G42" i="1"/>
  <c r="G40" i="1"/>
  <c r="G29" i="1"/>
  <c r="G27" i="1"/>
  <c r="G25" i="1"/>
  <c r="G20" i="1"/>
  <c r="G17" i="1"/>
  <c r="G15" i="1"/>
  <c r="G13" i="1"/>
  <c r="G11" i="1"/>
  <c r="G6" i="1"/>
  <c r="G4" i="1"/>
  <c r="G37" i="6" l="1"/>
  <c r="G25" i="7"/>
  <c r="H25" i="5"/>
  <c r="H37" i="5"/>
  <c r="F46" i="6"/>
  <c r="G46" i="6" s="1"/>
  <c r="H7" i="5"/>
  <c r="F10" i="6"/>
  <c r="G10" i="6" s="1"/>
  <c r="H27" i="5"/>
  <c r="F34" i="6"/>
  <c r="G34" i="6" s="1"/>
  <c r="H46" i="4"/>
  <c r="H71" i="4" s="1"/>
  <c r="H40" i="5"/>
  <c r="H76" i="3"/>
  <c r="H5" i="2"/>
  <c r="H31" i="2"/>
  <c r="H19" i="2"/>
  <c r="H62" i="2"/>
  <c r="H33" i="2"/>
  <c r="H53" i="2"/>
  <c r="H14" i="2"/>
  <c r="H22" i="2"/>
  <c r="H13" i="2"/>
  <c r="H76" i="2" s="1"/>
  <c r="H16" i="2"/>
  <c r="H71" i="1"/>
  <c r="F27" i="8" l="1"/>
  <c r="H25" i="7"/>
  <c r="H78" i="7" s="1"/>
  <c r="H39" i="5"/>
  <c r="H59" i="5" s="1"/>
  <c r="F48" i="6"/>
  <c r="G48" i="6" s="1"/>
  <c r="G70" i="6" s="1"/>
  <c r="G27" i="8" l="1"/>
  <c r="G62" i="8" s="1"/>
</calcChain>
</file>

<file path=xl/sharedStrings.xml><?xml version="1.0" encoding="utf-8"?>
<sst xmlns="http://schemas.openxmlformats.org/spreadsheetml/2006/main" count="6206" uniqueCount="1342">
  <si>
    <t>MẶT HÀNG</t>
  </si>
  <si>
    <t>NT</t>
  </si>
  <si>
    <t>SÓI</t>
  </si>
  <si>
    <t>TMART</t>
  </si>
  <si>
    <t>TỔNG</t>
  </si>
  <si>
    <t>ĐVT</t>
  </si>
  <si>
    <t>Cà Rốt</t>
  </si>
  <si>
    <t>Kg</t>
  </si>
  <si>
    <t>Cà Rốt Baby</t>
  </si>
  <si>
    <t>Vỉ</t>
  </si>
  <si>
    <t>Củ Cải Trắng</t>
  </si>
  <si>
    <t>Củ Dền</t>
  </si>
  <si>
    <t>Củ Hành Tây</t>
  </si>
  <si>
    <t>Củ Khoai Lang Mật Size 46</t>
  </si>
  <si>
    <t>Củ Khoai Lang Nhật</t>
  </si>
  <si>
    <t>Củ Khoai Mỡ</t>
  </si>
  <si>
    <t>Củ Su Hào</t>
  </si>
  <si>
    <t>Bông Cải Xanh 7Cm</t>
  </si>
  <si>
    <t>Bông Cải Xanh Baby</t>
  </si>
  <si>
    <t>Bắp Cải Trắng</t>
  </si>
  <si>
    <t>Cải Bó Xôi</t>
  </si>
  <si>
    <t>Cải Cầu Vồng</t>
  </si>
  <si>
    <t>Túi</t>
  </si>
  <si>
    <t>Cải Kale</t>
  </si>
  <si>
    <t>Túi 150gr</t>
  </si>
  <si>
    <t>Cải Thảo</t>
  </si>
  <si>
    <t>Cần Tây</t>
  </si>
  <si>
    <t>Cây</t>
  </si>
  <si>
    <t>Hành Paro</t>
  </si>
  <si>
    <t>Lá Mè</t>
  </si>
  <si>
    <t>Lá Nha Đam</t>
  </si>
  <si>
    <t>Lá Tía Tô</t>
  </si>
  <si>
    <t>Măng Tây</t>
  </si>
  <si>
    <t>Rau Ngò Rí</t>
  </si>
  <si>
    <t>Xà Lách Lolo Xanh</t>
  </si>
  <si>
    <t>Xà Lách Lolo Xanh T.C</t>
  </si>
  <si>
    <t>Xà Lách Lolo Xanh T.C Cây</t>
  </si>
  <si>
    <t>Xà Lách Mỡ T.C</t>
  </si>
  <si>
    <t>Xà Lách Mỡ T.C Cây</t>
  </si>
  <si>
    <t>Xà Lách Mỹ</t>
  </si>
  <si>
    <t>Xà Lách Mỡ</t>
  </si>
  <si>
    <t>Bí Ngòi Xanh</t>
  </si>
  <si>
    <t>Trái 280gr</t>
  </si>
  <si>
    <t>Bí Non Nhật</t>
  </si>
  <si>
    <t>Trái</t>
  </si>
  <si>
    <t>Cà Chua Beef</t>
  </si>
  <si>
    <t>Cà Chua Beef 500Gr</t>
  </si>
  <si>
    <t>Cà Chua Bi Mix</t>
  </si>
  <si>
    <t>Hộp</t>
  </si>
  <si>
    <t>Cà Chua Socola</t>
  </si>
  <si>
    <t>Cà Chua Thường</t>
  </si>
  <si>
    <t>Chanh Không Hạt</t>
  </si>
  <si>
    <t>Đậu Cove Trắng 300Gr</t>
  </si>
  <si>
    <t>Dưa Leo Baby</t>
  </si>
  <si>
    <t>Dưa Leo Baby 500Gr</t>
  </si>
  <si>
    <t>Dưa Leo Nhật</t>
  </si>
  <si>
    <t>Dưa Leo Thường</t>
  </si>
  <si>
    <t>Ớt Chuông Baby</t>
  </si>
  <si>
    <t>Ớt Chuông Đỏ</t>
  </si>
  <si>
    <t>Trái 180gr</t>
  </si>
  <si>
    <t>Ớt Chuông Snack</t>
  </si>
  <si>
    <t>Ớt Chuông Vàng</t>
  </si>
  <si>
    <t>Ớt Chuông Xanh</t>
  </si>
  <si>
    <t>Ớt Sweet Palemo 300Gr</t>
  </si>
  <si>
    <t>Trái Chanh Vàng</t>
  </si>
  <si>
    <t>Cà Chua Socola 300gr</t>
  </si>
  <si>
    <t>Trái Mâm Xôi</t>
  </si>
  <si>
    <t>Bơ Booth</t>
  </si>
  <si>
    <t>Ớt Chuông Ba Màu Vỉ 350gr</t>
  </si>
  <si>
    <t>Bí Ngòi Vàng</t>
  </si>
  <si>
    <t>Cà Chua Bi Đỏ</t>
  </si>
  <si>
    <t>Rau Ngót</t>
  </si>
  <si>
    <t>Hồng Treo Gió</t>
  </si>
  <si>
    <t>Lá É</t>
  </si>
  <si>
    <t>Xà Lách Lolo Xanh Sushi</t>
  </si>
  <si>
    <t>Bông Bí Nụ</t>
  </si>
  <si>
    <t>ĐƠN GIÁ</t>
  </si>
  <si>
    <t>TỔNG TIỀN</t>
  </si>
  <si>
    <t>Bắp Cải Tím</t>
  </si>
  <si>
    <t>Bắp Cải Trái Tim</t>
  </si>
  <si>
    <t>Bí Đao Xanh</t>
  </si>
  <si>
    <t>Cà Chua Bi 300Gr</t>
  </si>
  <si>
    <t>Xà Lách Rocket</t>
  </si>
  <si>
    <t>Xà Lách Romaine</t>
  </si>
  <si>
    <t>Xà Lách Thủy Tinh T.C Cây</t>
  </si>
  <si>
    <t>Gói</t>
  </si>
  <si>
    <t>Cà Rốt baby</t>
  </si>
  <si>
    <t>Đậu Cove Trắng</t>
  </si>
  <si>
    <t>Bí Đỏ Tròn</t>
  </si>
  <si>
    <t>Cà Chua Beef Trung</t>
  </si>
  <si>
    <t>Củ Cải Đỏ 300Gr</t>
  </si>
  <si>
    <t>Củ Hành Tây Tím</t>
  </si>
  <si>
    <t>Củ Hành Tây Trung</t>
  </si>
  <si>
    <t>Củ Khoai Tây Vàng</t>
  </si>
  <si>
    <t>Đậu Cove Nhật 300Gr</t>
  </si>
  <si>
    <t>Đậu Đỏ</t>
  </si>
  <si>
    <t>Bông Cải Xanh 12Cm</t>
  </si>
  <si>
    <t>Ớt Sweet Palemo</t>
  </si>
  <si>
    <t>Xà Lách Thủy Tinh T.C</t>
  </si>
  <si>
    <t>Củ Khoai Lang Mật Size Nhỏ</t>
  </si>
  <si>
    <t>Lá Hương Thảo</t>
  </si>
  <si>
    <t>Lá Quế Tây</t>
  </si>
  <si>
    <t>Cà Chua Bi Cam Sữa</t>
  </si>
  <si>
    <t>Củ Cải Đỏ</t>
  </si>
  <si>
    <t>Đậu Cove Nhật</t>
  </si>
  <si>
    <t>Vỉ 500gr</t>
  </si>
  <si>
    <t>Hộp 300gr</t>
  </si>
  <si>
    <t>Túi 300gr</t>
  </si>
  <si>
    <t>THÀNH TIỀN</t>
  </si>
  <si>
    <t>Ớt Chuông Ba Màu</t>
  </si>
  <si>
    <t>Hộp 250GR</t>
  </si>
  <si>
    <t>Củ Khoai Lang Mật Size 710</t>
  </si>
  <si>
    <t>Củ Khoai Tây Bi Vàng</t>
  </si>
  <si>
    <t>Xà Lách Lolo Tím</t>
  </si>
  <si>
    <t>Trái Su Su</t>
  </si>
  <si>
    <t>Cải Bẹ Dún T.C</t>
  </si>
  <si>
    <t>TÊN MẶT HÀNG</t>
  </si>
  <si>
    <t>ĐƠN VỊ</t>
  </si>
  <si>
    <t>SL</t>
  </si>
  <si>
    <t>NGÀY LẤY GIÁ</t>
  </si>
  <si>
    <t>CỘT PHỤ</t>
  </si>
  <si>
    <t>Column1</t>
  </si>
  <si>
    <t>Column2</t>
  </si>
  <si>
    <t>fixed number</t>
  </si>
  <si>
    <t>Tên hàng</t>
  </si>
  <si>
    <t>Số lượng</t>
  </si>
  <si>
    <t>Bí Ngô Mini</t>
  </si>
  <si>
    <t>Củ Khoai Sâm</t>
  </si>
  <si>
    <t>Trái Mít Thái</t>
  </si>
  <si>
    <t>Cà Tím</t>
  </si>
  <si>
    <t>NGÀY</t>
  </si>
  <si>
    <t>GIÁ</t>
  </si>
  <si>
    <t>Bắp Cải Tím 12/11/2024</t>
  </si>
  <si>
    <t>Bắp Cải Trái Tim 12/11/2024</t>
  </si>
  <si>
    <t>Bắp Cải Trắng 12/11/2024</t>
  </si>
  <si>
    <t>Bí Ngô Mini 12/11/2024</t>
  </si>
  <si>
    <t>Bí Ngòi Xanh 12/11/2024</t>
  </si>
  <si>
    <t>Bí Non Nhật 12/11/2024</t>
  </si>
  <si>
    <t>Bơ Booth 12/11/2024</t>
  </si>
  <si>
    <t>Bông Cải Xanh 7Cm 12/11/2024</t>
  </si>
  <si>
    <t>Bông Cải Xanh Baby 12/11/2024</t>
  </si>
  <si>
    <t>Cà Chua Beef 12/11/2024</t>
  </si>
  <si>
    <t>Cà Chua Beef Trung 12/11/2024</t>
  </si>
  <si>
    <t>Cà Chua Bi Mix 12/11/2024</t>
  </si>
  <si>
    <t>Cà Chua Socola 12/11/2024</t>
  </si>
  <si>
    <t>Cà Rốt 12/11/2024</t>
  </si>
  <si>
    <t>Cà Rốt Baby 12/11/2024</t>
  </si>
  <si>
    <t>Cải Bó Xôi 12/11/2024</t>
  </si>
  <si>
    <t>Cải Kale 12/11/2024</t>
  </si>
  <si>
    <t>Cần Tây 12/11/2024</t>
  </si>
  <si>
    <t>Chanh Không Hạt 12/11/2024</t>
  </si>
  <si>
    <t>Củ Cải Đỏ 12/11/2024</t>
  </si>
  <si>
    <t>Củ Hành Tây 12/11/2024</t>
  </si>
  <si>
    <t>Củ Khoai Lang Mật Size 46 12/11/2024</t>
  </si>
  <si>
    <t>Củ Khoai Sâm 12/11/2024</t>
  </si>
  <si>
    <t>Củ Su Hào 12/11/2024</t>
  </si>
  <si>
    <t>Đậu Cove Trắng 12/11/2024</t>
  </si>
  <si>
    <t>Đậu Đỏ 12/11/2024</t>
  </si>
  <si>
    <t>Dưa Leo Baby 12/11/2024</t>
  </si>
  <si>
    <t>Dưa Leo Nhật 12/11/2024</t>
  </si>
  <si>
    <t>Dưa Leo Thường 12/11/2024</t>
  </si>
  <si>
    <t>Hành Paro 12/11/2024</t>
  </si>
  <si>
    <t>Lá É 12/11/2024</t>
  </si>
  <si>
    <t>Lá Hương Thảo 12/11/2024</t>
  </si>
  <si>
    <t>Lá Mè 12/11/2024</t>
  </si>
  <si>
    <t>Lá Quế Tây 12/11/2024</t>
  </si>
  <si>
    <t>Lá Tía Tô 12/11/2024</t>
  </si>
  <si>
    <t>Măng Tây 12/11/2024</t>
  </si>
  <si>
    <t>Ớt Chuông Baby 12/11/2024</t>
  </si>
  <si>
    <t>Ớt Chuông Đỏ 12/11/2024</t>
  </si>
  <si>
    <t>Ớt Chuông Snack 12/11/2024</t>
  </si>
  <si>
    <t>Ớt Chuông Vàng 12/11/2024</t>
  </si>
  <si>
    <t>Ớt Chuông Xanh 12/11/2024</t>
  </si>
  <si>
    <t>Ớt Sweet Palemo 12/11/2024</t>
  </si>
  <si>
    <t>Trái Mâm Xôi 12/11/2024</t>
  </si>
  <si>
    <t>Trái Mít Thái 12/11/2024</t>
  </si>
  <si>
    <t>Xà Lách Lolo Xanh 12/11/2024</t>
  </si>
  <si>
    <t>Xà Lách Lolo Xanh T.C 12/11/2024</t>
  </si>
  <si>
    <t>Xà Lách Lolo Xanh T.C Cây 12/11/2024</t>
  </si>
  <si>
    <t>Xà Lách Mỡ 12/11/2024</t>
  </si>
  <si>
    <t>Xà Lách Mỡ T.C Cây 12/11/2024</t>
  </si>
  <si>
    <t>Xà Lách Mỹ 12/11/2024</t>
  </si>
  <si>
    <t>Xà Lách Rocket 12/11/2024</t>
  </si>
  <si>
    <t>Xà Lách Thủy Tinh T.C Cây 12/11/2024</t>
  </si>
  <si>
    <t>Cà Chua Bi Đỏ 12/11/2024</t>
  </si>
  <si>
    <t>Cà Tím 12/11/2024</t>
  </si>
  <si>
    <t>Đậu Cove Nhật 12/11/2024</t>
  </si>
  <si>
    <t>Củ Khoai Tây Vàng 12/11/2024</t>
  </si>
  <si>
    <t>Bắp Cải Tím 11/11/2024</t>
  </si>
  <si>
    <t>Bắp Cải Trái Tim 11/11/2024</t>
  </si>
  <si>
    <t>Bí Đao Xanh 11/11/2024</t>
  </si>
  <si>
    <t>Bí Ngô Mini 11/11/2024</t>
  </si>
  <si>
    <t>Bí Ngòi Xanh 11/11/2024</t>
  </si>
  <si>
    <t>Bí Non Nhật 11/11/2024</t>
  </si>
  <si>
    <t>Bơ Booth 11/11/2024</t>
  </si>
  <si>
    <t>Bông Cải Xanh 7Cm 11/11/2024</t>
  </si>
  <si>
    <t>Bông Cải Xanh Baby 11/11/2024</t>
  </si>
  <si>
    <t>Cà Chua Beef 11/11/2024</t>
  </si>
  <si>
    <t>Cà Chua Beef Trung 11/11/2024</t>
  </si>
  <si>
    <t>Cà Chua Bi Đỏ 11/11/2024</t>
  </si>
  <si>
    <t>Cà Chua Socola 11/11/2024</t>
  </si>
  <si>
    <t>Cà Chua Thường 11/11/2024</t>
  </si>
  <si>
    <t>Cà Rốt 11/11/2024</t>
  </si>
  <si>
    <t>Cà Rốt Baby 11/11/2024</t>
  </si>
  <si>
    <t>Cải Bó Xôi 11/11/2024</t>
  </si>
  <si>
    <t>Cải Kale 11/11/2024</t>
  </si>
  <si>
    <t>Cải Thảo 11/11/2024</t>
  </si>
  <si>
    <t>Cần Tây 11/11/2024</t>
  </si>
  <si>
    <t>Chanh Không Hạt 11/11/2024</t>
  </si>
  <si>
    <t>Củ Cải Đỏ 11/11/2024</t>
  </si>
  <si>
    <t>Củ Hành Tây 11/11/2024</t>
  </si>
  <si>
    <t>Củ Hành Tây Tím 11/11/2024</t>
  </si>
  <si>
    <t>Củ Khoai Lang Mật Size 46 11/11/2024</t>
  </si>
  <si>
    <t>Củ Khoai Lang Nhật 11/11/2024</t>
  </si>
  <si>
    <t>Củ Su Hào 11/11/2024</t>
  </si>
  <si>
    <t>Đậu Cove Trắng 11/11/2024</t>
  </si>
  <si>
    <t>Đậu Đỏ 11/11/2024</t>
  </si>
  <si>
    <t>Dưa Leo Baby 11/11/2024</t>
  </si>
  <si>
    <t>Dưa Leo Thường 11/11/2024</t>
  </si>
  <si>
    <t>Hành Paro 11/11/2024</t>
  </si>
  <si>
    <t>Lá É 11/11/2024</t>
  </si>
  <si>
    <t>Lá Mè 11/11/2024</t>
  </si>
  <si>
    <t>Lá Tía Tô 11/11/2024</t>
  </si>
  <si>
    <t>Măng Tây 11/11/2024</t>
  </si>
  <si>
    <t>Ớt Chuông Ba Màu 11/11/2024</t>
  </si>
  <si>
    <t>Ớt Chuông Baby 11/11/2024</t>
  </si>
  <si>
    <t>Ớt Chuông Đỏ 11/11/2024</t>
  </si>
  <si>
    <t>Ớt Chuông Snack 11/11/2024</t>
  </si>
  <si>
    <t>Ớt Chuông Vàng 11/11/2024</t>
  </si>
  <si>
    <t>Ớt Chuông Xanh 11/11/2024</t>
  </si>
  <si>
    <t>Ớt Sweet Palemo 11/11/2024</t>
  </si>
  <si>
    <t>Trái Mâm Xôi 11/11/2024</t>
  </si>
  <si>
    <t>Xà Lách Lolo Tím 11/11/2024</t>
  </si>
  <si>
    <t>Xà Lách Lolo Xanh 11/11/2024</t>
  </si>
  <si>
    <t>Xà Lách Lolo Xanh T.C 11/11/2024</t>
  </si>
  <si>
    <t>Xà Lách Lolo Xanh T.C Cây 11/11/2024</t>
  </si>
  <si>
    <t>Xà Lách Mỡ 11/11/2024</t>
  </si>
  <si>
    <t>Xà Lách Mỡ T.C Cây 11/11/2024</t>
  </si>
  <si>
    <t>Xà Lách Mỹ 11/11/2024</t>
  </si>
  <si>
    <t>Xà Lách Thủy Tinh T.C Cây 11/11/2024</t>
  </si>
  <si>
    <t>Bắp Cải Trắng 11/11/2024</t>
  </si>
  <si>
    <t>Đậu Cove Nhật 11/11/2024</t>
  </si>
  <si>
    <t>Củ Khoai Tây Vàng 11/11/2024</t>
  </si>
  <si>
    <t>Bắp Cải Trái Tim 10/11/2024</t>
  </si>
  <si>
    <t>Bí Ngô Mini 10/11/2024</t>
  </si>
  <si>
    <t>Bí Ngòi Vàng 10/11/2024</t>
  </si>
  <si>
    <t>Bí Ngòi Xanh 10/11/2024</t>
  </si>
  <si>
    <t>Bí Non Nhật 10/11/2024</t>
  </si>
  <si>
    <t>Bơ Booth 10/11/2024</t>
  </si>
  <si>
    <t>Bông Cải Xanh 7Cm 10/11/2024</t>
  </si>
  <si>
    <t>Bông Cải Xanh Baby 10/11/2024</t>
  </si>
  <si>
    <t>Cà Chua Beef 10/11/2024</t>
  </si>
  <si>
    <t>Cà Chua Beef Trung 10/11/2024</t>
  </si>
  <si>
    <t>Cà Chua Bi Đỏ 10/11/2024</t>
  </si>
  <si>
    <t>Cà Chua Bi Mix 10/11/2024</t>
  </si>
  <si>
    <t>Cà Chua Socola 10/11/2024</t>
  </si>
  <si>
    <t>Cà Chua Thường 10/11/2024</t>
  </si>
  <si>
    <t>Cà Rốt 10/11/2024</t>
  </si>
  <si>
    <t>Cà Rốt Baby 10/11/2024</t>
  </si>
  <si>
    <t>Cải Bó Xôi 10/11/2024</t>
  </si>
  <si>
    <t>Cải Kale 10/11/2024</t>
  </si>
  <si>
    <t>Cần Tây 10/11/2024</t>
  </si>
  <si>
    <t>Củ Cải Đỏ 10/11/2024</t>
  </si>
  <si>
    <t>Củ Cải Trắng 10/11/2024</t>
  </si>
  <si>
    <t>Củ Hành Tây 10/11/2024</t>
  </si>
  <si>
    <t>Củ Hành Tây Tím 10/11/2024</t>
  </si>
  <si>
    <t>Củ Khoai Mỡ 10/11/2024</t>
  </si>
  <si>
    <t>Đậu Cove Trắng 10/11/2024</t>
  </si>
  <si>
    <t>Dưa Leo Baby 10/11/2024</t>
  </si>
  <si>
    <t>Dưa Leo Nhật 10/11/2024</t>
  </si>
  <si>
    <t>Dưa Leo Thường 10/11/2024</t>
  </si>
  <si>
    <t>Hành Paro 10/11/2024</t>
  </si>
  <si>
    <t>Lá Hương Thảo 10/11/2024</t>
  </si>
  <si>
    <t>Lá Mè 10/11/2024</t>
  </si>
  <si>
    <t>Măng Tây 10/11/2024</t>
  </si>
  <si>
    <t>Ớt Chuông Ba Màu 10/11/2024</t>
  </si>
  <si>
    <t>Ớt Chuông Đỏ 10/11/2024</t>
  </si>
  <si>
    <t>Ớt Chuông Snack 10/11/2024</t>
  </si>
  <si>
    <t>Ớt Chuông Vàng 10/11/2024</t>
  </si>
  <si>
    <t>Ớt Chuông Xanh 10/11/2024</t>
  </si>
  <si>
    <t>Ớt Sweet Palemo 10/11/2024</t>
  </si>
  <si>
    <t>Rau Ngò Rí 10/11/2024</t>
  </si>
  <si>
    <t>Trái Mâm Xôi 10/11/2024</t>
  </si>
  <si>
    <t>Xà Lách Lolo Tím 10/11/2024</t>
  </si>
  <si>
    <t>Xà Lách Lolo Xanh 10/11/2024</t>
  </si>
  <si>
    <t>Xà Lách Lolo Xanh T.C 10/11/2024</t>
  </si>
  <si>
    <t>Xà Lách Lolo Xanh T.C Cây 10/11/2024</t>
  </si>
  <si>
    <t>Xà Lách Mỡ 10/11/2024</t>
  </si>
  <si>
    <t>Xà Lách Mỡ T.C Cây 10/11/2024</t>
  </si>
  <si>
    <t>Xà Lách Mỹ 10/11/2024</t>
  </si>
  <si>
    <t>Xà Lách Thủy Tinh T.C Cây 10/11/2024</t>
  </si>
  <si>
    <t>Bắp Cải Tím 09/11/2024</t>
  </si>
  <si>
    <t>Bí Đao Xanh 09/11/2024</t>
  </si>
  <si>
    <t>Bí Ngòi Xanh 09/11/2024</t>
  </si>
  <si>
    <t>Bí Non Nhật 09/11/2024</t>
  </si>
  <si>
    <t>Bơ Booth 09/11/2024</t>
  </si>
  <si>
    <t>Bông Cải Xanh 7Cm 09/11/2024</t>
  </si>
  <si>
    <t>Bông Cải Xanh Baby 09/11/2024</t>
  </si>
  <si>
    <t>Cà Chua Beef 09/11/2024</t>
  </si>
  <si>
    <t>Cà Chua Beef Trung 09/11/2024</t>
  </si>
  <si>
    <t>Cà Chua Bi Đỏ 09/11/2024</t>
  </si>
  <si>
    <t>Cà Chua Bi Mix 09/11/2024</t>
  </si>
  <si>
    <t>Cà Chua Socola 09/11/2024</t>
  </si>
  <si>
    <t>Cà Chua Thường 09/11/2024</t>
  </si>
  <si>
    <t>Cà Rốt 09/11/2024</t>
  </si>
  <si>
    <t>Cà Rốt Baby 09/11/2024</t>
  </si>
  <si>
    <t>Cải Bẹ Dún T.C 09/11/2024</t>
  </si>
  <si>
    <t>Cải Bó Xôi 09/11/2024</t>
  </si>
  <si>
    <t>Cải Kale 09/11/2024</t>
  </si>
  <si>
    <t>Cải Thảo 09/11/2024</t>
  </si>
  <si>
    <t>Cần Tây 09/11/2024</t>
  </si>
  <si>
    <t>Chanh Không Hạt 09/11/2024</t>
  </si>
  <si>
    <t>Củ Cải Đỏ 09/11/2024</t>
  </si>
  <si>
    <t>Củ Cải Trắng 09/11/2024</t>
  </si>
  <si>
    <t>Củ Dền 09/11/2024</t>
  </si>
  <si>
    <t>Củ Khoai Lang Nhật 09/11/2024</t>
  </si>
  <si>
    <t>Củ Khoai Mỡ 09/11/2024</t>
  </si>
  <si>
    <t>Củ Khoai Tây Vàng 09/11/2024</t>
  </si>
  <si>
    <t>Củ Su Hào 09/11/2024</t>
  </si>
  <si>
    <t>Đậu Cove Trắng 09/11/2024</t>
  </si>
  <si>
    <t>Đậu Đỏ 09/11/2024</t>
  </si>
  <si>
    <t>Dưa Leo Baby 09/11/2024</t>
  </si>
  <si>
    <t>Dưa Leo Nhật 09/11/2024</t>
  </si>
  <si>
    <t>Hành Paro 09/11/2024</t>
  </si>
  <si>
    <t>Củ Khoai Lang Mật Size Nhỏ 09/11/2024</t>
  </si>
  <si>
    <t>Lá É 09/11/2024</t>
  </si>
  <si>
    <t>Lá Mè 09/11/2024</t>
  </si>
  <si>
    <t>Lá Nha Đam 09/11/2024</t>
  </si>
  <si>
    <t>Lá Tía Tô 09/11/2024</t>
  </si>
  <si>
    <t>Măng Tây 09/11/2024</t>
  </si>
  <si>
    <t>Ớt Chuông Ba Màu 09/11/2024</t>
  </si>
  <si>
    <t>Ớt Chuông Đỏ 09/11/2024</t>
  </si>
  <si>
    <t>Ớt Chuông Vàng 09/11/2024</t>
  </si>
  <si>
    <t>Ớt Chuông Xanh 09/11/2024</t>
  </si>
  <si>
    <t>Ớt Sweet Palemo 09/11/2024</t>
  </si>
  <si>
    <t>Rau Ngò Rí 09/11/2024</t>
  </si>
  <si>
    <t>Trái Chanh Vàng 09/11/2024</t>
  </si>
  <si>
    <t>Xà Lách Lolo Tím 09/11/2024</t>
  </si>
  <si>
    <t>Xà Lách Lolo Xanh 09/11/2024</t>
  </si>
  <si>
    <t>Xà Lách Lolo Xanh T.C 09/11/2024</t>
  </si>
  <si>
    <t>Xà Lách Lolo Xanh T.C Cây 09/11/2024</t>
  </si>
  <si>
    <t>Xà Lách Mỡ 09/11/2024</t>
  </si>
  <si>
    <t>Xà Lách Mỡ T.C Cây 09/11/2024</t>
  </si>
  <si>
    <t>Xà Lách Mỹ 09/11/2024</t>
  </si>
  <si>
    <t>Xà Lách Rocket 09/11/2024</t>
  </si>
  <si>
    <t>Xà Lách Romaine 09/11/2024</t>
  </si>
  <si>
    <t>Xà Lách Mỡ T.C 09/11/2024</t>
  </si>
  <si>
    <t>Bắp Cải Trái Tim 13/11/2024</t>
  </si>
  <si>
    <t>Bí Đao Xanh 13/11/2024</t>
  </si>
  <si>
    <t>Bí Ngô Mini 13/11/2024</t>
  </si>
  <si>
    <t>Bí Ngòi Xanh 13/11/2024</t>
  </si>
  <si>
    <t>Bí Non Nhật 13/11/2024</t>
  </si>
  <si>
    <t>Bơ Booth 13/11/2024</t>
  </si>
  <si>
    <t>Bông Cải Xanh 7Cm 13/11/2024</t>
  </si>
  <si>
    <t>Bông Cải Xanh Baby 13/11/2024</t>
  </si>
  <si>
    <t>Cà Chua Beef 13/11/2024</t>
  </si>
  <si>
    <t>Cà Chua Beef Trung 13/11/2024</t>
  </si>
  <si>
    <t>Cà Chua Bi Đỏ 13/11/2024</t>
  </si>
  <si>
    <t>Cà Chua Bi Mix 13/11/2024</t>
  </si>
  <si>
    <t>Cà Chua Socola 13/11/2024</t>
  </si>
  <si>
    <t>Cà Rốt 13/11/2024</t>
  </si>
  <si>
    <t>Cà Rốt Baby 13/11/2024</t>
  </si>
  <si>
    <t>Cải Bó Xôi 13/11/2024</t>
  </si>
  <si>
    <t>Cải Kale 13/11/2024</t>
  </si>
  <si>
    <t>Cải Thảo 13/11/2024</t>
  </si>
  <si>
    <t>Cần Tây 13/11/2024</t>
  </si>
  <si>
    <t>Chanh Không Hạt 13/11/2024</t>
  </si>
  <si>
    <t>Củ Dền 13/11/2024</t>
  </si>
  <si>
    <t>Củ Hành Tây 13/11/2024</t>
  </si>
  <si>
    <t>Củ Khoai Lang Mật Size 46 13/11/2024</t>
  </si>
  <si>
    <t>Củ Khoai Tây Bi Vàng 13/11/2024</t>
  </si>
  <si>
    <t>Củ Khoai Tây Vàng 13/11/2024</t>
  </si>
  <si>
    <t>Đậu Cove Nhật 13/11/2024</t>
  </si>
  <si>
    <t>Dưa Leo Baby 13/11/2024</t>
  </si>
  <si>
    <t>Dưa Leo Nhật 13/11/2024</t>
  </si>
  <si>
    <t>Dưa Leo Thường 13/11/2024</t>
  </si>
  <si>
    <t>Hành Paro 13/11/2024</t>
  </si>
  <si>
    <t>Lá Hương Thảo 13/11/2024</t>
  </si>
  <si>
    <t>Lá Mè 13/11/2024</t>
  </si>
  <si>
    <t>Lá Nha Đam 13/11/2024</t>
  </si>
  <si>
    <t>Lá Tía Tô 13/11/2024</t>
  </si>
  <si>
    <t>Măng Tây 13/11/2024</t>
  </si>
  <si>
    <t>Ớt Chuông Ba Màu 13/11/2024</t>
  </si>
  <si>
    <t>Ớt Chuông Baby 13/11/2024</t>
  </si>
  <si>
    <t>Ớt Chuông Đỏ 13/11/2024</t>
  </si>
  <si>
    <t>Ớt Chuông Snack 13/11/2024</t>
  </si>
  <si>
    <t>Ớt Chuông Vàng 13/11/2024</t>
  </si>
  <si>
    <t>Ớt Chuông Xanh 13/11/2024</t>
  </si>
  <si>
    <t>Ớt Sweet Palemo 13/11/2024</t>
  </si>
  <si>
    <t>Rau Ngò Rí 13/11/2024</t>
  </si>
  <si>
    <t>Xà Lách Lolo Tím 13/11/2024</t>
  </si>
  <si>
    <t>Xà Lách Lolo Xanh 13/11/2024</t>
  </si>
  <si>
    <t>Xà Lách Lolo Xanh T.C 13/11/2024</t>
  </si>
  <si>
    <t>Xà Lách Lolo Xanh T.C Cây 13/11/2024</t>
  </si>
  <si>
    <t>Xà Lách Mỡ 13/11/2024</t>
  </si>
  <si>
    <t>Xà Lách Mỹ 13/11/2024</t>
  </si>
  <si>
    <t>Xà Lách Thủy Tinh T.C Cây 13/11/2024</t>
  </si>
  <si>
    <t>Trái Mâm Xôi 13/11/2024</t>
  </si>
  <si>
    <t>Cà Chua Thường 13/11/2024</t>
  </si>
  <si>
    <t>Đậu Cove Trắng 13/11/2024</t>
  </si>
  <si>
    <t>Xà Lách Mỡ T.C 13/11/2024</t>
  </si>
  <si>
    <t>bí đao xanh</t>
  </si>
  <si>
    <t>dưa leo thường</t>
  </si>
  <si>
    <t>cải cầu vồng</t>
  </si>
  <si>
    <t>trái chanh vàng</t>
  </si>
  <si>
    <t>đậu cove trắng</t>
  </si>
  <si>
    <t>Bắp Cải Tím 14/11/2024</t>
  </si>
  <si>
    <t>Bí Đỏ Tròn 14/11/2024</t>
  </si>
  <si>
    <t>Bí Ngòi Xanh 14/11/2024</t>
  </si>
  <si>
    <t>Bí Non Nhật 14/11/2024</t>
  </si>
  <si>
    <t>Bơ Booth 14/11/2024</t>
  </si>
  <si>
    <t>Bông Cải Xanh 7Cm 14/11/2024</t>
  </si>
  <si>
    <t>Bông Cải Xanh Baby 14/11/2024</t>
  </si>
  <si>
    <t>Cà Chua Beef 14/11/2024</t>
  </si>
  <si>
    <t>Cà Chua Beef Trung 14/11/2024</t>
  </si>
  <si>
    <t>Cà Chua Bi Mix 14/11/2024</t>
  </si>
  <si>
    <t>Cà Chua Socola 14/11/2024</t>
  </si>
  <si>
    <t>Cà Chua Thường 14/11/2024</t>
  </si>
  <si>
    <t>Cà Rốt 14/11/2024</t>
  </si>
  <si>
    <t>Cà Rốt Baby 14/11/2024</t>
  </si>
  <si>
    <t>Cải Bó Xôi 14/11/2024</t>
  </si>
  <si>
    <t>Cải Kale 14/11/2024</t>
  </si>
  <si>
    <t>Cần Tây 14/11/2024</t>
  </si>
  <si>
    <t>Củ Cải Đỏ 14/11/2024</t>
  </si>
  <si>
    <t>Củ Dền 14/11/2024</t>
  </si>
  <si>
    <t>Củ Khoai Lang Mật Size 46 14/11/2024</t>
  </si>
  <si>
    <t>Củ Khoai Lang Nhật 14/11/2024</t>
  </si>
  <si>
    <t>Củ Khoai Mỡ 14/11/2024</t>
  </si>
  <si>
    <t>Dưa Leo Baby 14/11/2024</t>
  </si>
  <si>
    <t>Dưa Leo Nhật 14/11/2024</t>
  </si>
  <si>
    <t>Hành Paro 14/11/2024</t>
  </si>
  <si>
    <t>Lá É 14/11/2024</t>
  </si>
  <si>
    <t>Lá Mè 14/11/2024</t>
  </si>
  <si>
    <t>Lá Tía Tô 14/11/2024</t>
  </si>
  <si>
    <t>Măng Tây 14/11/2024</t>
  </si>
  <si>
    <t>Ớt Chuông Baby 14/11/2024</t>
  </si>
  <si>
    <t>Ớt Chuông Đỏ 14/11/2024</t>
  </si>
  <si>
    <t>Ớt Chuông Snack 14/11/2024</t>
  </si>
  <si>
    <t>Ớt Chuông Vàng 14/11/2024</t>
  </si>
  <si>
    <t>Ớt Chuông Xanh 14/11/2024</t>
  </si>
  <si>
    <t>Ớt Sweet Palemo 14/11/2024</t>
  </si>
  <si>
    <t>Xà Lách Lolo Tím 14/11/2024</t>
  </si>
  <si>
    <t>Xà Lách Lolo Xanh 14/11/2024</t>
  </si>
  <si>
    <t>Xà Lách Mỡ 14/11/2024</t>
  </si>
  <si>
    <t>Xà Lách Mỹ 14/11/2024</t>
  </si>
  <si>
    <t>Xà Lách Rocket 14/11/2024</t>
  </si>
  <si>
    <t>Xà Lách Romaine 14/11/2024</t>
  </si>
  <si>
    <t>Xà Lách Thủy Tinh T.C Cây 14/11/2024</t>
  </si>
  <si>
    <t>bí đao xanh 14/11/2024</t>
  </si>
  <si>
    <t>dưa leo thường 14/11/2024</t>
  </si>
  <si>
    <t>cải cầu vồng 14/11/2024</t>
  </si>
  <si>
    <t>trái chanh vàng 14/11/2024</t>
  </si>
  <si>
    <t>đậu cove trắng 14/11/2024</t>
  </si>
  <si>
    <t>Cà Chua Bi Đỏ 14/11/2024</t>
  </si>
  <si>
    <t>Xà Lách Mỡ T.C 14/11/2024</t>
  </si>
  <si>
    <t>Bông Cải Xanh Baby 15/11/2024</t>
  </si>
  <si>
    <t>Cà Chua Beef 15/11/2024</t>
  </si>
  <si>
    <t>Cà Chua Beef Trung 15/11/2024</t>
  </si>
  <si>
    <t>Cà Chua Bi Đỏ 15/11/2024</t>
  </si>
  <si>
    <t>Cà Chua Bi Mix 15/11/2024</t>
  </si>
  <si>
    <t>Cà Chua Thường 15/11/2024</t>
  </si>
  <si>
    <t>Cà Rốt 15/11/2024</t>
  </si>
  <si>
    <t>Cà Rốt Baby 15/11/2024</t>
  </si>
  <si>
    <t>Cải Bó Xôi 15/11/2024</t>
  </si>
  <si>
    <t>Cải Kale 15/11/2024</t>
  </si>
  <si>
    <t>Cải Thảo 15/11/2024</t>
  </si>
  <si>
    <t>Cần Tây 15/11/2024</t>
  </si>
  <si>
    <t>Chanh Không Hạt 15/11/2024</t>
  </si>
  <si>
    <t>Củ Cải Đỏ 15/11/2024</t>
  </si>
  <si>
    <t>Củ Cải Trắng 15/11/2024</t>
  </si>
  <si>
    <t>Củ Dền 15/11/2024</t>
  </si>
  <si>
    <t>Củ Hành Tây 15/11/2024</t>
  </si>
  <si>
    <t>Củ Hành Tây Tím 15/11/2024</t>
  </si>
  <si>
    <t>Củ Khoai Lang Nhật 15/11/2024</t>
  </si>
  <si>
    <t>Đậu Cove Nhật 15/11/2024</t>
  </si>
  <si>
    <t>Đậu Cove Trắng 15/11/2024</t>
  </si>
  <si>
    <t>Đậu Đỏ 15/11/2024</t>
  </si>
  <si>
    <t>Dưa Leo Baby 15/11/2024</t>
  </si>
  <si>
    <t>Dưa Leo Nhật 15/11/2024</t>
  </si>
  <si>
    <t>Hành Paro 15/11/2024</t>
  </si>
  <si>
    <t>Hồng Treo Gió 15/11/2024</t>
  </si>
  <si>
    <t>Bắp Cải Trái Tim 15/11/2024</t>
  </si>
  <si>
    <t>Bí Đao Xanh 15/11/2024</t>
  </si>
  <si>
    <t>Bí Ngòi Xanh 15/11/2024</t>
  </si>
  <si>
    <t>Bí Non Nhật 15/11/2024</t>
  </si>
  <si>
    <t>Bơ Booth 15/11/2024</t>
  </si>
  <si>
    <t>Bông Cải Xanh 7Cm 15/11/2024</t>
  </si>
  <si>
    <t>Lá Hương Thảo 15/11/2024</t>
  </si>
  <si>
    <t>Lá Mè 15/11/2024</t>
  </si>
  <si>
    <t>Lá Tía Tô 15/11/2024</t>
  </si>
  <si>
    <t>Măng Tây 15/11/2024</t>
  </si>
  <si>
    <t>Ớt Chuông Ba Màu 15/11/2024</t>
  </si>
  <si>
    <t>Ớt Chuông Baby 15/11/2024</t>
  </si>
  <si>
    <t>Ớt Chuông Đỏ 15/11/2024</t>
  </si>
  <si>
    <t>Ớt Chuông Snack 15/11/2024</t>
  </si>
  <si>
    <t>Ớt Chuông Vàng 15/11/2024</t>
  </si>
  <si>
    <t>Ớt Chuông Xanh 15/11/2024</t>
  </si>
  <si>
    <t>Ớt Sweet Palemo 15/11/2024</t>
  </si>
  <si>
    <t>Rau Ngò Rí 15/11/2024</t>
  </si>
  <si>
    <t>Rau Ngót 15/11/2024</t>
  </si>
  <si>
    <t>Trái Mâm Xôi 15/11/2024</t>
  </si>
  <si>
    <t>Xà Lách Lolo Xanh 15/11/2024</t>
  </si>
  <si>
    <t>Xà Lách Lolo Xanh T.C Cây 15/11/2024</t>
  </si>
  <si>
    <t>Xà Lách Mỡ 15/11/2024</t>
  </si>
  <si>
    <t>Xà Lách Rocket 15/11/2024</t>
  </si>
  <si>
    <t>Xà Lách Romaine 15/11/2024</t>
  </si>
  <si>
    <t>HÀNH PARO</t>
  </si>
  <si>
    <t>KG</t>
  </si>
  <si>
    <t>Hộp 500gr</t>
  </si>
  <si>
    <t>Bắp Cải Tím 16/11/2024</t>
  </si>
  <si>
    <t>Bắp Cải Trái Tim 16/11/2024</t>
  </si>
  <si>
    <t>Bắp Cải Trắng 16/11/2024</t>
  </si>
  <si>
    <t>Bí Đao Xanh 16/11/2024</t>
  </si>
  <si>
    <t>Bí Ngòi Xanh 16/11/2024</t>
  </si>
  <si>
    <t>Bí Non Nhật 16/11/2024</t>
  </si>
  <si>
    <t>Bơ Booth 16/11/2024</t>
  </si>
  <si>
    <t>Bông Cải Xanh 7Cm 16/11/2024</t>
  </si>
  <si>
    <t>Bông Cải Xanh Baby 16/11/2024</t>
  </si>
  <si>
    <t>Cà Chua Beef 16/11/2024</t>
  </si>
  <si>
    <t>Cà Chua Beef Trung 16/11/2024</t>
  </si>
  <si>
    <t>Cà Chua Bi Đỏ 16/11/2024</t>
  </si>
  <si>
    <t>Cà Chua Bi Mix 16/11/2024</t>
  </si>
  <si>
    <t>Cà Chua Socola 16/11/2024</t>
  </si>
  <si>
    <t>Cà Chua Thường 16/11/2024</t>
  </si>
  <si>
    <t>Cà Rốt 16/11/2024</t>
  </si>
  <si>
    <t>Cà Rốt Baby 16/11/2024</t>
  </si>
  <si>
    <t>Cải Bó Xôi 16/11/2024</t>
  </si>
  <si>
    <t>Cải Kale 16/11/2024</t>
  </si>
  <si>
    <t>Cải Thảo 16/11/2024</t>
  </si>
  <si>
    <t>Cần Tây 16/11/2024</t>
  </si>
  <si>
    <t>Chanh Không Hạt 16/11/2024</t>
  </si>
  <si>
    <t>Củ Cải Đỏ 16/11/2024</t>
  </si>
  <si>
    <t>Củ Cải Trắng 16/11/2024</t>
  </si>
  <si>
    <t>Củ Dền 16/11/2024</t>
  </si>
  <si>
    <t>Củ Hành Tây 16/11/2024</t>
  </si>
  <si>
    <t>Củ Hành Tây Tím 16/11/2024</t>
  </si>
  <si>
    <t>Củ Khoai Lang Mật Size 46 16/11/2024</t>
  </si>
  <si>
    <t>Củ Khoai Lang Nhật 16/11/2024</t>
  </si>
  <si>
    <t>Củ Khoai Tây Vàng 16/11/2024</t>
  </si>
  <si>
    <t>Củ Su Hào 16/11/2024</t>
  </si>
  <si>
    <t>Đậu Cove Nhật 16/11/2024</t>
  </si>
  <si>
    <t>Đậu Cove Trắng 16/11/2024</t>
  </si>
  <si>
    <t>Đậu Đỏ 16/11/2024</t>
  </si>
  <si>
    <t>Dưa Leo Baby 16/11/2024</t>
  </si>
  <si>
    <t>Dưa Leo Nhật 16/11/2024</t>
  </si>
  <si>
    <t>Dưa Leo Thường 16/11/2024</t>
  </si>
  <si>
    <t>Hành Paro 16/11/2024</t>
  </si>
  <si>
    <t>Hồng Treo Gió 16/11/2024</t>
  </si>
  <si>
    <t>Lá Mè 16/11/2024</t>
  </si>
  <si>
    <t>Lá Nha Đam 16/11/2024</t>
  </si>
  <si>
    <t>Măng Tây 16/11/2024</t>
  </si>
  <si>
    <t>Ớt Chuông Ba Màu 16/11/2024</t>
  </si>
  <si>
    <t>Ớt Chuông Baby 16/11/2024</t>
  </si>
  <si>
    <t>Ớt Chuông Đỏ 16/11/2024</t>
  </si>
  <si>
    <t>Ớt Chuông Snack 16/11/2024</t>
  </si>
  <si>
    <t>Ớt Chuông Vàng 16/11/2024</t>
  </si>
  <si>
    <t>Ớt Chuông Xanh 16/11/2024</t>
  </si>
  <si>
    <t>Ớt Sweet Palemo 16/11/2024</t>
  </si>
  <si>
    <t>Rau Ngò Rí 16/11/2024</t>
  </si>
  <si>
    <t>Trái Chanh Vàng 16/11/2024</t>
  </si>
  <si>
    <t>Trái Mâm Xôi 16/11/2024</t>
  </si>
  <si>
    <t>Xà Lách Lolo Xanh 16/11/2024</t>
  </si>
  <si>
    <t>Xà Lách Lolo Xanh Sushi 16/11/2024</t>
  </si>
  <si>
    <t>Xà Lách Lolo Xanh T.C 16/11/2024</t>
  </si>
  <si>
    <t>Xà Lách Lolo Xanh T.C Cây 16/11/2024</t>
  </si>
  <si>
    <t>Xà Lách Mỡ 16/11/2024</t>
  </si>
  <si>
    <t>Xà Lách Mỡ T.C Cây 16/11/2024</t>
  </si>
  <si>
    <t>Xà Lách Mỹ 16/11/2024</t>
  </si>
  <si>
    <t>Xà Lách Rocket 16/11/2024</t>
  </si>
  <si>
    <t>Xà Lách Romaine 16/11/2024</t>
  </si>
  <si>
    <t>Xà Lách Thủy Tinh T.C Cây 16/11/2024</t>
  </si>
  <si>
    <t>Cải Cầu Vồng 16/11/2024</t>
  </si>
  <si>
    <t>Xà Lách Mỡ T.C 16/11/2024</t>
  </si>
  <si>
    <t>Bắp Cải Tím 17/11/2024</t>
  </si>
  <si>
    <t>Cà Chua Beef Trung 17/11/2024</t>
  </si>
  <si>
    <t>Chanh Không Hạt 17/11/2024</t>
  </si>
  <si>
    <t>Xà Lách Mỹ 17/11/2024</t>
  </si>
  <si>
    <t>Bắp Cải Tím 18/11/2024</t>
  </si>
  <si>
    <t>Bí Đao Xanh 18/11/2024</t>
  </si>
  <si>
    <t>Bí Ngòi Xanh 18/11/2024</t>
  </si>
  <si>
    <t>Bí Non Nhật 18/11/2024</t>
  </si>
  <si>
    <t>Bơ Booth 18/11/2024</t>
  </si>
  <si>
    <t>Bông Cải Xanh 7Cm 18/11/2024</t>
  </si>
  <si>
    <t>Bông Cải Xanh Baby 18/11/2024</t>
  </si>
  <si>
    <t>Cà Chua Beef 18/11/2024</t>
  </si>
  <si>
    <t>Cà Chua Beef Trung 18/11/2024</t>
  </si>
  <si>
    <t>Cà Chua Bi Đỏ 18/11/2024</t>
  </si>
  <si>
    <t>Cà Chua Bi Mix 18/11/2024</t>
  </si>
  <si>
    <t>Cà Chua Socola 18/11/2024</t>
  </si>
  <si>
    <t>Cà Chua Thường 18/11/2024</t>
  </si>
  <si>
    <t>Cà Rốt 18/11/2024</t>
  </si>
  <si>
    <t>Cà Rốt Baby 18/11/2024</t>
  </si>
  <si>
    <t>Cải Bó Xôi 18/11/2024</t>
  </si>
  <si>
    <t>Cải Kale 18/11/2024</t>
  </si>
  <si>
    <t>Cải Thảo 18/11/2024</t>
  </si>
  <si>
    <t>Cần Tây 18/11/2024</t>
  </si>
  <si>
    <t>Chanh Không Hạt 18/11/2024</t>
  </si>
  <si>
    <t>Củ Cải Đỏ 18/11/2024</t>
  </si>
  <si>
    <t>Củ Cải Trắng 18/11/2024</t>
  </si>
  <si>
    <t>Củ Dền 18/11/2024</t>
  </si>
  <si>
    <t>Củ Hành Tây 18/11/2024</t>
  </si>
  <si>
    <t>Củ Hành Tây Tím 18/11/2024</t>
  </si>
  <si>
    <t>Củ Khoai Lang Mật Size 46 18/11/2024</t>
  </si>
  <si>
    <t>Củ Khoai Lang Nhật 18/11/2024</t>
  </si>
  <si>
    <t>Củ Khoai Mỡ 18/11/2024</t>
  </si>
  <si>
    <t>Củ Khoai Tây Vàng 18/11/2024</t>
  </si>
  <si>
    <t>Đậu Cove Nhật 18/11/2024</t>
  </si>
  <si>
    <t>Đậu Cove Trắng 18/11/2024</t>
  </si>
  <si>
    <t>Đậu Đỏ 18/11/2024</t>
  </si>
  <si>
    <t>Dưa Leo Baby 18/11/2024</t>
  </si>
  <si>
    <t>Dưa Leo Nhật 18/11/2024</t>
  </si>
  <si>
    <t>Dưa Leo Thường 18/11/2024</t>
  </si>
  <si>
    <t>Hành Paro 18/11/2024</t>
  </si>
  <si>
    <t>Lá É 18/11/2024</t>
  </si>
  <si>
    <t>Lá Mè 18/11/2024</t>
  </si>
  <si>
    <t>Lá Nha Đam 18/11/2024</t>
  </si>
  <si>
    <t>Lá Quế Tây 18/11/2024</t>
  </si>
  <si>
    <t>Măng Tây 18/11/2024</t>
  </si>
  <si>
    <t>Ớt Chuông Ba Màu 18/11/2024</t>
  </si>
  <si>
    <t>Ớt Chuông Đỏ 18/11/2024</t>
  </si>
  <si>
    <t>Ớt Chuông Snack 18/11/2024</t>
  </si>
  <si>
    <t>Ớt Chuông Vàng 18/11/2024</t>
  </si>
  <si>
    <t>Ớt Chuông Xanh 18/11/2024</t>
  </si>
  <si>
    <t>Ớt Sweet Palemo 18/11/2024</t>
  </si>
  <si>
    <t>Rau Ngò Rí 18/11/2024</t>
  </si>
  <si>
    <t>Trái Chanh Vàng 18/11/2024</t>
  </si>
  <si>
    <t>Trái Mâm Xôi 18/11/2024</t>
  </si>
  <si>
    <t>Xà Lách Lolo Xanh 18/11/2024</t>
  </si>
  <si>
    <t>Xà Lách Lolo Xanh Sushi 18/11/2024</t>
  </si>
  <si>
    <t>Xà Lách Lolo Xanh T.C Cây 18/11/2024</t>
  </si>
  <si>
    <t>Xà Lách Mỡ 18/11/2024</t>
  </si>
  <si>
    <t>Xà Lách Mỡ T.C Cây 18/11/2024</t>
  </si>
  <si>
    <t>Xà Lách Mỹ 18/11/2024</t>
  </si>
  <si>
    <t>Xà Lách Rocket 18/11/2024</t>
  </si>
  <si>
    <t>Xà Lách Thủy Tinh T.C Cây 18/11/2024</t>
  </si>
  <si>
    <t>Bắp Cải Trắng 18/11/2024</t>
  </si>
  <si>
    <t>Bí Đao Xanh 17/11/2024</t>
  </si>
  <si>
    <t>Bí Ngô Mini 17/11/2024</t>
  </si>
  <si>
    <t>Bí Ngòi Xanh 17/11/2024</t>
  </si>
  <si>
    <t>Bí Non Nhật 17/11/2024</t>
  </si>
  <si>
    <t>Bông Cải Xanh 7Cm 17/11/2024</t>
  </si>
  <si>
    <t>Bông Cải Xanh Baby 17/11/2024</t>
  </si>
  <si>
    <t>Cà Chua Bi Mix 17/11/2024</t>
  </si>
  <si>
    <t>Cà Chua Socola 17/11/2024</t>
  </si>
  <si>
    <t>Cà Rốt 17/11/2024</t>
  </si>
  <si>
    <t>Cà Rốt Baby 17/11/2024</t>
  </si>
  <si>
    <t>Cải Bó Xôi 17/11/2024</t>
  </si>
  <si>
    <t>Cải Kale 17/11/2024</t>
  </si>
  <si>
    <t>Cần Tây 17/11/2024</t>
  </si>
  <si>
    <t>Củ Cải Trắng 17/11/2024</t>
  </si>
  <si>
    <t>Đậu Cove Nhật 17/11/2024</t>
  </si>
  <si>
    <t>Đậu Cove Trắng 17/11/2024</t>
  </si>
  <si>
    <t>Dưa Leo Baby 17/11/2024</t>
  </si>
  <si>
    <t>Dưa Leo Thường 17/11/2024</t>
  </si>
  <si>
    <t>Hành Paro 17/11/2024</t>
  </si>
  <si>
    <t>Lá É 17/11/2024</t>
  </si>
  <si>
    <t>Lá Mè 17/11/2024</t>
  </si>
  <si>
    <t>Lá Nha Đam 17/11/2024</t>
  </si>
  <si>
    <t>Măng Tây 17/11/2024</t>
  </si>
  <si>
    <t>Ớt Chuông Ba Màu 17/11/2024</t>
  </si>
  <si>
    <t>Ớt Chuông Baby 17/11/2024</t>
  </si>
  <si>
    <t>Ớt Chuông Đỏ 17/11/2024</t>
  </si>
  <si>
    <t>Ớt Chuông Vàng 17/11/2024</t>
  </si>
  <si>
    <t>Ớt Chuông Xanh 17/11/2024</t>
  </si>
  <si>
    <t>Ớt Sweet Palemo 17/11/2024</t>
  </si>
  <si>
    <t>Rau Ngò Rí 17/11/2024</t>
  </si>
  <si>
    <t>Xà Lách Lolo Xanh 17/11/2024</t>
  </si>
  <si>
    <t>Xà Lách Lolo Xanh Sushi 17/11/2024</t>
  </si>
  <si>
    <t>Xà Lách Lolo Xanh T.C 17/11/2024</t>
  </si>
  <si>
    <t>Xà Lách Lolo Xanh T.C Cây 17/11/2024</t>
  </si>
  <si>
    <t>Xà Lách Mỡ 17/11/2024</t>
  </si>
  <si>
    <t>Xà Lách Mỡ T.C 17/11/2024</t>
  </si>
  <si>
    <t>Xà Lách Mỡ T.C Cây 17/11/2024</t>
  </si>
  <si>
    <t>Xà Lách Rocket 17/11/2024</t>
  </si>
  <si>
    <t>Xà Lách Romaine 17/11/2024</t>
  </si>
  <si>
    <t>Xà Lách Thủy Tinh T.C Cây 17/11/2024</t>
  </si>
  <si>
    <t>HÀNH PARO 17/11/2024</t>
  </si>
  <si>
    <t>TỈ LỆ</t>
  </si>
  <si>
    <t>HÀNG</t>
  </si>
  <si>
    <t>NGÀY NHẬP</t>
  </si>
  <si>
    <t>Củ Cải Đỏ Hộp 20/11/2024</t>
  </si>
  <si>
    <t>Xà Lách Mỡ KG 20/11/2024</t>
  </si>
  <si>
    <t>Cà Chua Beef KG 20/11/2024</t>
  </si>
  <si>
    <t>Cà Chua Thường KG 20/11/2024</t>
  </si>
  <si>
    <t>Cần Tây Cây 20/11/2024</t>
  </si>
  <si>
    <t>Hành Paro KG 20/11/2024</t>
  </si>
  <si>
    <t>Hành Paro Cây 20/11/2024</t>
  </si>
  <si>
    <t>Cải Bó Xôi KG 20/11/2024</t>
  </si>
  <si>
    <t>Cải Kale Túi 20/11/2024</t>
  </si>
  <si>
    <t>Cải Kale Túi 150gr 20/11/2024</t>
  </si>
  <si>
    <t>Bí Đao Xanh Trái 20/11/2024</t>
  </si>
  <si>
    <t>Ớt Sweet Palemo Túi 20/11/2024</t>
  </si>
  <si>
    <t>Bí Ngòi Xanh Trái 280gr 20/11/2024</t>
  </si>
  <si>
    <t>Lá Mè Túi 20/11/2024</t>
  </si>
  <si>
    <t>Củ Hành Tây KG 20/11/2024</t>
  </si>
  <si>
    <t>Củ Khoai Lang Nhật KG 20/11/2024</t>
  </si>
  <si>
    <t>Bí Đỏ Tròn KG 20/11/2024</t>
  </si>
  <si>
    <t>Củ Khoai Mỡ KG 20/11/2024</t>
  </si>
  <si>
    <t>Củ Khoai Lang Mật Size 46 KG 20/11/2024</t>
  </si>
  <si>
    <t>Măng Tây KG 20/11/2024</t>
  </si>
  <si>
    <t>Dưa Leo Baby Vỉ 20/11/2024</t>
  </si>
  <si>
    <t>Đậu Cove Trắng Túi 300gr 20/11/2024</t>
  </si>
  <si>
    <t>Rau Ngò Rí KG 20/11/2024</t>
  </si>
  <si>
    <t>Ớt Chuông Vàng Trái 180gr 20/11/2024</t>
  </si>
  <si>
    <t>Ớt Chuông Xanh Trái 180gr 20/11/2024</t>
  </si>
  <si>
    <t>Ớt Chuông Baby KG 20/11/2024</t>
  </si>
  <si>
    <t>Cà Chua Socola Hộp 300gr 20/11/2024</t>
  </si>
  <si>
    <t>Bí Non Nhật KG 20/11/2024</t>
  </si>
  <si>
    <t>Bí Non Nhật Trái 20/11/2024</t>
  </si>
  <si>
    <t>Cà Chua Bi Đỏ Hộp 300gr 20/11/2024</t>
  </si>
  <si>
    <t>Xà Lách Lolo Xanh T.C KG 20/11/2024</t>
  </si>
  <si>
    <t>Bông Cải Xanh Baby Vỉ 20/11/2024</t>
  </si>
  <si>
    <t>Xà Lách Mỡ T.C Cây Cây 20/11/2024</t>
  </si>
  <si>
    <t>Xà Lách Lolo Xanh T.C Cây Cây 20/11/2024</t>
  </si>
  <si>
    <t>Lá É KG 20/11/2024</t>
  </si>
  <si>
    <t>Ớt Chuông Đỏ Trái 180gr 20/11/2024</t>
  </si>
  <si>
    <t>Củ Su Hào KG 20/11/2024</t>
  </si>
  <si>
    <t>Cải Thảo KG 20/11/2024</t>
  </si>
  <si>
    <t>Cà Chua Beef Trung Vỉ 500gr 20/11/2024</t>
  </si>
  <si>
    <t>Cà Rốt Baby Vỉ 20/11/2024</t>
  </si>
  <si>
    <t>Củ Cải Trắng KG 20/11/2024</t>
  </si>
  <si>
    <t>Chanh Không Hạt Vỉ 20/11/2024</t>
  </si>
  <si>
    <t>Ớt Chuông Snack KG 20/11/2024</t>
  </si>
  <si>
    <t>Xà Lách Mỹ KG 20/11/2024</t>
  </si>
  <si>
    <t>Xà Lách Thủy Tinh T.C Cây Cây 20/11/2024</t>
  </si>
  <si>
    <t>Bắp Cải Tím KG 20/11/2024</t>
  </si>
  <si>
    <t>Bí Ngô Mini KG 20/11/2024</t>
  </si>
  <si>
    <t>Củ Hành Tây Tím KG 20/11/2024</t>
  </si>
  <si>
    <t>Củ Khoai Tây Vàng KG 20/11/2024</t>
  </si>
  <si>
    <t>Dưa Leo Nhật Túi 20/11/2024</t>
  </si>
  <si>
    <t>Xà Lách Romaine KG 20/11/2024</t>
  </si>
  <si>
    <t>Lá Quế Tây KG 20/11/2024</t>
  </si>
  <si>
    <t>Cà Chua Beef KG 21/11/2024</t>
  </si>
  <si>
    <t>Cà Chua Thường KG 21/11/2024</t>
  </si>
  <si>
    <t>Cần Tây Cây 21/11/2024</t>
  </si>
  <si>
    <t>Bí Ngòi Xanh Trái 280gr 21/11/2024</t>
  </si>
  <si>
    <t>Hành Paro KG 21/11/2024</t>
  </si>
  <si>
    <t>Hành Paro Cây 21/11/2024</t>
  </si>
  <si>
    <t>Bông Cải Xanh Baby KG 21/11/2024</t>
  </si>
  <si>
    <t>Bông Cải Xanh Baby Vỉ 21/11/2024</t>
  </si>
  <si>
    <t>Cải Kale Túi 21/11/2024</t>
  </si>
  <si>
    <t>Cải Kale Túi 150gr 21/11/2024</t>
  </si>
  <si>
    <t>Ớt Sweet Palemo KG 21/11/2024</t>
  </si>
  <si>
    <t>Ớt Sweet Palemo Túi 21/11/2024</t>
  </si>
  <si>
    <t>Xà Lách Lolo Tím KG 21/11/2024</t>
  </si>
  <si>
    <t>Lá Mè Túi 21/11/2024</t>
  </si>
  <si>
    <t>Hồng Treo Gió Hộp 21/11/2024</t>
  </si>
  <si>
    <t>Củ Hành Tây KG 21/11/2024</t>
  </si>
  <si>
    <t>Củ Khoai Lang Nhật KG 21/11/2024</t>
  </si>
  <si>
    <t>Bí Đỏ Tròn KG 21/11/2024</t>
  </si>
  <si>
    <t>Xà Lách Mỡ KG 21/11/2024</t>
  </si>
  <si>
    <t>Củ Khoai Lang Mật Size 46 KG 21/11/2024</t>
  </si>
  <si>
    <t>Măng Tây KG 21/11/2024</t>
  </si>
  <si>
    <t>Rau Ngò Rí KG 21/11/2024</t>
  </si>
  <si>
    <t>Ớt Chuông Xanh KG 21/11/2024</t>
  </si>
  <si>
    <t>Ớt Chuông Baby KG 21/11/2024</t>
  </si>
  <si>
    <t>Cà Chua Bi Mix Hộp 21/11/2024</t>
  </si>
  <si>
    <t>Cà Chua Socola Hộp 300gr 21/11/2024</t>
  </si>
  <si>
    <t>Bí Non Nhật Trái 21/11/2024</t>
  </si>
  <si>
    <t>Dưa Leo Thường KG 21/11/2024</t>
  </si>
  <si>
    <t>Cà Rốt KG 21/11/2024</t>
  </si>
  <si>
    <t>Xà Lách Mỡ T.C Cây Cây 21/11/2024</t>
  </si>
  <si>
    <t>Xà Lách Lolo Xanh T.C Cây Cây 21/11/2024</t>
  </si>
  <si>
    <t>Lá Tía Tô KG 21/11/2024</t>
  </si>
  <si>
    <t>Ớt Chuông Vàng KG 21/11/2024</t>
  </si>
  <si>
    <t>Lá É KG 21/11/2024</t>
  </si>
  <si>
    <t>Xà Lách Lolo Xanh T.C KG 21/11/2024</t>
  </si>
  <si>
    <t>Dưa Leo Baby Vỉ 21/11/2024</t>
  </si>
  <si>
    <t>Lá Nha Đam KG 21/11/2024</t>
  </si>
  <si>
    <t>Ớt Chuông Đỏ KG 21/11/2024</t>
  </si>
  <si>
    <t>Cà Rốt Baby Vỉ 21/11/2024</t>
  </si>
  <si>
    <t>Chanh Không Hạt Vỉ 21/11/2024</t>
  </si>
  <si>
    <t>Củ Cải Trắng KG 21/11/2024</t>
  </si>
  <si>
    <t>Lá Hương Thảo KG 21/11/2024</t>
  </si>
  <si>
    <t>Xà Lách Mỹ KG 21/11/2024</t>
  </si>
  <si>
    <t>Bắp Cải Trái Tim KG 21/11/2024</t>
  </si>
  <si>
    <t>Bông Cải Xanh 7Cm KG 21/11/2024</t>
  </si>
  <si>
    <t>Ớt Chuông Snack KG 21/11/2024</t>
  </si>
  <si>
    <t>Xà Lách Thủy Tinh T.C Cây Cây 21/11/2024</t>
  </si>
  <si>
    <t>Xà Lách Mỡ KG 22/11/2024</t>
  </si>
  <si>
    <t>Củ Khoai Mỡ KG 22/11/2024</t>
  </si>
  <si>
    <t>Cà Chua Beef KG 22/11/2024</t>
  </si>
  <si>
    <t>Củ Khoai Lang Mật Size 46 KG 22/11/2024</t>
  </si>
  <si>
    <t>Cà Chua Thường KG 22/11/2024</t>
  </si>
  <si>
    <t>Củ Hành Tây KG 22/11/2024</t>
  </si>
  <si>
    <t>Hành Paro KG 22/11/2024</t>
  </si>
  <si>
    <t>Hành Paro Cây 22/11/2024</t>
  </si>
  <si>
    <t>Ớt Chuông Baby KG 22/11/2024</t>
  </si>
  <si>
    <t>Cà Chua Bi Mix Hộp 22/11/2024</t>
  </si>
  <si>
    <t>Cà Chua Socola Hộp 300gr 22/11/2024</t>
  </si>
  <si>
    <t>Cải Kale Túi 22/11/2024</t>
  </si>
  <si>
    <t>Ớt Sweet Palemo Túi 22/11/2024</t>
  </si>
  <si>
    <t>Dưa Leo Thường KG 22/11/2024</t>
  </si>
  <si>
    <t>Củ Dền KG 22/11/2024</t>
  </si>
  <si>
    <t>Củ Khoai Lang Nhật KG 22/11/2024</t>
  </si>
  <si>
    <t>Bí Đỏ Tròn KG 22/11/2024</t>
  </si>
  <si>
    <t>Măng Tây KG 22/11/2024</t>
  </si>
  <si>
    <t>Đậu Cove Trắng Túi 300gr 22/11/2024</t>
  </si>
  <si>
    <t>Cần Tây Cây 22/11/2024</t>
  </si>
  <si>
    <t>Rau Ngò Rí KG 22/11/2024</t>
  </si>
  <si>
    <t>Bí Ngòi Xanh KG 22/11/2024</t>
  </si>
  <si>
    <t>Bí Ngòi Xanh Trái 280gr 22/11/2024</t>
  </si>
  <si>
    <t>Ớt Chuông Vàng Trái 180gr 22/11/2024</t>
  </si>
  <si>
    <t>Ớt Chuông Xanh Trái 180gr 22/11/2024</t>
  </si>
  <si>
    <t>Bông Cải Xanh Baby Vỉ 22/11/2024</t>
  </si>
  <si>
    <t>Bí Đao Xanh Trái 22/11/2024</t>
  </si>
  <si>
    <t>Bí Non Nhật Trái 22/11/2024</t>
  </si>
  <si>
    <t>Lá É Gói 22/11/2024</t>
  </si>
  <si>
    <t>Cà Rốt KG 22/11/2024</t>
  </si>
  <si>
    <t>Xà Lách Lolo Xanh T.C KG 22/11/2024</t>
  </si>
  <si>
    <t>Cà Chua Beef Trung Vỉ 500gr 22/11/2024</t>
  </si>
  <si>
    <t>Dưa Leo Baby Vỉ 22/11/2024</t>
  </si>
  <si>
    <t>Ớt Chuông Đỏ Trái 180gr 22/11/2024</t>
  </si>
  <si>
    <t>Cà Rốt Baby Vỉ 22/11/2024</t>
  </si>
  <si>
    <t>Xà Lách Mỡ T.C KG 22/11/2024</t>
  </si>
  <si>
    <t>Bơ Booth KG 22/11/2024</t>
  </si>
  <si>
    <t>Chanh Không Hạt Vỉ 22/11/2024</t>
  </si>
  <si>
    <t>Củ Cải Trắng KG 22/11/2024</t>
  </si>
  <si>
    <t>Củ Khoai Tây Vàng KG 22/11/2024</t>
  </si>
  <si>
    <t>Đậu Cove Nhật Túi 22/11/2024</t>
  </si>
  <si>
    <t>Hồng Treo Gió Hộp 22/11/2024</t>
  </si>
  <si>
    <t>Lá Hương Thảo Túi 22/11/2024</t>
  </si>
  <si>
    <t>Lá Nha Đam KG 22/11/2024</t>
  </si>
  <si>
    <t>Xà Lách Lolo Xanh T.C Cây Cây 22/11/2024</t>
  </si>
  <si>
    <t>Xà Lách Mỡ T.C Cây Cây 22/11/2024</t>
  </si>
  <si>
    <t>Xà Lách Mỹ KG 22/11/2024</t>
  </si>
  <si>
    <t>Xà Lách Rocket Túi 22/11/2024</t>
  </si>
  <si>
    <t>Xà Lách Romaine KG 22/11/2024</t>
  </si>
  <si>
    <t>Củ Dền KG 23/11/2024</t>
  </si>
  <si>
    <t>Củ Hành Tây KG 23/11/2024</t>
  </si>
  <si>
    <t>Củ Khoai Lang Nhật KG 23/11/2024</t>
  </si>
  <si>
    <t>Cà Chua Beef KG 23/11/2024</t>
  </si>
  <si>
    <t>Củ Khoai Lang Mật Size 46 KG 23/11/2024</t>
  </si>
  <si>
    <t>Măng Tây KG 23/11/2024</t>
  </si>
  <si>
    <t>Ớt Sweet Palemo Túi 23/11/2024</t>
  </si>
  <si>
    <t>Cà Chua Thường KG 23/11/2024</t>
  </si>
  <si>
    <t>Cần Tây Cây 23/11/2024</t>
  </si>
  <si>
    <t>Rau Ngò Rí KG 23/11/2024</t>
  </si>
  <si>
    <t>Bí Ngòi Xanh Trái 280gr 23/11/2024</t>
  </si>
  <si>
    <t>Hành Paro KG 23/11/2024</t>
  </si>
  <si>
    <t>Hành Paro Cây 23/11/2024</t>
  </si>
  <si>
    <t>Cải Bó Xôi KG 23/11/2024</t>
  </si>
  <si>
    <t>Ớt Chuông Vàng Trái 180gr 23/11/2024</t>
  </si>
  <si>
    <t>Ớt Chuông Xanh Trái 180gr 23/11/2024</t>
  </si>
  <si>
    <t>Bông Cải Xanh Baby Vỉ 23/11/2024</t>
  </si>
  <si>
    <t>Ớt Chuông Baby KG 23/11/2024</t>
  </si>
  <si>
    <t>Cà Chua Socola Hộp 300gr 23/11/2024</t>
  </si>
  <si>
    <t>Cải Kale Túi 23/11/2024</t>
  </si>
  <si>
    <t>Cải Kale Túi 150gr 23/11/2024</t>
  </si>
  <si>
    <t>Bí Non Nhật Trái 23/11/2024</t>
  </si>
  <si>
    <t>Lá Mè Túi 23/11/2024</t>
  </si>
  <si>
    <t>Cà Rốt KG 23/11/2024</t>
  </si>
  <si>
    <t>Xà Lách Mỡ T.C Cây Cây 23/11/2024</t>
  </si>
  <si>
    <t>Cà Chua Bi Mix Hộp 23/11/2024</t>
  </si>
  <si>
    <t>Bí Đao Xanh Trái 23/11/2024</t>
  </si>
  <si>
    <t>Lá É Gói 23/11/2024</t>
  </si>
  <si>
    <t>Xà Lách Lolo Xanh T.C KG 23/11/2024</t>
  </si>
  <si>
    <t>Dưa Leo Baby Vỉ 23/11/2024</t>
  </si>
  <si>
    <t>Cà Chua Beef Trung Vỉ 500gr 23/11/2024</t>
  </si>
  <si>
    <t>Ớt Chuông Đỏ Trái 180gr 23/11/2024</t>
  </si>
  <si>
    <t>Cà Rốt Baby Vỉ 23/11/2024</t>
  </si>
  <si>
    <t>Xà Lách Mỡ T.C KG 23/11/2024</t>
  </si>
  <si>
    <t>Củ Khoai Tây Vàng KG 23/11/2024</t>
  </si>
  <si>
    <t>Đậu Đỏ KG 23/11/2024</t>
  </si>
  <si>
    <t>Dưa Leo Nhật Túi 23/11/2024</t>
  </si>
  <si>
    <t>Xà Lách Lolo Xanh KG 23/11/2024</t>
  </si>
  <si>
    <t>Xà Lách Lolo Xanh T.C Cây Cây 23/11/2024</t>
  </si>
  <si>
    <t>Xà Lách Mỹ KG 23/11/2024</t>
  </si>
  <si>
    <t>Xà Lách Romaine Túi 23/11/2024</t>
  </si>
  <si>
    <t>Bắp Cải Trái Tim KG 23/11/2024</t>
  </si>
  <si>
    <t>Chanh Không Hạt Vỉ 23/11/2024</t>
  </si>
  <si>
    <t>Củ Cải Trắng KG 23/11/2024</t>
  </si>
  <si>
    <t>Đậu Cove Nhật Túi 23/11/2024</t>
  </si>
  <si>
    <t>Hồng Treo Gió Hộp 23/11/2024</t>
  </si>
  <si>
    <t>Dưa Leo Thường KG 24/11/2024</t>
  </si>
  <si>
    <t>Cà Chua Thường KG 24/11/2024</t>
  </si>
  <si>
    <t>Cần Tây Cây 24/11/2024</t>
  </si>
  <si>
    <t>Bí Ngòi Xanh Trái 280gr 24/11/2024</t>
  </si>
  <si>
    <t>Cải Bó Xôi KG 24/11/2024</t>
  </si>
  <si>
    <t>Bông Cải Xanh Baby Vỉ 24/11/2024</t>
  </si>
  <si>
    <t>Xà Lách Lolo Tím Túi 24/11/2024</t>
  </si>
  <si>
    <t>Lá Mè KG 24/11/2024</t>
  </si>
  <si>
    <t>Lá Mè Túi 24/11/2024</t>
  </si>
  <si>
    <t>Ớt Sweet Palemo KG 24/11/2024</t>
  </si>
  <si>
    <t>Ớt Sweet Palemo Túi 24/11/2024</t>
  </si>
  <si>
    <t>Củ Hành Tây KG 24/11/2024</t>
  </si>
  <si>
    <t>Củ Khoai Lang Nhật KG 24/11/2024</t>
  </si>
  <si>
    <t>Xà Lách Mỡ KG 24/11/2024</t>
  </si>
  <si>
    <t>Củ Khoai Lang Mật Size 46 KG 24/11/2024</t>
  </si>
  <si>
    <t>Măng Tây KG 24/11/2024</t>
  </si>
  <si>
    <t>Củ Cải Đỏ Hộp 24/11/2024</t>
  </si>
  <si>
    <t>Rau Ngò Rí KG 24/11/2024</t>
  </si>
  <si>
    <t>Hành Paro Cây 24/11/2024</t>
  </si>
  <si>
    <t>Ớt Chuông Vàng Trái 180gr 24/11/2024</t>
  </si>
  <si>
    <t>Ớt Chuông Xanh Trái 180gr 24/11/2024</t>
  </si>
  <si>
    <t>Ớt Chuông Baby KG 24/11/2024</t>
  </si>
  <si>
    <t>Cà Chua Bi Mix Hộp 24/11/2024</t>
  </si>
  <si>
    <t>Cà Chua Socola Hộp 300gr 24/11/2024</t>
  </si>
  <si>
    <t>Cải Kale Túi 24/11/2024</t>
  </si>
  <si>
    <t>Cải Kale Túi 150gr 24/11/2024</t>
  </si>
  <si>
    <t>Bí Non Nhật Trái 24/11/2024</t>
  </si>
  <si>
    <t>Cà Rốt KG 24/11/2024</t>
  </si>
  <si>
    <t>Cà Chua Bi Đỏ KG 24/11/2024</t>
  </si>
  <si>
    <t>Cà Chua Bi Đỏ Hộp 300gr 24/11/2024</t>
  </si>
  <si>
    <t>Xà Lách Lolo Xanh T.C KG 24/11/2024</t>
  </si>
  <si>
    <t>Lá É Gói 24/11/2024</t>
  </si>
  <si>
    <t>Dưa Leo Baby Vỉ 24/11/2024</t>
  </si>
  <si>
    <t>Cà Chua Beef Trung KG 24/11/2024</t>
  </si>
  <si>
    <t>Cà Chua Beef Trung Vỉ 500gr 24/11/2024</t>
  </si>
  <si>
    <t>Ớt Chuông Đỏ Trái 180gr 24/11/2024</t>
  </si>
  <si>
    <t>Cà Rốt Baby KG 24/11/2024</t>
  </si>
  <si>
    <t>Cà Rốt Baby Vỉ 24/11/2024</t>
  </si>
  <si>
    <t>Củ Khoai Tây Vàng KG 24/11/2024</t>
  </si>
  <si>
    <t>Xà Lách Lolo Xanh KG 24/11/2024</t>
  </si>
  <si>
    <t>Củ Khoai Mỡ KG 24/11/2024</t>
  </si>
  <si>
    <t>Dưa Leo Nhật Túi 24/11/2024</t>
  </si>
  <si>
    <t>Xà Lách Lolo Xanh T.C Cây Cây 24/11/2024</t>
  </si>
  <si>
    <t>Xà Lách Mỡ T.C Cây Cây 24/11/2024</t>
  </si>
  <si>
    <t>Xà Lách Mỹ KG 24/11/2024</t>
  </si>
  <si>
    <t>Xà Lách Rocket KG 24/11/2024</t>
  </si>
  <si>
    <t>Xà Lách Romaine KG 24/11/2024</t>
  </si>
  <si>
    <t>Xà Lách Thủy Tinh T.C Cây Cây 24/11/2024</t>
  </si>
  <si>
    <t>Bắp Cải Tím Kg 19/11/2024</t>
  </si>
  <si>
    <t>Bí Non Nhật Trái 19/11/2024</t>
  </si>
  <si>
    <t>Bí Non Nhật Kg 19/11/2024</t>
  </si>
  <si>
    <t>Bông Cải Xanh 7Cm Kg 19/11/2024</t>
  </si>
  <si>
    <t>Cà Chua Bi Đỏ Hộp 300gr 19/11/2024</t>
  </si>
  <si>
    <t>Cà Chua Thường Kg 19/11/2024</t>
  </si>
  <si>
    <t>Cải Bó Xôi Kg 19/11/2024</t>
  </si>
  <si>
    <t>Cải Kale Túi 19/11/2024</t>
  </si>
  <si>
    <t>Cần Tây Cây 19/11/2024</t>
  </si>
  <si>
    <t>Chanh Không Hạt Vỉ 19/11/2024</t>
  </si>
  <si>
    <t>Củ Cải Đỏ Hộp 19/11/2024</t>
  </si>
  <si>
    <t>Củ Cải Trắng Kg 19/11/2024</t>
  </si>
  <si>
    <t>Củ Dền Kg 19/11/2024</t>
  </si>
  <si>
    <t>Củ Hành Tây Kg 19/11/2024</t>
  </si>
  <si>
    <t>Củ Khoai Lang Mật Size 46 Kg 19/11/2024</t>
  </si>
  <si>
    <t>Củ Khoai Lang Nhật Kg 19/11/2024</t>
  </si>
  <si>
    <t>Củ Khoai Mỡ Kg 19/11/2024</t>
  </si>
  <si>
    <t>Củ Khoai Tây Vàng Kg 19/11/2024</t>
  </si>
  <si>
    <t>Củ Su Hào Kg 19/11/2024</t>
  </si>
  <si>
    <t>Đậu Cove Trắng Túi 300gr 19/11/2024</t>
  </si>
  <si>
    <t>Đậu Đỏ Kg 19/11/2024</t>
  </si>
  <si>
    <t>Dưa Leo Baby Vỉ 19/11/2024</t>
  </si>
  <si>
    <t>Dưa Leo Nhật Túi 19/11/2024</t>
  </si>
  <si>
    <t>Hành Paro Kg 19/11/2024</t>
  </si>
  <si>
    <t>Hành Paro Cây 19/11/2024</t>
  </si>
  <si>
    <t>Tên hàng ĐVT NGÀY NHẬP</t>
  </si>
  <si>
    <t>Lá Mè Túi 19/11/2024</t>
  </si>
  <si>
    <t>Lá Nha Đam Kg 19/11/2024</t>
  </si>
  <si>
    <t>Lá Quế Tây Kg 19/11/2024</t>
  </si>
  <si>
    <t>Ớt Chuông Baby Kg 19/11/2024</t>
  </si>
  <si>
    <t>Ớt Chuông Đỏ Trái 180gr 19/11/2024</t>
  </si>
  <si>
    <t>Ớt Chuông Vàng Trái 180gr 19/11/2024</t>
  </si>
  <si>
    <t>Ớt Chuông Xanh Trái 180gr 19/11/2024</t>
  </si>
  <si>
    <t>Ớt Sweet Palemo Túi 19/11/2024</t>
  </si>
  <si>
    <t>Rau Ngò Rí Kg 19/11/2024</t>
  </si>
  <si>
    <t>Xà Lách Lolo Xanh Kg 19/11/2024</t>
  </si>
  <si>
    <t>Xà Lách Lolo Xanh T.C Kg 19/11/2024</t>
  </si>
  <si>
    <t>Xà Lách Lolo Xanh T.C Cây Cây 19/11/2024</t>
  </si>
  <si>
    <t>Xà Lách Mỡ Kg 19/11/2024</t>
  </si>
  <si>
    <t>Xà Lách Mỡ T.C Cây Cây 19/11/2024</t>
  </si>
  <si>
    <t>Xà Lách Mỹ Kg 19/11/2024</t>
  </si>
  <si>
    <t>Xà Lách Romaine Kg 19/11/2024</t>
  </si>
  <si>
    <t>Xà Lách Thủy Tinh T.C Cây Cây 19/11/2024</t>
  </si>
  <si>
    <t>Bơ Booth Kg 19/11/2024</t>
  </si>
  <si>
    <t>Bí Ngòi Xanh Kg 19/11/2024</t>
  </si>
  <si>
    <t>Cà Chua Beef Trung Kg 19/11/2024</t>
  </si>
  <si>
    <t>Cà Chua Bi Đỏ Kg 19/11/2024</t>
  </si>
  <si>
    <t>Cà Rốt Baby Kg 19/11/2024</t>
  </si>
  <si>
    <t>Dưa Leo Baby Kg 19/11/2024</t>
  </si>
  <si>
    <t>Lá Mè Kg 19/11/2024</t>
  </si>
  <si>
    <t>Ớt Chuông Đỏ Kg 19/11/2024</t>
  </si>
  <si>
    <t>Ớt Chuông Vàng Kg 19/11/2024</t>
  </si>
  <si>
    <t>Ớt Sweet Palemo Kg 19/11/2024</t>
  </si>
  <si>
    <t>Cà Rốt Kg 19/11/2024</t>
  </si>
  <si>
    <t>Bắp Cải Trái Tim 21/11/2024</t>
  </si>
  <si>
    <t>Bí Đỏ Tròn 21/11/2024</t>
  </si>
  <si>
    <t>Bông Cải Xanh 7Cm 21/11/2024</t>
  </si>
  <si>
    <t>Bông Cải Xanh Baby 21/11/2024</t>
  </si>
  <si>
    <t>Cà Chua Bi Mix 21/11/2024</t>
  </si>
  <si>
    <t>Cà Chua Socola Hộp 21/11/2024</t>
  </si>
  <si>
    <t>Cà Rốt Baby 21/11/2024</t>
  </si>
  <si>
    <t>Cải Kale 21/11/2024</t>
  </si>
  <si>
    <t>Cần Tây 21/11/2024</t>
  </si>
  <si>
    <t>Chanh Không Hạt 21/11/2024</t>
  </si>
  <si>
    <t>Củ Hành Tây 21/11/2024</t>
  </si>
  <si>
    <t>Củ Khoai Lang Mật Size 46 21/11/2024</t>
  </si>
  <si>
    <t>Dưa Leo Baby 21/11/2024</t>
  </si>
  <si>
    <t>Dưa Leo Thường 21/11/2024</t>
  </si>
  <si>
    <t>Hành Paro 21/11/2024</t>
  </si>
  <si>
    <t>Hồng Treo Gió 21/11/2024</t>
  </si>
  <si>
    <t>Lá Mè 21/11/2024</t>
  </si>
  <si>
    <t>Lá Tía Tô 21/11/2024</t>
  </si>
  <si>
    <t>Ớt Chuông Baby 21/11/2024</t>
  </si>
  <si>
    <t>Ớt Sweet Palemo 21/11/2024</t>
  </si>
  <si>
    <t>Rau Ngò Rí 21/11/2024</t>
  </si>
  <si>
    <t>Xà Lách Mỡ 21/11/2024</t>
  </si>
  <si>
    <t>Xà Lách Mỹ 21/11/2024</t>
  </si>
  <si>
    <t>Bí Ngòi Xanh 21/11/2024</t>
  </si>
  <si>
    <t>Bí Non Nhật 20/11/2024</t>
  </si>
  <si>
    <t>Dưa Leo Thường 25/11/2024</t>
  </si>
  <si>
    <t>Cần Tây 25/11/2024</t>
  </si>
  <si>
    <t>Bí Ngòi Xanh 25/11/2024</t>
  </si>
  <si>
    <t>Cải Bó Xôi 25/11/2024</t>
  </si>
  <si>
    <t>Cà Chua Socola 25/11/2024</t>
  </si>
  <si>
    <t>Bí Đao Xanh 25/11/2024</t>
  </si>
  <si>
    <t>Bí Non Nhật 25/11/2024</t>
  </si>
  <si>
    <t>Ớt Sweet Palemo 25/11/2024</t>
  </si>
  <si>
    <t>Bông Cải Xanh Baby 25/11/2024</t>
  </si>
  <si>
    <t>Xà Lách Lolo Tím 25/11/2024</t>
  </si>
  <si>
    <t>Lá Mè 25/11/2024</t>
  </si>
  <si>
    <t>Xà Lách Mỡ 25/11/2024</t>
  </si>
  <si>
    <t>Măng Tây 25/11/2024</t>
  </si>
  <si>
    <t>Đậu Cove Trắng 25/11/2024</t>
  </si>
  <si>
    <t>Củ Khoai Lang Mật Size 46 25/11/2024</t>
  </si>
  <si>
    <t>Hành Paro 25/11/2024</t>
  </si>
  <si>
    <t>Ớt Chuông Vàng 25/11/2024</t>
  </si>
  <si>
    <t>Ớt Chuông Xanh 25/11/2024</t>
  </si>
  <si>
    <t>Ớt Chuông Baby 25/11/2024</t>
  </si>
  <si>
    <t>Cà Chua Bi Mix 25/11/2024</t>
  </si>
  <si>
    <t>Cải Kale 25/11/2024</t>
  </si>
  <si>
    <t>Cà Rốt 25/11/2024</t>
  </si>
  <si>
    <t>Cà Chua Bi Đỏ 25/11/2024</t>
  </si>
  <si>
    <t>Lá É 25/11/2024</t>
  </si>
  <si>
    <t>Xà Lách Lolo Xanh 25/11/2024</t>
  </si>
  <si>
    <t>Dưa Leo Baby 25/11/2024</t>
  </si>
  <si>
    <t>Ớt Chuông Đỏ 25/11/2024</t>
  </si>
  <si>
    <t>Đậu Cove Nhật 25/11/2024</t>
  </si>
  <si>
    <t>Củ Khoai Tây Vàng 25/11/2024</t>
  </si>
  <si>
    <t>Ớt Chuông Ba Màu 25/11/2024</t>
  </si>
  <si>
    <t>Bông Cải Xanh 7Cm 25/11/2024</t>
  </si>
  <si>
    <t>Củ Hành Tây 25/11/2024</t>
  </si>
  <si>
    <t>Cà Chua Beef Trung 25/11/2024</t>
  </si>
  <si>
    <t>Cà Rốt Baby 25/11/2024</t>
  </si>
  <si>
    <t>Bắp Cải Tím 25/11/2024</t>
  </si>
  <si>
    <t>Dưa Leo Nhật 25/11/2024</t>
  </si>
  <si>
    <t>Xà Lách Lolo Xanh T.C Cây 25/11/2024</t>
  </si>
  <si>
    <t>Xà Lách Thủy Tinh T.C Cây 25/11/2024</t>
  </si>
  <si>
    <t>Bơ Booth 25/11/2024</t>
  </si>
  <si>
    <t>TÊN</t>
  </si>
  <si>
    <t>Bông Cải Trắng</t>
  </si>
  <si>
    <t>Cà Rốt Trung</t>
  </si>
  <si>
    <t>Cà Tím Sọc Pha Lê</t>
  </si>
  <si>
    <t>Chuối Laba</t>
  </si>
  <si>
    <t>Củ Sắn</t>
  </si>
  <si>
    <t>Đậu Tươi Hỗn Hợp Túi 100gr</t>
  </si>
  <si>
    <t>Hạt Dẻ Ngố</t>
  </si>
  <si>
    <t>Bó</t>
  </si>
  <si>
    <t>Ngọn Su Su</t>
  </si>
  <si>
    <t>Nguyên Liệu Cơm Chiên Dương Châu Túi 150gr</t>
  </si>
  <si>
    <t>Ớt Sừng Vàng</t>
  </si>
  <si>
    <t>Set Rau Salad</t>
  </si>
  <si>
    <t>Trái Cam Canh</t>
  </si>
  <si>
    <t>Trái Cóc Non</t>
  </si>
  <si>
    <t>vỉ</t>
  </si>
  <si>
    <t>hộp</t>
  </si>
  <si>
    <t>túi</t>
  </si>
  <si>
    <t>Trái Bưởi Diễn</t>
  </si>
  <si>
    <t>Tên Sản phẩm</t>
  </si>
  <si>
    <t>Cải Thìa</t>
  </si>
  <si>
    <t>Hồng Giòn Đà Lạt</t>
  </si>
  <si>
    <t>Bông Cải Xanh 10Cm</t>
  </si>
  <si>
    <t>Bí Đao Xanh 26/11/2024</t>
  </si>
  <si>
    <t>Bí Ngòi Xanh 26/11/2024</t>
  </si>
  <si>
    <t>Bí Non Nhật 26/11/2024</t>
  </si>
  <si>
    <t>Bông Cải Xanh 7Cm 26/11/2024</t>
  </si>
  <si>
    <t>Bông Cải Xanh Baby 26/11/2024</t>
  </si>
  <si>
    <t>Cà Chua Beef 26/11/2024</t>
  </si>
  <si>
    <t>Cà Chua Beef Trung 26/11/2024</t>
  </si>
  <si>
    <t>Cà Chua Bi Đỏ 26/11/2024</t>
  </si>
  <si>
    <t>Cà Chua Bi Mix 26/11/2024</t>
  </si>
  <si>
    <t>Cà Chua Socola 26/11/2024</t>
  </si>
  <si>
    <t>Cà Chua Thường 26/11/2024</t>
  </si>
  <si>
    <t>Cà Rốt 26/11/2024</t>
  </si>
  <si>
    <t>Cà Rốt Baby 26/11/2024</t>
  </si>
  <si>
    <t>Cà Rốt Trung 26/11/2024</t>
  </si>
  <si>
    <t>Cải Bó Xôi 26/11/2024</t>
  </si>
  <si>
    <t>Cải Kale 26/11/2024</t>
  </si>
  <si>
    <t>Cần Tây 26/11/2024</t>
  </si>
  <si>
    <t>Chanh Không Hạt 26/11/2024</t>
  </si>
  <si>
    <t>Củ Cải Đỏ 26/11/2024</t>
  </si>
  <si>
    <t>Củ Hành Tây 26/11/2024</t>
  </si>
  <si>
    <t>Củ Hành Tây Tím 26/11/2024</t>
  </si>
  <si>
    <t>Đậu Cove Nhật 26/11/2024</t>
  </si>
  <si>
    <t>Đậu Cove Trắng 26/11/2024</t>
  </si>
  <si>
    <t>Đậu Đỏ 26/11/2024</t>
  </si>
  <si>
    <t>Dưa Leo Baby 26/11/2024</t>
  </si>
  <si>
    <t>Dưa Leo Nhật 26/11/2024</t>
  </si>
  <si>
    <t>Dưa Leo Thường 26/11/2024</t>
  </si>
  <si>
    <t>Hành Paro 26/11/2024</t>
  </si>
  <si>
    <t>Lá Mè 26/11/2024</t>
  </si>
  <si>
    <t>Lá Nha Đam 26/11/2024</t>
  </si>
  <si>
    <t>Măng Tây 26/11/2024</t>
  </si>
  <si>
    <t>Ớt Chuông Ba Màu 26/11/2024</t>
  </si>
  <si>
    <t>Ớt Chuông Baby 26/11/2024</t>
  </si>
  <si>
    <t>Ớt Chuông Đỏ 26/11/2024</t>
  </si>
  <si>
    <t>Ớt Chuông Snack 26/11/2024</t>
  </si>
  <si>
    <t>Ớt Chuông Vàng 26/11/2024</t>
  </si>
  <si>
    <t>Ớt Sweet Palemo 26/11/2024</t>
  </si>
  <si>
    <t>Rau Ngò Rí 26/11/2024</t>
  </si>
  <si>
    <t>Xà Lách Lolo Tím 26/11/2024</t>
  </si>
  <si>
    <t>Xà Lách Lolo Xanh 26/11/2024</t>
  </si>
  <si>
    <t>Xà Lách Lolo Xanh T.C Cây 26/11/2024</t>
  </si>
  <si>
    <t>Xà Lách Mỡ 26/11/2024</t>
  </si>
  <si>
    <t>Xà Lách Mỡ T.C Cây 26/11/2024</t>
  </si>
  <si>
    <t>Xà Lách Mỹ 26/11/2024</t>
  </si>
  <si>
    <t>Xà Lách Rocket 26/11/2024</t>
  </si>
  <si>
    <t>Xà Lách Thủy Tinh T.C Cây 26/11/2024</t>
  </si>
  <si>
    <t>Bắp Cải Tím 27/11/2024</t>
  </si>
  <si>
    <t>Bắp Cải Trái Tim 27/11/2024</t>
  </si>
  <si>
    <t>Bí Đao Xanh 27/11/2024</t>
  </si>
  <si>
    <t>Bí Ngòi Xanh 27/11/2024</t>
  </si>
  <si>
    <t>Bí Non Nhật 27/11/2024</t>
  </si>
  <si>
    <t>Bơ Booth 27/11/2024</t>
  </si>
  <si>
    <t>Bông Cải Xanh 7Cm 27/11/2024</t>
  </si>
  <si>
    <t>Bông Cải Xanh Baby 27/11/2024</t>
  </si>
  <si>
    <t>Cà Chua Beef 27/11/2024</t>
  </si>
  <si>
    <t>Cà Chua Beef Trung 27/11/2024</t>
  </si>
  <si>
    <t>Cà Chua Bi Đỏ 27/11/2024</t>
  </si>
  <si>
    <t>Cà Chua Bi Mix 27/11/2024</t>
  </si>
  <si>
    <t>Cà Chua Socola 27/11/2024</t>
  </si>
  <si>
    <t>Cà Chua Thường 27/11/2024</t>
  </si>
  <si>
    <t>Cà Rốt 27/11/2024</t>
  </si>
  <si>
    <t>Cà Rốt Baby 27/11/2024</t>
  </si>
  <si>
    <t>Cải Bó Xôi 27/11/2024</t>
  </si>
  <si>
    <t>Cải Kale 27/11/2024</t>
  </si>
  <si>
    <t>Cần Tây 27/11/2024</t>
  </si>
  <si>
    <t>Chanh Không Hạt 27/11/2024</t>
  </si>
  <si>
    <t>Củ Cải Đỏ 27/11/2024</t>
  </si>
  <si>
    <t>Củ Cải Trắng 27/11/2024</t>
  </si>
  <si>
    <t>Củ Dền 27/11/2024</t>
  </si>
  <si>
    <t>Củ Khoai Lang Mật Size 46 27/11/2024</t>
  </si>
  <si>
    <t>Củ Khoai Lang Nhật 27/11/2024</t>
  </si>
  <si>
    <t>Đậu Cove Trắng 27/11/2024</t>
  </si>
  <si>
    <t>Đậu Đỏ 27/11/2024</t>
  </si>
  <si>
    <t>Dưa Leo Baby 27/11/2024</t>
  </si>
  <si>
    <t>Dưa Leo Nhật 27/11/2024</t>
  </si>
  <si>
    <t>Dưa Leo Thường 27/11/2024</t>
  </si>
  <si>
    <t>Hành Paro 27/11/2024</t>
  </si>
  <si>
    <t>Lá Hương Thảo 27/11/2024</t>
  </si>
  <si>
    <t>Lá Mè 27/11/2024</t>
  </si>
  <si>
    <t>Măng Tây 27/11/2024</t>
  </si>
  <si>
    <t>Ớt Chuông Baby 27/11/2024</t>
  </si>
  <si>
    <t>Ớt Chuông Đỏ 27/11/2024</t>
  </si>
  <si>
    <t>Ớt Chuông Snack 27/11/2024</t>
  </si>
  <si>
    <t>Ớt Chuông Vàng 27/11/2024</t>
  </si>
  <si>
    <t>Ớt Chuông Xanh 27/11/2024</t>
  </si>
  <si>
    <t>Ớt Sweet Palemo 27/11/2024</t>
  </si>
  <si>
    <t>Rau Ngò Rí 27/11/2024</t>
  </si>
  <si>
    <t>Xà Lách Lolo Tím 27/11/2024</t>
  </si>
  <si>
    <t>Xà Lách Lolo Xanh 27/11/2024</t>
  </si>
  <si>
    <t>Xà Lách Lolo Xanh T.C Cây 27/11/2024</t>
  </si>
  <si>
    <t>Xà Lách Mỡ 27/11/2024</t>
  </si>
  <si>
    <t>Xà Lách Mỡ T.C Cây 27/11/2024</t>
  </si>
  <si>
    <t>Xà Lách Mỹ 27/11/2024</t>
  </si>
  <si>
    <t>Xà Lách Romaine 27/11/2024</t>
  </si>
  <si>
    <t>Xà Lách Thủy Tinh T.C Cây 27/11/2024</t>
  </si>
  <si>
    <t>Dưa Leo Thường 28/11/2024</t>
  </si>
  <si>
    <t>Ớt Chuông Đỏ 28/11/2024</t>
  </si>
  <si>
    <t>Hạt Dẻ Ngố 28/11/2024</t>
  </si>
  <si>
    <t>Xà Lách Lolo Xanh 28/11/2024</t>
  </si>
  <si>
    <t>Cà Chua Beef 28/11/2024</t>
  </si>
  <si>
    <t>Dưa Leo Baby 28/11/2024</t>
  </si>
  <si>
    <t>Cà Chua Thường 28/11/2024</t>
  </si>
  <si>
    <t>Cần Tây 28/11/2024</t>
  </si>
  <si>
    <t>Cải Bó Xôi 28/11/2024</t>
  </si>
  <si>
    <t>Bông Cải Xanh Baby 28/11/2024</t>
  </si>
  <si>
    <t>Cà Chua Socola 28/11/2024</t>
  </si>
  <si>
    <t>Ớt Sweet Palemo 28/11/2024</t>
  </si>
  <si>
    <t>Bí Ngòi Xanh 28/11/2024</t>
  </si>
  <si>
    <t>Bí Non Nhật 28/11/2024</t>
  </si>
  <si>
    <t>Xà Lách Lolo Tím 28/11/2024</t>
  </si>
  <si>
    <t>Lá Mè 28/11/2024</t>
  </si>
  <si>
    <t>Cà Chua Bi Đỏ 28/11/2024</t>
  </si>
  <si>
    <t>Xà Lách Lolo Xanh Sushi 28/11/2024</t>
  </si>
  <si>
    <t>Củ Dền 28/11/2024</t>
  </si>
  <si>
    <t>Củ Hành Tây 28/11/2024</t>
  </si>
  <si>
    <t>Củ Khoai Lang Nhật 28/11/2024</t>
  </si>
  <si>
    <t>Xà Lách Mỡ 28/11/2024</t>
  </si>
  <si>
    <t>Củ Khoai Mỡ 28/11/2024</t>
  </si>
  <si>
    <t>Củ Khoai Lang Mật Size 46 28/11/2024</t>
  </si>
  <si>
    <t>Măng Tây 28/11/2024</t>
  </si>
  <si>
    <t>Củ Cải Đỏ 28/11/2024</t>
  </si>
  <si>
    <t>Đậu Cove Trắng 28/11/2024</t>
  </si>
  <si>
    <t>Rau Ngò Rí 28/11/2024</t>
  </si>
  <si>
    <t>Hành Paro 28/11/2024</t>
  </si>
  <si>
    <t>Ớt Chuông Vàng 28/11/2024</t>
  </si>
  <si>
    <t>Ớt Chuông Xanh 28/11/2024</t>
  </si>
  <si>
    <t>Ớt Chuông Baby 28/11/2024</t>
  </si>
  <si>
    <t>Cà Chua Bi Mix 28/11/2024</t>
  </si>
  <si>
    <t>Cải Kale 28/11/2024</t>
  </si>
  <si>
    <t>Bí Đao Xanh 28/11/2024</t>
  </si>
  <si>
    <t>Xà Lách Mỡ T.C Cây 28/11/2024</t>
  </si>
  <si>
    <t>Xà Lách Lolo Xanh T.C Cây 28/11/2024</t>
  </si>
  <si>
    <t>Lá Tía Tô 28/11/2024</t>
  </si>
  <si>
    <t>Lá É 28/11/2024</t>
  </si>
  <si>
    <t>Bí Đỏ Tròn 28/11/2024</t>
  </si>
  <si>
    <t>Cà Rốt 28/11/2024</t>
  </si>
  <si>
    <t>Xà Lách Lolo Xanh T.C 28/11/2024</t>
  </si>
  <si>
    <t>Trái Chanh Vàng 28/11/2024</t>
  </si>
  <si>
    <t>Đậu Cove Nhật 28/11/2024</t>
  </si>
  <si>
    <t>Củ Khoai Tây Bi Vàng 28/11/2024</t>
  </si>
  <si>
    <t>Ớt Chuông Ba Màu 28/11/2024</t>
  </si>
  <si>
    <t>Cà Chua Beef Trung 28/11/2024</t>
  </si>
  <si>
    <t>Cà Rốt Baby 28/11/2024</t>
  </si>
  <si>
    <t>Xà Lách Mỡ T.C 28/11/2024</t>
  </si>
  <si>
    <t>Bơ Booth 28/11/2024</t>
  </si>
  <si>
    <t>Chanh Không Hạt 28/11/2024</t>
  </si>
  <si>
    <t>Củ Hành Tây Tím 28/11/2024</t>
  </si>
  <si>
    <t>Củ Khoai Tây Vàng 28/11/2024</t>
  </si>
  <si>
    <t>Đậu Đỏ 28/11/2024</t>
  </si>
  <si>
    <t>Hồng Treo Gió 28/11/2024</t>
  </si>
  <si>
    <t>Ớt Chuông Snack 28/11/2024</t>
  </si>
  <si>
    <t>Xà Lách Mỹ 28/11/2024</t>
  </si>
  <si>
    <t>Xà Lách Rocket 28/11/2024</t>
  </si>
  <si>
    <t>Xà Lách Thủy Tinh T.C Cây 28/11/2024</t>
  </si>
  <si>
    <t>Bắp Cải Tím 28/11/2024</t>
  </si>
  <si>
    <t>Bắp Cải Trái Tim 28/11/2024</t>
  </si>
  <si>
    <t>Bí Ngô Mini 28/11/2024</t>
  </si>
  <si>
    <t>Bông Cải Xanh 7Cm 28/11/2024</t>
  </si>
  <si>
    <t>Củ Su Hào 28/11/2024</t>
  </si>
  <si>
    <t>Lá Quế Tây 28/11/2024</t>
  </si>
  <si>
    <t>Xà Lách Romaine 28/11/2024</t>
  </si>
  <si>
    <t>Bắp Cải Trắng 28/11/2024</t>
  </si>
  <si>
    <t>Cải Thảo 28/11/2024</t>
  </si>
  <si>
    <t>Củ Cải Trắng 28/11/2024</t>
  </si>
  <si>
    <t>Dưa Leo Nhật 28/11/2024</t>
  </si>
  <si>
    <t>Lá Hương Thảo 28/11/2024</t>
  </si>
  <si>
    <t>Lá Nha Đam 28/11/2024</t>
  </si>
  <si>
    <t>Trái Mít Thái 28/11/2024</t>
  </si>
  <si>
    <t>Xà Lách Thủy Tinh T.C 28/11/2024</t>
  </si>
  <si>
    <t>Cà Tím Sọc Pha Lê 28/11/2024</t>
  </si>
  <si>
    <t>Cải Thìa 28/11/2024</t>
  </si>
  <si>
    <t>Nguyên Liệu Cơm Chiên Dương Châu Túi 150gr 28/11/2024</t>
  </si>
  <si>
    <t>Đậu Tươi Hỗn Hợp Túi 100gr 28/11/2024</t>
  </si>
  <si>
    <t>Set Rau Salad 28/11/2024</t>
  </si>
  <si>
    <t>Ngọn Su Su 28/11/2024</t>
  </si>
  <si>
    <t>Dưa Leo Thường 29/11/2024</t>
  </si>
  <si>
    <t>Cà Chua Beef 29/11/2024</t>
  </si>
  <si>
    <t>Cà Chua Thường 29/11/2024</t>
  </si>
  <si>
    <t>Cần Tây 29/11/2024</t>
  </si>
  <si>
    <t>Bí Ngòi Xanh 29/11/2024</t>
  </si>
  <si>
    <t>Hành Paro 29/11/2024</t>
  </si>
  <si>
    <t>Cải Bó Xôi 29/11/2024</t>
  </si>
  <si>
    <t>Bông Cải Xanh Baby 29/11/2024</t>
  </si>
  <si>
    <t>Ớt Sweet Palemo 29/11/2024</t>
  </si>
  <si>
    <t>Xà Lách Lolo Xanh 29/11/2024</t>
  </si>
  <si>
    <t>Cải Kale 29/11/2024</t>
  </si>
  <si>
    <t>Bí Đao Xanh 29/11/2024</t>
  </si>
  <si>
    <t>Xà Lách Lolo Tím 29/11/2024</t>
  </si>
  <si>
    <t>Lá Mè 29/11/2024</t>
  </si>
  <si>
    <t>Củ Dền 29/11/2024</t>
  </si>
  <si>
    <t>Củ Khoai Lang Nhật 29/11/2024</t>
  </si>
  <si>
    <t>Xà Lách Mỡ 29/11/2024</t>
  </si>
  <si>
    <t>Củ Khoai Lang Mật Size 46 29/11/2024</t>
  </si>
  <si>
    <t>Măng Tây 29/11/2024</t>
  </si>
  <si>
    <t>Dưa Leo Baby 29/11/2024</t>
  </si>
  <si>
    <t>Củ Cải Đỏ 29/11/2024</t>
  </si>
  <si>
    <t>Đậu Cove Trắng 29/11/2024</t>
  </si>
  <si>
    <t>Rau Ngò Rí 29/11/2024</t>
  </si>
  <si>
    <t>Ớt Chuông Đỏ 29/11/2024</t>
  </si>
  <si>
    <t>Ớt Chuông Vàng 29/11/2024</t>
  </si>
  <si>
    <t xml:space="preserve">Tên Sản phẩm </t>
  </si>
  <si>
    <t>Ớt Chuông Xanh 29/11/2024</t>
  </si>
  <si>
    <t>Ớt Chuông Baby 29/11/2024</t>
  </si>
  <si>
    <t>Cà Chua Bi Mix 29/11/2024</t>
  </si>
  <si>
    <t>Bí Non Nhật 29/11/2024</t>
  </si>
  <si>
    <t>Cà Rốt 29/11/2024</t>
  </si>
  <si>
    <t>Cà Chua Bi Đỏ 29/11/2024</t>
  </si>
  <si>
    <t>Xà Lách Mỡ T.C Cây 29/11/2024</t>
  </si>
  <si>
    <t>Xà Lách Lolo Xanh T.C Cây 29/11/2024</t>
  </si>
  <si>
    <t>Cà Chua Beef Trung 29/11/2024</t>
  </si>
  <si>
    <t>Cà Rốt Baby 29/11/2024</t>
  </si>
  <si>
    <t>Bắp Cải Tím 29/11/2024</t>
  </si>
  <si>
    <t>Bắp Cải Trái Tim 29/11/2024</t>
  </si>
  <si>
    <t>Bơ Booth 29/11/2024</t>
  </si>
  <si>
    <t>Bông Cải Xanh 7Cm 29/11/2024</t>
  </si>
  <si>
    <t>Chanh Không Hạt 29/11/2024</t>
  </si>
  <si>
    <t>Củ Su Hào 29/11/2024</t>
  </si>
  <si>
    <t>Đậu Cove Nhật 29/11/2024</t>
  </si>
  <si>
    <t>Hồng Treo Gió 29/11/2024</t>
  </si>
  <si>
    <t>Lá Quế Tây 29/11/2024</t>
  </si>
  <si>
    <t>Ớt Chuông Snack 29/11/2024</t>
  </si>
  <si>
    <t>Xà Lách Lolo Xanh T.C 29/11/2024</t>
  </si>
  <si>
    <t>Xà Lách Mỹ 29/11/2024</t>
  </si>
  <si>
    <t>Xà Lách Rocket 29/11/2024</t>
  </si>
  <si>
    <t>Xà Lách Thủy Tinh T.C Cây 29/11/2024</t>
  </si>
  <si>
    <t>Củ Dền 30/11/2024</t>
  </si>
  <si>
    <t>Củ Hành Tây 30/11/2024</t>
  </si>
  <si>
    <t>Cà Chua Beef 30/11/2024</t>
  </si>
  <si>
    <t>Củ Khoai Lang Mật Size 46 30/11/2024</t>
  </si>
  <si>
    <t>Củ Cải Đỏ 30/11/2024</t>
  </si>
  <si>
    <t>Đậu Cove Trắng 30/11/2024</t>
  </si>
  <si>
    <t>Cà Chua Thường 30/11/2024</t>
  </si>
  <si>
    <t>Bí Ngòi Xanh 30/11/2024</t>
  </si>
  <si>
    <t>Hành Paro 30/11/2024</t>
  </si>
  <si>
    <t>Cải Bó Xôi 30/11/2024</t>
  </si>
  <si>
    <t>Ớt Chuông Đỏ 30/11/2024</t>
  </si>
  <si>
    <t>Ớt Chuông Baby 30/11/2024</t>
  </si>
  <si>
    <t>Cà Chua Bi Mix 30/11/2024</t>
  </si>
  <si>
    <t>Cà Chua Socola 30/11/2024</t>
  </si>
  <si>
    <t>Bí Đao Xanh 30/11/2024</t>
  </si>
  <si>
    <t>Bí Non Nhật 30/11/2024</t>
  </si>
  <si>
    <t>Xà Lách Lolo Tím 30/11/2024</t>
  </si>
  <si>
    <t>Ớt Sweet Palemo 30/11/2024</t>
  </si>
  <si>
    <t>Củ Khoai Lang Nhật 30/11/2024</t>
  </si>
  <si>
    <t>Bí Đỏ Tròn 30/11/2024</t>
  </si>
  <si>
    <t>Xà Lách Lolo Xanh 30/11/2024</t>
  </si>
  <si>
    <t>Măng Tây 30/11/2024</t>
  </si>
  <si>
    <t>Dưa Leo Baby 30/11/2024</t>
  </si>
  <si>
    <t>Dưa Leo Thường 30/11/2024</t>
  </si>
  <si>
    <t>Cần Tây 30/11/2024</t>
  </si>
  <si>
    <t>Rau Ngò Rí 30/11/2024</t>
  </si>
  <si>
    <t>Ớt Chuông Vàng 30/11/2024</t>
  </si>
  <si>
    <t>Ớt Chuông Xanh 30/11/2024</t>
  </si>
  <si>
    <t>Lá Mè 30/11/2024</t>
  </si>
  <si>
    <t>Xà Lách Mỡ T.C Cây 30/11/2024</t>
  </si>
  <si>
    <t>Xà Lách Lolo Xanh T.C Cây 30/11/2024</t>
  </si>
  <si>
    <t>Bông Cải Xanh Baby 30/11/2024</t>
  </si>
  <si>
    <t>Cải Kale 30/11/2024</t>
  </si>
  <si>
    <t>Cà Rốt 30/11/2024</t>
  </si>
  <si>
    <t>Cà Chua Bi Đỏ 30/11/2024</t>
  </si>
  <si>
    <t>Cà Chua Beef Trung 30/11/2024</t>
  </si>
  <si>
    <t>Cà Rốt Baby 30/11/2024</t>
  </si>
  <si>
    <t>Bắp Cải Trái Tim 30/11/2024</t>
  </si>
  <si>
    <t>Bắp Cải Trắng 30/11/2024</t>
  </si>
  <si>
    <t>Bơ Booth 30/11/2024</t>
  </si>
  <si>
    <t>Bông Cải Xanh 7Cm 30/11/2024</t>
  </si>
  <si>
    <t>Cải Thảo 30/11/2024</t>
  </si>
  <si>
    <t>Chanh Không Hạt 30/11/2024</t>
  </si>
  <si>
    <t>Củ Cải Trắng 30/11/2024</t>
  </si>
  <si>
    <t>Củ Hành Tây Tím 30/11/2024</t>
  </si>
  <si>
    <t>Củ Su Hào 30/11/2024</t>
  </si>
  <si>
    <t>Dưa Leo Nhật 30/11/2024</t>
  </si>
  <si>
    <t>Lá Nha Đam 30/11/2024</t>
  </si>
  <si>
    <t>Lá Tía Tô 30/11/2024</t>
  </si>
  <si>
    <t>Ớt Chuông Ba Màu 30/11/2024</t>
  </si>
  <si>
    <t>Xà Lách Mỹ 30/11/2024</t>
  </si>
  <si>
    <t>Xà Lách Rocket 30/11/2024</t>
  </si>
  <si>
    <t>Xà Lách Thủy Tinh T.C Cây 30/11/2024</t>
  </si>
  <si>
    <t>Bắp Cải Tím 30/11/2024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</si>
</sst>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.00_);\(#,##0.0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sz val="13"/>
      <color theme="1"/>
      <name val="Times New Roman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center" wrapText="1"/>
    </xf>
  </cellStyleXfs>
  <cellXfs count="10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5" fontId="2" fillId="0" borderId="0" xfId="0" applyNumberFormat="1" applyFont="1" applyAlignment="1">
      <alignment horizontal="right" vertical="center" wrapText="1"/>
    </xf>
    <xf numFmtId="14" fontId="0" fillId="0" borderId="0" xfId="0" applyNumberFormat="1"/>
    <xf numFmtId="43" fontId="0" fillId="0" borderId="0" xfId="1" applyFont="1"/>
    <xf numFmtId="164" fontId="0" fillId="0" borderId="0" xfId="1" applyNumberFormat="1" applyFont="1" applyAlignment="1">
      <alignment horizontal="left"/>
    </xf>
    <xf numFmtId="0" fontId="0" fillId="0" borderId="0" xfId="0" applyAlignment="1">
      <alignment wrapText="1"/>
    </xf>
  </cellXfs>
  <cellStyles count="3">
    <cellStyle name="Comma" xfId="1" builtinId="3"/>
    <cellStyle name="Normal" xfId="0" builtinId="0"/>
    <cellStyle name="Normal 2" xfId="2" xr:uid="{FBA43CBC-46B5-45E3-8B7A-B762BDBF54F2}"/>
  </cellStyles>
  <dxfs count="60">
    <dxf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.VEGA/%23V&#431;&#7900;N%20RAU%20&#272;&#192;%20L&#7840;T/02.SALE/1.%20B&#193;O%20C&#193;O/01.%20Daily%20report/Sales%20revenue/DAILY%20SALE%20NOVEMBER%20FINAL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d-a\Downloads\So_chi_tiet_mua_hang%20(5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SALE"/>
      <sheetName val="PURCHASE BY DAY"/>
      <sheetName val="PURCHASE DETAIL"/>
      <sheetName val="SALE BY CUSTOMER"/>
      <sheetName val="SALE DETAIL"/>
      <sheetName val="BY CUSTOMER"/>
      <sheetName val="TIỀN MUA PHỤ"/>
      <sheetName val="MÃ NGUỒN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Tên hàng Ngày hạch toán</v>
          </cell>
          <cell r="B1" t="str">
            <v>Đơn giá</v>
          </cell>
        </row>
        <row r="2">
          <cell r="A2" t="str">
            <v>THUE PHONG DAI HAN - Actual Apt Rental - (01/11/2024 - 30/11/2024) 01/11/2024</v>
          </cell>
          <cell r="B2">
            <v>2597402.6</v>
          </cell>
        </row>
        <row r="3">
          <cell r="A3" t="str">
            <v>PHI PHUC VU - Actual LT Service Charge - (01/11/2024 - 30/11/2024) 01/11/2024</v>
          </cell>
          <cell r="B3">
            <v>129870.13</v>
          </cell>
        </row>
        <row r="4">
          <cell r="A4" t="str">
            <v>DO 0.05S-II 01/11/2024</v>
          </cell>
          <cell r="B4">
            <v>16818.18</v>
          </cell>
        </row>
        <row r="5">
          <cell r="A5" t="str">
            <v>Sóng trái cây (Khay nhựa) 01/11/2024</v>
          </cell>
          <cell r="B5">
            <v>52000</v>
          </cell>
        </row>
        <row r="6">
          <cell r="A6" t="str">
            <v>Thùng xốp luôn nắp (600*450*410) 01/11/2024</v>
          </cell>
          <cell r="B6">
            <v>44000</v>
          </cell>
        </row>
        <row r="7">
          <cell r="A7" t="str">
            <v>Cước vận chuyển (Lộ trình Hà Nội-Hải Phòng) Ngày 16/10/2024 01/11/2024</v>
          </cell>
          <cell r="B7">
            <v>0</v>
          </cell>
        </row>
        <row r="8">
          <cell r="A8" t="str">
            <v>Cước vận chuyển (Lộ trình Hà Nội-Hải Phòng) Ngày 19/10/2024 01/11/2024</v>
          </cell>
          <cell r="B8">
            <v>0</v>
          </cell>
        </row>
        <row r="9">
          <cell r="A9" t="str">
            <v>Cước vận chuyển (Lộ trình Hà Nội-Hải Phòng) Ngày 21/10/2024 01/11/2024</v>
          </cell>
          <cell r="B9">
            <v>0</v>
          </cell>
        </row>
        <row r="10">
          <cell r="A10" t="str">
            <v>Cước vận chuyển (Lộ trình Hà Nội-Hải Phòng) Ngày 23/10/2024 01/11/2024</v>
          </cell>
          <cell r="B10">
            <v>0</v>
          </cell>
        </row>
        <row r="11">
          <cell r="A11" t="str">
            <v>Cước vận chuyển (Lộ trình Hà Nội-Hải Phòng) Ngày 26/10/2024 01/11/2024</v>
          </cell>
          <cell r="B11">
            <v>0</v>
          </cell>
        </row>
        <row r="12">
          <cell r="A12" t="str">
            <v>Cước vận chuyển (Lộ trình Hà Nội-Hải Phòng) Ngày 28/10/2024 01/11/2024</v>
          </cell>
          <cell r="B12">
            <v>0</v>
          </cell>
        </row>
        <row r="13">
          <cell r="A13" t="str">
            <v>Cước vận chuyển (Lộ trình Hà Nội-Hải Phòng) Ngày 30/10/2024 01/11/2024</v>
          </cell>
          <cell r="B13">
            <v>0</v>
          </cell>
        </row>
        <row r="14">
          <cell r="A14" t="str">
            <v>Chi phí thuê kho Ngọc Thụy 01/11/2024</v>
          </cell>
          <cell r="B14">
            <v>0</v>
          </cell>
        </row>
        <row r="15">
          <cell r="A15" t="str">
            <v>DO 0.05S-II 01/11/2024</v>
          </cell>
          <cell r="B15">
            <v>16818.18</v>
          </cell>
        </row>
        <row r="16">
          <cell r="A16" t="str">
            <v>Bắp Cải Tím 01/11/2024</v>
          </cell>
          <cell r="B16">
            <v>30000</v>
          </cell>
        </row>
        <row r="17">
          <cell r="A17" t="str">
            <v>Bông Cải Xanh 7Cm 01/11/2024</v>
          </cell>
          <cell r="B17">
            <v>40000</v>
          </cell>
        </row>
        <row r="18">
          <cell r="A18" t="str">
            <v>Bông Cải Trắng 01/11/2024</v>
          </cell>
          <cell r="B18">
            <v>30000</v>
          </cell>
        </row>
        <row r="19">
          <cell r="A19" t="str">
            <v>Bông Cải Xanh 7Cm 01/11/2024</v>
          </cell>
          <cell r="B19">
            <v>40000</v>
          </cell>
        </row>
        <row r="20">
          <cell r="A20" t="str">
            <v>Cà Chua Beef Trung 01/11/2024</v>
          </cell>
          <cell r="B20">
            <v>15000</v>
          </cell>
        </row>
        <row r="21">
          <cell r="A21" t="str">
            <v>Cần Tây 01/11/2024</v>
          </cell>
          <cell r="B21">
            <v>13000</v>
          </cell>
        </row>
        <row r="22">
          <cell r="A22" t="str">
            <v>Xà Lách Lolo Xanh T.C Cây 01/11/2024</v>
          </cell>
          <cell r="B22">
            <v>6800</v>
          </cell>
        </row>
        <row r="23">
          <cell r="A23" t="str">
            <v>Xà Lách Mỡ T.C Cây 01/11/2024</v>
          </cell>
          <cell r="B23">
            <v>6800</v>
          </cell>
        </row>
        <row r="24">
          <cell r="A24" t="str">
            <v>Xà Lách Mỡ T.C 01/11/2024</v>
          </cell>
          <cell r="B24">
            <v>28000</v>
          </cell>
        </row>
        <row r="25">
          <cell r="A25" t="str">
            <v>Xà Lách Thủy Tinh T.C Cây 01/11/2024</v>
          </cell>
          <cell r="B25">
            <v>6800</v>
          </cell>
        </row>
        <row r="26">
          <cell r="A26" t="str">
            <v>Xà Lách Thủy Tinh T.C 01/11/2024</v>
          </cell>
          <cell r="B26">
            <v>30000</v>
          </cell>
        </row>
        <row r="27">
          <cell r="A27" t="str">
            <v>Cần Tây 01/11/2024</v>
          </cell>
          <cell r="B27">
            <v>13000</v>
          </cell>
        </row>
        <row r="28">
          <cell r="A28" t="str">
            <v>Bông Cải Xanh 7Cm 01/11/2024</v>
          </cell>
          <cell r="B28">
            <v>40000</v>
          </cell>
        </row>
        <row r="29">
          <cell r="A29" t="str">
            <v>Cải Thảo Hỏa Tiễn 01/11/2024</v>
          </cell>
          <cell r="B29">
            <v>16000</v>
          </cell>
        </row>
        <row r="30">
          <cell r="A30" t="str">
            <v>Cà Chua Beef Chùm 01/11/2024</v>
          </cell>
          <cell r="B30">
            <v>24000</v>
          </cell>
        </row>
        <row r="31">
          <cell r="A31" t="str">
            <v>Cà Chua Beef 01/11/2024</v>
          </cell>
          <cell r="B31">
            <v>21000</v>
          </cell>
        </row>
        <row r="32">
          <cell r="A32" t="str">
            <v>Cà Chua Beef Trung 01/11/2024</v>
          </cell>
          <cell r="B32">
            <v>16000</v>
          </cell>
        </row>
        <row r="33">
          <cell r="A33" t="str">
            <v>Củ Hành Tây 01/11/2024</v>
          </cell>
          <cell r="B33">
            <v>30000</v>
          </cell>
        </row>
        <row r="34">
          <cell r="A34" t="str">
            <v>Củ Hành Tây Tím 01/11/2024</v>
          </cell>
          <cell r="B34">
            <v>20000</v>
          </cell>
        </row>
        <row r="35">
          <cell r="A35" t="str">
            <v>Trái Mâm Xôi 01/11/2024</v>
          </cell>
          <cell r="B35">
            <v>35000</v>
          </cell>
        </row>
        <row r="36">
          <cell r="A36" t="str">
            <v>Cà Chua Socola 250Gr 01/11/2024</v>
          </cell>
          <cell r="B36">
            <v>7000</v>
          </cell>
        </row>
        <row r="37">
          <cell r="A37" t="str">
            <v>Xà Lách Lolo Xanh T.C 01/11/2024</v>
          </cell>
          <cell r="B37">
            <v>27000</v>
          </cell>
        </row>
        <row r="38">
          <cell r="A38" t="str">
            <v>Bông Cải Xanh Gốc Dài 01/11/2024</v>
          </cell>
          <cell r="B38">
            <v>25000</v>
          </cell>
        </row>
        <row r="39">
          <cell r="A39" t="str">
            <v>Cải Bó Xôi 01/11/2024</v>
          </cell>
          <cell r="B39">
            <v>34000</v>
          </cell>
        </row>
        <row r="40">
          <cell r="A40" t="str">
            <v>Đậu Cove Trắng 01/11/2024</v>
          </cell>
          <cell r="B40">
            <v>22000</v>
          </cell>
        </row>
        <row r="41">
          <cell r="A41" t="str">
            <v>Củ Khoai Lang Mật Size 23 01/11/2024</v>
          </cell>
          <cell r="B41">
            <v>22000</v>
          </cell>
        </row>
        <row r="42">
          <cell r="A42" t="str">
            <v>Xà Lách Thủy Tinh T.C Cây 01/11/2024</v>
          </cell>
          <cell r="B42">
            <v>7000</v>
          </cell>
        </row>
        <row r="43">
          <cell r="A43" t="str">
            <v>Củ Khoai Lang Nhật 01/11/2024</v>
          </cell>
          <cell r="B43">
            <v>20000</v>
          </cell>
        </row>
        <row r="44">
          <cell r="A44" t="str">
            <v>Cà Tím Cặp 400Gr 01/11/2024</v>
          </cell>
          <cell r="B44">
            <v>8000</v>
          </cell>
        </row>
        <row r="45">
          <cell r="A45" t="str">
            <v>Cà Rốt 01/11/2024</v>
          </cell>
          <cell r="B45">
            <v>19000</v>
          </cell>
        </row>
        <row r="46">
          <cell r="A46" t="str">
            <v>Xà Lách Mỡ T.C 01/11/2024</v>
          </cell>
          <cell r="B46">
            <v>27000</v>
          </cell>
        </row>
        <row r="47">
          <cell r="A47" t="str">
            <v>Xà Lách Lolo Xanh T.C 01/11/2024</v>
          </cell>
          <cell r="B47">
            <v>28000</v>
          </cell>
        </row>
        <row r="48">
          <cell r="A48" t="str">
            <v>Bí Đao Xanh 01/11/2024</v>
          </cell>
          <cell r="B48">
            <v>6000</v>
          </cell>
        </row>
        <row r="49">
          <cell r="A49" t="str">
            <v>Dưa Leo Thường 01/11/2024</v>
          </cell>
          <cell r="B49">
            <v>8000</v>
          </cell>
        </row>
        <row r="50">
          <cell r="A50" t="str">
            <v>Trái Khổ Qua 01/11/2024</v>
          </cell>
          <cell r="B50">
            <v>10000</v>
          </cell>
        </row>
        <row r="51">
          <cell r="A51" t="str">
            <v>Trái Bầu 01/11/2024</v>
          </cell>
          <cell r="B51">
            <v>15000</v>
          </cell>
        </row>
        <row r="52">
          <cell r="A52" t="str">
            <v>Củ Su Hào 01/11/2024</v>
          </cell>
          <cell r="B52">
            <v>18000</v>
          </cell>
        </row>
        <row r="53">
          <cell r="A53" t="str">
            <v>Củ Cải Trắng 01/11/2024</v>
          </cell>
          <cell r="B53">
            <v>6000</v>
          </cell>
        </row>
        <row r="54">
          <cell r="A54" t="str">
            <v>Củ Khoai Tây Bi Vàng 01/11/2024</v>
          </cell>
          <cell r="B54">
            <v>12000</v>
          </cell>
        </row>
        <row r="55">
          <cell r="A55" t="str">
            <v>Củ Khoai Tây Vàng 01/11/2024</v>
          </cell>
          <cell r="B55">
            <v>15000</v>
          </cell>
        </row>
        <row r="56">
          <cell r="A56" t="str">
            <v>Cà Rốt 01/11/2024</v>
          </cell>
          <cell r="B56">
            <v>19000</v>
          </cell>
        </row>
        <row r="57">
          <cell r="A57" t="str">
            <v>Cà Chua Thường 01/11/2024</v>
          </cell>
          <cell r="B57">
            <v>22000</v>
          </cell>
        </row>
        <row r="58">
          <cell r="A58" t="str">
            <v>Cà Chua Thường Trung 01/11/2024</v>
          </cell>
          <cell r="B58">
            <v>20000</v>
          </cell>
        </row>
        <row r="59">
          <cell r="A59" t="str">
            <v>Cà Rốt 01/11/2024</v>
          </cell>
          <cell r="B59">
            <v>20000</v>
          </cell>
        </row>
        <row r="60">
          <cell r="A60" t="str">
            <v>Đậu Đỏ 01/11/2024</v>
          </cell>
          <cell r="B60">
            <v>80000</v>
          </cell>
        </row>
        <row r="61">
          <cell r="A61" t="str">
            <v>Đậu Trắng 01/11/2024</v>
          </cell>
          <cell r="B61">
            <v>70000</v>
          </cell>
        </row>
        <row r="62">
          <cell r="A62" t="str">
            <v>Đậu Ngự 01/11/2024</v>
          </cell>
          <cell r="B62">
            <v>70000</v>
          </cell>
        </row>
        <row r="63">
          <cell r="A63" t="str">
            <v>Bơ Booth 01/11/2024</v>
          </cell>
          <cell r="B63">
            <v>26000</v>
          </cell>
        </row>
        <row r="64">
          <cell r="A64" t="str">
            <v>Xà Lách Lolo Xanh T.C 01/11/2024</v>
          </cell>
          <cell r="B64">
            <v>26000</v>
          </cell>
        </row>
        <row r="65">
          <cell r="A65" t="str">
            <v>Xà Lách Thủy Tinh T.C Cây 01/11/2024</v>
          </cell>
          <cell r="B65">
            <v>8000</v>
          </cell>
        </row>
        <row r="66">
          <cell r="A66" t="str">
            <v>Măng Tây 01/11/2024</v>
          </cell>
          <cell r="B66">
            <v>52000</v>
          </cell>
        </row>
        <row r="67">
          <cell r="A67" t="str">
            <v>Măng Tây 01/11/2024</v>
          </cell>
          <cell r="B67">
            <v>41500</v>
          </cell>
        </row>
        <row r="68">
          <cell r="A68" t="str">
            <v>Lá É 01/11/2024</v>
          </cell>
          <cell r="B68">
            <v>27000</v>
          </cell>
        </row>
        <row r="69">
          <cell r="A69" t="str">
            <v>Cần Tây 01/11/2024</v>
          </cell>
          <cell r="B69">
            <v>13000</v>
          </cell>
        </row>
        <row r="70">
          <cell r="A70" t="str">
            <v>Bí Ngòi Xanh 01/11/2024</v>
          </cell>
          <cell r="B70">
            <v>20000</v>
          </cell>
        </row>
        <row r="71">
          <cell r="A71" t="str">
            <v>Bí Ngòi Vàng 01/11/2024</v>
          </cell>
          <cell r="B71">
            <v>25000</v>
          </cell>
        </row>
        <row r="72">
          <cell r="A72" t="str">
            <v>Bông Cải Xanh 12Cm 01/11/2024</v>
          </cell>
          <cell r="B72">
            <v>31000</v>
          </cell>
        </row>
        <row r="73">
          <cell r="A73" t="str">
            <v>Cà Tím 01/11/2024</v>
          </cell>
          <cell r="B73">
            <v>12000</v>
          </cell>
        </row>
        <row r="74">
          <cell r="A74" t="str">
            <v>Trái Su Su 01/11/2024</v>
          </cell>
          <cell r="B74">
            <v>9500</v>
          </cell>
        </row>
        <row r="75">
          <cell r="A75" t="str">
            <v>Bí Đỏ Hồ Lô 01/11/2024</v>
          </cell>
          <cell r="B75">
            <v>11000</v>
          </cell>
        </row>
        <row r="76">
          <cell r="A76" t="str">
            <v>Chuối Laba 01/11/2024</v>
          </cell>
          <cell r="B76">
            <v>13000</v>
          </cell>
        </row>
        <row r="77">
          <cell r="A77" t="str">
            <v>Củ Gừng 01/11/2024</v>
          </cell>
          <cell r="B77">
            <v>45000</v>
          </cell>
        </row>
        <row r="78">
          <cell r="A78" t="str">
            <v>Củ Khoai Mỡ 01/11/2024</v>
          </cell>
          <cell r="B78">
            <v>28000</v>
          </cell>
        </row>
        <row r="79">
          <cell r="A79" t="str">
            <v>Dưa Leo Baby 500Gr 01/11/2024</v>
          </cell>
          <cell r="B79">
            <v>9000</v>
          </cell>
        </row>
        <row r="80">
          <cell r="A80" t="str">
            <v>Bí Ngòi Xanh 01/11/2024</v>
          </cell>
          <cell r="B80">
            <v>20000</v>
          </cell>
        </row>
        <row r="81">
          <cell r="A81" t="str">
            <v>Củ Dền 01/11/2024</v>
          </cell>
          <cell r="B81">
            <v>15000</v>
          </cell>
        </row>
        <row r="82">
          <cell r="A82" t="str">
            <v>Dưa Leo Baby 500Gr 01/11/2024</v>
          </cell>
          <cell r="B82">
            <v>6000</v>
          </cell>
        </row>
        <row r="83">
          <cell r="A83" t="str">
            <v>Dưa Leo Baby 500Gr 01/11/2024</v>
          </cell>
          <cell r="B83">
            <v>8500</v>
          </cell>
        </row>
        <row r="84">
          <cell r="A84" t="str">
            <v>Bắp Cải Trắng 01/11/2024</v>
          </cell>
          <cell r="B84">
            <v>13748.5</v>
          </cell>
        </row>
        <row r="85">
          <cell r="A85" t="str">
            <v>Bí Ngòi Xanh 01/11/2024</v>
          </cell>
          <cell r="B85">
            <v>21000</v>
          </cell>
        </row>
        <row r="86">
          <cell r="A86" t="str">
            <v>Xà Lách Lolo Xanh T.C 01/11/2024</v>
          </cell>
          <cell r="B86">
            <v>28000</v>
          </cell>
        </row>
        <row r="87">
          <cell r="A87" t="str">
            <v>Cà Chua Socola 250Gr 01/11/2024</v>
          </cell>
          <cell r="B87">
            <v>9000</v>
          </cell>
        </row>
        <row r="88">
          <cell r="A88" t="str">
            <v>Đậu Hà Lan Trái 01/11/2024</v>
          </cell>
          <cell r="B88">
            <v>80000</v>
          </cell>
        </row>
        <row r="89">
          <cell r="A89" t="str">
            <v>Lá Tía Tô 01/11/2024</v>
          </cell>
          <cell r="B89">
            <v>32000</v>
          </cell>
        </row>
        <row r="90">
          <cell r="A90" t="str">
            <v>Xà Lách Carol 01/11/2024</v>
          </cell>
          <cell r="B90">
            <v>32000</v>
          </cell>
        </row>
        <row r="91">
          <cell r="A91" t="str">
            <v>Xà Lách Rocket 01/11/2024</v>
          </cell>
          <cell r="B91">
            <v>120000</v>
          </cell>
        </row>
        <row r="92">
          <cell r="A92" t="str">
            <v>Ớt Chuông Vàng 01/11/2024</v>
          </cell>
          <cell r="B92">
            <v>33000</v>
          </cell>
        </row>
        <row r="93">
          <cell r="A93" t="str">
            <v>Ớt Chuông Baby 01/11/2024</v>
          </cell>
          <cell r="B93">
            <v>50000</v>
          </cell>
        </row>
        <row r="94">
          <cell r="A94" t="str">
            <v>Ớt Chuông Snack 01/11/2024</v>
          </cell>
          <cell r="B94">
            <v>58000</v>
          </cell>
        </row>
        <row r="95">
          <cell r="A95" t="str">
            <v>Rau Ngót 01/11/2024</v>
          </cell>
          <cell r="B95">
            <v>18000</v>
          </cell>
        </row>
        <row r="96">
          <cell r="A96" t="str">
            <v>Rau Ngò Rí 01/11/2024</v>
          </cell>
          <cell r="B96">
            <v>35000</v>
          </cell>
        </row>
        <row r="97">
          <cell r="A97" t="str">
            <v>Ớt Sweet Palemo 300Gr 01/11/2024</v>
          </cell>
          <cell r="B97">
            <v>20000</v>
          </cell>
        </row>
        <row r="98">
          <cell r="A98" t="str">
            <v>Hành Paro 01/11/2024</v>
          </cell>
          <cell r="B98">
            <v>48000</v>
          </cell>
        </row>
        <row r="99">
          <cell r="A99" t="str">
            <v>Cà Chua Bi 300Gr 01/11/2024</v>
          </cell>
          <cell r="B99">
            <v>11400</v>
          </cell>
        </row>
        <row r="100">
          <cell r="A100" t="str">
            <v>Cà Chua Bi 500Gr 01/11/2024</v>
          </cell>
          <cell r="B100">
            <v>19000</v>
          </cell>
        </row>
        <row r="101">
          <cell r="A101" t="str">
            <v>Cà Chua Socola 250Gr 01/11/2024</v>
          </cell>
          <cell r="B101">
            <v>10000</v>
          </cell>
        </row>
        <row r="102">
          <cell r="A102" t="str">
            <v>Cà Chua Beef 01/11/2024</v>
          </cell>
          <cell r="B102">
            <v>26000</v>
          </cell>
        </row>
        <row r="103">
          <cell r="A103" t="str">
            <v>Cải Kale 01/11/2024</v>
          </cell>
          <cell r="B103">
            <v>27000</v>
          </cell>
        </row>
        <row r="104">
          <cell r="A104" t="str">
            <v>Lá Mè 01/11/2024</v>
          </cell>
          <cell r="B104">
            <v>46000</v>
          </cell>
        </row>
        <row r="105">
          <cell r="A105" t="str">
            <v>Bí Non Nhật 01/11/2024</v>
          </cell>
          <cell r="B105">
            <v>11000</v>
          </cell>
        </row>
        <row r="106">
          <cell r="A106" t="str">
            <v>Đậu Cove Nhật 300Gr 01/11/2024</v>
          </cell>
          <cell r="B106">
            <v>9000</v>
          </cell>
        </row>
        <row r="107">
          <cell r="A107" t="str">
            <v>Dưa Leo Nhật 01/11/2024</v>
          </cell>
          <cell r="B107">
            <v>12000</v>
          </cell>
        </row>
        <row r="108">
          <cell r="A108" t="str">
            <v>Dưa Leo Thường 01/11/2024</v>
          </cell>
          <cell r="B108">
            <v>9000</v>
          </cell>
        </row>
        <row r="109">
          <cell r="A109" t="str">
            <v>Ớt Chuông Đỏ 01/11/2024</v>
          </cell>
          <cell r="B109">
            <v>48000</v>
          </cell>
        </row>
        <row r="110">
          <cell r="A110" t="str">
            <v>Ớt Chuông Vàng Trung 01/11/2024</v>
          </cell>
          <cell r="B110">
            <v>31000</v>
          </cell>
        </row>
        <row r="111">
          <cell r="A111" t="str">
            <v>Cà Chua Thường 01/11/2024</v>
          </cell>
          <cell r="B111">
            <v>22000</v>
          </cell>
        </row>
        <row r="112">
          <cell r="A112" t="str">
            <v>Dưa Leo Baby 01/11/2024</v>
          </cell>
          <cell r="B112">
            <v>13000</v>
          </cell>
        </row>
        <row r="113">
          <cell r="A113" t="str">
            <v>Hồng Treo Gió 01/11/2024</v>
          </cell>
          <cell r="B113">
            <v>200000</v>
          </cell>
        </row>
        <row r="114">
          <cell r="A114" t="str">
            <v>Cà Chua Socola 250Gr 01/11/2024</v>
          </cell>
          <cell r="B114">
            <v>9000</v>
          </cell>
        </row>
        <row r="115">
          <cell r="A115" t="str">
            <v>Cà Chua Beef 01/11/2024</v>
          </cell>
          <cell r="B115">
            <v>25000</v>
          </cell>
        </row>
        <row r="116">
          <cell r="A116" t="str">
            <v>Xà Lách Mỹ 01/11/2024</v>
          </cell>
          <cell r="B116">
            <v>40000</v>
          </cell>
        </row>
        <row r="117">
          <cell r="A117" t="str">
            <v>Hồng Giòn Đà Lạt 01/11/2024</v>
          </cell>
          <cell r="B117">
            <v>27000</v>
          </cell>
        </row>
        <row r="118">
          <cell r="A118" t="str">
            <v>Cà Chua Bi Mix 01/11/2024</v>
          </cell>
          <cell r="B118">
            <v>49500</v>
          </cell>
        </row>
        <row r="119">
          <cell r="A119" t="str">
            <v>Cà Chua Bi Mix 01/11/2024</v>
          </cell>
          <cell r="B119">
            <v>48000</v>
          </cell>
        </row>
        <row r="120">
          <cell r="A120" t="str">
            <v>Cà Chua Socola 01/11/2024</v>
          </cell>
          <cell r="B120">
            <v>40500</v>
          </cell>
        </row>
        <row r="121">
          <cell r="A121" t="str">
            <v>Cải Kale 01/11/2024</v>
          </cell>
          <cell r="B121">
            <v>34500</v>
          </cell>
        </row>
        <row r="122">
          <cell r="A122" t="str">
            <v>Dưa Leo Baby 01/11/2024</v>
          </cell>
          <cell r="B122">
            <v>19500</v>
          </cell>
        </row>
        <row r="123">
          <cell r="A123" t="str">
            <v>Chanh Không Hạt 01/11/2024</v>
          </cell>
          <cell r="B123">
            <v>27000</v>
          </cell>
        </row>
        <row r="124">
          <cell r="A124" t="str">
            <v>Cà Chua Beef Chùm 01/11/2024</v>
          </cell>
          <cell r="B124">
            <v>25000</v>
          </cell>
        </row>
        <row r="125">
          <cell r="A125" t="str">
            <v>Cà Chua Beef 01/11/2024</v>
          </cell>
          <cell r="B125">
            <v>22000</v>
          </cell>
        </row>
        <row r="126">
          <cell r="A126" t="str">
            <v>Cà Chua Beef 650Gr 01/11/2024</v>
          </cell>
          <cell r="B126">
            <v>26000</v>
          </cell>
        </row>
        <row r="127">
          <cell r="A127" t="str">
            <v>Cà Chua Beef Trung 01/11/2024</v>
          </cell>
          <cell r="B127">
            <v>22000</v>
          </cell>
        </row>
        <row r="128">
          <cell r="A128" t="str">
            <v>Cà Chua Beef 500Gr 01/11/2024</v>
          </cell>
          <cell r="B128">
            <v>21000</v>
          </cell>
        </row>
        <row r="129">
          <cell r="A129" t="str">
            <v>Cải Bó Xôi 01/11/2024</v>
          </cell>
          <cell r="B129">
            <v>33000</v>
          </cell>
        </row>
        <row r="130">
          <cell r="A130" t="str">
            <v>Cải Bó Xôi 01/11/2024</v>
          </cell>
          <cell r="B130">
            <v>36000</v>
          </cell>
        </row>
        <row r="131">
          <cell r="A131" t="str">
            <v>Cải Thảo 01/11/2024</v>
          </cell>
          <cell r="B131">
            <v>7500</v>
          </cell>
        </row>
        <row r="132">
          <cell r="A132" t="str">
            <v>Cải Thảo 01/11/2024</v>
          </cell>
          <cell r="B132">
            <v>5500</v>
          </cell>
        </row>
        <row r="133">
          <cell r="A133" t="str">
            <v>Bắp Cải Trái Tim 01/11/2024</v>
          </cell>
          <cell r="B133">
            <v>15000</v>
          </cell>
        </row>
        <row r="134">
          <cell r="A134" t="str">
            <v>Cà Rốt Baby 01/11/2024</v>
          </cell>
          <cell r="B134">
            <v>58000</v>
          </cell>
        </row>
        <row r="135">
          <cell r="A135" t="str">
            <v>Cải Cầu Vồng 01/11/2024</v>
          </cell>
          <cell r="B135">
            <v>20000</v>
          </cell>
        </row>
        <row r="136">
          <cell r="A136" t="str">
            <v>Cải Kale 01/11/2024</v>
          </cell>
          <cell r="B136">
            <v>35000</v>
          </cell>
        </row>
        <row r="137">
          <cell r="A137" t="str">
            <v>Cải Kale 01/11/2024</v>
          </cell>
          <cell r="B137">
            <v>38000</v>
          </cell>
        </row>
        <row r="138">
          <cell r="A138" t="str">
            <v>Lá Mè 01/11/2024</v>
          </cell>
          <cell r="B138">
            <v>50000</v>
          </cell>
        </row>
        <row r="139">
          <cell r="A139" t="str">
            <v>Dưa Leo Baby 500Gr 01/11/2024</v>
          </cell>
          <cell r="B139">
            <v>8500</v>
          </cell>
        </row>
        <row r="140">
          <cell r="A140" t="str">
            <v>Bông Cải Xanh Baby 01/11/2024</v>
          </cell>
          <cell r="B140">
            <v>58000</v>
          </cell>
        </row>
        <row r="141">
          <cell r="A141" t="str">
            <v>Củ Cải Đỏ 300Gr 01/11/2024</v>
          </cell>
          <cell r="B141">
            <v>12000</v>
          </cell>
        </row>
        <row r="142">
          <cell r="A142" t="str">
            <v>Trái Chanh Vàng 01/11/2024</v>
          </cell>
          <cell r="B142">
            <v>60000</v>
          </cell>
        </row>
        <row r="143">
          <cell r="A143" t="str">
            <v>Xà Lách Lolo Xanh 01/11/2024</v>
          </cell>
          <cell r="B143">
            <v>28000</v>
          </cell>
        </row>
        <row r="144">
          <cell r="A144" t="str">
            <v>Cà Chua Beef 500Gr 01/11/2024</v>
          </cell>
          <cell r="B144">
            <v>21000</v>
          </cell>
        </row>
        <row r="145">
          <cell r="A145" t="str">
            <v>Ớt Sweet Palemo 300Gr 01/11/2024</v>
          </cell>
          <cell r="B145">
            <v>19000</v>
          </cell>
        </row>
        <row r="146">
          <cell r="A146" t="str">
            <v>Cà Chua Socola 250Gr 01/11/2024</v>
          </cell>
          <cell r="B146">
            <v>10000</v>
          </cell>
        </row>
        <row r="147">
          <cell r="A147" t="str">
            <v>Hạt Dẻ Ngố 01/11/2024</v>
          </cell>
          <cell r="B147">
            <v>26500</v>
          </cell>
        </row>
        <row r="148">
          <cell r="A148" t="str">
            <v>Trái Mít Thái 01/11/2024</v>
          </cell>
          <cell r="B148">
            <v>19462</v>
          </cell>
        </row>
        <row r="149">
          <cell r="A149" t="str">
            <v>Rau Bầu Đất 01/11/2024</v>
          </cell>
          <cell r="B149">
            <v>21200</v>
          </cell>
        </row>
        <row r="150">
          <cell r="A150" t="str">
            <v>Xà Lách Lolo Xanh 01/11/2024</v>
          </cell>
          <cell r="B150">
            <v>34200</v>
          </cell>
        </row>
        <row r="151">
          <cell r="A151" t="str">
            <v>Hồng Giòn Đà Lạt 01/11/2024</v>
          </cell>
          <cell r="B151">
            <v>27000</v>
          </cell>
        </row>
        <row r="152">
          <cell r="A152" t="str">
            <v>Hành Paro 01/11/2024</v>
          </cell>
          <cell r="B152">
            <v>48000</v>
          </cell>
        </row>
        <row r="153">
          <cell r="A153" t="str">
            <v>Bí Đao Xanh 01/11/2024</v>
          </cell>
          <cell r="B153">
            <v>6000</v>
          </cell>
        </row>
        <row r="154">
          <cell r="A154" t="str">
            <v>Bắp Cải Tím 01/11/2024</v>
          </cell>
          <cell r="B154">
            <v>30000</v>
          </cell>
        </row>
        <row r="155">
          <cell r="A155" t="str">
            <v>Bông Cải Xanh Cọng 01/11/2024</v>
          </cell>
          <cell r="B155">
            <v>31000</v>
          </cell>
        </row>
        <row r="156">
          <cell r="A156" t="str">
            <v>Bông Cải Trắng 01/11/2024</v>
          </cell>
          <cell r="B156">
            <v>30000</v>
          </cell>
        </row>
        <row r="157">
          <cell r="A157" t="str">
            <v>Bông Cải Xanh Cọng 01/11/2024</v>
          </cell>
          <cell r="B157">
            <v>31000</v>
          </cell>
        </row>
        <row r="158">
          <cell r="A158" t="str">
            <v>Cà Chua Beef 01/11/2024</v>
          </cell>
          <cell r="B158">
            <v>23000</v>
          </cell>
        </row>
        <row r="159">
          <cell r="A159" t="str">
            <v>Cà Chua Beef 01/11/2024</v>
          </cell>
          <cell r="B159">
            <v>23000</v>
          </cell>
        </row>
        <row r="160">
          <cell r="A160" t="str">
            <v>Cà Chua Beef 01/11/2024</v>
          </cell>
          <cell r="B160">
            <v>18000</v>
          </cell>
        </row>
        <row r="161">
          <cell r="A161" t="str">
            <v>Cần Tây 01/11/2024</v>
          </cell>
          <cell r="B161">
            <v>13000</v>
          </cell>
        </row>
        <row r="162">
          <cell r="A162" t="str">
            <v>Bông Cải Xanh Cọng 01/11/2024</v>
          </cell>
          <cell r="B162">
            <v>31000</v>
          </cell>
        </row>
        <row r="163">
          <cell r="A163" t="str">
            <v>Xà Lách Lolo Xanh T.C 01/11/2024</v>
          </cell>
          <cell r="B163">
            <v>28000</v>
          </cell>
        </row>
        <row r="164">
          <cell r="A164" t="str">
            <v>Xà Lách Thủy Tinh T.C 01/11/2024</v>
          </cell>
          <cell r="B164">
            <v>30000</v>
          </cell>
        </row>
        <row r="165">
          <cell r="A165" t="str">
            <v>Cải Thảo Hỏa Tiễn 01/11/2024</v>
          </cell>
          <cell r="B165">
            <v>16000</v>
          </cell>
        </row>
        <row r="166">
          <cell r="A166" t="str">
            <v>Củ Hành Tây 01/11/2024</v>
          </cell>
          <cell r="B166">
            <v>30000</v>
          </cell>
        </row>
        <row r="167">
          <cell r="A167" t="str">
            <v>Ớt Chuông Đỏ 01/11/2024</v>
          </cell>
          <cell r="B167">
            <v>47000</v>
          </cell>
        </row>
        <row r="168">
          <cell r="A168" t="str">
            <v>Ớt Chuông Vàng 01/11/2024</v>
          </cell>
          <cell r="B168">
            <v>35000</v>
          </cell>
        </row>
        <row r="169">
          <cell r="A169" t="str">
            <v>Trái Su Su 01/11/2024</v>
          </cell>
          <cell r="B169">
            <v>9500</v>
          </cell>
        </row>
        <row r="170">
          <cell r="A170" t="str">
            <v>Cà Rốt Trung 01/11/2024</v>
          </cell>
          <cell r="B170">
            <v>15000</v>
          </cell>
        </row>
        <row r="171">
          <cell r="A171" t="str">
            <v>Bí Đao Xanh 01/11/2024</v>
          </cell>
          <cell r="B171">
            <v>6000</v>
          </cell>
        </row>
        <row r="172">
          <cell r="A172" t="str">
            <v>Củ Su Hào 01/11/2024</v>
          </cell>
          <cell r="B172">
            <v>18000</v>
          </cell>
        </row>
        <row r="173">
          <cell r="A173" t="str">
            <v>Bí Ngòi Xanh 01/11/2024</v>
          </cell>
          <cell r="B173">
            <v>20000</v>
          </cell>
        </row>
        <row r="174">
          <cell r="A174" t="str">
            <v>Củ Khoai Tây Bi Vàng 01/11/2024</v>
          </cell>
          <cell r="B174">
            <v>12000</v>
          </cell>
        </row>
        <row r="175">
          <cell r="A175" t="str">
            <v>Củ Khoai Tây Vàng 01/11/2024</v>
          </cell>
          <cell r="B175">
            <v>15000</v>
          </cell>
        </row>
        <row r="176">
          <cell r="A176" t="str">
            <v>Bơ Booth 01/11/2024</v>
          </cell>
          <cell r="B176">
            <v>26000</v>
          </cell>
        </row>
        <row r="177">
          <cell r="A177" t="str">
            <v>Chanh Dây Tím 01/11/2024</v>
          </cell>
          <cell r="B177">
            <v>31000</v>
          </cell>
        </row>
        <row r="178">
          <cell r="A178" t="str">
            <v>Cần Tây 01/11/2024</v>
          </cell>
          <cell r="B178">
            <v>13000</v>
          </cell>
        </row>
        <row r="179">
          <cell r="A179" t="str">
            <v>Bí Ngòi Xanh 01/11/2024</v>
          </cell>
          <cell r="B179">
            <v>20000</v>
          </cell>
        </row>
        <row r="180">
          <cell r="A180" t="str">
            <v>Bí Ngòi Vàng 01/11/2024</v>
          </cell>
          <cell r="B180">
            <v>25000</v>
          </cell>
        </row>
        <row r="181">
          <cell r="A181" t="str">
            <v>Cà Tím 01/11/2024</v>
          </cell>
          <cell r="B181">
            <v>12000</v>
          </cell>
        </row>
        <row r="182">
          <cell r="A182" t="str">
            <v>Củ Dền 01/11/2024</v>
          </cell>
          <cell r="B182">
            <v>15000</v>
          </cell>
        </row>
        <row r="183">
          <cell r="A183" t="str">
            <v>Bắp Cải Trắng 01/11/2024</v>
          </cell>
          <cell r="B183">
            <v>13748.5</v>
          </cell>
        </row>
        <row r="184">
          <cell r="A184" t="str">
            <v>Củ Khoai Lang Nhật 01/11/2024</v>
          </cell>
          <cell r="B184">
            <v>20000</v>
          </cell>
        </row>
        <row r="185">
          <cell r="A185" t="str">
            <v>Chuối Laba 01/11/2024</v>
          </cell>
          <cell r="B185">
            <v>12000</v>
          </cell>
        </row>
        <row r="186">
          <cell r="A186" t="str">
            <v>Củ Cải Trắng 01/11/2024</v>
          </cell>
          <cell r="B186">
            <v>6500</v>
          </cell>
        </row>
        <row r="187">
          <cell r="A187" t="str">
            <v>Đậu Cove Trắng 500Gr 01/11/2024</v>
          </cell>
          <cell r="B187">
            <v>12000</v>
          </cell>
        </row>
        <row r="188">
          <cell r="A188" t="str">
            <v>Đậu Cove Nhật 300Gr 01/11/2024</v>
          </cell>
          <cell r="B188">
            <v>9000</v>
          </cell>
        </row>
        <row r="189">
          <cell r="A189" t="str">
            <v>Cà Chua Thường 01/11/2024</v>
          </cell>
          <cell r="B189">
            <v>22000</v>
          </cell>
        </row>
        <row r="190">
          <cell r="A190" t="str">
            <v>Bắp Cải Trái Tim 01/11/2024</v>
          </cell>
          <cell r="B190">
            <v>15000</v>
          </cell>
        </row>
        <row r="191">
          <cell r="A191" t="str">
            <v>Cải Thảo 01/11/2024</v>
          </cell>
          <cell r="B191">
            <v>7500</v>
          </cell>
        </row>
        <row r="192">
          <cell r="A192" t="str">
            <v>Bơ Booth 01/11/2024</v>
          </cell>
          <cell r="B192">
            <v>23000</v>
          </cell>
        </row>
        <row r="193">
          <cell r="A193" t="str">
            <v>DO 0.05S-II 02/11/2024</v>
          </cell>
          <cell r="B193">
            <v>16818.18</v>
          </cell>
        </row>
        <row r="194">
          <cell r="A194" t="str">
            <v>Dầu Do 0.001 S-V 02/11/2024</v>
          </cell>
          <cell r="B194">
            <v>17118.18</v>
          </cell>
        </row>
        <row r="195">
          <cell r="A195" t="str">
            <v>Sửa chữa máy đóng gói túi lưới 02/11/2024</v>
          </cell>
          <cell r="B195">
            <v>750000</v>
          </cell>
        </row>
        <row r="196">
          <cell r="A196" t="str">
            <v>DO 0.05S-II 02/11/2024</v>
          </cell>
          <cell r="B196">
            <v>16818.18</v>
          </cell>
        </row>
        <row r="197">
          <cell r="A197" t="str">
            <v>Dầu DO 0,05S-II 02/11/2024</v>
          </cell>
          <cell r="B197">
            <v>16818.18</v>
          </cell>
        </row>
        <row r="198">
          <cell r="A198" t="str">
            <v>Dầu Do 0.001 S-V 02/11/2024</v>
          </cell>
          <cell r="B198">
            <v>17118.18</v>
          </cell>
        </row>
        <row r="199">
          <cell r="A199" t="str">
            <v>Tiền điện tháng 10 02/11/2024</v>
          </cell>
          <cell r="B199">
            <v>0</v>
          </cell>
        </row>
        <row r="200">
          <cell r="A200" t="str">
            <v>Bí Ngòi Xanh 02/11/2024</v>
          </cell>
          <cell r="B200">
            <v>22000</v>
          </cell>
        </row>
        <row r="201">
          <cell r="A201" t="str">
            <v>Cần Tây 02/11/2024</v>
          </cell>
          <cell r="B201">
            <v>13000</v>
          </cell>
        </row>
        <row r="202">
          <cell r="A202" t="str">
            <v>Bí Ngòi Vàng 02/11/2024</v>
          </cell>
          <cell r="B202">
            <v>25000</v>
          </cell>
        </row>
        <row r="203">
          <cell r="A203" t="str">
            <v>Ớt Chuông Vàng Trung 02/11/2024</v>
          </cell>
          <cell r="B203">
            <v>27000</v>
          </cell>
        </row>
        <row r="204">
          <cell r="A204" t="str">
            <v>Trái Mâm Xôi 02/11/2024</v>
          </cell>
          <cell r="B204">
            <v>35000</v>
          </cell>
        </row>
        <row r="205">
          <cell r="A205" t="str">
            <v>Rau Bầu Đất 02/11/2024</v>
          </cell>
          <cell r="B205">
            <v>30000</v>
          </cell>
        </row>
        <row r="206">
          <cell r="A206" t="str">
            <v>Cà Chua Socola 02/11/2024</v>
          </cell>
          <cell r="B206">
            <v>10000</v>
          </cell>
        </row>
        <row r="207">
          <cell r="A207" t="str">
            <v>Bí Ngòi Xanh 02/11/2024</v>
          </cell>
          <cell r="B207">
            <v>18000</v>
          </cell>
        </row>
        <row r="208">
          <cell r="A208" t="str">
            <v>Lá Tía Tô 02/11/2024</v>
          </cell>
          <cell r="B208">
            <v>32000</v>
          </cell>
        </row>
        <row r="209">
          <cell r="A209" t="str">
            <v>Xà Lách Lolo Xanh 02/11/2024</v>
          </cell>
          <cell r="B209">
            <v>33000</v>
          </cell>
        </row>
        <row r="210">
          <cell r="A210" t="str">
            <v>Xà Lách Rocket 02/11/2024</v>
          </cell>
          <cell r="B210">
            <v>120000</v>
          </cell>
        </row>
        <row r="211">
          <cell r="A211" t="str">
            <v>Bông Cải Xanh Gốc Dài 02/11/2024</v>
          </cell>
          <cell r="B211">
            <v>31000</v>
          </cell>
        </row>
        <row r="212">
          <cell r="A212" t="str">
            <v>Cà Chua Beef Trung 02/11/2024</v>
          </cell>
          <cell r="B212">
            <v>15000</v>
          </cell>
        </row>
        <row r="213">
          <cell r="A213" t="str">
            <v>Cần Tây 02/11/2024</v>
          </cell>
          <cell r="B213">
            <v>13000</v>
          </cell>
        </row>
        <row r="214">
          <cell r="A214" t="str">
            <v>Bông Cải Xanh 7Cm 02/11/2024</v>
          </cell>
          <cell r="B214">
            <v>40000</v>
          </cell>
        </row>
        <row r="215">
          <cell r="A215" t="str">
            <v>Bông Cải Xanh Gốc Dài 02/11/2024</v>
          </cell>
          <cell r="B215">
            <v>26000</v>
          </cell>
        </row>
        <row r="216">
          <cell r="A216" t="str">
            <v>Cà Chua Socola 02/11/2024</v>
          </cell>
          <cell r="B216">
            <v>9000</v>
          </cell>
        </row>
        <row r="217">
          <cell r="A217" t="str">
            <v>Cà Chua Beef 02/11/2024</v>
          </cell>
          <cell r="B217">
            <v>25000</v>
          </cell>
        </row>
        <row r="218">
          <cell r="A218" t="str">
            <v>Cần Tây 02/11/2024</v>
          </cell>
          <cell r="B218">
            <v>13000</v>
          </cell>
        </row>
        <row r="219">
          <cell r="A219" t="str">
            <v>Cải Thảo Hỏa Tiễn 02/11/2024</v>
          </cell>
          <cell r="B219">
            <v>16000</v>
          </cell>
        </row>
        <row r="220">
          <cell r="A220" t="str">
            <v>Cải Bó Xôi 02/11/2024</v>
          </cell>
          <cell r="B220">
            <v>35000</v>
          </cell>
        </row>
        <row r="221">
          <cell r="A221" t="str">
            <v>Lá Mè 02/11/2024</v>
          </cell>
          <cell r="B221">
            <v>40000</v>
          </cell>
        </row>
        <row r="222">
          <cell r="A222" t="str">
            <v>Bắp Cải Tím 02/11/2024</v>
          </cell>
          <cell r="B222">
            <v>30000</v>
          </cell>
        </row>
        <row r="223">
          <cell r="A223" t="str">
            <v>Bông Cải Trắng 02/11/2024</v>
          </cell>
          <cell r="B223">
            <v>28000</v>
          </cell>
        </row>
        <row r="224">
          <cell r="A224" t="str">
            <v>Củ Khoai Lang Mật Size 46 02/11/2024</v>
          </cell>
          <cell r="B224">
            <v>22000</v>
          </cell>
        </row>
        <row r="225">
          <cell r="A225" t="str">
            <v>Đậu Đỏ 02/11/2024</v>
          </cell>
          <cell r="B225">
            <v>80000</v>
          </cell>
        </row>
        <row r="226">
          <cell r="A226" t="str">
            <v>Đậu Ngự 02/11/2024</v>
          </cell>
          <cell r="B226">
            <v>70000</v>
          </cell>
        </row>
        <row r="227">
          <cell r="A227" t="str">
            <v>Đậu Trắng 02/11/2024</v>
          </cell>
          <cell r="B227">
            <v>70000</v>
          </cell>
        </row>
        <row r="228">
          <cell r="A228" t="str">
            <v>Trái Mít Thái 02/11/2024</v>
          </cell>
          <cell r="B228">
            <v>19579</v>
          </cell>
        </row>
        <row r="229">
          <cell r="A229" t="str">
            <v>Bí Ngòi Xanh 02/11/2024</v>
          </cell>
          <cell r="B229">
            <v>22000</v>
          </cell>
        </row>
        <row r="230">
          <cell r="A230" t="str">
            <v>Bông Cải Xanh 7Cm 02/11/2024</v>
          </cell>
          <cell r="B230">
            <v>40000</v>
          </cell>
        </row>
        <row r="231">
          <cell r="A231" t="str">
            <v>Bông Cải Xanh 7Cm 02/11/2024</v>
          </cell>
          <cell r="B231">
            <v>40000</v>
          </cell>
        </row>
        <row r="232">
          <cell r="A232" t="str">
            <v>Cà Rốt 02/11/2024</v>
          </cell>
          <cell r="B232">
            <v>18000</v>
          </cell>
        </row>
        <row r="233">
          <cell r="A233" t="str">
            <v>Củ Cải Trắng 02/11/2024</v>
          </cell>
          <cell r="B233">
            <v>6000</v>
          </cell>
        </row>
        <row r="234">
          <cell r="A234" t="str">
            <v>Củ Khoai Lang Nhật 02/11/2024</v>
          </cell>
          <cell r="B234">
            <v>20000</v>
          </cell>
        </row>
        <row r="235">
          <cell r="A235" t="str">
            <v>Xà Lách Thủy Tinh T.C Cây 02/11/2024</v>
          </cell>
          <cell r="B235">
            <v>7000</v>
          </cell>
        </row>
        <row r="236">
          <cell r="A236" t="str">
            <v>Cà Rốt 02/11/2024</v>
          </cell>
          <cell r="B236">
            <v>19000</v>
          </cell>
        </row>
        <row r="237">
          <cell r="A237" t="str">
            <v>Trái Su Su 02/11/2024</v>
          </cell>
          <cell r="B237">
            <v>9000</v>
          </cell>
        </row>
        <row r="238">
          <cell r="A238" t="str">
            <v>Bơ Booth 02/11/2024</v>
          </cell>
          <cell r="B238">
            <v>26000</v>
          </cell>
        </row>
        <row r="239">
          <cell r="A239" t="str">
            <v>Cà Tím 02/11/2024</v>
          </cell>
          <cell r="B239">
            <v>8000</v>
          </cell>
        </row>
        <row r="240">
          <cell r="A240" t="str">
            <v>Hạt Dẻ Ngố 02/11/2024</v>
          </cell>
          <cell r="B240">
            <v>26400</v>
          </cell>
        </row>
        <row r="241">
          <cell r="A241" t="str">
            <v>Xà Lách Lolo Xanh T.C 02/11/2024</v>
          </cell>
          <cell r="B241">
            <v>28000</v>
          </cell>
        </row>
        <row r="242">
          <cell r="A242" t="str">
            <v>Xà Lách Lolo Xanh T.C 02/11/2024</v>
          </cell>
          <cell r="B242">
            <v>26000</v>
          </cell>
        </row>
        <row r="243">
          <cell r="A243" t="str">
            <v>Xà Lách Thủy Tinh T.C Cây 02/11/2024</v>
          </cell>
          <cell r="B243">
            <v>8000</v>
          </cell>
        </row>
        <row r="244">
          <cell r="A244" t="str">
            <v>Bắp Cải Trắng 02/11/2024</v>
          </cell>
          <cell r="B244">
            <v>13748.5</v>
          </cell>
        </row>
        <row r="245">
          <cell r="A245" t="str">
            <v>Bắp Cải Trắng 02/11/2024</v>
          </cell>
          <cell r="B245">
            <v>13748.5</v>
          </cell>
        </row>
        <row r="246">
          <cell r="A246" t="str">
            <v>Trái Khổ Qua 02/11/2024</v>
          </cell>
          <cell r="B246">
            <v>12000</v>
          </cell>
        </row>
        <row r="247">
          <cell r="A247" t="str">
            <v>Trái Bầu 02/11/2024</v>
          </cell>
          <cell r="B247">
            <v>14000</v>
          </cell>
        </row>
        <row r="248">
          <cell r="A248" t="str">
            <v>Dưa Leo Thường 02/11/2024</v>
          </cell>
          <cell r="B248">
            <v>7000</v>
          </cell>
        </row>
        <row r="249">
          <cell r="A249" t="str">
            <v>Bí Đao Xanh 02/11/2024</v>
          </cell>
          <cell r="B249">
            <v>8000</v>
          </cell>
        </row>
        <row r="250">
          <cell r="A250" t="str">
            <v>Ớt Sweet Palemo 02/11/2024</v>
          </cell>
          <cell r="B250">
            <v>20000</v>
          </cell>
        </row>
        <row r="251">
          <cell r="A251" t="str">
            <v>Ớt Chuông Baby 02/11/2024</v>
          </cell>
          <cell r="B251">
            <v>50000</v>
          </cell>
        </row>
        <row r="252">
          <cell r="A252" t="str">
            <v>Ớt Chuông Snack 02/11/2024</v>
          </cell>
          <cell r="B252">
            <v>58000</v>
          </cell>
        </row>
        <row r="253">
          <cell r="A253" t="str">
            <v>Rau Ngò Rí 02/11/2024</v>
          </cell>
          <cell r="B253">
            <v>35000</v>
          </cell>
        </row>
        <row r="254">
          <cell r="A254" t="str">
            <v>Hành Paro 02/11/2024</v>
          </cell>
          <cell r="B254">
            <v>48000</v>
          </cell>
        </row>
        <row r="255">
          <cell r="A255" t="str">
            <v>Cà Chua Bi Đỏ 02/11/2024</v>
          </cell>
          <cell r="B255">
            <v>11400</v>
          </cell>
        </row>
        <row r="256">
          <cell r="A256" t="str">
            <v>Cà Chua Bi Đỏ 02/11/2024</v>
          </cell>
          <cell r="B256">
            <v>19000</v>
          </cell>
        </row>
        <row r="257">
          <cell r="A257" t="str">
            <v>Cà Chua Thường 02/11/2024</v>
          </cell>
          <cell r="B257">
            <v>23000</v>
          </cell>
        </row>
        <row r="258">
          <cell r="A258" t="str">
            <v>Cải Thảo 02/11/2024</v>
          </cell>
          <cell r="B258">
            <v>7500</v>
          </cell>
        </row>
        <row r="259">
          <cell r="A259" t="str">
            <v>Cải Thảo 02/11/2024</v>
          </cell>
          <cell r="B259">
            <v>6500</v>
          </cell>
        </row>
        <row r="260">
          <cell r="A260" t="str">
            <v>Cà Rốt Baby 02/11/2024</v>
          </cell>
          <cell r="B260">
            <v>58000</v>
          </cell>
        </row>
        <row r="261">
          <cell r="A261" t="str">
            <v>Cải Kale 02/11/2024</v>
          </cell>
          <cell r="B261">
            <v>35000</v>
          </cell>
        </row>
        <row r="262">
          <cell r="A262" t="str">
            <v>Cải Kale 02/11/2024</v>
          </cell>
          <cell r="B262">
            <v>38000</v>
          </cell>
        </row>
        <row r="263">
          <cell r="A263" t="str">
            <v>Cải Cầu Vồng 02/11/2024</v>
          </cell>
          <cell r="B263">
            <v>20000</v>
          </cell>
        </row>
        <row r="264">
          <cell r="A264" t="str">
            <v>Lá Mè 02/11/2024</v>
          </cell>
          <cell r="B264">
            <v>50000</v>
          </cell>
        </row>
        <row r="265">
          <cell r="A265" t="str">
            <v>Dưa Leo Baby 02/11/2024</v>
          </cell>
          <cell r="B265">
            <v>8500</v>
          </cell>
        </row>
        <row r="266">
          <cell r="A266" t="str">
            <v>Bông Cải Xanh Baby 02/11/2024</v>
          </cell>
          <cell r="B266">
            <v>58000</v>
          </cell>
        </row>
        <row r="267">
          <cell r="A267" t="str">
            <v>Củ Cải Đỏ 02/11/2024</v>
          </cell>
          <cell r="B267">
            <v>12000</v>
          </cell>
        </row>
        <row r="268">
          <cell r="A268" t="str">
            <v>Xà Lách Lolo Xanh 02/11/2024</v>
          </cell>
          <cell r="B268">
            <v>32000</v>
          </cell>
        </row>
        <row r="269">
          <cell r="A269" t="str">
            <v>Xà Lách Lolo Xanh 02/11/2024</v>
          </cell>
          <cell r="B269">
            <v>29000</v>
          </cell>
        </row>
        <row r="270">
          <cell r="A270" t="str">
            <v>Ớt Sweet Palemo 02/11/2024</v>
          </cell>
          <cell r="B270">
            <v>20000</v>
          </cell>
        </row>
        <row r="271">
          <cell r="A271" t="str">
            <v>Hồng Treo Gió 02/11/2024</v>
          </cell>
          <cell r="B271">
            <v>200000</v>
          </cell>
        </row>
        <row r="272">
          <cell r="A272" t="str">
            <v>Dưa Leo Baby 02/11/2024</v>
          </cell>
          <cell r="B272">
            <v>13000</v>
          </cell>
        </row>
        <row r="273">
          <cell r="A273" t="str">
            <v>Xà Lách Mỹ 02/11/2024</v>
          </cell>
          <cell r="B273">
            <v>40000</v>
          </cell>
        </row>
        <row r="274">
          <cell r="A274" t="str">
            <v>Bắp Cải Trái Tim 02/11/2024</v>
          </cell>
          <cell r="B274">
            <v>15000</v>
          </cell>
        </row>
        <row r="275">
          <cell r="A275" t="str">
            <v>Củ Khoai Tây Vàng 02/11/2024</v>
          </cell>
          <cell r="B275">
            <v>15000</v>
          </cell>
        </row>
        <row r="276">
          <cell r="A276" t="str">
            <v>Củ Khoai Tây Vàng Trung 02/11/2024</v>
          </cell>
          <cell r="B276">
            <v>12000</v>
          </cell>
        </row>
        <row r="277">
          <cell r="A277" t="str">
            <v>Trái Su Su 02/11/2024</v>
          </cell>
          <cell r="B277">
            <v>9500</v>
          </cell>
        </row>
        <row r="278">
          <cell r="A278" t="str">
            <v>Lá Nha Đam 02/11/2024</v>
          </cell>
          <cell r="B278">
            <v>14000</v>
          </cell>
        </row>
        <row r="279">
          <cell r="A279" t="str">
            <v>Củ Khoai Mỡ 02/11/2024</v>
          </cell>
          <cell r="B279">
            <v>28000</v>
          </cell>
        </row>
        <row r="280">
          <cell r="A280" t="str">
            <v>Củ Gừng 02/11/2024</v>
          </cell>
          <cell r="B280">
            <v>45000</v>
          </cell>
        </row>
        <row r="281">
          <cell r="A281" t="str">
            <v>Bí Đỏ Hồ Lô 02/11/2024</v>
          </cell>
          <cell r="B281">
            <v>11000</v>
          </cell>
        </row>
        <row r="282">
          <cell r="A282" t="str">
            <v>Chuối Laba 02/11/2024</v>
          </cell>
          <cell r="B282">
            <v>13000</v>
          </cell>
        </row>
        <row r="283">
          <cell r="A283" t="str">
            <v>Cà Tím 02/11/2024</v>
          </cell>
          <cell r="B283">
            <v>12000</v>
          </cell>
        </row>
        <row r="284">
          <cell r="A284" t="str">
            <v>Măng Tây 02/11/2024</v>
          </cell>
          <cell r="B284">
            <v>52000</v>
          </cell>
        </row>
        <row r="285">
          <cell r="A285" t="str">
            <v>Măng Tây 02/11/2024</v>
          </cell>
          <cell r="B285">
            <v>42000</v>
          </cell>
        </row>
        <row r="286">
          <cell r="A286" t="str">
            <v>Lá É 02/11/2024</v>
          </cell>
          <cell r="B286">
            <v>26666</v>
          </cell>
        </row>
        <row r="287">
          <cell r="A287" t="str">
            <v>Xà Lách Mỡ T.C 02/11/2024</v>
          </cell>
          <cell r="B287">
            <v>27000</v>
          </cell>
        </row>
        <row r="288">
          <cell r="A288" t="str">
            <v>Xà Lách Lolo Xanh T.C 02/11/2024</v>
          </cell>
          <cell r="B288">
            <v>28000</v>
          </cell>
        </row>
        <row r="289">
          <cell r="A289" t="str">
            <v>Củ Su Hào 02/11/2024</v>
          </cell>
          <cell r="B289">
            <v>18000</v>
          </cell>
        </row>
        <row r="290">
          <cell r="A290" t="str">
            <v>Cà Chua Thường 02/11/2024</v>
          </cell>
          <cell r="B290">
            <v>22000</v>
          </cell>
        </row>
        <row r="291">
          <cell r="A291" t="str">
            <v>Cà Chua Thường Trung 02/11/2024</v>
          </cell>
          <cell r="B291">
            <v>20000</v>
          </cell>
        </row>
        <row r="292">
          <cell r="A292" t="str">
            <v>Cà Rốt 02/11/2024</v>
          </cell>
          <cell r="B292">
            <v>20000</v>
          </cell>
        </row>
        <row r="293">
          <cell r="A293" t="str">
            <v>Bí Non Nhật 02/11/2024</v>
          </cell>
          <cell r="B293">
            <v>13000</v>
          </cell>
        </row>
        <row r="294">
          <cell r="A294" t="str">
            <v>Đậu Cove Nhật 02/11/2024</v>
          </cell>
          <cell r="B294">
            <v>9000</v>
          </cell>
        </row>
        <row r="295">
          <cell r="A295" t="str">
            <v>Dưa Leo Nhật 02/11/2024</v>
          </cell>
          <cell r="B295">
            <v>13000</v>
          </cell>
        </row>
        <row r="296">
          <cell r="A296" t="str">
            <v>Dưa Leo Thường 02/11/2024</v>
          </cell>
          <cell r="B296">
            <v>9000</v>
          </cell>
        </row>
        <row r="297">
          <cell r="A297" t="str">
            <v>Ớt Chuông Đỏ 02/11/2024</v>
          </cell>
          <cell r="B297">
            <v>48000</v>
          </cell>
        </row>
        <row r="298">
          <cell r="A298" t="str">
            <v>Củ Hành Tây 02/11/2024</v>
          </cell>
          <cell r="B298">
            <v>28000</v>
          </cell>
        </row>
        <row r="299">
          <cell r="A299" t="str">
            <v>Củ Hành Tây Trung 02/11/2024</v>
          </cell>
          <cell r="B299">
            <v>18000</v>
          </cell>
        </row>
        <row r="300">
          <cell r="A300" t="str">
            <v>Cà Chua Beef Chùm 02/11/2024</v>
          </cell>
          <cell r="B300">
            <v>26000</v>
          </cell>
        </row>
        <row r="301">
          <cell r="A301" t="str">
            <v>Cà Chua Beef 02/11/2024</v>
          </cell>
          <cell r="B301">
            <v>23000</v>
          </cell>
        </row>
        <row r="302">
          <cell r="A302" t="str">
            <v>Cà Chua Beef 650Gr 02/11/2024</v>
          </cell>
          <cell r="B302">
            <v>26000</v>
          </cell>
        </row>
        <row r="303">
          <cell r="A303" t="str">
            <v>Cà Chua Beef Trung 02/11/2024</v>
          </cell>
          <cell r="B303">
            <v>21000</v>
          </cell>
        </row>
        <row r="304">
          <cell r="A304" t="str">
            <v>Cà Chua Beef 500Gr 02/11/2024</v>
          </cell>
          <cell r="B304">
            <v>22000</v>
          </cell>
        </row>
        <row r="305">
          <cell r="A305" t="str">
            <v>Cải Bó Xôi 02/11/2024</v>
          </cell>
          <cell r="B305">
            <v>35000</v>
          </cell>
        </row>
        <row r="306">
          <cell r="A306" t="str">
            <v>Cải Bó Xôi 02/11/2024</v>
          </cell>
          <cell r="B306">
            <v>38000</v>
          </cell>
        </row>
        <row r="307">
          <cell r="A307" t="str">
            <v>Cà Chua Bi Mix 02/11/2024</v>
          </cell>
          <cell r="B307">
            <v>51500</v>
          </cell>
        </row>
        <row r="308">
          <cell r="A308" t="str">
            <v>Cà Chua Bi Mix 02/11/2024</v>
          </cell>
          <cell r="B308">
            <v>50000</v>
          </cell>
        </row>
        <row r="309">
          <cell r="A309" t="str">
            <v>Cà Chua Socola 02/11/2024</v>
          </cell>
          <cell r="B309">
            <v>41500</v>
          </cell>
        </row>
        <row r="310">
          <cell r="A310" t="str">
            <v>Cải Kale 02/11/2024</v>
          </cell>
          <cell r="B310">
            <v>34500</v>
          </cell>
        </row>
        <row r="311">
          <cell r="A311" t="str">
            <v>Dưa Leo Baby 02/11/2024</v>
          </cell>
          <cell r="B311">
            <v>21500</v>
          </cell>
        </row>
        <row r="312">
          <cell r="A312" t="str">
            <v>Chanh Không Hạt 02/11/2024</v>
          </cell>
          <cell r="B312">
            <v>25000</v>
          </cell>
        </row>
        <row r="313">
          <cell r="A313" t="str">
            <v>Xà Lách Lolo Xanh T.C Cây 02/11/2024</v>
          </cell>
          <cell r="B313">
            <v>6800</v>
          </cell>
        </row>
        <row r="314">
          <cell r="A314" t="str">
            <v>Xà Lách Mỡ T.C Cây 02/11/2024</v>
          </cell>
          <cell r="B314">
            <v>6800</v>
          </cell>
        </row>
        <row r="315">
          <cell r="A315" t="str">
            <v>Xà Lách Mỡ T.C 02/11/2024</v>
          </cell>
          <cell r="B315">
            <v>28000</v>
          </cell>
        </row>
        <row r="316">
          <cell r="A316" t="str">
            <v>Xà Lách Thủy Tinh T.C Cây 02/11/2024</v>
          </cell>
          <cell r="B316">
            <v>6800</v>
          </cell>
        </row>
        <row r="317">
          <cell r="A317" t="str">
            <v>Xà Lách Thủy Tinh T.C 02/11/2024</v>
          </cell>
          <cell r="B317">
            <v>30000</v>
          </cell>
        </row>
        <row r="318">
          <cell r="A318" t="str">
            <v>Dưa Leo Baby 02/11/2024</v>
          </cell>
          <cell r="B318">
            <v>6000</v>
          </cell>
        </row>
        <row r="319">
          <cell r="A319" t="str">
            <v>Dưa Leo Baby 02/11/2024</v>
          </cell>
          <cell r="B319">
            <v>8000</v>
          </cell>
        </row>
        <row r="320">
          <cell r="A320" t="str">
            <v>CT-MÍT 02/11/2024</v>
          </cell>
          <cell r="B320">
            <v>13763</v>
          </cell>
        </row>
        <row r="321">
          <cell r="A321" t="str">
            <v>CT-DUA LEO BB 02/11/2024</v>
          </cell>
          <cell r="B321">
            <v>7714</v>
          </cell>
        </row>
        <row r="322">
          <cell r="A322" t="str">
            <v>Xà Lách Mỡ T.C 02/11/2024</v>
          </cell>
          <cell r="B322">
            <v>28000</v>
          </cell>
        </row>
        <row r="323">
          <cell r="A323" t="str">
            <v>Bí Ngòi Vàng 02/11/2024</v>
          </cell>
          <cell r="B323">
            <v>25000</v>
          </cell>
        </row>
        <row r="324">
          <cell r="A324" t="str">
            <v>Bí Ngòi Xanh 02/11/2024</v>
          </cell>
          <cell r="B324">
            <v>21000</v>
          </cell>
        </row>
        <row r="325">
          <cell r="A325" t="str">
            <v>Cà Chua Beef 02/11/2024</v>
          </cell>
          <cell r="B325">
            <v>24000</v>
          </cell>
        </row>
        <row r="326">
          <cell r="A326" t="str">
            <v>Củ Dền 02/11/2024</v>
          </cell>
          <cell r="B326">
            <v>15000</v>
          </cell>
        </row>
        <row r="327">
          <cell r="A327" t="str">
            <v>Ớt Chuông Đỏ 02/11/2024</v>
          </cell>
          <cell r="B327">
            <v>47000</v>
          </cell>
        </row>
        <row r="328">
          <cell r="A328" t="str">
            <v>Ớt Chuông Vàng 02/11/2024</v>
          </cell>
          <cell r="B328">
            <v>32000</v>
          </cell>
        </row>
        <row r="329">
          <cell r="A329" t="str">
            <v>Cà Chua Beef 02/11/2024</v>
          </cell>
          <cell r="B329">
            <v>18000</v>
          </cell>
        </row>
        <row r="330">
          <cell r="A330" t="str">
            <v>Cà Chua Beef 02/11/2024</v>
          </cell>
          <cell r="B330">
            <v>24000</v>
          </cell>
        </row>
        <row r="331">
          <cell r="A331" t="str">
            <v>Cà Chua Beef Chùm 02/11/2024</v>
          </cell>
          <cell r="B331">
            <v>25000</v>
          </cell>
        </row>
        <row r="332">
          <cell r="A332" t="str">
            <v>Cà Chua Beef 02/11/2024</v>
          </cell>
          <cell r="B332">
            <v>24000</v>
          </cell>
        </row>
        <row r="333">
          <cell r="A333" t="str">
            <v>Cần Tây 02/11/2024</v>
          </cell>
          <cell r="B333">
            <v>13000</v>
          </cell>
        </row>
        <row r="334">
          <cell r="A334" t="str">
            <v>Cải Thảo Hỏa Tiễn 02/11/2024</v>
          </cell>
          <cell r="B334">
            <v>16000</v>
          </cell>
        </row>
        <row r="335">
          <cell r="A335" t="str">
            <v>Cần Tây 02/11/2024</v>
          </cell>
          <cell r="B335">
            <v>13000</v>
          </cell>
        </row>
        <row r="336">
          <cell r="A336" t="str">
            <v>Bắp Cải Tím 02/11/2024</v>
          </cell>
          <cell r="B336">
            <v>30000</v>
          </cell>
        </row>
        <row r="337">
          <cell r="A337" t="str">
            <v>Bông Cải Trắng 02/11/2024</v>
          </cell>
          <cell r="B337">
            <v>28000</v>
          </cell>
        </row>
        <row r="338">
          <cell r="A338" t="str">
            <v>Bông Cải Xanh Cọng 02/11/2024</v>
          </cell>
          <cell r="B338">
            <v>31000</v>
          </cell>
        </row>
        <row r="339">
          <cell r="A339" t="str">
            <v>Bông Cải Xanh Cọng 02/11/2024</v>
          </cell>
          <cell r="B339">
            <v>31000</v>
          </cell>
        </row>
        <row r="340">
          <cell r="A340" t="str">
            <v>Bông Cải Xanh Cọng 02/11/2024</v>
          </cell>
          <cell r="B340">
            <v>31000</v>
          </cell>
        </row>
        <row r="341">
          <cell r="A341" t="str">
            <v>Cà Rốt Trung 02/11/2024</v>
          </cell>
          <cell r="B341">
            <v>15000</v>
          </cell>
        </row>
        <row r="342">
          <cell r="A342" t="str">
            <v>Trái Su Su 02/11/2024</v>
          </cell>
          <cell r="B342">
            <v>9000</v>
          </cell>
        </row>
        <row r="343">
          <cell r="A343" t="str">
            <v>Chanh Dây Tím 02/11/2024</v>
          </cell>
          <cell r="B343">
            <v>31000</v>
          </cell>
        </row>
        <row r="344">
          <cell r="A344" t="str">
            <v>Ớt Sweet Palemo 02/11/2024</v>
          </cell>
          <cell r="B344">
            <v>21000</v>
          </cell>
        </row>
        <row r="345">
          <cell r="A345" t="str">
            <v>Đậu Cove Trắng 02/11/2024</v>
          </cell>
          <cell r="B345">
            <v>23000</v>
          </cell>
        </row>
        <row r="346">
          <cell r="A346" t="str">
            <v>Bắp Cải Trắng 02/11/2024</v>
          </cell>
          <cell r="B346">
            <v>13748.5</v>
          </cell>
        </row>
        <row r="347">
          <cell r="A347" t="str">
            <v>Bí Đao Xanh 02/11/2024</v>
          </cell>
          <cell r="B347">
            <v>8000</v>
          </cell>
        </row>
        <row r="348">
          <cell r="A348" t="str">
            <v>Hành Paro 02/11/2024</v>
          </cell>
          <cell r="B348">
            <v>48000</v>
          </cell>
        </row>
        <row r="349">
          <cell r="A349" t="str">
            <v>Cà Chua Bi Đỏ 02/11/2024</v>
          </cell>
          <cell r="B349">
            <v>11400</v>
          </cell>
        </row>
        <row r="350">
          <cell r="A350" t="str">
            <v>Đậu Cove Nhật 02/11/2024</v>
          </cell>
          <cell r="B350">
            <v>9000</v>
          </cell>
        </row>
        <row r="351">
          <cell r="A351" t="str">
            <v>Đậu Cove Trắng 02/11/2024</v>
          </cell>
          <cell r="B351">
            <v>13000</v>
          </cell>
        </row>
        <row r="352">
          <cell r="A352" t="str">
            <v>Bí Non Nhật 02/11/2024</v>
          </cell>
          <cell r="B352">
            <v>13000</v>
          </cell>
        </row>
        <row r="353">
          <cell r="A353" t="str">
            <v>Dưa Leo Baby 02/11/2024</v>
          </cell>
          <cell r="B353">
            <v>8500</v>
          </cell>
        </row>
        <row r="354">
          <cell r="A354" t="str">
            <v>Củ Hành Tây 02/11/2024</v>
          </cell>
          <cell r="B354">
            <v>28000</v>
          </cell>
        </row>
        <row r="355">
          <cell r="A355" t="str">
            <v>Cà Rốt Baby 02/11/2024</v>
          </cell>
          <cell r="B355">
            <v>58000</v>
          </cell>
        </row>
        <row r="356">
          <cell r="A356" t="str">
            <v>Lá Mè 02/11/2024</v>
          </cell>
          <cell r="B356">
            <v>50000</v>
          </cell>
        </row>
        <row r="357">
          <cell r="A357" t="str">
            <v>Chuối Laba 02/11/2024</v>
          </cell>
          <cell r="B357">
            <v>12000</v>
          </cell>
        </row>
        <row r="358">
          <cell r="A358" t="str">
            <v>Củ Khoai Lang Nhật 02/11/2024</v>
          </cell>
          <cell r="B358">
            <v>20000</v>
          </cell>
        </row>
        <row r="359">
          <cell r="A359" t="str">
            <v>Củ Khoai Tây Vàng 02/11/2024</v>
          </cell>
          <cell r="B359">
            <v>15000</v>
          </cell>
        </row>
        <row r="360">
          <cell r="A360" t="str">
            <v>Củ Khoai Tây Bi Vàng 02/11/2024</v>
          </cell>
          <cell r="B360">
            <v>12000</v>
          </cell>
        </row>
        <row r="361">
          <cell r="A361" t="str">
            <v>Trái Su Su 02/11/2024</v>
          </cell>
          <cell r="B361">
            <v>9500</v>
          </cell>
        </row>
        <row r="362">
          <cell r="A362" t="str">
            <v>Củ Cải Trắng 02/11/2024</v>
          </cell>
          <cell r="B362">
            <v>6500</v>
          </cell>
        </row>
        <row r="363">
          <cell r="A363" t="str">
            <v>Củ Su Hào 02/11/2024</v>
          </cell>
          <cell r="B363">
            <v>18000</v>
          </cell>
        </row>
        <row r="364">
          <cell r="A364" t="str">
            <v>Bơ Booth 02/11/2024</v>
          </cell>
          <cell r="B364">
            <v>23000</v>
          </cell>
        </row>
        <row r="365">
          <cell r="A365" t="str">
            <v>Cà Tím 02/11/2024</v>
          </cell>
          <cell r="B365">
            <v>12000</v>
          </cell>
        </row>
        <row r="366">
          <cell r="A366" t="str">
            <v>Cà Chua Beef 02/11/2024</v>
          </cell>
          <cell r="B366">
            <v>25000</v>
          </cell>
        </row>
        <row r="367">
          <cell r="A367" t="str">
            <v>DO 0.05S-II 03/11/2024</v>
          </cell>
          <cell r="B367">
            <v>16818.18</v>
          </cell>
        </row>
        <row r="368">
          <cell r="A368" t="str">
            <v>DO 0.05S-II 03/11/2024</v>
          </cell>
          <cell r="B368">
            <v>16818.18</v>
          </cell>
        </row>
        <row r="369">
          <cell r="A369" t="str">
            <v>Cước đường bộ xe 49C37105T từ ngày 03/11/2024 đến hết ngày 02/12/2024 tại trạm Định An thời gian GD 09:56:49 ngày 03/11/2024 mã GD 3988420 03/11/2024</v>
          </cell>
          <cell r="B369">
            <v>805556</v>
          </cell>
        </row>
        <row r="370">
          <cell r="A370" t="str">
            <v>Cước đường bộ xe 49C37105T đi qua trạm Định An thời gian GD 08:57:50 ngày 03/11/2024 mã GD 1479021722 03/11/2024</v>
          </cell>
          <cell r="B370">
            <v>26852</v>
          </cell>
        </row>
        <row r="371">
          <cell r="A371" t="str">
            <v>Cà Chua Socola 03/11/2024</v>
          </cell>
          <cell r="B371">
            <v>7000</v>
          </cell>
        </row>
        <row r="372">
          <cell r="A372" t="str">
            <v>Cà Chua Beef 03/11/2024</v>
          </cell>
          <cell r="B372">
            <v>24000</v>
          </cell>
        </row>
        <row r="373">
          <cell r="A373" t="str">
            <v>Bông Cải Xanh 7Cm 03/11/2024</v>
          </cell>
          <cell r="B373">
            <v>40000</v>
          </cell>
        </row>
        <row r="374">
          <cell r="A374" t="str">
            <v>Bông Cải Xanh 12Cm 03/11/2024</v>
          </cell>
          <cell r="B374">
            <v>30000</v>
          </cell>
        </row>
        <row r="375">
          <cell r="A375" t="str">
            <v>Cần Tây 03/11/2024</v>
          </cell>
          <cell r="B375">
            <v>11000</v>
          </cell>
        </row>
        <row r="376">
          <cell r="A376" t="str">
            <v>Bắp Cải Tím 03/11/2024</v>
          </cell>
          <cell r="B376">
            <v>30000</v>
          </cell>
        </row>
        <row r="377">
          <cell r="A377" t="str">
            <v>Bông Cải Xanh 7Cm 03/11/2024</v>
          </cell>
          <cell r="B377">
            <v>40000</v>
          </cell>
        </row>
        <row r="378">
          <cell r="A378" t="str">
            <v>Ớt Sweet Palemo 03/11/2024</v>
          </cell>
          <cell r="B378">
            <v>20000</v>
          </cell>
        </row>
        <row r="379">
          <cell r="A379" t="str">
            <v>Cà Chua Beef 03/11/2024</v>
          </cell>
          <cell r="B379">
            <v>24000</v>
          </cell>
        </row>
        <row r="380">
          <cell r="A380" t="str">
            <v>Lá Mè 03/11/2024</v>
          </cell>
          <cell r="B380">
            <v>40000</v>
          </cell>
        </row>
        <row r="381">
          <cell r="A381" t="str">
            <v>Xà Lách Mỡ T.C 03/11/2024</v>
          </cell>
          <cell r="B381">
            <v>27000</v>
          </cell>
        </row>
        <row r="382">
          <cell r="A382" t="str">
            <v>Xà Lách Lolo Xanh T.C 03/11/2024</v>
          </cell>
          <cell r="B382">
            <v>28000</v>
          </cell>
        </row>
        <row r="383">
          <cell r="A383" t="str">
            <v>Trái Su Su 03/11/2024</v>
          </cell>
          <cell r="B383">
            <v>8000</v>
          </cell>
        </row>
        <row r="384">
          <cell r="A384" t="str">
            <v>Lá Nha Đam 03/11/2024</v>
          </cell>
          <cell r="B384">
            <v>14000</v>
          </cell>
        </row>
        <row r="385">
          <cell r="A385" t="str">
            <v>Củ Gừng 03/11/2024</v>
          </cell>
          <cell r="B385">
            <v>45000</v>
          </cell>
        </row>
        <row r="386">
          <cell r="A386" t="str">
            <v>Củ Khoai Mỡ 03/11/2024</v>
          </cell>
          <cell r="B386">
            <v>28000</v>
          </cell>
        </row>
        <row r="387">
          <cell r="A387" t="str">
            <v>Bí Đỏ Hồ Lô 03/11/2024</v>
          </cell>
          <cell r="B387">
            <v>11000</v>
          </cell>
        </row>
        <row r="388">
          <cell r="A388" t="str">
            <v>Chuối Laba 03/11/2024</v>
          </cell>
          <cell r="B388">
            <v>13000</v>
          </cell>
        </row>
        <row r="389">
          <cell r="A389" t="str">
            <v>Cà Tím 03/11/2024</v>
          </cell>
          <cell r="B389">
            <v>11500</v>
          </cell>
        </row>
        <row r="390">
          <cell r="A390" t="str">
            <v>Cà Rốt 03/11/2024</v>
          </cell>
          <cell r="B390">
            <v>19000</v>
          </cell>
        </row>
        <row r="391">
          <cell r="A391" t="str">
            <v>Cải Bó Xôi 03/11/2024</v>
          </cell>
          <cell r="B391">
            <v>35000</v>
          </cell>
        </row>
        <row r="392">
          <cell r="A392" t="str">
            <v>Xà Lách Lolo Xanh T.C 03/11/2024</v>
          </cell>
          <cell r="B392">
            <v>28000</v>
          </cell>
        </row>
        <row r="393">
          <cell r="A393" t="str">
            <v>Củ Khoai Lang Mật Size 23 03/11/2024</v>
          </cell>
          <cell r="B393">
            <v>22000</v>
          </cell>
        </row>
        <row r="394">
          <cell r="A394" t="str">
            <v>Củ Khoai Lang Mật Size 46 03/11/2024</v>
          </cell>
          <cell r="B394">
            <v>22000</v>
          </cell>
        </row>
        <row r="395">
          <cell r="A395" t="str">
            <v>Củ Khoai Lang Nhật 03/11/2024</v>
          </cell>
          <cell r="B395">
            <v>19500</v>
          </cell>
        </row>
        <row r="396">
          <cell r="A396" t="str">
            <v>Xà Lách Thủy Tinh T.C Cây 03/11/2024</v>
          </cell>
          <cell r="B396">
            <v>7000</v>
          </cell>
        </row>
        <row r="397">
          <cell r="A397" t="str">
            <v>Củ Dền 03/11/2024</v>
          </cell>
          <cell r="B397">
            <v>15000</v>
          </cell>
        </row>
        <row r="398">
          <cell r="A398" t="str">
            <v>Cà Rốt 03/11/2024</v>
          </cell>
          <cell r="B398">
            <v>19000</v>
          </cell>
        </row>
        <row r="399">
          <cell r="A399" t="str">
            <v>Dưa Leo Thường 03/11/2024</v>
          </cell>
          <cell r="B399">
            <v>7000</v>
          </cell>
        </row>
        <row r="400">
          <cell r="A400" t="str">
            <v>Trái Khổ Qua 03/11/2024</v>
          </cell>
          <cell r="B400">
            <v>13000</v>
          </cell>
        </row>
        <row r="401">
          <cell r="A401" t="str">
            <v>Cà Tím 03/11/2024</v>
          </cell>
          <cell r="B401">
            <v>8000</v>
          </cell>
        </row>
        <row r="402">
          <cell r="A402" t="str">
            <v>Bí Ngòi Xanh 03/11/2024</v>
          </cell>
          <cell r="B402">
            <v>21000</v>
          </cell>
        </row>
        <row r="403">
          <cell r="A403" t="str">
            <v>Xà Lách Lolo Xanh 03/11/2024</v>
          </cell>
          <cell r="B403">
            <v>34000</v>
          </cell>
        </row>
        <row r="404">
          <cell r="A404" t="str">
            <v>Xà Lách Rocket 03/11/2024</v>
          </cell>
          <cell r="B404">
            <v>120000</v>
          </cell>
        </row>
        <row r="405">
          <cell r="A405" t="str">
            <v>Rau Bầu Đất 03/11/2024</v>
          </cell>
          <cell r="B405">
            <v>30000</v>
          </cell>
        </row>
        <row r="406">
          <cell r="A406" t="str">
            <v>Lá Tía Tô 03/11/2024</v>
          </cell>
          <cell r="B406">
            <v>32000</v>
          </cell>
        </row>
        <row r="407">
          <cell r="A407" t="str">
            <v>Cần Tây 03/11/2024</v>
          </cell>
          <cell r="B407">
            <v>13000</v>
          </cell>
        </row>
        <row r="408">
          <cell r="A408" t="str">
            <v>Bông Cải Xanh 7Cm 03/11/2024</v>
          </cell>
          <cell r="B408">
            <v>40000</v>
          </cell>
        </row>
        <row r="409">
          <cell r="A409" t="str">
            <v>Bí Ngòi Xanh 03/11/2024</v>
          </cell>
          <cell r="B409">
            <v>22000</v>
          </cell>
        </row>
        <row r="410">
          <cell r="A410" t="str">
            <v>Xà Lách Mỹ 03/11/2024</v>
          </cell>
          <cell r="B410">
            <v>38000</v>
          </cell>
        </row>
        <row r="411">
          <cell r="A411" t="str">
            <v>Đậu Đỏ 03/11/2024</v>
          </cell>
          <cell r="B411">
            <v>80000</v>
          </cell>
        </row>
        <row r="412">
          <cell r="A412" t="str">
            <v>Xà Lách Lolo Xanh T.C Cây 03/11/2024</v>
          </cell>
          <cell r="B412">
            <v>6800</v>
          </cell>
        </row>
        <row r="413">
          <cell r="A413" t="str">
            <v>Xà Lách Mỡ T.C Cây 03/11/2024</v>
          </cell>
          <cell r="B413">
            <v>6800</v>
          </cell>
        </row>
        <row r="414">
          <cell r="A414" t="str">
            <v>Xà Lách Mỡ T.C 03/11/2024</v>
          </cell>
          <cell r="B414">
            <v>28000</v>
          </cell>
        </row>
        <row r="415">
          <cell r="A415" t="str">
            <v>Xà Lách Thủy Tinh T.C Cây 03/11/2024</v>
          </cell>
          <cell r="B415">
            <v>6800</v>
          </cell>
        </row>
        <row r="416">
          <cell r="A416" t="str">
            <v>Xà Lách Thủy Tinh T.C 03/11/2024</v>
          </cell>
          <cell r="B416">
            <v>30000</v>
          </cell>
        </row>
        <row r="417">
          <cell r="A417" t="str">
            <v>Cà Chua Socola 03/11/2024</v>
          </cell>
          <cell r="B417">
            <v>9000</v>
          </cell>
        </row>
        <row r="418">
          <cell r="A418" t="str">
            <v>Dưa Leo Baby 03/11/2024</v>
          </cell>
          <cell r="B418">
            <v>12000</v>
          </cell>
        </row>
        <row r="419">
          <cell r="A419" t="str">
            <v>Cà Chua Thường 03/11/2024</v>
          </cell>
          <cell r="B419">
            <v>23000</v>
          </cell>
        </row>
        <row r="420">
          <cell r="A420" t="str">
            <v>Bông Cải Trắng 03/11/2024</v>
          </cell>
          <cell r="B420">
            <v>28000</v>
          </cell>
        </row>
        <row r="421">
          <cell r="A421" t="str">
            <v>Xà Lách Thủy Tinh T.C Cây 03/11/2024</v>
          </cell>
          <cell r="B421">
            <v>8000</v>
          </cell>
        </row>
        <row r="422">
          <cell r="A422" t="str">
            <v>Cà Chua Thường 03/11/2024</v>
          </cell>
          <cell r="B422">
            <v>23000</v>
          </cell>
        </row>
        <row r="423">
          <cell r="A423" t="str">
            <v>Cà Chua Thường Trung 03/11/2024</v>
          </cell>
          <cell r="B423">
            <v>19000</v>
          </cell>
        </row>
        <row r="424">
          <cell r="A424" t="str">
            <v>Củ Cải Trắng 03/11/2024</v>
          </cell>
          <cell r="B424">
            <v>6000</v>
          </cell>
        </row>
        <row r="425">
          <cell r="A425" t="str">
            <v>Cà Chua Bi Đỏ 03/11/2024</v>
          </cell>
          <cell r="B425">
            <v>11400</v>
          </cell>
        </row>
        <row r="426">
          <cell r="A426" t="str">
            <v>Cà Chua Bi Đỏ 03/11/2024</v>
          </cell>
          <cell r="B426">
            <v>19000</v>
          </cell>
        </row>
        <row r="427">
          <cell r="A427" t="str">
            <v>Ớt Chuông Đỏ 03/11/2024</v>
          </cell>
          <cell r="B427">
            <v>46000</v>
          </cell>
        </row>
        <row r="428">
          <cell r="A428" t="str">
            <v>Ớt Chuông Vàng 03/11/2024</v>
          </cell>
          <cell r="B428">
            <v>36000</v>
          </cell>
        </row>
        <row r="429">
          <cell r="A429" t="str">
            <v>Bơ Booth 03/11/2024</v>
          </cell>
          <cell r="B429">
            <v>26000</v>
          </cell>
        </row>
        <row r="430">
          <cell r="A430" t="str">
            <v>Lá Mè 03/11/2024</v>
          </cell>
          <cell r="B430">
            <v>46000</v>
          </cell>
        </row>
        <row r="431">
          <cell r="A431" t="str">
            <v>Cải Kale 03/11/2024</v>
          </cell>
          <cell r="B431">
            <v>27000</v>
          </cell>
        </row>
        <row r="432">
          <cell r="A432" t="str">
            <v>Đậu Cove Nhật 03/11/2024</v>
          </cell>
          <cell r="B432">
            <v>23000</v>
          </cell>
        </row>
        <row r="433">
          <cell r="A433" t="str">
            <v>Bắp Cải Trắng 03/11/2024</v>
          </cell>
          <cell r="B433">
            <v>13748.5</v>
          </cell>
        </row>
        <row r="434">
          <cell r="A434" t="str">
            <v>Bắp Cải Trắng 03/11/2024</v>
          </cell>
          <cell r="B434">
            <v>13748.5</v>
          </cell>
        </row>
        <row r="435">
          <cell r="A435" t="str">
            <v>Bí Non Nhật 03/11/2024</v>
          </cell>
          <cell r="B435">
            <v>13000</v>
          </cell>
        </row>
        <row r="436">
          <cell r="A436" t="str">
            <v>Đậu Cove Trắng 03/11/2024</v>
          </cell>
          <cell r="B436">
            <v>12000</v>
          </cell>
        </row>
        <row r="437">
          <cell r="A437" t="str">
            <v>Đậu Cove Trắng 03/11/2024</v>
          </cell>
          <cell r="B437">
            <v>8000</v>
          </cell>
        </row>
        <row r="438">
          <cell r="A438" t="str">
            <v>Đậu Cove Nhật 03/11/2024</v>
          </cell>
          <cell r="B438">
            <v>9000</v>
          </cell>
        </row>
        <row r="439">
          <cell r="A439" t="str">
            <v>Bông Cải Xanh Baby 03/11/2024</v>
          </cell>
          <cell r="B439">
            <v>50000</v>
          </cell>
        </row>
        <row r="440">
          <cell r="A440" t="str">
            <v>Củ Khoai Tây Vàng 03/11/2024</v>
          </cell>
          <cell r="B440">
            <v>15000</v>
          </cell>
        </row>
        <row r="441">
          <cell r="A441" t="str">
            <v>Củ Khoai Tây Bi Vàng 03/11/2024</v>
          </cell>
          <cell r="B441">
            <v>12000</v>
          </cell>
        </row>
        <row r="442">
          <cell r="A442" t="str">
            <v>Ớt Sweet Palemo 03/11/2024</v>
          </cell>
          <cell r="B442">
            <v>20000</v>
          </cell>
        </row>
        <row r="443">
          <cell r="A443" t="str">
            <v>Ớt Chuông Baby 03/11/2024</v>
          </cell>
          <cell r="B443">
            <v>50000</v>
          </cell>
        </row>
        <row r="444">
          <cell r="A444" t="str">
            <v>Ớt Chuông Snack 03/11/2024</v>
          </cell>
          <cell r="B444">
            <v>58000</v>
          </cell>
        </row>
        <row r="445">
          <cell r="A445" t="str">
            <v>Ớt Chuông Xanh 03/11/2024</v>
          </cell>
          <cell r="B445">
            <v>35000</v>
          </cell>
        </row>
        <row r="446">
          <cell r="A446" t="str">
            <v>Ớt Chuông Xanh Trung 03/11/2024</v>
          </cell>
          <cell r="B446">
            <v>30000</v>
          </cell>
        </row>
        <row r="447">
          <cell r="A447" t="str">
            <v>Ớt Chuông Vàng Trung 03/11/2024</v>
          </cell>
          <cell r="B447">
            <v>32000</v>
          </cell>
        </row>
        <row r="448">
          <cell r="A448" t="str">
            <v>Hành Paro 03/11/2024</v>
          </cell>
          <cell r="B448">
            <v>48000</v>
          </cell>
        </row>
        <row r="449">
          <cell r="A449" t="str">
            <v>Rau Ngò Rí 03/11/2024</v>
          </cell>
          <cell r="B449">
            <v>35000</v>
          </cell>
        </row>
        <row r="450">
          <cell r="A450" t="str">
            <v>Cà Chua Beef Chùm 03/11/2024</v>
          </cell>
          <cell r="B450">
            <v>26000</v>
          </cell>
        </row>
        <row r="451">
          <cell r="A451" t="str">
            <v>Cà Chua Beef 03/11/2024</v>
          </cell>
          <cell r="B451">
            <v>23000</v>
          </cell>
        </row>
        <row r="452">
          <cell r="A452" t="str">
            <v>Cà Chua Beef 650Gr 03/11/2024</v>
          </cell>
          <cell r="B452">
            <v>27000</v>
          </cell>
        </row>
        <row r="453">
          <cell r="A453" t="str">
            <v>Cà Chua Beef 500Gr 03/11/2024</v>
          </cell>
          <cell r="B453">
            <v>22000</v>
          </cell>
        </row>
        <row r="454">
          <cell r="A454" t="str">
            <v>Cà Chua Bi Mix 03/11/2024</v>
          </cell>
          <cell r="B454">
            <v>50000</v>
          </cell>
        </row>
        <row r="455">
          <cell r="A455" t="str">
            <v>Cà Chua Bi Mix 03/11/2024</v>
          </cell>
          <cell r="B455">
            <v>51500</v>
          </cell>
        </row>
        <row r="456">
          <cell r="A456" t="str">
            <v>Cải Kale 03/11/2024</v>
          </cell>
          <cell r="B456">
            <v>34500</v>
          </cell>
        </row>
        <row r="457">
          <cell r="A457" t="str">
            <v>Chanh Không Hạt 03/11/2024</v>
          </cell>
          <cell r="B457">
            <v>26000</v>
          </cell>
        </row>
        <row r="458">
          <cell r="A458" t="str">
            <v>Cải Bó Xôi 03/11/2024</v>
          </cell>
          <cell r="B458">
            <v>35000</v>
          </cell>
        </row>
        <row r="459">
          <cell r="A459" t="str">
            <v>Cải Bó Xôi 03/11/2024</v>
          </cell>
          <cell r="B459">
            <v>38000</v>
          </cell>
        </row>
        <row r="460">
          <cell r="A460" t="str">
            <v>Cải Thảo 03/11/2024</v>
          </cell>
          <cell r="B460">
            <v>7500</v>
          </cell>
        </row>
        <row r="461">
          <cell r="A461" t="str">
            <v>Cải Thảo 03/11/2024</v>
          </cell>
          <cell r="B461">
            <v>6500</v>
          </cell>
        </row>
        <row r="462">
          <cell r="A462" t="str">
            <v>Hồng Treo Gió 03/11/2024</v>
          </cell>
          <cell r="B462">
            <v>200000</v>
          </cell>
        </row>
        <row r="463">
          <cell r="A463" t="str">
            <v>Lá Quế Tây 03/11/2024</v>
          </cell>
          <cell r="B463">
            <v>110000</v>
          </cell>
        </row>
        <row r="464">
          <cell r="A464" t="str">
            <v>Lá Hương Thảo 03/11/2024</v>
          </cell>
          <cell r="B464">
            <v>100000</v>
          </cell>
        </row>
        <row r="465">
          <cell r="A465" t="str">
            <v>Xà Lách Lolo Xanh 03/11/2024</v>
          </cell>
          <cell r="B465">
            <v>30000</v>
          </cell>
        </row>
        <row r="466">
          <cell r="A466" t="str">
            <v>Xà Lách Lolo Xanh 03/11/2024</v>
          </cell>
          <cell r="B466">
            <v>33000</v>
          </cell>
        </row>
        <row r="467">
          <cell r="A467" t="str">
            <v>Trái Chanh Vàng 03/11/2024</v>
          </cell>
          <cell r="B467">
            <v>60000</v>
          </cell>
        </row>
        <row r="468">
          <cell r="A468" t="str">
            <v>Ớt Sweet Palemo 03/11/2024</v>
          </cell>
          <cell r="B468">
            <v>20000</v>
          </cell>
        </row>
        <row r="469">
          <cell r="A469" t="str">
            <v>Cà Chua Beef 500Gr 03/11/2024</v>
          </cell>
          <cell r="B469">
            <v>22000</v>
          </cell>
        </row>
        <row r="470">
          <cell r="A470" t="str">
            <v>Cà Rốt Baby 03/11/2024</v>
          </cell>
          <cell r="B470">
            <v>60000</v>
          </cell>
        </row>
        <row r="471">
          <cell r="A471" t="str">
            <v>Cải Cầu Vồng 03/11/2024</v>
          </cell>
          <cell r="B471">
            <v>20000</v>
          </cell>
        </row>
        <row r="472">
          <cell r="A472" t="str">
            <v>Cải Kale 03/11/2024</v>
          </cell>
          <cell r="B472">
            <v>38000</v>
          </cell>
        </row>
        <row r="473">
          <cell r="A473" t="str">
            <v>Măng Tây 03/11/2024</v>
          </cell>
          <cell r="B473">
            <v>51000</v>
          </cell>
        </row>
        <row r="474">
          <cell r="A474" t="str">
            <v>Măng Tây 03/11/2024</v>
          </cell>
          <cell r="B474">
            <v>42000</v>
          </cell>
        </row>
        <row r="475">
          <cell r="A475" t="str">
            <v>Lá É 03/11/2024</v>
          </cell>
          <cell r="B475">
            <v>25000</v>
          </cell>
        </row>
        <row r="476">
          <cell r="A476" t="str">
            <v>Hồng Giòn Đà Lạt 03/11/2024</v>
          </cell>
          <cell r="B476">
            <v>27000</v>
          </cell>
        </row>
        <row r="477">
          <cell r="A477" t="str">
            <v>Lá Mè 03/11/2024</v>
          </cell>
          <cell r="B477">
            <v>50000</v>
          </cell>
        </row>
        <row r="478">
          <cell r="A478" t="str">
            <v>Dưa Leo Baby 03/11/2024</v>
          </cell>
          <cell r="B478">
            <v>8000</v>
          </cell>
        </row>
        <row r="479">
          <cell r="A479" t="str">
            <v>Bắp Cải Trái Tim 03/11/2024</v>
          </cell>
          <cell r="B479">
            <v>15000</v>
          </cell>
        </row>
        <row r="480">
          <cell r="A480" t="str">
            <v>Bí Non Nhật 03/11/2024</v>
          </cell>
          <cell r="B480">
            <v>11000</v>
          </cell>
        </row>
        <row r="481">
          <cell r="A481" t="str">
            <v>Dưa Leo Baby 03/11/2024</v>
          </cell>
          <cell r="B481">
            <v>6000</v>
          </cell>
        </row>
        <row r="482">
          <cell r="A482" t="str">
            <v>CT-MÍT 03/11/2024</v>
          </cell>
          <cell r="B482">
            <v>14590</v>
          </cell>
        </row>
        <row r="483">
          <cell r="A483" t="str">
            <v>Cần Tây 03/11/2024</v>
          </cell>
          <cell r="B483">
            <v>11000</v>
          </cell>
        </row>
        <row r="484">
          <cell r="A484" t="str">
            <v>Cải Thảo Hỏa Tiễn 03/11/2024</v>
          </cell>
          <cell r="B484">
            <v>16000</v>
          </cell>
        </row>
        <row r="485">
          <cell r="A485" t="str">
            <v>Bông Cải Xanh Cọng 03/11/2024</v>
          </cell>
          <cell r="B485">
            <v>31000</v>
          </cell>
        </row>
        <row r="486">
          <cell r="A486" t="str">
            <v>Bông Cải Xanh Cọng 03/11/2024</v>
          </cell>
          <cell r="B486">
            <v>31000</v>
          </cell>
        </row>
        <row r="487">
          <cell r="A487" t="str">
            <v>Bông Cải Xanh Cọng 03/11/2024</v>
          </cell>
          <cell r="B487">
            <v>31000</v>
          </cell>
        </row>
        <row r="488">
          <cell r="A488" t="str">
            <v>Bơ Booth 03/11/2024</v>
          </cell>
          <cell r="B488">
            <v>23000</v>
          </cell>
        </row>
        <row r="489">
          <cell r="A489" t="str">
            <v>Ớt Chuông Đỏ 03/11/2024</v>
          </cell>
          <cell r="B489">
            <v>47000</v>
          </cell>
        </row>
        <row r="490">
          <cell r="A490" t="str">
            <v>Ớt Chuông Vàng 03/11/2024</v>
          </cell>
          <cell r="B490">
            <v>32000</v>
          </cell>
        </row>
        <row r="491">
          <cell r="A491" t="str">
            <v>Trái Su Su 03/11/2024</v>
          </cell>
          <cell r="B491">
            <v>8000</v>
          </cell>
        </row>
        <row r="492">
          <cell r="A492" t="str">
            <v>Chuối Laba 03/11/2024</v>
          </cell>
          <cell r="B492">
            <v>13000</v>
          </cell>
        </row>
        <row r="493">
          <cell r="A493" t="str">
            <v>Cà Tím 03/11/2024</v>
          </cell>
          <cell r="B493">
            <v>11500</v>
          </cell>
        </row>
        <row r="494">
          <cell r="A494" t="str">
            <v>Củ Khoai Lang Mật Size 46 03/11/2024</v>
          </cell>
          <cell r="B494">
            <v>22000</v>
          </cell>
        </row>
        <row r="495">
          <cell r="A495" t="str">
            <v>Cà Rốt Trung 03/11/2024</v>
          </cell>
          <cell r="B495">
            <v>15000</v>
          </cell>
        </row>
        <row r="496">
          <cell r="A496" t="str">
            <v>Củ Khoai Lang Nhật 03/11/2024</v>
          </cell>
          <cell r="B496">
            <v>19500</v>
          </cell>
        </row>
        <row r="497">
          <cell r="A497" t="str">
            <v>Trái Su Su 03/11/2024</v>
          </cell>
          <cell r="B497">
            <v>8000</v>
          </cell>
        </row>
        <row r="498">
          <cell r="A498" t="str">
            <v>Bí Ngòi Xanh 03/11/2024</v>
          </cell>
          <cell r="B498">
            <v>22000</v>
          </cell>
        </row>
        <row r="499">
          <cell r="A499" t="str">
            <v>Cà Chua Beef 03/11/2024</v>
          </cell>
          <cell r="B499">
            <v>25000</v>
          </cell>
        </row>
        <row r="500">
          <cell r="A500" t="str">
            <v>Bí Ngòi Vàng 03/11/2024</v>
          </cell>
          <cell r="B500">
            <v>35000</v>
          </cell>
        </row>
        <row r="501">
          <cell r="A501" t="str">
            <v>Củ Dền 03/11/2024</v>
          </cell>
          <cell r="B501">
            <v>17000</v>
          </cell>
        </row>
        <row r="502">
          <cell r="A502" t="str">
            <v>Cà Chua Thường 03/11/2024</v>
          </cell>
          <cell r="B502">
            <v>23000</v>
          </cell>
        </row>
        <row r="503">
          <cell r="A503" t="str">
            <v>Bông Cải Trắng 03/11/2024</v>
          </cell>
          <cell r="B503">
            <v>28000</v>
          </cell>
        </row>
        <row r="504">
          <cell r="A504" t="str">
            <v>Hành Paro 03/11/2024</v>
          </cell>
          <cell r="B504">
            <v>48000</v>
          </cell>
        </row>
        <row r="505">
          <cell r="A505" t="str">
            <v>Ớt Chuông Xanh 03/11/2024</v>
          </cell>
          <cell r="B505">
            <v>35000</v>
          </cell>
        </row>
        <row r="506">
          <cell r="A506" t="str">
            <v>Chuối Laba 03/11/2024</v>
          </cell>
          <cell r="B506">
            <v>12000</v>
          </cell>
        </row>
        <row r="507">
          <cell r="A507" t="str">
            <v>Cà Chua Thường 03/11/2024</v>
          </cell>
          <cell r="B507">
            <v>23000</v>
          </cell>
        </row>
        <row r="508">
          <cell r="A508" t="str">
            <v>Cải Thảo Kim Chi 03/11/2024</v>
          </cell>
          <cell r="B508">
            <v>7500</v>
          </cell>
        </row>
        <row r="509">
          <cell r="A509" t="str">
            <v>Bắp Cải Trắng 03/11/2024</v>
          </cell>
          <cell r="B509">
            <v>13748.5</v>
          </cell>
        </row>
        <row r="510">
          <cell r="A510" t="str">
            <v>Chanh Dây Tím 03/11/2024</v>
          </cell>
          <cell r="B510">
            <v>31000</v>
          </cell>
        </row>
        <row r="511">
          <cell r="A511" t="str">
            <v>Đậu Cove Trắng 03/11/2024</v>
          </cell>
          <cell r="B511">
            <v>12000</v>
          </cell>
        </row>
        <row r="512">
          <cell r="A512" t="str">
            <v>Đậu Cove Nhật 03/11/2024</v>
          </cell>
          <cell r="B512">
            <v>9000</v>
          </cell>
        </row>
        <row r="513">
          <cell r="A513" t="str">
            <v>Củ Cải Trắng 03/11/2024</v>
          </cell>
          <cell r="B513">
            <v>6500</v>
          </cell>
        </row>
        <row r="514">
          <cell r="A514" t="str">
            <v>Củ Cải Muối 03/11/2024</v>
          </cell>
          <cell r="B514">
            <v>16000</v>
          </cell>
        </row>
        <row r="515">
          <cell r="A515" t="str">
            <v>Củ Khoai Tây Vàng 03/11/2024</v>
          </cell>
          <cell r="B515">
            <v>15000</v>
          </cell>
        </row>
        <row r="516">
          <cell r="A516" t="str">
            <v>Củ Khoai Tây Bi Vàng 03/11/2024</v>
          </cell>
          <cell r="B516">
            <v>12000</v>
          </cell>
        </row>
        <row r="517">
          <cell r="A517" t="str">
            <v>Cà Chua Beef 03/11/2024</v>
          </cell>
          <cell r="B517">
            <v>25000</v>
          </cell>
        </row>
        <row r="518">
          <cell r="A518" t="str">
            <v>Bí Đao Xanh 03/11/2024</v>
          </cell>
          <cell r="B518">
            <v>6000</v>
          </cell>
        </row>
        <row r="519">
          <cell r="A519" t="str">
            <v>Bắp Cải Trái Tim 03/11/2024</v>
          </cell>
          <cell r="B519">
            <v>15000</v>
          </cell>
        </row>
        <row r="520">
          <cell r="A520" t="str">
            <v>Hồng Treo Gió 03/11/2024</v>
          </cell>
          <cell r="B520">
            <v>200000</v>
          </cell>
        </row>
        <row r="521">
          <cell r="A521" t="str">
            <v>Hạt Dẻ Ngố 03/11/2024</v>
          </cell>
          <cell r="B521">
            <v>28600</v>
          </cell>
        </row>
        <row r="522">
          <cell r="A522" t="str">
            <v>DO 0.05S-II 04/11/2024</v>
          </cell>
          <cell r="B522">
            <v>16818.18</v>
          </cell>
        </row>
        <row r="523">
          <cell r="A523" t="str">
            <v>DO 0.05S-II 04/11/2024</v>
          </cell>
          <cell r="B523">
            <v>16818.18</v>
          </cell>
        </row>
        <row r="524">
          <cell r="A524" t="str">
            <v>Cước vận chuyển 04/11/2024</v>
          </cell>
          <cell r="B524">
            <v>0</v>
          </cell>
        </row>
        <row r="525">
          <cell r="A525" t="str">
            <v>Cà Chua Beef Chùm 04/11/2024</v>
          </cell>
          <cell r="B525">
            <v>24000</v>
          </cell>
        </row>
        <row r="526">
          <cell r="A526" t="str">
            <v>Cà Chua Beef 04/11/2024</v>
          </cell>
          <cell r="B526">
            <v>21000</v>
          </cell>
        </row>
        <row r="527">
          <cell r="A527" t="str">
            <v>Cà Chua Beef Trung 04/11/2024</v>
          </cell>
          <cell r="B527">
            <v>16000</v>
          </cell>
        </row>
        <row r="528">
          <cell r="A528" t="str">
            <v>Trái Mâm Xôi 04/11/2024</v>
          </cell>
          <cell r="B528">
            <v>35000</v>
          </cell>
        </row>
        <row r="529">
          <cell r="A529" t="str">
            <v>Lá Mè 04/11/2024</v>
          </cell>
          <cell r="B529">
            <v>40000</v>
          </cell>
        </row>
        <row r="530">
          <cell r="A530" t="str">
            <v>Củ Hành Tây Tím 04/11/2024</v>
          </cell>
          <cell r="B530">
            <v>20000</v>
          </cell>
        </row>
        <row r="531">
          <cell r="A531" t="str">
            <v>Bông Cải Xanh 7Cm 04/11/2024</v>
          </cell>
          <cell r="B531">
            <v>39000</v>
          </cell>
        </row>
        <row r="532">
          <cell r="A532" t="str">
            <v>Bông Cải Xanh 7Cm 04/11/2024</v>
          </cell>
          <cell r="B532">
            <v>40000</v>
          </cell>
        </row>
        <row r="533">
          <cell r="A533" t="str">
            <v>Cần Tây 04/11/2024</v>
          </cell>
          <cell r="B533">
            <v>13000</v>
          </cell>
        </row>
        <row r="534">
          <cell r="A534" t="str">
            <v>Dưa Leo Baby 04/11/2024</v>
          </cell>
          <cell r="B534">
            <v>11000</v>
          </cell>
        </row>
        <row r="535">
          <cell r="A535" t="str">
            <v>Bông Cải Xanh 7Cm 04/11/2024</v>
          </cell>
          <cell r="B535">
            <v>39000</v>
          </cell>
        </row>
        <row r="536">
          <cell r="A536" t="str">
            <v>Bông Cải Xanh Gốc Dài 04/11/2024</v>
          </cell>
          <cell r="B536">
            <v>26000</v>
          </cell>
        </row>
        <row r="537">
          <cell r="A537" t="str">
            <v>Cải Thảo Hỏa Tiễn 04/11/2024</v>
          </cell>
          <cell r="B537">
            <v>16000</v>
          </cell>
        </row>
        <row r="538">
          <cell r="A538" t="str">
            <v>Bắp Cải Tím 04/11/2024</v>
          </cell>
          <cell r="B538">
            <v>30000</v>
          </cell>
        </row>
        <row r="539">
          <cell r="A539" t="str">
            <v>Cần Tây 04/11/2024</v>
          </cell>
          <cell r="B539">
            <v>11000</v>
          </cell>
        </row>
        <row r="540">
          <cell r="A540" t="str">
            <v>Lá Tía Tô 04/11/2024</v>
          </cell>
          <cell r="B540">
            <v>32000</v>
          </cell>
        </row>
        <row r="541">
          <cell r="A541" t="str">
            <v>Xà Lách Lolo Xanh 04/11/2024</v>
          </cell>
          <cell r="B541">
            <v>34000</v>
          </cell>
        </row>
        <row r="542">
          <cell r="A542" t="str">
            <v>Xà Lách Rocket 04/11/2024</v>
          </cell>
          <cell r="B542">
            <v>120000</v>
          </cell>
        </row>
        <row r="543">
          <cell r="A543" t="str">
            <v>Bí Ngòi Vàng 04/11/2024</v>
          </cell>
          <cell r="B543">
            <v>40000</v>
          </cell>
        </row>
        <row r="544">
          <cell r="A544" t="str">
            <v>Xà Lách Carol 04/11/2024</v>
          </cell>
          <cell r="B544">
            <v>32000</v>
          </cell>
        </row>
        <row r="545">
          <cell r="A545" t="str">
            <v>Rau Bầu Đất 04/11/2024</v>
          </cell>
          <cell r="B545">
            <v>30000</v>
          </cell>
        </row>
        <row r="546">
          <cell r="A546" t="str">
            <v>Bông Cải Trắng 04/11/2024</v>
          </cell>
          <cell r="B546">
            <v>27000</v>
          </cell>
        </row>
        <row r="547">
          <cell r="A547" t="str">
            <v>Bông Cải Xanh 7Cm 04/11/2024</v>
          </cell>
          <cell r="B547">
            <v>39000</v>
          </cell>
        </row>
        <row r="548">
          <cell r="A548" t="str">
            <v>Cà Chua Beef 04/11/2024</v>
          </cell>
          <cell r="B548">
            <v>24000</v>
          </cell>
        </row>
        <row r="549">
          <cell r="A549" t="str">
            <v>Cà Chua Beef 04/11/2024</v>
          </cell>
          <cell r="B549">
            <v>24000</v>
          </cell>
        </row>
        <row r="550">
          <cell r="A550" t="str">
            <v>Cà Chua Beef 04/11/2024</v>
          </cell>
          <cell r="B550">
            <v>18000</v>
          </cell>
        </row>
        <row r="551">
          <cell r="A551" t="str">
            <v>Cà Chua Beef Trung 04/11/2024</v>
          </cell>
          <cell r="B551">
            <v>15000</v>
          </cell>
        </row>
        <row r="552">
          <cell r="A552" t="str">
            <v>Ớt Sweet Palemo 04/11/2024</v>
          </cell>
          <cell r="B552">
            <v>20000</v>
          </cell>
        </row>
        <row r="553">
          <cell r="A553" t="str">
            <v>Bí Ngòi Xanh 04/11/2024</v>
          </cell>
          <cell r="B553">
            <v>23000</v>
          </cell>
        </row>
        <row r="554">
          <cell r="A554" t="str">
            <v>Đậu Cove Trắng 04/11/2024</v>
          </cell>
          <cell r="B554">
            <v>25000</v>
          </cell>
        </row>
        <row r="555">
          <cell r="A555" t="str">
            <v>Cải Bó Xôi 04/11/2024</v>
          </cell>
          <cell r="B555">
            <v>36000</v>
          </cell>
        </row>
        <row r="556">
          <cell r="A556" t="str">
            <v>Măng Tây 04/11/2024</v>
          </cell>
          <cell r="B556">
            <v>52000</v>
          </cell>
        </row>
        <row r="557">
          <cell r="A557" t="str">
            <v>Măng Tây 04/11/2024</v>
          </cell>
          <cell r="B557">
            <v>42000</v>
          </cell>
        </row>
        <row r="558">
          <cell r="A558" t="str">
            <v>Lá É 04/11/2024</v>
          </cell>
          <cell r="B558">
            <v>27000</v>
          </cell>
        </row>
        <row r="559">
          <cell r="A559" t="str">
            <v>Cà Chua Socola 04/11/2024</v>
          </cell>
          <cell r="B559">
            <v>8500</v>
          </cell>
        </row>
        <row r="560">
          <cell r="A560" t="str">
            <v>Dưa Leo Baby 04/11/2024</v>
          </cell>
          <cell r="B560">
            <v>7000</v>
          </cell>
        </row>
        <row r="561">
          <cell r="A561" t="str">
            <v>Củ Khoai Lang Mật Size 23 04/11/2024</v>
          </cell>
          <cell r="B561">
            <v>22000</v>
          </cell>
        </row>
        <row r="562">
          <cell r="A562" t="str">
            <v>Củ Khoai Lang Mật Size 46 04/11/2024</v>
          </cell>
          <cell r="B562">
            <v>22000</v>
          </cell>
        </row>
        <row r="563">
          <cell r="A563" t="str">
            <v>Hồng Giòn Đà Lạt 04/11/2024</v>
          </cell>
          <cell r="B563">
            <v>27000</v>
          </cell>
        </row>
        <row r="564">
          <cell r="A564" t="str">
            <v>CT-MÍT 04/11/2024</v>
          </cell>
          <cell r="B564">
            <v>14533</v>
          </cell>
        </row>
        <row r="565">
          <cell r="A565" t="str">
            <v>Cà Rốt 04/11/2024</v>
          </cell>
          <cell r="B565">
            <v>18500</v>
          </cell>
        </row>
        <row r="566">
          <cell r="A566" t="str">
            <v>Xà Lách Lolo Xanh T.C 04/11/2024</v>
          </cell>
          <cell r="B566">
            <v>26000</v>
          </cell>
        </row>
        <row r="567">
          <cell r="A567" t="str">
            <v>Xà Lách Thủy Tinh T.C Cây 04/11/2024</v>
          </cell>
          <cell r="B567">
            <v>8000</v>
          </cell>
        </row>
        <row r="568">
          <cell r="A568" t="str">
            <v>Bí Đao Xanh 04/11/2024</v>
          </cell>
          <cell r="B568">
            <v>10000</v>
          </cell>
        </row>
        <row r="569">
          <cell r="A569" t="str">
            <v>Dưa Leo Thường 04/11/2024</v>
          </cell>
          <cell r="B569">
            <v>7000</v>
          </cell>
        </row>
        <row r="570">
          <cell r="A570" t="str">
            <v>Trái Khổ Qua 04/11/2024</v>
          </cell>
          <cell r="B570">
            <v>13000</v>
          </cell>
        </row>
        <row r="571">
          <cell r="A571" t="str">
            <v>Cà Tím 04/11/2024</v>
          </cell>
          <cell r="B571">
            <v>12000</v>
          </cell>
        </row>
        <row r="572">
          <cell r="A572" t="str">
            <v>Cà Tím 04/11/2024</v>
          </cell>
          <cell r="B572">
            <v>7000</v>
          </cell>
        </row>
        <row r="573">
          <cell r="A573" t="str">
            <v>Củ Khoai Lang Mật Size 23 04/11/2024</v>
          </cell>
          <cell r="B573">
            <v>20000</v>
          </cell>
        </row>
        <row r="574">
          <cell r="A574" t="str">
            <v>Củ Khoai Lang Mật Size 46 04/11/2024</v>
          </cell>
          <cell r="B574">
            <v>20000</v>
          </cell>
        </row>
        <row r="575">
          <cell r="A575" t="str">
            <v>Bơ Booth 04/11/2024</v>
          </cell>
          <cell r="B575">
            <v>26000</v>
          </cell>
        </row>
        <row r="576">
          <cell r="A576" t="str">
            <v>Cà Chua Socola 04/11/2024</v>
          </cell>
          <cell r="B576">
            <v>8400</v>
          </cell>
        </row>
        <row r="577">
          <cell r="A577" t="str">
            <v>Xà Lách Mỡ T.C 04/11/2024</v>
          </cell>
          <cell r="B577">
            <v>27000</v>
          </cell>
        </row>
        <row r="578">
          <cell r="A578" t="str">
            <v>Xà Lách Lolo Xanh T.C 04/11/2024</v>
          </cell>
          <cell r="B578">
            <v>28000</v>
          </cell>
        </row>
        <row r="579">
          <cell r="A579" t="str">
            <v>Củ Su Hào 04/11/2024</v>
          </cell>
          <cell r="B579">
            <v>18000</v>
          </cell>
        </row>
        <row r="580">
          <cell r="A580" t="str">
            <v>Cải Thảo 04/11/2024</v>
          </cell>
          <cell r="B580">
            <v>7500</v>
          </cell>
        </row>
        <row r="581">
          <cell r="A581" t="str">
            <v>Cải Thảo 04/11/2024</v>
          </cell>
          <cell r="B581">
            <v>6500</v>
          </cell>
        </row>
        <row r="582">
          <cell r="A582" t="str">
            <v>Dưa Leo Baby 04/11/2024</v>
          </cell>
          <cell r="B582">
            <v>6000</v>
          </cell>
        </row>
        <row r="583">
          <cell r="A583" t="str">
            <v>Đậu Cove Trắng 04/11/2024</v>
          </cell>
          <cell r="B583">
            <v>13000</v>
          </cell>
        </row>
        <row r="584">
          <cell r="A584" t="str">
            <v>Đậu Cove Nhật 04/11/2024</v>
          </cell>
          <cell r="B584">
            <v>9000</v>
          </cell>
        </row>
        <row r="585">
          <cell r="A585" t="str">
            <v>Dưa Leo Nhật 04/11/2024</v>
          </cell>
          <cell r="B585">
            <v>12000</v>
          </cell>
        </row>
        <row r="586">
          <cell r="A586" t="str">
            <v>Dưa Leo Thường 04/11/2024</v>
          </cell>
          <cell r="B586">
            <v>9000</v>
          </cell>
        </row>
        <row r="587">
          <cell r="A587" t="str">
            <v>Đậu Đỏ 04/11/2024</v>
          </cell>
          <cell r="B587">
            <v>80000</v>
          </cell>
        </row>
        <row r="588">
          <cell r="A588" t="str">
            <v>Đậu Ngự 04/11/2024</v>
          </cell>
          <cell r="B588">
            <v>70000</v>
          </cell>
        </row>
        <row r="589">
          <cell r="A589" t="str">
            <v>Đậu Trắng 04/11/2024</v>
          </cell>
          <cell r="B589">
            <v>70000</v>
          </cell>
        </row>
        <row r="590">
          <cell r="A590" t="str">
            <v>Ớt Sweet Palemo 04/11/2024</v>
          </cell>
          <cell r="B590">
            <v>20000</v>
          </cell>
        </row>
        <row r="591">
          <cell r="A591" t="str">
            <v>Ớt Chuông Snack 04/11/2024</v>
          </cell>
          <cell r="B591">
            <v>58000</v>
          </cell>
        </row>
        <row r="592">
          <cell r="A592" t="str">
            <v>Ớt Chuông Baby 04/11/2024</v>
          </cell>
          <cell r="B592">
            <v>48000</v>
          </cell>
        </row>
        <row r="593">
          <cell r="A593" t="str">
            <v>Rau Ngò Rí 04/11/2024</v>
          </cell>
          <cell r="B593">
            <v>35000</v>
          </cell>
        </row>
        <row r="594">
          <cell r="A594" t="str">
            <v>Hành Paro 04/11/2024</v>
          </cell>
          <cell r="B594">
            <v>46000</v>
          </cell>
        </row>
        <row r="595">
          <cell r="A595" t="str">
            <v>Ớt Chuông Xanh 04/11/2024</v>
          </cell>
          <cell r="B595">
            <v>35000</v>
          </cell>
        </row>
        <row r="596">
          <cell r="A596" t="str">
            <v>Ớt Chuông Xanh Trung 04/11/2024</v>
          </cell>
          <cell r="B596">
            <v>30000</v>
          </cell>
        </row>
        <row r="597">
          <cell r="A597" t="str">
            <v>Xà Lách Mỹ 04/11/2024</v>
          </cell>
          <cell r="B597">
            <v>38000</v>
          </cell>
        </row>
        <row r="598">
          <cell r="A598" t="str">
            <v>Bí Ngòi Xanh 04/11/2024</v>
          </cell>
          <cell r="B598">
            <v>22000</v>
          </cell>
        </row>
        <row r="599">
          <cell r="A599" t="str">
            <v>Củ Dền 04/11/2024</v>
          </cell>
          <cell r="B599">
            <v>15000</v>
          </cell>
        </row>
        <row r="600">
          <cell r="A600" t="str">
            <v>Bí Ngòi Xanh 04/11/2024</v>
          </cell>
          <cell r="B600">
            <v>21000</v>
          </cell>
        </row>
        <row r="601">
          <cell r="A601" t="str">
            <v>Cần Tây 04/11/2024</v>
          </cell>
          <cell r="B601">
            <v>10000</v>
          </cell>
        </row>
        <row r="602">
          <cell r="A602" t="str">
            <v>Lá Mè 04/11/2024</v>
          </cell>
          <cell r="B602">
            <v>44000</v>
          </cell>
        </row>
        <row r="603">
          <cell r="A603" t="str">
            <v>Đậu Cove Nhật 04/11/2024</v>
          </cell>
          <cell r="B603">
            <v>23000</v>
          </cell>
        </row>
        <row r="604">
          <cell r="A604" t="str">
            <v>Cải Kale 04/11/2024</v>
          </cell>
          <cell r="B604">
            <v>27000</v>
          </cell>
        </row>
        <row r="605">
          <cell r="A605" t="str">
            <v>Trái Su Su 04/11/2024</v>
          </cell>
          <cell r="B605">
            <v>8500</v>
          </cell>
        </row>
        <row r="606">
          <cell r="A606" t="str">
            <v>Lá Nha Đam 04/11/2024</v>
          </cell>
          <cell r="B606">
            <v>14000</v>
          </cell>
        </row>
        <row r="607">
          <cell r="A607" t="str">
            <v>Bí Đỏ Hồ Lô 04/11/2024</v>
          </cell>
          <cell r="B607">
            <v>10000</v>
          </cell>
        </row>
        <row r="608">
          <cell r="A608" t="str">
            <v>Chuối Laba 04/11/2024</v>
          </cell>
          <cell r="B608">
            <v>13000</v>
          </cell>
        </row>
        <row r="609">
          <cell r="A609" t="str">
            <v>Củ Gừng 04/11/2024</v>
          </cell>
          <cell r="B609">
            <v>45000</v>
          </cell>
        </row>
        <row r="610">
          <cell r="A610" t="str">
            <v>Cà Rốt 04/11/2024</v>
          </cell>
          <cell r="B610">
            <v>19000</v>
          </cell>
        </row>
        <row r="611">
          <cell r="A611" t="str">
            <v>Ớt Chuông Đỏ 04/11/2024</v>
          </cell>
          <cell r="B611">
            <v>46000</v>
          </cell>
        </row>
        <row r="612">
          <cell r="A612" t="str">
            <v>Ớt Chuông Vàng 04/11/2024</v>
          </cell>
          <cell r="B612">
            <v>32000</v>
          </cell>
        </row>
        <row r="613">
          <cell r="A613" t="str">
            <v>Ớt Chuông Đỏ Trung 04/11/2024</v>
          </cell>
          <cell r="B613">
            <v>41000</v>
          </cell>
        </row>
        <row r="614">
          <cell r="A614" t="str">
            <v>Ớt Chuông Vàng Trung 04/11/2024</v>
          </cell>
          <cell r="B614">
            <v>27000</v>
          </cell>
        </row>
        <row r="615">
          <cell r="A615" t="str">
            <v>Xà Lách Lolo Xanh T.C 04/11/2024</v>
          </cell>
          <cell r="B615">
            <v>28000</v>
          </cell>
        </row>
        <row r="616">
          <cell r="A616" t="str">
            <v>Củ Khoai Lang Nhật 04/11/2024</v>
          </cell>
          <cell r="B616">
            <v>19000</v>
          </cell>
        </row>
        <row r="617">
          <cell r="A617" t="str">
            <v>Củ Cải Trắng 04/11/2024</v>
          </cell>
          <cell r="B617">
            <v>6000</v>
          </cell>
        </row>
        <row r="618">
          <cell r="A618" t="str">
            <v>Cà Chua Thường 04/11/2024</v>
          </cell>
          <cell r="B618">
            <v>23000</v>
          </cell>
        </row>
        <row r="619">
          <cell r="A619" t="str">
            <v>Cà Chua Thường 04/11/2024</v>
          </cell>
          <cell r="B619">
            <v>23000</v>
          </cell>
        </row>
        <row r="620">
          <cell r="A620" t="str">
            <v>Củ Khoai Tây Vàng 04/11/2024</v>
          </cell>
          <cell r="B620">
            <v>15000</v>
          </cell>
        </row>
        <row r="621">
          <cell r="A621" t="str">
            <v>Củ Khoai Tây Bi Vàng 04/11/2024</v>
          </cell>
          <cell r="B621">
            <v>12000</v>
          </cell>
        </row>
        <row r="622">
          <cell r="A622" t="str">
            <v>Cà Chua Bi Đỏ 04/11/2024</v>
          </cell>
          <cell r="B622">
            <v>11400</v>
          </cell>
        </row>
        <row r="623">
          <cell r="A623" t="str">
            <v>Cà Chua Bi Đỏ 04/11/2024</v>
          </cell>
          <cell r="B623">
            <v>19000</v>
          </cell>
        </row>
        <row r="624">
          <cell r="A624" t="str">
            <v>Cà Chua Thường 04/11/2024</v>
          </cell>
          <cell r="B624">
            <v>21000</v>
          </cell>
        </row>
        <row r="625">
          <cell r="A625" t="str">
            <v>Cà Chua Thường Trung 04/11/2024</v>
          </cell>
          <cell r="B625">
            <v>17000</v>
          </cell>
        </row>
        <row r="626">
          <cell r="A626" t="str">
            <v>Cải Bó Xôi 04/11/2024</v>
          </cell>
          <cell r="B626">
            <v>41000</v>
          </cell>
        </row>
        <row r="627">
          <cell r="A627" t="str">
            <v>Cà Chua Beef Chùm 04/11/2024</v>
          </cell>
          <cell r="B627">
            <v>26000</v>
          </cell>
        </row>
        <row r="628">
          <cell r="A628" t="str">
            <v>Cà Chua Beef 04/11/2024</v>
          </cell>
          <cell r="B628">
            <v>23000</v>
          </cell>
        </row>
        <row r="629">
          <cell r="A629" t="str">
            <v>Cà Chua Beef 04/11/2024</v>
          </cell>
          <cell r="B629">
            <v>27000</v>
          </cell>
        </row>
        <row r="630">
          <cell r="A630" t="str">
            <v>Cà Chua Beef Trung 04/11/2024</v>
          </cell>
          <cell r="B630">
            <v>22000</v>
          </cell>
        </row>
        <row r="631">
          <cell r="A631" t="str">
            <v>Cà Chua Beef Trung 04/11/2024</v>
          </cell>
          <cell r="B631">
            <v>21000</v>
          </cell>
        </row>
        <row r="632">
          <cell r="A632" t="str">
            <v>Cà Chua Bi Mix 04/11/2024</v>
          </cell>
          <cell r="B632">
            <v>50000</v>
          </cell>
        </row>
        <row r="633">
          <cell r="A633" t="str">
            <v>Cà Chua Bi Mix 04/11/2024</v>
          </cell>
          <cell r="B633">
            <v>51500</v>
          </cell>
        </row>
        <row r="634">
          <cell r="A634" t="str">
            <v>Chanh Không Hạt 04/11/2024</v>
          </cell>
          <cell r="B634">
            <v>26000</v>
          </cell>
        </row>
        <row r="635">
          <cell r="A635" t="str">
            <v>Cà Chua Bi Cam Sữa 04/11/2024</v>
          </cell>
          <cell r="B635">
            <v>60000</v>
          </cell>
        </row>
        <row r="636">
          <cell r="A636" t="str">
            <v>Cải Kale 04/11/2024</v>
          </cell>
          <cell r="B636">
            <v>34500</v>
          </cell>
        </row>
        <row r="637">
          <cell r="A637" t="str">
            <v>Củ Cải Đỏ 04/11/2024</v>
          </cell>
          <cell r="B637">
            <v>13000</v>
          </cell>
        </row>
        <row r="638">
          <cell r="A638" t="str">
            <v>Bông Cải Xanh Baby 04/11/2024</v>
          </cell>
          <cell r="B638">
            <v>58000</v>
          </cell>
        </row>
        <row r="639">
          <cell r="A639" t="str">
            <v>Lá Hương Thảo 04/11/2024</v>
          </cell>
          <cell r="B639">
            <v>100000</v>
          </cell>
        </row>
        <row r="640">
          <cell r="A640" t="str">
            <v>Lá Quế Tây 04/11/2024</v>
          </cell>
          <cell r="B640">
            <v>110000</v>
          </cell>
        </row>
        <row r="641">
          <cell r="A641" t="str">
            <v>Xà Lách Lolo Xanh 04/11/2024</v>
          </cell>
          <cell r="B641">
            <v>30000</v>
          </cell>
        </row>
        <row r="642">
          <cell r="A642" t="str">
            <v>Xà Lách Romaine 04/11/2024</v>
          </cell>
          <cell r="B642">
            <v>25000</v>
          </cell>
        </row>
        <row r="643">
          <cell r="A643" t="str">
            <v>Cà Chua Beef Trung 04/11/2024</v>
          </cell>
          <cell r="B643">
            <v>21000</v>
          </cell>
        </row>
        <row r="644">
          <cell r="A644" t="str">
            <v>Cà Chua Beef Trung 04/11/2024</v>
          </cell>
          <cell r="B644">
            <v>22000</v>
          </cell>
        </row>
        <row r="645">
          <cell r="A645" t="str">
            <v>Ớt Sweet Palemo 04/11/2024</v>
          </cell>
          <cell r="B645">
            <v>20000</v>
          </cell>
        </row>
        <row r="646">
          <cell r="A646" t="str">
            <v>Cà Rốt Baby 04/11/2024</v>
          </cell>
          <cell r="B646">
            <v>62000</v>
          </cell>
        </row>
        <row r="647">
          <cell r="A647" t="str">
            <v>Cải Cầu Vồng 04/11/2024</v>
          </cell>
          <cell r="B647">
            <v>20000</v>
          </cell>
        </row>
        <row r="648">
          <cell r="A648" t="str">
            <v>Cải Kale 04/11/2024</v>
          </cell>
          <cell r="B648">
            <v>32000</v>
          </cell>
        </row>
        <row r="649">
          <cell r="A649" t="str">
            <v>Cải Kale 04/11/2024</v>
          </cell>
          <cell r="B649">
            <v>35000</v>
          </cell>
        </row>
        <row r="650">
          <cell r="A650" t="str">
            <v>Lá Mè 04/11/2024</v>
          </cell>
          <cell r="B650">
            <v>44000</v>
          </cell>
        </row>
        <row r="651">
          <cell r="A651" t="str">
            <v>Dưa Leo Baby 04/11/2024</v>
          </cell>
          <cell r="B651">
            <v>7000</v>
          </cell>
        </row>
        <row r="652">
          <cell r="A652" t="str">
            <v>Xà Lách Lolo Xanh T.C Cây 04/11/2024</v>
          </cell>
          <cell r="B652">
            <v>6800</v>
          </cell>
        </row>
        <row r="653">
          <cell r="A653" t="str">
            <v>Xà Lách Mỡ T.C Cây 04/11/2024</v>
          </cell>
          <cell r="B653">
            <v>6800</v>
          </cell>
        </row>
        <row r="654">
          <cell r="A654" t="str">
            <v>Xà Lách Mỡ T.C 04/11/2024</v>
          </cell>
          <cell r="B654">
            <v>28000</v>
          </cell>
        </row>
        <row r="655">
          <cell r="A655" t="str">
            <v>Xà Lách Thủy Tinh T.C 04/11/2024</v>
          </cell>
          <cell r="B655">
            <v>30000</v>
          </cell>
        </row>
        <row r="656">
          <cell r="A656" t="str">
            <v>Xà Lách Thủy Tinh T.C Cây 04/11/2024</v>
          </cell>
          <cell r="B656">
            <v>6800</v>
          </cell>
        </row>
        <row r="657">
          <cell r="A657" t="str">
            <v>Hạt Dẻ Ngố 04/11/2024</v>
          </cell>
          <cell r="B657">
            <v>26400</v>
          </cell>
        </row>
        <row r="658">
          <cell r="A658" t="str">
            <v>Màn bọc thực phẩm PVC 30cm 04/11/2024</v>
          </cell>
          <cell r="B658">
            <v>720000</v>
          </cell>
        </row>
        <row r="659">
          <cell r="A659" t="str">
            <v>Ruy băng in mã vạch Wax Resin 110mmx300m 04/11/2024</v>
          </cell>
          <cell r="B659">
            <v>190000</v>
          </cell>
        </row>
        <row r="660">
          <cell r="A660" t="str">
            <v>Decal PVC 50mm x 30mm x 100m ( 2 tem) 04/11/2024</v>
          </cell>
          <cell r="B660">
            <v>240000</v>
          </cell>
        </row>
        <row r="661">
          <cell r="A661" t="str">
            <v>Túi lưới nhựa 04/11/2024</v>
          </cell>
          <cell r="B661">
            <v>62000</v>
          </cell>
        </row>
        <row r="662">
          <cell r="A662" t="str">
            <v>Decal PVC 50mm x 30mm x 100m ( 2 tem) 04/11/2024</v>
          </cell>
          <cell r="B662">
            <v>240000</v>
          </cell>
        </row>
        <row r="663">
          <cell r="A663" t="str">
            <v>Ruy băng in mã vạch Wax Resin 110mmx300m 04/11/2024</v>
          </cell>
          <cell r="B663">
            <v>190000</v>
          </cell>
        </row>
        <row r="664">
          <cell r="A664" t="str">
            <v>Cà Rốt 04/11/2024</v>
          </cell>
          <cell r="B664">
            <v>18000</v>
          </cell>
        </row>
        <row r="665">
          <cell r="A665" t="str">
            <v>Cà Rốt Trung 04/11/2024</v>
          </cell>
          <cell r="B665">
            <v>15000</v>
          </cell>
        </row>
        <row r="666">
          <cell r="A666" t="str">
            <v>CT-MÍT 04/11/2024</v>
          </cell>
          <cell r="B666">
            <v>14135</v>
          </cell>
        </row>
        <row r="667">
          <cell r="A667" t="str">
            <v>Bông Cải Xanh Cọng 04/11/2024</v>
          </cell>
          <cell r="B667">
            <v>30000</v>
          </cell>
        </row>
        <row r="668">
          <cell r="A668" t="str">
            <v>Cần Tây 04/11/2024</v>
          </cell>
          <cell r="B668">
            <v>11000</v>
          </cell>
        </row>
        <row r="669">
          <cell r="A669" t="str">
            <v>Bông Cải Xanh Cọng 04/11/2024</v>
          </cell>
          <cell r="B669">
            <v>30000</v>
          </cell>
        </row>
        <row r="670">
          <cell r="A670" t="str">
            <v>Bông Cải Xanh Cọng 04/11/2024</v>
          </cell>
          <cell r="B670">
            <v>30000</v>
          </cell>
        </row>
        <row r="671">
          <cell r="A671" t="str">
            <v>Bông Cải Xanh Cọng 04/11/2024</v>
          </cell>
          <cell r="B671">
            <v>30000</v>
          </cell>
        </row>
        <row r="672">
          <cell r="A672" t="str">
            <v>Cà Chua Beef 04/11/2024</v>
          </cell>
          <cell r="B672">
            <v>25000</v>
          </cell>
        </row>
        <row r="673">
          <cell r="A673" t="str">
            <v>Ớt Chuông Đỏ 04/11/2024</v>
          </cell>
          <cell r="B673">
            <v>45000</v>
          </cell>
        </row>
        <row r="674">
          <cell r="A674" t="str">
            <v>Ớt Chuông Vàng 04/11/2024</v>
          </cell>
          <cell r="B674">
            <v>32000</v>
          </cell>
        </row>
        <row r="675">
          <cell r="A675" t="str">
            <v>Bí Đao Xanh 04/11/2024</v>
          </cell>
          <cell r="B675">
            <v>10000</v>
          </cell>
        </row>
        <row r="676">
          <cell r="A676" t="str">
            <v>Trái Su Su 04/11/2024</v>
          </cell>
          <cell r="B676">
            <v>8000</v>
          </cell>
        </row>
        <row r="677">
          <cell r="A677" t="str">
            <v>Chanh Dây Tím 04/11/2024</v>
          </cell>
          <cell r="B677">
            <v>31000</v>
          </cell>
        </row>
        <row r="678">
          <cell r="A678" t="str">
            <v>Củ Cải Trắng 04/11/2024</v>
          </cell>
          <cell r="B678">
            <v>6500</v>
          </cell>
        </row>
        <row r="679">
          <cell r="A679" t="str">
            <v>Củ Khoai Tây Vàng 04/11/2024</v>
          </cell>
          <cell r="B679">
            <v>15000</v>
          </cell>
        </row>
        <row r="680">
          <cell r="A680" t="str">
            <v>Củ Khoai Tây Bi Vàng 04/11/2024</v>
          </cell>
          <cell r="B680">
            <v>12000</v>
          </cell>
        </row>
        <row r="681">
          <cell r="A681" t="str">
            <v>Cải Thảo Kim Chi 04/11/2024</v>
          </cell>
          <cell r="B681">
            <v>5500</v>
          </cell>
        </row>
        <row r="682">
          <cell r="A682" t="str">
            <v>Củ Dền 04/11/2024</v>
          </cell>
          <cell r="B682">
            <v>16000</v>
          </cell>
        </row>
        <row r="683">
          <cell r="A683" t="str">
            <v>Đậu Cove Trắng 04/11/2024</v>
          </cell>
          <cell r="B683">
            <v>13000</v>
          </cell>
        </row>
        <row r="684">
          <cell r="A684" t="str">
            <v>Đậu Cove Nhật 04/11/2024</v>
          </cell>
          <cell r="B684">
            <v>9000</v>
          </cell>
        </row>
        <row r="685">
          <cell r="A685" t="str">
            <v>Hành Paro 04/11/2024</v>
          </cell>
          <cell r="B685">
            <v>46000</v>
          </cell>
        </row>
        <row r="686">
          <cell r="A686" t="str">
            <v>Ớt Chuông Xanh 04/11/2024</v>
          </cell>
          <cell r="B686">
            <v>35000</v>
          </cell>
        </row>
        <row r="687">
          <cell r="A687" t="str">
            <v>Bí Ngòi Xanh 04/11/2024</v>
          </cell>
          <cell r="B687">
            <v>22000</v>
          </cell>
        </row>
        <row r="688">
          <cell r="A688" t="str">
            <v>Bông Cải Trắng 04/11/2024</v>
          </cell>
          <cell r="B688">
            <v>27000</v>
          </cell>
        </row>
        <row r="689">
          <cell r="A689" t="str">
            <v>Bí Ngòi Vàng 04/11/2024</v>
          </cell>
          <cell r="B689">
            <v>40000</v>
          </cell>
        </row>
        <row r="690">
          <cell r="A690" t="str">
            <v>Chuối Laba 04/11/2024</v>
          </cell>
          <cell r="B690">
            <v>12000</v>
          </cell>
        </row>
        <row r="691">
          <cell r="A691" t="str">
            <v>Cà Rốt Trung 04/11/2024</v>
          </cell>
          <cell r="B691">
            <v>15000</v>
          </cell>
        </row>
        <row r="692">
          <cell r="A692" t="str">
            <v>Củ Khoai Lang Nhật 04/11/2024</v>
          </cell>
          <cell r="B692">
            <v>19500</v>
          </cell>
        </row>
        <row r="693">
          <cell r="A693" t="str">
            <v>Cà Chua Thường 04/11/2024</v>
          </cell>
          <cell r="B693">
            <v>23000</v>
          </cell>
        </row>
        <row r="694">
          <cell r="A694" t="str">
            <v>Củ Su Hào 04/11/2024</v>
          </cell>
          <cell r="B694">
            <v>18000</v>
          </cell>
        </row>
        <row r="695">
          <cell r="A695" t="str">
            <v>Bơ Booth 04/11/2024</v>
          </cell>
          <cell r="B695">
            <v>23000</v>
          </cell>
        </row>
        <row r="696">
          <cell r="A696" t="str">
            <v>Cải Thảo Kim Chi 04/11/2024</v>
          </cell>
          <cell r="B696">
            <v>7500</v>
          </cell>
        </row>
        <row r="697">
          <cell r="A697" t="str">
            <v>Màn bọc thực phẩm PVC 30cm 04/11/2024</v>
          </cell>
          <cell r="B697">
            <v>720000</v>
          </cell>
        </row>
        <row r="698">
          <cell r="A698" t="str">
            <v>Cải Thảo Hỏa Tiễn 04/11/2024</v>
          </cell>
          <cell r="B698">
            <v>16000</v>
          </cell>
        </row>
        <row r="699">
          <cell r="A699" t="str">
            <v>Bí Đỏ Tròn 04/11/2024</v>
          </cell>
          <cell r="B699">
            <v>5500</v>
          </cell>
        </row>
        <row r="700">
          <cell r="A700" t="str">
            <v>Cà Tím 04/11/2024</v>
          </cell>
          <cell r="B700">
            <v>11500</v>
          </cell>
        </row>
        <row r="701">
          <cell r="A701" t="str">
            <v>DO 0.05S-II 05/11/2024</v>
          </cell>
          <cell r="B701">
            <v>16818.18</v>
          </cell>
        </row>
        <row r="702">
          <cell r="A702" t="str">
            <v>Dầu Do 0.001 S-V 05/11/2024</v>
          </cell>
          <cell r="B702">
            <v>17118.18</v>
          </cell>
        </row>
        <row r="703">
          <cell r="A703" t="str">
            <v>DO 0.05S-II 05/11/2024</v>
          </cell>
          <cell r="B703">
            <v>16818.18</v>
          </cell>
        </row>
        <row r="704">
          <cell r="A704" t="str">
            <v>Dầu Do 0.001 S-V 05/11/2024</v>
          </cell>
          <cell r="B704">
            <v>17118.18</v>
          </cell>
        </row>
        <row r="705">
          <cell r="A705" t="str">
            <v>Khay 4 trái chanh 05/11/2024</v>
          </cell>
          <cell r="B705">
            <v>380</v>
          </cell>
        </row>
        <row r="706">
          <cell r="A706" t="str">
            <v>Cà Chua Beef 05/11/2024</v>
          </cell>
          <cell r="B706">
            <v>24000</v>
          </cell>
        </row>
        <row r="707">
          <cell r="A707" t="str">
            <v>Cần Tây 05/11/2024</v>
          </cell>
          <cell r="B707">
            <v>10000</v>
          </cell>
        </row>
        <row r="708">
          <cell r="A708" t="str">
            <v>Lá Mè 05/11/2024</v>
          </cell>
          <cell r="B708">
            <v>40000</v>
          </cell>
        </row>
        <row r="709">
          <cell r="A709" t="str">
            <v>Cần Tây 05/11/2024</v>
          </cell>
          <cell r="B709">
            <v>10000</v>
          </cell>
        </row>
        <row r="710">
          <cell r="A710" t="str">
            <v>Bắp Cải Tím 05/11/2024</v>
          </cell>
          <cell r="B710">
            <v>30000</v>
          </cell>
        </row>
        <row r="711">
          <cell r="A711" t="str">
            <v>Bông Cải Xanh Gốc Dài 05/11/2024</v>
          </cell>
          <cell r="B711">
            <v>27000</v>
          </cell>
        </row>
        <row r="712">
          <cell r="A712" t="str">
            <v>Bông Cải Xanh 7Cm 05/11/2024</v>
          </cell>
          <cell r="B712">
            <v>39000</v>
          </cell>
        </row>
        <row r="713">
          <cell r="A713" t="str">
            <v>Bông Cải Xanh 7Cm 05/11/2024</v>
          </cell>
          <cell r="B713">
            <v>40000</v>
          </cell>
        </row>
        <row r="714">
          <cell r="A714" t="str">
            <v>Cần Tây 05/11/2024</v>
          </cell>
          <cell r="B714">
            <v>13000</v>
          </cell>
        </row>
        <row r="715">
          <cell r="A715" t="str">
            <v>Cà Chua Beef 05/11/2024</v>
          </cell>
          <cell r="B715">
            <v>22000</v>
          </cell>
        </row>
        <row r="716">
          <cell r="A716" t="str">
            <v>Cà Chua Beef Chùm 05/11/2024</v>
          </cell>
          <cell r="B716">
            <v>25000</v>
          </cell>
        </row>
        <row r="717">
          <cell r="A717" t="str">
            <v>Cà Chua Beef Trung 05/11/2024</v>
          </cell>
          <cell r="B717">
            <v>17000</v>
          </cell>
        </row>
        <row r="718">
          <cell r="A718" t="str">
            <v>Cà Chua Beef 05/11/2024</v>
          </cell>
          <cell r="B718">
            <v>27000</v>
          </cell>
        </row>
        <row r="719">
          <cell r="A719" t="str">
            <v>Cà Chua Socola 05/11/2024</v>
          </cell>
          <cell r="B719">
            <v>10000</v>
          </cell>
        </row>
        <row r="720">
          <cell r="A720" t="str">
            <v>Bông Cải Trắng 05/11/2024</v>
          </cell>
          <cell r="B720">
            <v>27000</v>
          </cell>
        </row>
        <row r="721">
          <cell r="A721" t="str">
            <v>Ớt Chuông Xanh 05/11/2024</v>
          </cell>
          <cell r="B721">
            <v>30000</v>
          </cell>
        </row>
        <row r="722">
          <cell r="A722" t="str">
            <v>Dưa Leo Baby 05/11/2024</v>
          </cell>
          <cell r="B722">
            <v>6500</v>
          </cell>
        </row>
        <row r="723">
          <cell r="A723" t="str">
            <v>Đậu Đỏ 05/11/2024</v>
          </cell>
          <cell r="B723">
            <v>80000</v>
          </cell>
        </row>
        <row r="724">
          <cell r="A724" t="str">
            <v>Đậu Ngự 05/11/2024</v>
          </cell>
          <cell r="B724">
            <v>70000</v>
          </cell>
        </row>
        <row r="725">
          <cell r="A725" t="str">
            <v>Đậu Trắng 05/11/2024</v>
          </cell>
          <cell r="B725">
            <v>70000</v>
          </cell>
        </row>
        <row r="726">
          <cell r="A726" t="str">
            <v>Trái Mâm Xôi 05/11/2024</v>
          </cell>
          <cell r="B726">
            <v>35000</v>
          </cell>
        </row>
        <row r="727">
          <cell r="A727" t="str">
            <v>Cà Chua Socola 05/11/2024</v>
          </cell>
          <cell r="B727">
            <v>8500</v>
          </cell>
        </row>
        <row r="728">
          <cell r="A728" t="str">
            <v>Cà Chua Beef 05/11/2024</v>
          </cell>
          <cell r="B728">
            <v>25000</v>
          </cell>
        </row>
        <row r="729">
          <cell r="A729" t="str">
            <v>Củ Dền 05/11/2024</v>
          </cell>
          <cell r="B729">
            <v>15000</v>
          </cell>
        </row>
        <row r="730">
          <cell r="A730" t="str">
            <v>Cải Bó Xôi 05/11/2024</v>
          </cell>
          <cell r="B730">
            <v>36000</v>
          </cell>
        </row>
        <row r="731">
          <cell r="A731" t="str">
            <v>Bông Cải Xanh Baby 05/11/2024</v>
          </cell>
          <cell r="B731">
            <v>50000</v>
          </cell>
        </row>
        <row r="732">
          <cell r="A732" t="str">
            <v>Xà Lách Mỡ T.C 05/11/2024</v>
          </cell>
          <cell r="B732">
            <v>27000</v>
          </cell>
        </row>
        <row r="733">
          <cell r="A733" t="str">
            <v>Xà Lách Lolo Xanh T.C 05/11/2024</v>
          </cell>
          <cell r="B733">
            <v>28000</v>
          </cell>
        </row>
        <row r="734">
          <cell r="A734" t="str">
            <v>Củ Su Hào 05/11/2024</v>
          </cell>
          <cell r="B734">
            <v>18000</v>
          </cell>
        </row>
        <row r="735">
          <cell r="A735" t="str">
            <v>Cà Rốt 05/11/2024</v>
          </cell>
          <cell r="B735">
            <v>18500</v>
          </cell>
        </row>
        <row r="736">
          <cell r="A736" t="str">
            <v>Xà Lách Lolo Xanh T.C 05/11/2024</v>
          </cell>
          <cell r="B736">
            <v>28000</v>
          </cell>
        </row>
        <row r="737">
          <cell r="A737" t="str">
            <v>Cà Rốt 05/11/2024</v>
          </cell>
          <cell r="B737">
            <v>18000</v>
          </cell>
        </row>
        <row r="738">
          <cell r="A738" t="str">
            <v>Củ Cải Trắng 05/11/2024</v>
          </cell>
          <cell r="B738">
            <v>6000</v>
          </cell>
        </row>
        <row r="739">
          <cell r="A739" t="str">
            <v>Bí Đao Xanh 05/11/2024</v>
          </cell>
          <cell r="B739">
            <v>8000</v>
          </cell>
        </row>
        <row r="740">
          <cell r="A740" t="str">
            <v>Dưa Leo Thường 05/11/2024</v>
          </cell>
          <cell r="B740">
            <v>6000</v>
          </cell>
        </row>
        <row r="741">
          <cell r="A741" t="str">
            <v>Trái Khổ Qua 05/11/2024</v>
          </cell>
          <cell r="B741">
            <v>12000</v>
          </cell>
        </row>
        <row r="742">
          <cell r="A742" t="str">
            <v>Cà Tím 05/11/2024</v>
          </cell>
          <cell r="B742">
            <v>11500</v>
          </cell>
        </row>
        <row r="743">
          <cell r="A743" t="str">
            <v>Cà Tím 05/11/2024</v>
          </cell>
          <cell r="B743">
            <v>7000</v>
          </cell>
        </row>
        <row r="744">
          <cell r="A744" t="str">
            <v>Củ Khoai Tây Vàng 05/11/2024</v>
          </cell>
          <cell r="B744">
            <v>15000</v>
          </cell>
        </row>
        <row r="745">
          <cell r="A745" t="str">
            <v>Củ Khoai Tây Bi Vàng 05/11/2024</v>
          </cell>
          <cell r="B745">
            <v>12000</v>
          </cell>
        </row>
        <row r="746">
          <cell r="A746" t="str">
            <v>Lá Tía Tô 05/11/2024</v>
          </cell>
          <cell r="B746">
            <v>32000</v>
          </cell>
        </row>
        <row r="747">
          <cell r="A747" t="str">
            <v>Xà Lách Lolo Xanh 05/11/2024</v>
          </cell>
          <cell r="B747">
            <v>34000</v>
          </cell>
        </row>
        <row r="748">
          <cell r="A748" t="str">
            <v>Xà Lách Rocket 05/11/2024</v>
          </cell>
          <cell r="B748">
            <v>120000</v>
          </cell>
        </row>
        <row r="749">
          <cell r="A749" t="str">
            <v>Cà Chua Beef 05/11/2024</v>
          </cell>
          <cell r="B749">
            <v>24000</v>
          </cell>
        </row>
        <row r="750">
          <cell r="A750" t="str">
            <v>Cà Chua Beef Trung 05/11/2024</v>
          </cell>
          <cell r="B750">
            <v>20000</v>
          </cell>
        </row>
        <row r="751">
          <cell r="A751" t="str">
            <v>Cà Chua Beef Chùm 05/11/2024</v>
          </cell>
          <cell r="B751">
            <v>27000</v>
          </cell>
        </row>
        <row r="752">
          <cell r="A752" t="str">
            <v>Cải Kale 05/11/2024</v>
          </cell>
          <cell r="B752">
            <v>27000</v>
          </cell>
        </row>
        <row r="753">
          <cell r="A753" t="str">
            <v>Lá Mè 05/11/2024</v>
          </cell>
          <cell r="B753">
            <v>44000</v>
          </cell>
        </row>
        <row r="754">
          <cell r="A754" t="str">
            <v>Cải Cầu Vồng 05/11/2024</v>
          </cell>
          <cell r="B754">
            <v>18000</v>
          </cell>
        </row>
        <row r="755">
          <cell r="A755" t="str">
            <v>Bí Ngòi Xanh 05/11/2024</v>
          </cell>
          <cell r="B755">
            <v>23000</v>
          </cell>
        </row>
        <row r="756">
          <cell r="A756" t="str">
            <v>Củ Hành Tây Tím 05/11/2024</v>
          </cell>
          <cell r="B756">
            <v>20000</v>
          </cell>
        </row>
        <row r="757">
          <cell r="A757" t="str">
            <v>Đậu Cove Trắng 05/11/2024</v>
          </cell>
          <cell r="B757">
            <v>13000</v>
          </cell>
        </row>
        <row r="758">
          <cell r="A758" t="str">
            <v>Đậu Cove Trắng 05/11/2024</v>
          </cell>
          <cell r="B758">
            <v>9000</v>
          </cell>
        </row>
        <row r="759">
          <cell r="A759" t="str">
            <v>Dưa Leo Thường 05/11/2024</v>
          </cell>
          <cell r="B759">
            <v>9000</v>
          </cell>
        </row>
        <row r="760">
          <cell r="A760" t="str">
            <v>Dưa Leo Nhật 05/11/2024</v>
          </cell>
          <cell r="B760">
            <v>11000</v>
          </cell>
        </row>
        <row r="761">
          <cell r="A761" t="str">
            <v>Đậu Cove Nhật 05/11/2024</v>
          </cell>
          <cell r="B761">
            <v>9000</v>
          </cell>
        </row>
        <row r="762">
          <cell r="A762" t="str">
            <v>Ớt Chuông Đỏ 05/11/2024</v>
          </cell>
          <cell r="B762">
            <v>44000</v>
          </cell>
        </row>
        <row r="763">
          <cell r="A763" t="str">
            <v>Ớt Chuông Vàng 05/11/2024</v>
          </cell>
          <cell r="B763">
            <v>28000</v>
          </cell>
        </row>
        <row r="764">
          <cell r="A764" t="str">
            <v>Ớt Chuông Đỏ Trung 05/11/2024</v>
          </cell>
          <cell r="B764">
            <v>39000</v>
          </cell>
        </row>
        <row r="765">
          <cell r="A765" t="str">
            <v>Ớt Chuông Vàng Trung 05/11/2024</v>
          </cell>
          <cell r="B765">
            <v>23000</v>
          </cell>
        </row>
        <row r="766">
          <cell r="A766" t="str">
            <v>Hành Paro 05/11/2024</v>
          </cell>
          <cell r="B766">
            <v>46000</v>
          </cell>
        </row>
        <row r="767">
          <cell r="A767" t="str">
            <v>Ớt Chuông Baby 05/11/2024</v>
          </cell>
          <cell r="B767">
            <v>48000</v>
          </cell>
        </row>
        <row r="768">
          <cell r="A768" t="str">
            <v>Ớt Chuông Snack 05/11/2024</v>
          </cell>
          <cell r="B768">
            <v>58000</v>
          </cell>
        </row>
        <row r="769">
          <cell r="A769" t="str">
            <v>Ớt Sweet Palemo 05/11/2024</v>
          </cell>
          <cell r="B769">
            <v>20000</v>
          </cell>
        </row>
        <row r="770">
          <cell r="A770" t="str">
            <v>Rau Ngò Rí 05/11/2024</v>
          </cell>
          <cell r="B770">
            <v>35000</v>
          </cell>
        </row>
        <row r="771">
          <cell r="A771" t="str">
            <v>Rau Ngót 05/11/2024</v>
          </cell>
          <cell r="B771">
            <v>18000</v>
          </cell>
        </row>
        <row r="772">
          <cell r="A772" t="str">
            <v>Ớt Chuông Xanh 05/11/2024</v>
          </cell>
          <cell r="B772">
            <v>35000</v>
          </cell>
        </row>
        <row r="773">
          <cell r="A773" t="str">
            <v>Ớt Chuông Xanh Trung 05/11/2024</v>
          </cell>
          <cell r="B773">
            <v>30000</v>
          </cell>
        </row>
        <row r="774">
          <cell r="A774" t="str">
            <v>Bông Cải Xanh Gốc Dài 05/11/2024</v>
          </cell>
          <cell r="B774">
            <v>26000</v>
          </cell>
        </row>
        <row r="775">
          <cell r="A775" t="str">
            <v>Cà Chua Thường 05/11/2024</v>
          </cell>
          <cell r="B775">
            <v>24000</v>
          </cell>
        </row>
        <row r="776">
          <cell r="A776" t="str">
            <v>Trái Su Su 05/11/2024</v>
          </cell>
          <cell r="B776">
            <v>8500</v>
          </cell>
        </row>
        <row r="777">
          <cell r="A777" t="str">
            <v>Lá Nha Đam 05/11/2024</v>
          </cell>
          <cell r="B777">
            <v>14000</v>
          </cell>
        </row>
        <row r="778">
          <cell r="A778" t="str">
            <v>Củ Khoai Mỡ 05/11/2024</v>
          </cell>
          <cell r="B778">
            <v>28000</v>
          </cell>
        </row>
        <row r="779">
          <cell r="A779" t="str">
            <v>Bí Đỏ Hồ Lô 05/11/2024</v>
          </cell>
          <cell r="B779">
            <v>11000</v>
          </cell>
        </row>
        <row r="780">
          <cell r="A780" t="str">
            <v>Chuối Laba 05/11/2024</v>
          </cell>
          <cell r="B780">
            <v>13000</v>
          </cell>
        </row>
        <row r="781">
          <cell r="A781" t="str">
            <v>Củ Gừng 05/11/2024</v>
          </cell>
          <cell r="B781">
            <v>45000</v>
          </cell>
        </row>
        <row r="782">
          <cell r="A782" t="str">
            <v>Cà Chua Thường Trung 05/11/2024</v>
          </cell>
          <cell r="B782">
            <v>17000</v>
          </cell>
        </row>
        <row r="783">
          <cell r="A783" t="str">
            <v>Cà Chua Bi Đỏ 05/11/2024</v>
          </cell>
          <cell r="B783">
            <v>11400</v>
          </cell>
        </row>
        <row r="784">
          <cell r="A784" t="str">
            <v>Cà Chua Bi Đỏ 05/11/2024</v>
          </cell>
          <cell r="B784">
            <v>19000</v>
          </cell>
        </row>
        <row r="785">
          <cell r="A785" t="str">
            <v>Củ Khoai Lang Nhật 05/11/2024</v>
          </cell>
          <cell r="B785">
            <v>19000</v>
          </cell>
        </row>
        <row r="786">
          <cell r="A786" t="str">
            <v>Cà Chua Thường 05/11/2024</v>
          </cell>
          <cell r="B786">
            <v>23000</v>
          </cell>
        </row>
        <row r="787">
          <cell r="A787" t="str">
            <v>Cà Chua Thường Trung 05/11/2024</v>
          </cell>
          <cell r="B787">
            <v>19000</v>
          </cell>
        </row>
        <row r="788">
          <cell r="A788" t="str">
            <v>Cà Rốt 05/11/2024</v>
          </cell>
          <cell r="B788">
            <v>18500</v>
          </cell>
        </row>
        <row r="789">
          <cell r="A789" t="str">
            <v>Xà Lách Lolo Xanh T.C 05/11/2024</v>
          </cell>
          <cell r="B789">
            <v>26000</v>
          </cell>
        </row>
        <row r="790">
          <cell r="A790" t="str">
            <v>Xà Lách Thủy Tinh T.C Cây 05/11/2024</v>
          </cell>
          <cell r="B790">
            <v>8000</v>
          </cell>
        </row>
        <row r="791">
          <cell r="A791" t="str">
            <v>Bơ Booth 05/11/2024</v>
          </cell>
          <cell r="B791">
            <v>26000</v>
          </cell>
        </row>
        <row r="792">
          <cell r="A792" t="str">
            <v>Măng Tây 05/11/2024</v>
          </cell>
          <cell r="B792">
            <v>52000</v>
          </cell>
        </row>
        <row r="793">
          <cell r="A793" t="str">
            <v>Măng Tây 05/11/2024</v>
          </cell>
          <cell r="B793">
            <v>42000</v>
          </cell>
        </row>
        <row r="794">
          <cell r="A794" t="str">
            <v>Lá É 05/11/2024</v>
          </cell>
          <cell r="B794">
            <v>25000</v>
          </cell>
        </row>
        <row r="795">
          <cell r="A795" t="str">
            <v>Gia Công Rau Củ Quả 05/11/2024</v>
          </cell>
          <cell r="B795">
            <v>2000</v>
          </cell>
        </row>
        <row r="796">
          <cell r="A796" t="str">
            <v>Rau Bầu Đất 05/11/2024</v>
          </cell>
          <cell r="B796">
            <v>21200</v>
          </cell>
        </row>
        <row r="797">
          <cell r="A797" t="str">
            <v>Gia Công Rau Củ Quả 05/11/2024</v>
          </cell>
          <cell r="B797">
            <v>1000</v>
          </cell>
        </row>
        <row r="798">
          <cell r="A798" t="str">
            <v>Dưa Leo Baby 05/11/2024</v>
          </cell>
          <cell r="B798">
            <v>11000</v>
          </cell>
        </row>
        <row r="799">
          <cell r="A799" t="str">
            <v>Dưa Leo Baby 05/11/2024</v>
          </cell>
          <cell r="B799">
            <v>6000</v>
          </cell>
        </row>
        <row r="800">
          <cell r="A800" t="str">
            <v>Xà Lách Lolo Xanh T.C Cây 05/11/2024</v>
          </cell>
          <cell r="B800">
            <v>6800</v>
          </cell>
        </row>
        <row r="801">
          <cell r="A801" t="str">
            <v>Xà Lách Mỡ T.C Cây 05/11/2024</v>
          </cell>
          <cell r="B801">
            <v>0</v>
          </cell>
        </row>
        <row r="802">
          <cell r="A802" t="str">
            <v>Xà Lách Mỡ T.C 05/11/2024</v>
          </cell>
          <cell r="B802">
            <v>28000</v>
          </cell>
        </row>
        <row r="803">
          <cell r="A803" t="str">
            <v>Xà Lách Thủy Tinh T.C Cây 05/11/2024</v>
          </cell>
          <cell r="B803">
            <v>6800</v>
          </cell>
        </row>
        <row r="804">
          <cell r="A804" t="str">
            <v>Xà Lách Thủy Tinh T.C 05/11/2024</v>
          </cell>
          <cell r="B804">
            <v>30000</v>
          </cell>
        </row>
        <row r="805">
          <cell r="A805" t="str">
            <v>Cà Rốt Baby 05/11/2024</v>
          </cell>
          <cell r="B805">
            <v>65000</v>
          </cell>
        </row>
        <row r="806">
          <cell r="A806" t="str">
            <v>Cải Kale 05/11/2024</v>
          </cell>
          <cell r="B806">
            <v>32000</v>
          </cell>
        </row>
        <row r="807">
          <cell r="A807" t="str">
            <v>Cải Kale 05/11/2024</v>
          </cell>
          <cell r="B807">
            <v>35000</v>
          </cell>
        </row>
        <row r="808">
          <cell r="A808" t="str">
            <v>Củ Cải Đỏ 05/11/2024</v>
          </cell>
          <cell r="B808">
            <v>13000</v>
          </cell>
        </row>
        <row r="809">
          <cell r="A809" t="str">
            <v>Lá Quế Tây 05/11/2024</v>
          </cell>
          <cell r="B809">
            <v>110000</v>
          </cell>
        </row>
        <row r="810">
          <cell r="A810" t="str">
            <v>Trái Chanh Vàng 05/11/2024</v>
          </cell>
          <cell r="B810">
            <v>60000</v>
          </cell>
        </row>
        <row r="811">
          <cell r="A811" t="str">
            <v>Xà Lách Lolo Xanh 05/11/2024</v>
          </cell>
          <cell r="B811">
            <v>30000</v>
          </cell>
        </row>
        <row r="812">
          <cell r="A812" t="str">
            <v>Ớt Sweet Palemo 05/11/2024</v>
          </cell>
          <cell r="B812">
            <v>20000</v>
          </cell>
        </row>
        <row r="813">
          <cell r="A813" t="str">
            <v>Bí Non Nhật 05/11/2024</v>
          </cell>
          <cell r="B813">
            <v>17000</v>
          </cell>
        </row>
        <row r="814">
          <cell r="A814" t="str">
            <v>Xà Lách Romaine 05/11/2024</v>
          </cell>
          <cell r="B814">
            <v>25000</v>
          </cell>
        </row>
        <row r="815">
          <cell r="A815" t="str">
            <v>Dưa Leo Baby 05/11/2024</v>
          </cell>
          <cell r="B815">
            <v>7000</v>
          </cell>
        </row>
        <row r="816">
          <cell r="A816" t="str">
            <v>Cải Bó Xôi 05/11/2024</v>
          </cell>
          <cell r="B816">
            <v>38000</v>
          </cell>
        </row>
        <row r="817">
          <cell r="A817" t="str">
            <v>Cải Bó Xôi 05/11/2024</v>
          </cell>
          <cell r="B817">
            <v>41000</v>
          </cell>
        </row>
        <row r="818">
          <cell r="A818" t="str">
            <v>Cà Chua Bi Mix 05/11/2024</v>
          </cell>
          <cell r="B818">
            <v>51500</v>
          </cell>
        </row>
        <row r="819">
          <cell r="A819" t="str">
            <v>Cải Kale 05/11/2024</v>
          </cell>
          <cell r="B819">
            <v>34500</v>
          </cell>
        </row>
        <row r="820">
          <cell r="A820" t="str">
            <v>Dưa Leo Baby 05/11/2024</v>
          </cell>
          <cell r="B820">
            <v>19500</v>
          </cell>
        </row>
        <row r="821">
          <cell r="A821" t="str">
            <v>Chanh Không Hạt 05/11/2024</v>
          </cell>
          <cell r="B821">
            <v>26000</v>
          </cell>
        </row>
        <row r="822">
          <cell r="A822" t="str">
            <v>Cà Chua Thường 05/11/2024</v>
          </cell>
          <cell r="B822">
            <v>20000</v>
          </cell>
        </row>
        <row r="823">
          <cell r="A823" t="str">
            <v>Cà Chua Thường Trung 05/11/2024</v>
          </cell>
          <cell r="B823">
            <v>16000</v>
          </cell>
        </row>
        <row r="824">
          <cell r="A824" t="str">
            <v>Cà Chua Beef Chùm 05/11/2024</v>
          </cell>
          <cell r="B824">
            <v>26000</v>
          </cell>
        </row>
        <row r="825">
          <cell r="A825" t="str">
            <v>Cà Chua Beef 05/11/2024</v>
          </cell>
          <cell r="B825">
            <v>23000</v>
          </cell>
        </row>
        <row r="826">
          <cell r="A826" t="str">
            <v>Cà Chua Beef 05/11/2024</v>
          </cell>
          <cell r="B826">
            <v>17600</v>
          </cell>
        </row>
        <row r="827">
          <cell r="A827" t="str">
            <v>Cà Chua Beef Trung 05/11/2024</v>
          </cell>
          <cell r="B827">
            <v>22000</v>
          </cell>
        </row>
        <row r="828">
          <cell r="A828" t="str">
            <v>Cà Chua Beef Trung 05/11/2024</v>
          </cell>
          <cell r="B828">
            <v>21000</v>
          </cell>
        </row>
        <row r="829">
          <cell r="A829" t="str">
            <v>Hồng Treo Gió 05/11/2024</v>
          </cell>
          <cell r="B829">
            <v>200000</v>
          </cell>
        </row>
        <row r="830">
          <cell r="A830" t="str">
            <v>Hạt Dẻ Ngố 05/11/2024</v>
          </cell>
          <cell r="B830">
            <v>28600</v>
          </cell>
        </row>
        <row r="831">
          <cell r="A831" t="str">
            <v>Xà Lách Mỹ 05/11/2024</v>
          </cell>
          <cell r="B831">
            <v>38000</v>
          </cell>
        </row>
        <row r="832">
          <cell r="A832" t="str">
            <v>Bí Non Nhật 05/11/2024</v>
          </cell>
          <cell r="B832">
            <v>18000</v>
          </cell>
        </row>
        <row r="833">
          <cell r="A833" t="str">
            <v>Cải Thảo 05/11/2024</v>
          </cell>
          <cell r="B833">
            <v>7500</v>
          </cell>
        </row>
        <row r="834">
          <cell r="A834" t="str">
            <v>Bắp Cải Trái Tim 05/11/2024</v>
          </cell>
          <cell r="B834">
            <v>15000</v>
          </cell>
        </row>
        <row r="835">
          <cell r="A835" t="str">
            <v>Cà Chua Beef 05/11/2024</v>
          </cell>
          <cell r="B835">
            <v>18000</v>
          </cell>
        </row>
        <row r="836">
          <cell r="A836" t="str">
            <v>Cà Chua Beef Trung 05/11/2024</v>
          </cell>
          <cell r="B836">
            <v>15000</v>
          </cell>
        </row>
        <row r="837">
          <cell r="A837" t="str">
            <v>Cần Tây 05/11/2024</v>
          </cell>
          <cell r="B837">
            <v>10000</v>
          </cell>
        </row>
        <row r="838">
          <cell r="A838" t="str">
            <v>Cà Chua Beef 05/11/2024</v>
          </cell>
          <cell r="B838">
            <v>24000</v>
          </cell>
        </row>
        <row r="839">
          <cell r="A839" t="str">
            <v>Cần Tây 05/11/2024</v>
          </cell>
          <cell r="B839">
            <v>10000</v>
          </cell>
        </row>
        <row r="840">
          <cell r="A840" t="str">
            <v>Cải Thảo Hỏa Tiễn 05/11/2024</v>
          </cell>
          <cell r="B840">
            <v>16000</v>
          </cell>
        </row>
        <row r="841">
          <cell r="A841" t="str">
            <v>Bắp Cải Tím 05/11/2024</v>
          </cell>
          <cell r="B841">
            <v>30000</v>
          </cell>
        </row>
        <row r="842">
          <cell r="A842" t="str">
            <v>Bông Cải Xanh Cọng 05/11/2024</v>
          </cell>
          <cell r="B842">
            <v>30000</v>
          </cell>
        </row>
        <row r="843">
          <cell r="A843" t="str">
            <v>Bông Cải Xanh Cọng 05/11/2024</v>
          </cell>
          <cell r="B843">
            <v>30000</v>
          </cell>
        </row>
        <row r="844">
          <cell r="A844" t="str">
            <v>Bông Cải Trắng 05/11/2024</v>
          </cell>
          <cell r="B844">
            <v>27000</v>
          </cell>
        </row>
        <row r="845">
          <cell r="A845" t="str">
            <v>Đậu Cove Trắng 05/11/2024</v>
          </cell>
          <cell r="B845">
            <v>25000</v>
          </cell>
        </row>
        <row r="846">
          <cell r="A846" t="str">
            <v>Bắp Cải Trái Tim 05/11/2024</v>
          </cell>
          <cell r="B846">
            <v>12000</v>
          </cell>
        </row>
        <row r="847">
          <cell r="A847" t="str">
            <v>Bí Ngòi Vàng 05/11/2024</v>
          </cell>
          <cell r="B847">
            <v>30000</v>
          </cell>
        </row>
        <row r="848">
          <cell r="A848" t="str">
            <v>Bí Ngòi Xanh 05/11/2024</v>
          </cell>
          <cell r="B848">
            <v>21000</v>
          </cell>
        </row>
        <row r="849">
          <cell r="A849" t="str">
            <v>Cần Tây 05/11/2024</v>
          </cell>
          <cell r="B849">
            <v>10000</v>
          </cell>
        </row>
        <row r="850">
          <cell r="A850" t="str">
            <v>Củ Su Hào 05/11/2024</v>
          </cell>
          <cell r="B850">
            <v>18000</v>
          </cell>
        </row>
        <row r="851">
          <cell r="A851" t="str">
            <v>Bơ Booth 05/11/2024</v>
          </cell>
          <cell r="B851">
            <v>23000</v>
          </cell>
        </row>
        <row r="852">
          <cell r="A852" t="str">
            <v>Cà Rốt Trung 05/11/2024</v>
          </cell>
          <cell r="B852">
            <v>15000</v>
          </cell>
        </row>
        <row r="853">
          <cell r="A853" t="str">
            <v>Bí Đao Xanh 05/11/2024</v>
          </cell>
          <cell r="B853">
            <v>8000</v>
          </cell>
        </row>
        <row r="854">
          <cell r="A854" t="str">
            <v>Trái Su Su 05/11/2024</v>
          </cell>
          <cell r="B854">
            <v>8500</v>
          </cell>
        </row>
        <row r="855">
          <cell r="A855" t="str">
            <v>Củ Khoai Tây Vàng 05/11/2024</v>
          </cell>
          <cell r="B855">
            <v>15000</v>
          </cell>
        </row>
        <row r="856">
          <cell r="A856" t="str">
            <v>Củ Khoai Tây Bi Vàng 05/11/2024</v>
          </cell>
          <cell r="B856">
            <v>12000</v>
          </cell>
        </row>
        <row r="857">
          <cell r="A857" t="str">
            <v>Cà Rốt Baby 05/11/2024</v>
          </cell>
          <cell r="B857">
            <v>65000</v>
          </cell>
        </row>
        <row r="858">
          <cell r="A858" t="str">
            <v>Lá Mè 05/11/2024</v>
          </cell>
          <cell r="B858">
            <v>42000</v>
          </cell>
        </row>
        <row r="859">
          <cell r="A859" t="str">
            <v>Cà Chua Beef 05/11/2024</v>
          </cell>
          <cell r="B859">
            <v>25000</v>
          </cell>
        </row>
        <row r="860">
          <cell r="A860" t="str">
            <v>Chuối Laba 05/11/2024</v>
          </cell>
          <cell r="B860">
            <v>12000</v>
          </cell>
        </row>
        <row r="861">
          <cell r="A861" t="str">
            <v>Dưa Leo Baby 05/11/2024</v>
          </cell>
          <cell r="B861">
            <v>7000</v>
          </cell>
        </row>
        <row r="862">
          <cell r="A862" t="str">
            <v>Đậu Cove Trắng 05/11/2024</v>
          </cell>
          <cell r="B862">
            <v>13000</v>
          </cell>
        </row>
        <row r="863">
          <cell r="A863" t="str">
            <v>Đậu Cove Nhật 05/11/2024</v>
          </cell>
          <cell r="B863">
            <v>9000</v>
          </cell>
        </row>
        <row r="864">
          <cell r="A864" t="str">
            <v>Củ Cải Trắng 05/11/2024</v>
          </cell>
          <cell r="B864">
            <v>6500</v>
          </cell>
        </row>
        <row r="865">
          <cell r="A865" t="str">
            <v>Xà Lách Mỡ T.C 05/11/2024</v>
          </cell>
          <cell r="B865">
            <v>28000</v>
          </cell>
        </row>
        <row r="866">
          <cell r="A866" t="str">
            <v>Ớt Chuông Đỏ 05/11/2024</v>
          </cell>
          <cell r="B866">
            <v>44000</v>
          </cell>
        </row>
        <row r="867">
          <cell r="A867" t="str">
            <v>Ớt Chuông Vàng 05/11/2024</v>
          </cell>
          <cell r="B867">
            <v>25000</v>
          </cell>
        </row>
        <row r="868">
          <cell r="A868" t="str">
            <v>Ớt Chuông Xanh 05/11/2024</v>
          </cell>
          <cell r="B868">
            <v>30000</v>
          </cell>
        </row>
        <row r="869">
          <cell r="A869" t="str">
            <v>Cà Tím 05/11/2024</v>
          </cell>
          <cell r="B869">
            <v>11500</v>
          </cell>
        </row>
        <row r="870">
          <cell r="A870" t="str">
            <v>Cà Chua Thường 05/11/2024</v>
          </cell>
          <cell r="B870">
            <v>21000</v>
          </cell>
        </row>
        <row r="871">
          <cell r="A871" t="str">
            <v>Cà Chua Bi Đỏ 05/11/2024</v>
          </cell>
          <cell r="B871">
            <v>11400</v>
          </cell>
        </row>
        <row r="872">
          <cell r="A872" t="str">
            <v>Củ Khoai Lang Nhật 05/11/2024</v>
          </cell>
          <cell r="B872">
            <v>19000</v>
          </cell>
        </row>
        <row r="873">
          <cell r="A873" t="str">
            <v>Cà Chua Thường 05/11/2024</v>
          </cell>
          <cell r="B873">
            <v>23000</v>
          </cell>
        </row>
        <row r="874">
          <cell r="A874" t="str">
            <v>Cà Chua Thường 05/11/2024</v>
          </cell>
          <cell r="B874">
            <v>22000</v>
          </cell>
        </row>
        <row r="875">
          <cell r="A875" t="str">
            <v>Cải Thảo Kim Chi 05/11/2024</v>
          </cell>
          <cell r="B875">
            <v>7500</v>
          </cell>
        </row>
        <row r="876">
          <cell r="A876" t="str">
            <v>Cải Thảo Kim Chi 05/11/2024</v>
          </cell>
          <cell r="B876">
            <v>6000</v>
          </cell>
        </row>
        <row r="877">
          <cell r="A877" t="str">
            <v>Chanh Dây Tím 05/11/2024</v>
          </cell>
          <cell r="B877">
            <v>31000</v>
          </cell>
        </row>
        <row r="878">
          <cell r="A878" t="str">
            <v>Bí Ngòi Xanh 05/11/2024</v>
          </cell>
          <cell r="B878">
            <v>23000</v>
          </cell>
        </row>
        <row r="879">
          <cell r="A879" t="str">
            <v>Hành Paro 05/11/2024</v>
          </cell>
          <cell r="B879">
            <v>46000</v>
          </cell>
        </row>
        <row r="880">
          <cell r="A880" t="str">
            <v>Ớt Sweet Palemo 05/11/2024</v>
          </cell>
          <cell r="B880">
            <v>20000</v>
          </cell>
        </row>
        <row r="881">
          <cell r="A881" t="str">
            <v>Cải Thảo 05/11/2024</v>
          </cell>
          <cell r="B881">
            <v>7500</v>
          </cell>
        </row>
        <row r="882">
          <cell r="A882" t="str">
            <v>Cải Thảo Kim Chi 05/11/2024</v>
          </cell>
          <cell r="B882">
            <v>5500</v>
          </cell>
        </row>
        <row r="883">
          <cell r="A883" t="str">
            <v>Hạt Dẻ Ngố 05/11/2024</v>
          </cell>
          <cell r="B883">
            <v>28600</v>
          </cell>
        </row>
        <row r="884">
          <cell r="A884" t="str">
            <v>DO 0.05S-II 06/11/2024</v>
          </cell>
          <cell r="B884">
            <v>16818.18</v>
          </cell>
        </row>
        <row r="885">
          <cell r="A885" t="str">
            <v>Dầu Do 0.001 S-V 06/11/2024</v>
          </cell>
          <cell r="B885">
            <v>17118.18</v>
          </cell>
        </row>
        <row r="886">
          <cell r="A886" t="str">
            <v>Dầu DO 0,05S-II 06/11/2024</v>
          </cell>
          <cell r="B886">
            <v>16818.18</v>
          </cell>
        </row>
        <row r="887">
          <cell r="A887" t="str">
            <v>Dầu Do 0.001 S-V 06/11/2024</v>
          </cell>
          <cell r="B887">
            <v>17118.18</v>
          </cell>
        </row>
        <row r="888">
          <cell r="A888" t="str">
            <v>Xà Lách Lolo Xanh 06/11/2024</v>
          </cell>
          <cell r="B888">
            <v>32000</v>
          </cell>
        </row>
        <row r="889">
          <cell r="A889" t="str">
            <v>Lá Tía Tô 06/11/2024</v>
          </cell>
          <cell r="B889">
            <v>32000</v>
          </cell>
        </row>
        <row r="890">
          <cell r="A890" t="str">
            <v>Xà Lách Rocket 06/11/2024</v>
          </cell>
          <cell r="B890">
            <v>120000</v>
          </cell>
        </row>
        <row r="891">
          <cell r="A891" t="str">
            <v>Đậu Hà Lan Trái 06/11/2024</v>
          </cell>
          <cell r="B891">
            <v>80000</v>
          </cell>
        </row>
        <row r="892">
          <cell r="A892" t="str">
            <v>Bí Ngòi Vàng 06/11/2024</v>
          </cell>
          <cell r="B892">
            <v>45000</v>
          </cell>
        </row>
        <row r="893">
          <cell r="A893" t="str">
            <v>Rau Bầu Đất 06/11/2024</v>
          </cell>
          <cell r="B893">
            <v>30000</v>
          </cell>
        </row>
        <row r="894">
          <cell r="A894" t="str">
            <v>Cà Chua Socola 06/11/2024</v>
          </cell>
          <cell r="B894">
            <v>11000</v>
          </cell>
        </row>
        <row r="895">
          <cell r="A895" t="str">
            <v>Bí Đỏ Tròn 06/11/2024</v>
          </cell>
          <cell r="B895">
            <v>5200</v>
          </cell>
        </row>
        <row r="896">
          <cell r="A896" t="str">
            <v>Bông Cải Xanh Gốc Dài 06/11/2024</v>
          </cell>
          <cell r="B896">
            <v>26000</v>
          </cell>
        </row>
        <row r="897">
          <cell r="A897" t="str">
            <v>Cần Tây 06/11/2024</v>
          </cell>
          <cell r="B897">
            <v>10000</v>
          </cell>
        </row>
        <row r="898">
          <cell r="A898" t="str">
            <v>Trái Mâm Xôi 06/11/2024</v>
          </cell>
          <cell r="B898">
            <v>35000</v>
          </cell>
        </row>
        <row r="899">
          <cell r="A899" t="str">
            <v>Cải Bó Xôi 06/11/2024</v>
          </cell>
          <cell r="B899">
            <v>35000</v>
          </cell>
        </row>
        <row r="900">
          <cell r="A900" t="str">
            <v>Bông Cải Xanh 7Cm 06/11/2024</v>
          </cell>
          <cell r="B900">
            <v>40000</v>
          </cell>
        </row>
        <row r="901">
          <cell r="A901" t="str">
            <v>Bông Cải Xanh 7Cm 06/11/2024</v>
          </cell>
          <cell r="B901">
            <v>39000</v>
          </cell>
        </row>
        <row r="902">
          <cell r="A902" t="str">
            <v>Bông Cải Xanh 7Cm 06/11/2024</v>
          </cell>
          <cell r="B902">
            <v>40000</v>
          </cell>
        </row>
        <row r="903">
          <cell r="A903" t="str">
            <v>Cần Tây 06/11/2024</v>
          </cell>
          <cell r="B903">
            <v>13000</v>
          </cell>
        </row>
        <row r="904">
          <cell r="A904" t="str">
            <v>Bông Cải Trắng 06/11/2024</v>
          </cell>
          <cell r="B904">
            <v>27000</v>
          </cell>
        </row>
        <row r="905">
          <cell r="A905" t="str">
            <v>Bắp Cải Tím 06/11/2024</v>
          </cell>
          <cell r="B905">
            <v>30000</v>
          </cell>
        </row>
        <row r="906">
          <cell r="A906" t="str">
            <v>Bông Cải Xanh 7Cm 06/11/2024</v>
          </cell>
          <cell r="B906">
            <v>39000</v>
          </cell>
        </row>
        <row r="907">
          <cell r="A907" t="str">
            <v>Dưa Leo Baby 06/11/2024</v>
          </cell>
          <cell r="B907">
            <v>6500</v>
          </cell>
        </row>
        <row r="908">
          <cell r="A908" t="str">
            <v>Cần Tây 06/11/2024</v>
          </cell>
          <cell r="B908">
            <v>11000</v>
          </cell>
        </row>
        <row r="909">
          <cell r="A909" t="str">
            <v>Cần Tây 06/11/2024</v>
          </cell>
          <cell r="B909">
            <v>10000</v>
          </cell>
        </row>
        <row r="910">
          <cell r="A910" t="str">
            <v>Đậu Đỏ 06/11/2024</v>
          </cell>
          <cell r="B910">
            <v>80000</v>
          </cell>
        </row>
        <row r="911">
          <cell r="A911" t="str">
            <v>Đậu Ngự 06/11/2024</v>
          </cell>
          <cell r="B911">
            <v>70000</v>
          </cell>
        </row>
        <row r="912">
          <cell r="A912" t="str">
            <v>Đậu Trắng 06/11/2024</v>
          </cell>
          <cell r="B912">
            <v>70000</v>
          </cell>
        </row>
        <row r="913">
          <cell r="A913" t="str">
            <v>Củ Khoai Lang Mật Size 46 06/11/2024</v>
          </cell>
          <cell r="B913">
            <v>22000</v>
          </cell>
        </row>
        <row r="914">
          <cell r="A914" t="str">
            <v>Củ Hành Tây Tím 06/11/2024</v>
          </cell>
          <cell r="B914">
            <v>20000</v>
          </cell>
        </row>
        <row r="915">
          <cell r="A915" t="str">
            <v>Củ Dền 06/11/2024</v>
          </cell>
          <cell r="B915">
            <v>16000</v>
          </cell>
        </row>
        <row r="916">
          <cell r="A916" t="str">
            <v>Củ Khoai Tây Vàng 06/11/2024</v>
          </cell>
          <cell r="B916">
            <v>15000</v>
          </cell>
        </row>
        <row r="917">
          <cell r="A917" t="str">
            <v>Lá Nha Đam 06/11/2024</v>
          </cell>
          <cell r="B917">
            <v>14000</v>
          </cell>
        </row>
        <row r="918">
          <cell r="A918" t="str">
            <v>Củ Khoai Mỡ 06/11/2024</v>
          </cell>
          <cell r="B918">
            <v>29000</v>
          </cell>
        </row>
        <row r="919">
          <cell r="A919" t="str">
            <v>Củ Gừng 06/11/2024</v>
          </cell>
          <cell r="B919">
            <v>45000</v>
          </cell>
        </row>
        <row r="920">
          <cell r="A920" t="str">
            <v>Chuối Laba 06/11/2024</v>
          </cell>
          <cell r="B920">
            <v>13000</v>
          </cell>
        </row>
        <row r="921">
          <cell r="A921" t="str">
            <v>Bí Non Nhật 06/11/2024</v>
          </cell>
          <cell r="B921">
            <v>14000</v>
          </cell>
        </row>
        <row r="922">
          <cell r="A922" t="str">
            <v>Cà Rốt 06/11/2024</v>
          </cell>
          <cell r="B922">
            <v>19000</v>
          </cell>
        </row>
        <row r="923">
          <cell r="A923" t="str">
            <v>Xà Lách Lolo Xanh T.C Cây 06/11/2024</v>
          </cell>
          <cell r="B923">
            <v>6800</v>
          </cell>
        </row>
        <row r="924">
          <cell r="A924" t="str">
            <v>Xà Lách Mỡ T.C Cây 06/11/2024</v>
          </cell>
          <cell r="B924">
            <v>6800</v>
          </cell>
        </row>
        <row r="925">
          <cell r="A925" t="str">
            <v>Xà Lách Mỡ T.C 06/11/2024</v>
          </cell>
          <cell r="B925">
            <v>28000</v>
          </cell>
        </row>
        <row r="926">
          <cell r="A926" t="str">
            <v>Xà Lách Thủy Tinh T.C Cây 06/11/2024</v>
          </cell>
          <cell r="B926">
            <v>6800</v>
          </cell>
        </row>
        <row r="927">
          <cell r="A927" t="str">
            <v>Xà Lách Thủy Tinh T.C 06/11/2024</v>
          </cell>
          <cell r="B927">
            <v>30000</v>
          </cell>
        </row>
        <row r="928">
          <cell r="A928" t="str">
            <v>Củ Khoai Lang Nhật 06/11/2024</v>
          </cell>
          <cell r="B928">
            <v>19000</v>
          </cell>
        </row>
        <row r="929">
          <cell r="A929" t="str">
            <v>Củ Dền 06/11/2024</v>
          </cell>
          <cell r="B929">
            <v>17000</v>
          </cell>
        </row>
        <row r="930">
          <cell r="A930" t="str">
            <v>Trái Su Su 06/11/2024</v>
          </cell>
          <cell r="B930">
            <v>8000</v>
          </cell>
        </row>
        <row r="931">
          <cell r="A931" t="str">
            <v>Xà Lách Lolo Xanh T.C 06/11/2024</v>
          </cell>
          <cell r="B931">
            <v>28000</v>
          </cell>
        </row>
        <row r="932">
          <cell r="A932" t="str">
            <v>Cải Thảo 06/11/2024</v>
          </cell>
          <cell r="B932">
            <v>7500</v>
          </cell>
        </row>
        <row r="933">
          <cell r="A933" t="str">
            <v>Xà Lách Mỡ T.C 06/11/2024</v>
          </cell>
          <cell r="B933">
            <v>27000</v>
          </cell>
        </row>
        <row r="934">
          <cell r="A934" t="str">
            <v>Xà Lách Lolo Xanh T.C 06/11/2024</v>
          </cell>
          <cell r="B934">
            <v>28000</v>
          </cell>
        </row>
        <row r="935">
          <cell r="A935" t="str">
            <v>Cà Tím 06/11/2024</v>
          </cell>
          <cell r="B935">
            <v>11000</v>
          </cell>
        </row>
        <row r="936">
          <cell r="A936" t="str">
            <v>Cà Tím 06/11/2024</v>
          </cell>
          <cell r="B936">
            <v>6500</v>
          </cell>
        </row>
        <row r="937">
          <cell r="A937" t="str">
            <v>Cà Rốt 06/11/2024</v>
          </cell>
          <cell r="B937">
            <v>18000</v>
          </cell>
        </row>
        <row r="938">
          <cell r="A938" t="str">
            <v>Cải Kale 06/11/2024</v>
          </cell>
          <cell r="B938">
            <v>27000</v>
          </cell>
        </row>
        <row r="939">
          <cell r="A939" t="str">
            <v>Bí Đao Xanh 06/11/2024</v>
          </cell>
          <cell r="B939">
            <v>8000</v>
          </cell>
        </row>
        <row r="940">
          <cell r="A940" t="str">
            <v>Dưa Leo Thường 06/11/2024</v>
          </cell>
          <cell r="B940">
            <v>6000</v>
          </cell>
        </row>
        <row r="941">
          <cell r="A941" t="str">
            <v>Trái Khổ Qua 06/11/2024</v>
          </cell>
          <cell r="B941">
            <v>12000</v>
          </cell>
        </row>
        <row r="942">
          <cell r="A942" t="str">
            <v>Xà Lách Lolo Xanh T.C 06/11/2024</v>
          </cell>
          <cell r="B942">
            <v>26000</v>
          </cell>
        </row>
        <row r="943">
          <cell r="A943" t="str">
            <v>Xà Lách Thủy Tinh T.C Cây 06/11/2024</v>
          </cell>
          <cell r="B943">
            <v>8000</v>
          </cell>
        </row>
        <row r="944">
          <cell r="A944" t="str">
            <v>Củ Su Hào 06/11/2024</v>
          </cell>
          <cell r="B944">
            <v>18000</v>
          </cell>
        </row>
        <row r="945">
          <cell r="A945" t="str">
            <v>Măng Tây 06/11/2024</v>
          </cell>
          <cell r="B945">
            <v>52000</v>
          </cell>
        </row>
        <row r="946">
          <cell r="A946" t="str">
            <v>Măng Tây 06/11/2024</v>
          </cell>
          <cell r="B946">
            <v>42000</v>
          </cell>
        </row>
        <row r="947">
          <cell r="A947" t="str">
            <v>Lá É 06/11/2024</v>
          </cell>
          <cell r="B947">
            <v>28000</v>
          </cell>
        </row>
        <row r="948">
          <cell r="A948" t="str">
            <v>Cà Chua Bi Đỏ 06/11/2024</v>
          </cell>
          <cell r="B948">
            <v>11400</v>
          </cell>
        </row>
        <row r="949">
          <cell r="A949" t="str">
            <v>Cà Chua Bi Đỏ 06/11/2024</v>
          </cell>
          <cell r="B949">
            <v>19000</v>
          </cell>
        </row>
        <row r="950">
          <cell r="A950" t="str">
            <v>Củ Cải Trắng 06/11/2024</v>
          </cell>
          <cell r="B950">
            <v>6000</v>
          </cell>
        </row>
        <row r="951">
          <cell r="A951" t="str">
            <v>Dưa Leo Baby 06/11/2024</v>
          </cell>
          <cell r="B951">
            <v>9000</v>
          </cell>
        </row>
        <row r="952">
          <cell r="A952" t="str">
            <v>Ớt Chuông Baby 06/11/2024</v>
          </cell>
          <cell r="B952">
            <v>48000</v>
          </cell>
        </row>
        <row r="953">
          <cell r="A953" t="str">
            <v>Ớt Sweet Palemo 06/11/2024</v>
          </cell>
          <cell r="B953">
            <v>20000</v>
          </cell>
        </row>
        <row r="954">
          <cell r="A954" t="str">
            <v>Rau Ngò Rí 06/11/2024</v>
          </cell>
          <cell r="B954">
            <v>35000</v>
          </cell>
        </row>
        <row r="955">
          <cell r="A955" t="str">
            <v>Hành Paro 06/11/2024</v>
          </cell>
          <cell r="B955">
            <v>46000</v>
          </cell>
        </row>
        <row r="956">
          <cell r="A956" t="str">
            <v>Cà Chua Thường Trung 06/11/2024</v>
          </cell>
          <cell r="B956">
            <v>17000</v>
          </cell>
        </row>
        <row r="957">
          <cell r="A957" t="str">
            <v>Ớt Chuông Đỏ 06/11/2024</v>
          </cell>
          <cell r="B957">
            <v>44000</v>
          </cell>
        </row>
        <row r="958">
          <cell r="A958" t="str">
            <v>Ớt Chuông Vàng 06/11/2024</v>
          </cell>
          <cell r="B958">
            <v>28000</v>
          </cell>
        </row>
        <row r="959">
          <cell r="A959" t="str">
            <v>Cà Chua Thường Trung 06/11/2024</v>
          </cell>
          <cell r="B959">
            <v>20000</v>
          </cell>
        </row>
        <row r="960">
          <cell r="A960" t="str">
            <v>Chanh Dây Tím 06/11/2024</v>
          </cell>
          <cell r="B960">
            <v>31000</v>
          </cell>
        </row>
        <row r="961">
          <cell r="A961" t="str">
            <v>Bơ Booth 06/11/2024</v>
          </cell>
          <cell r="B961">
            <v>26000</v>
          </cell>
        </row>
        <row r="962">
          <cell r="A962" t="str">
            <v>Đậu Cove Nhật 06/11/2024</v>
          </cell>
          <cell r="B962">
            <v>9000</v>
          </cell>
        </row>
        <row r="963">
          <cell r="A963" t="str">
            <v>Đậu Cove Trắng 06/11/2024</v>
          </cell>
          <cell r="B963">
            <v>9000</v>
          </cell>
        </row>
        <row r="964">
          <cell r="A964" t="str">
            <v>Đậu Cove Trắng 06/11/2024</v>
          </cell>
          <cell r="B964">
            <v>12000</v>
          </cell>
        </row>
        <row r="965">
          <cell r="A965" t="str">
            <v>Dưa Leo Thường 06/11/2024</v>
          </cell>
          <cell r="B965">
            <v>9000</v>
          </cell>
        </row>
        <row r="966">
          <cell r="A966" t="str">
            <v>Dưa Leo Nhật 06/11/2024</v>
          </cell>
          <cell r="B966">
            <v>11000</v>
          </cell>
        </row>
        <row r="967">
          <cell r="A967" t="str">
            <v>Dưa Leo Baby 06/11/2024</v>
          </cell>
          <cell r="B967">
            <v>6000</v>
          </cell>
        </row>
        <row r="968">
          <cell r="A968" t="str">
            <v>Cà Chua Socola 06/11/2024</v>
          </cell>
          <cell r="B968">
            <v>8500</v>
          </cell>
        </row>
        <row r="969">
          <cell r="A969" t="str">
            <v>Bí Ngòi Xanh 06/11/2024</v>
          </cell>
          <cell r="B969">
            <v>23000</v>
          </cell>
        </row>
        <row r="970">
          <cell r="A970" t="str">
            <v>Ớt Sweet Palemo 06/11/2024</v>
          </cell>
          <cell r="B970">
            <v>20500</v>
          </cell>
        </row>
        <row r="971">
          <cell r="A971" t="str">
            <v>Trái Cam Canh 06/11/2024</v>
          </cell>
          <cell r="B971">
            <v>45000</v>
          </cell>
        </row>
        <row r="972">
          <cell r="A972" t="str">
            <v>Xà Lách Lolo Xanh 06/11/2024</v>
          </cell>
          <cell r="B972">
            <v>34000</v>
          </cell>
        </row>
        <row r="973">
          <cell r="A973" t="str">
            <v>Cà Chua Socola 06/11/2024</v>
          </cell>
          <cell r="B973">
            <v>41500</v>
          </cell>
        </row>
        <row r="974">
          <cell r="A974" t="str">
            <v>Chanh Không Hạt 06/11/2024</v>
          </cell>
          <cell r="B974">
            <v>26000</v>
          </cell>
        </row>
        <row r="975">
          <cell r="A975" t="str">
            <v>Cải Kale 06/11/2024</v>
          </cell>
          <cell r="B975">
            <v>33500</v>
          </cell>
        </row>
        <row r="976">
          <cell r="A976" t="str">
            <v>Cà Chua Bi Mix 06/11/2024</v>
          </cell>
          <cell r="B976">
            <v>50000</v>
          </cell>
        </row>
        <row r="977">
          <cell r="A977" t="str">
            <v>Cà Chua Bi Mix 06/11/2024</v>
          </cell>
          <cell r="B977">
            <v>51500</v>
          </cell>
        </row>
        <row r="978">
          <cell r="A978" t="str">
            <v>Cà Chua Beef 06/11/2024</v>
          </cell>
          <cell r="B978">
            <v>23000</v>
          </cell>
        </row>
        <row r="979">
          <cell r="A979" t="str">
            <v>Cà Chua Beef 06/11/2024</v>
          </cell>
          <cell r="B979">
            <v>27000</v>
          </cell>
        </row>
        <row r="980">
          <cell r="A980" t="str">
            <v>Cà Chua Beef Trung 06/11/2024</v>
          </cell>
          <cell r="B980">
            <v>22000</v>
          </cell>
        </row>
        <row r="981">
          <cell r="A981" t="str">
            <v>Cà Chua Beef Chùm 06/11/2024</v>
          </cell>
          <cell r="B981">
            <v>26000</v>
          </cell>
        </row>
        <row r="982">
          <cell r="A982" t="str">
            <v>Cải Bó Xôi 06/11/2024</v>
          </cell>
          <cell r="B982">
            <v>41000</v>
          </cell>
        </row>
        <row r="983">
          <cell r="A983" t="str">
            <v>Xà Lách Mỹ 06/11/2024</v>
          </cell>
          <cell r="B983">
            <v>38000</v>
          </cell>
        </row>
        <row r="984">
          <cell r="A984" t="str">
            <v>Hồng Giòn Đà Lạt 06/11/2024</v>
          </cell>
          <cell r="B984">
            <v>27000</v>
          </cell>
        </row>
        <row r="985">
          <cell r="A985" t="str">
            <v>Lá Mè 06/11/2024</v>
          </cell>
          <cell r="B985">
            <v>42000</v>
          </cell>
        </row>
        <row r="986">
          <cell r="A986" t="str">
            <v>Dưa Leo Baby 06/11/2024</v>
          </cell>
          <cell r="B986">
            <v>7000</v>
          </cell>
        </row>
        <row r="987">
          <cell r="A987" t="str">
            <v>Cà Rốt Baby 06/11/2024</v>
          </cell>
          <cell r="B987">
            <v>70000</v>
          </cell>
        </row>
        <row r="988">
          <cell r="A988" t="str">
            <v>Cải Kale 06/11/2024</v>
          </cell>
          <cell r="B988">
            <v>32000</v>
          </cell>
        </row>
        <row r="989">
          <cell r="A989" t="str">
            <v>Cải Kale 06/11/2024</v>
          </cell>
          <cell r="B989">
            <v>35000</v>
          </cell>
        </row>
        <row r="990">
          <cell r="A990" t="str">
            <v>Cải Cầu Vồng 06/11/2024</v>
          </cell>
          <cell r="B990">
            <v>20000</v>
          </cell>
        </row>
        <row r="991">
          <cell r="A991" t="str">
            <v>Xà Lách Lolo Tím 06/11/2024</v>
          </cell>
          <cell r="B991">
            <v>50000</v>
          </cell>
        </row>
        <row r="992">
          <cell r="A992" t="str">
            <v>Xà Lách Romaine 06/11/2024</v>
          </cell>
          <cell r="B992">
            <v>25000</v>
          </cell>
        </row>
        <row r="993">
          <cell r="A993" t="str">
            <v>Bông Cải Xanh Baby 06/11/2024</v>
          </cell>
          <cell r="B993">
            <v>55000</v>
          </cell>
        </row>
        <row r="994">
          <cell r="A994" t="str">
            <v>Xà Lách Lolo Xanh 06/11/2024</v>
          </cell>
          <cell r="B994">
            <v>30000</v>
          </cell>
        </row>
        <row r="995">
          <cell r="A995" t="str">
            <v>Ớt Sweet Palemo 06/11/2024</v>
          </cell>
          <cell r="B995">
            <v>20000</v>
          </cell>
        </row>
        <row r="996">
          <cell r="A996" t="str">
            <v>Cà Chua Beef Trung 06/11/2024</v>
          </cell>
          <cell r="B996">
            <v>23000</v>
          </cell>
        </row>
        <row r="997">
          <cell r="A997" t="str">
            <v>Hạt Dẻ Ngố 06/11/2024</v>
          </cell>
          <cell r="B997">
            <v>26400</v>
          </cell>
        </row>
        <row r="998">
          <cell r="A998" t="str">
            <v>Gia Công Rau Củ Quả 06/11/2024</v>
          </cell>
          <cell r="B998">
            <v>2000</v>
          </cell>
        </row>
        <row r="999">
          <cell r="A999" t="str">
            <v>Cải Thảo 06/11/2024</v>
          </cell>
          <cell r="B999">
            <v>7500</v>
          </cell>
        </row>
        <row r="1000">
          <cell r="A1000" t="str">
            <v>Cải Thảo Kim Chi 06/11/2024</v>
          </cell>
          <cell r="B1000">
            <v>5500</v>
          </cell>
        </row>
        <row r="1001">
          <cell r="A1001" t="str">
            <v>Củ Dền 06/11/2024</v>
          </cell>
          <cell r="B1001">
            <v>16000</v>
          </cell>
        </row>
        <row r="1002">
          <cell r="A1002" t="str">
            <v>Bí Ngòi Vàng 06/11/2024</v>
          </cell>
          <cell r="B1002">
            <v>45000</v>
          </cell>
        </row>
        <row r="1003">
          <cell r="A1003" t="str">
            <v>Bí Đỏ Tròn 06/11/2024</v>
          </cell>
          <cell r="B1003">
            <v>5200</v>
          </cell>
        </row>
        <row r="1004">
          <cell r="A1004" t="str">
            <v>Cải Thảo Hỏa Tiễn 06/11/2024</v>
          </cell>
          <cell r="B1004">
            <v>16000</v>
          </cell>
        </row>
        <row r="1005">
          <cell r="A1005" t="str">
            <v>Bông Cải Trắng 06/11/2024</v>
          </cell>
          <cell r="B1005">
            <v>27000</v>
          </cell>
        </row>
        <row r="1006">
          <cell r="A1006" t="str">
            <v>Bông Cải Xanh Cọng 06/11/2024</v>
          </cell>
          <cell r="B1006">
            <v>30000</v>
          </cell>
        </row>
        <row r="1007">
          <cell r="A1007" t="str">
            <v>Bông Cải Xanh Cọng 06/11/2024</v>
          </cell>
          <cell r="B1007">
            <v>30000</v>
          </cell>
        </row>
        <row r="1008">
          <cell r="A1008" t="str">
            <v>Cải Thảo Kim Chi 06/11/2024</v>
          </cell>
          <cell r="B1008">
            <v>6000</v>
          </cell>
        </row>
        <row r="1009">
          <cell r="A1009" t="str">
            <v>Cà Chua Beef 06/11/2024</v>
          </cell>
          <cell r="B1009">
            <v>24000</v>
          </cell>
        </row>
        <row r="1010">
          <cell r="A1010" t="str">
            <v>Cà Chua Beef 06/11/2024</v>
          </cell>
          <cell r="B1010">
            <v>22000</v>
          </cell>
        </row>
        <row r="1011">
          <cell r="A1011" t="str">
            <v>Cà Chua Beef Chùm 06/11/2024</v>
          </cell>
          <cell r="B1011">
            <v>25000</v>
          </cell>
        </row>
        <row r="1012">
          <cell r="A1012" t="str">
            <v>Cà Chua Beef Trung 06/11/2024</v>
          </cell>
          <cell r="B1012">
            <v>17000</v>
          </cell>
        </row>
        <row r="1013">
          <cell r="A1013" t="str">
            <v>Củ Khoai Tây Vàng 06/11/2024</v>
          </cell>
          <cell r="B1013">
            <v>15000</v>
          </cell>
        </row>
        <row r="1014">
          <cell r="A1014" t="str">
            <v>Củ Khoai Tây Bi Vàng 06/11/2024</v>
          </cell>
          <cell r="B1014">
            <v>12000</v>
          </cell>
        </row>
        <row r="1015">
          <cell r="A1015" t="str">
            <v>Trái Su Su 06/11/2024</v>
          </cell>
          <cell r="B1015">
            <v>8500</v>
          </cell>
        </row>
        <row r="1016">
          <cell r="A1016" t="str">
            <v>Cà Tím 06/11/2024</v>
          </cell>
          <cell r="B1016">
            <v>11000</v>
          </cell>
        </row>
        <row r="1017">
          <cell r="A1017" t="str">
            <v>Bí Đao Xanh 06/11/2024</v>
          </cell>
          <cell r="B1017">
            <v>7000</v>
          </cell>
        </row>
        <row r="1018">
          <cell r="A1018" t="str">
            <v>Củ Khoai Lang Nhật 06/11/2024</v>
          </cell>
          <cell r="B1018">
            <v>19000</v>
          </cell>
        </row>
        <row r="1019">
          <cell r="A1019" t="str">
            <v>Cà Rốt Trung 06/11/2024</v>
          </cell>
          <cell r="B1019">
            <v>15000</v>
          </cell>
        </row>
        <row r="1020">
          <cell r="A1020" t="str">
            <v>Ớt Chuông Đỏ 06/11/2024</v>
          </cell>
          <cell r="B1020">
            <v>42000</v>
          </cell>
        </row>
        <row r="1021">
          <cell r="A1021" t="str">
            <v>Ớt Chuông Vàng 06/11/2024</v>
          </cell>
          <cell r="B1021">
            <v>22000</v>
          </cell>
        </row>
        <row r="1022">
          <cell r="A1022" t="str">
            <v>Cà Chua Beef 06/11/2024</v>
          </cell>
          <cell r="B1022">
            <v>24000</v>
          </cell>
        </row>
        <row r="1023">
          <cell r="A1023" t="str">
            <v>Chuối Laba 06/11/2024</v>
          </cell>
          <cell r="B1023">
            <v>12000</v>
          </cell>
        </row>
        <row r="1024">
          <cell r="A1024" t="str">
            <v>Củ Su Hào 06/11/2024</v>
          </cell>
          <cell r="B1024">
            <v>18000</v>
          </cell>
        </row>
        <row r="1025">
          <cell r="A1025" t="str">
            <v>Củ Cải Trắng 06/11/2024</v>
          </cell>
          <cell r="B1025">
            <v>6500</v>
          </cell>
        </row>
        <row r="1026">
          <cell r="A1026" t="str">
            <v>Cần Tây 06/11/2024</v>
          </cell>
          <cell r="B1026">
            <v>10000</v>
          </cell>
        </row>
        <row r="1027">
          <cell r="A1027" t="str">
            <v>Bí Ngòi Xanh 06/11/2024</v>
          </cell>
          <cell r="B1027">
            <v>21000</v>
          </cell>
        </row>
        <row r="1028">
          <cell r="A1028" t="str">
            <v>Bí Ngòi Xanh 06/11/2024</v>
          </cell>
          <cell r="B1028">
            <v>23000</v>
          </cell>
        </row>
        <row r="1029">
          <cell r="A1029" t="str">
            <v>Cà Chua Thường 06/11/2024</v>
          </cell>
          <cell r="B1029">
            <v>19000</v>
          </cell>
        </row>
        <row r="1030">
          <cell r="A1030" t="str">
            <v>Bơ Booth 06/11/2024</v>
          </cell>
          <cell r="B1030">
            <v>23000</v>
          </cell>
        </row>
        <row r="1031">
          <cell r="A1031" t="str">
            <v>Đậu Cove Trắng 06/11/2024</v>
          </cell>
          <cell r="B1031">
            <v>12000</v>
          </cell>
        </row>
        <row r="1032">
          <cell r="A1032" t="str">
            <v>Đậu Cove Nhật 06/11/2024</v>
          </cell>
          <cell r="B1032">
            <v>9000</v>
          </cell>
        </row>
        <row r="1033">
          <cell r="A1033" t="str">
            <v>Chanh Dây Tím 06/11/2024</v>
          </cell>
          <cell r="B1033">
            <v>31000</v>
          </cell>
        </row>
        <row r="1034">
          <cell r="A1034" t="str">
            <v>Cà Chua Thường 06/11/2024</v>
          </cell>
          <cell r="B1034">
            <v>22500</v>
          </cell>
        </row>
        <row r="1035">
          <cell r="A1035" t="str">
            <v>Cà Chua Thường 06/11/2024</v>
          </cell>
          <cell r="B1035">
            <v>21000</v>
          </cell>
        </row>
        <row r="1036">
          <cell r="A1036" t="str">
            <v>Hành Paro 06/11/2024</v>
          </cell>
          <cell r="B1036">
            <v>46000</v>
          </cell>
        </row>
        <row r="1037">
          <cell r="A1037" t="str">
            <v>DO 0.05S-II 07/11/2024</v>
          </cell>
          <cell r="B1037">
            <v>16818.18</v>
          </cell>
        </row>
        <row r="1038">
          <cell r="A1038" t="str">
            <v>Dầu Do 0.001 S-V 07/11/2024</v>
          </cell>
          <cell r="B1038">
            <v>17836.36</v>
          </cell>
        </row>
        <row r="1039">
          <cell r="A1039" t="str">
            <v>DO 0.05S-II 07/11/2024</v>
          </cell>
          <cell r="B1039">
            <v>16818.18</v>
          </cell>
        </row>
        <row r="1040">
          <cell r="A1040" t="str">
            <v>DO 0.05S-II 07/11/2024</v>
          </cell>
          <cell r="B1040">
            <v>17527.27</v>
          </cell>
        </row>
        <row r="1041">
          <cell r="A1041" t="str">
            <v>Dầu Do 0.001 S-V 07/11/2024</v>
          </cell>
          <cell r="B1041">
            <v>17836.36</v>
          </cell>
        </row>
        <row r="1042">
          <cell r="A1042" t="str">
            <v>Cước đường bộ xe 49C37197T đi qua trạm Liên Đầm thời gian GD 21:09:22 ngày 07/11/2024 mã GD 1485972489 07/11/2024</v>
          </cell>
          <cell r="B1042">
            <v>78704</v>
          </cell>
        </row>
        <row r="1043">
          <cell r="A1043" t="str">
            <v>Cước đường bộ xe 49C37197T từ ngày 07/11/2024 đến hết ngày 06/12/2024 tại trạm Định An thời gian GD 11:13:00 ngày 07/11/2024 mã GD 4000356 07/11/2024</v>
          </cell>
          <cell r="B1043">
            <v>1361111</v>
          </cell>
        </row>
        <row r="1044">
          <cell r="A1044" t="str">
            <v>Phí dịch vụ Đăng ký/Thay đổi E-Tag cho biển số xe 49C37197T thời gian GD 19:16:43 ngày 07/11/2024 mã GD 11985716 07/11/2024</v>
          </cell>
          <cell r="B1044">
            <v>109091</v>
          </cell>
        </row>
        <row r="1045">
          <cell r="A1045" t="str">
            <v>In decal dán xe (5.6 x 2.4 x 2 bên) 07/11/2024</v>
          </cell>
          <cell r="B1045">
            <v>5000000</v>
          </cell>
        </row>
        <row r="1046">
          <cell r="A1046" t="str">
            <v>Dưa Leo Baby 07/11/2024</v>
          </cell>
          <cell r="B1046">
            <v>6000</v>
          </cell>
        </row>
        <row r="1047">
          <cell r="A1047" t="str">
            <v>Cần Tây 07/11/2024</v>
          </cell>
          <cell r="B1047">
            <v>10000</v>
          </cell>
        </row>
        <row r="1048">
          <cell r="A1048" t="str">
            <v>Ớt Sweet Palemo 07/11/2024</v>
          </cell>
          <cell r="B1048">
            <v>21000</v>
          </cell>
        </row>
        <row r="1049">
          <cell r="A1049" t="str">
            <v>Cà Chua Socola 07/11/2024</v>
          </cell>
          <cell r="B1049">
            <v>7000</v>
          </cell>
        </row>
        <row r="1050">
          <cell r="A1050" t="str">
            <v>Cải Bó Xôi 07/11/2024</v>
          </cell>
          <cell r="B1050">
            <v>34000</v>
          </cell>
        </row>
        <row r="1051">
          <cell r="A1051" t="str">
            <v>Lá Mè 07/11/2024</v>
          </cell>
          <cell r="B1051">
            <v>40000</v>
          </cell>
        </row>
        <row r="1052">
          <cell r="A1052" t="str">
            <v>Cà Chua Beef 07/11/2024</v>
          </cell>
          <cell r="B1052">
            <v>24000</v>
          </cell>
        </row>
        <row r="1053">
          <cell r="A1053" t="str">
            <v>Cần Tây 07/11/2024</v>
          </cell>
          <cell r="B1053">
            <v>11000</v>
          </cell>
        </row>
        <row r="1054">
          <cell r="A1054" t="str">
            <v>Trái Mít Thái 07/11/2024</v>
          </cell>
          <cell r="B1054">
            <v>19519</v>
          </cell>
        </row>
        <row r="1055">
          <cell r="A1055" t="str">
            <v>Củ Dền 07/11/2024</v>
          </cell>
          <cell r="B1055">
            <v>16000</v>
          </cell>
        </row>
        <row r="1056">
          <cell r="A1056" t="str">
            <v>Bông Cải Xanh 7Cm 07/11/2024</v>
          </cell>
          <cell r="B1056">
            <v>39000</v>
          </cell>
        </row>
        <row r="1057">
          <cell r="A1057" t="str">
            <v>Cần Tây 07/11/2024</v>
          </cell>
          <cell r="B1057">
            <v>13000</v>
          </cell>
        </row>
        <row r="1058">
          <cell r="A1058" t="str">
            <v>Bông Cải Xanh 7Cm 07/11/2024</v>
          </cell>
          <cell r="B1058">
            <v>40000</v>
          </cell>
        </row>
        <row r="1059">
          <cell r="A1059" t="str">
            <v>Bông Cải Xanh 7Cm 07/11/2024</v>
          </cell>
          <cell r="B1059">
            <v>39000</v>
          </cell>
        </row>
        <row r="1060">
          <cell r="A1060" t="str">
            <v>Trái Mâm Xôi 07/11/2024</v>
          </cell>
          <cell r="B1060">
            <v>35000</v>
          </cell>
        </row>
        <row r="1061">
          <cell r="A1061" t="str">
            <v>Củ Khoai Tây Vàng 07/11/2024</v>
          </cell>
          <cell r="B1061">
            <v>15000</v>
          </cell>
        </row>
        <row r="1062">
          <cell r="A1062" t="str">
            <v>Cà Rốt 07/11/2024</v>
          </cell>
          <cell r="B1062">
            <v>18500</v>
          </cell>
        </row>
        <row r="1063">
          <cell r="A1063" t="str">
            <v>Xà Lách Lolo Xanh T.C 07/11/2024</v>
          </cell>
          <cell r="B1063">
            <v>28000</v>
          </cell>
        </row>
        <row r="1064">
          <cell r="A1064" t="str">
            <v>Củ Khoai Lang Nhật 07/11/2024</v>
          </cell>
          <cell r="B1064">
            <v>19000</v>
          </cell>
        </row>
        <row r="1065">
          <cell r="A1065" t="str">
            <v>Cà Rốt 07/11/2024</v>
          </cell>
          <cell r="B1065">
            <v>18000</v>
          </cell>
        </row>
        <row r="1066">
          <cell r="A1066" t="str">
            <v>Bí Ngòi Xanh 07/11/2024</v>
          </cell>
          <cell r="B1066">
            <v>21500</v>
          </cell>
        </row>
        <row r="1067">
          <cell r="A1067" t="str">
            <v>Xà Lách Lolo Xanh T.C 07/11/2024</v>
          </cell>
          <cell r="B1067">
            <v>26000</v>
          </cell>
        </row>
        <row r="1068">
          <cell r="A1068" t="str">
            <v>Xà Lách Mỡ T.C 07/11/2024</v>
          </cell>
          <cell r="B1068">
            <v>26000</v>
          </cell>
        </row>
        <row r="1069">
          <cell r="A1069" t="str">
            <v>Xà Lách Thủy Tinh T.C Cây 07/11/2024</v>
          </cell>
          <cell r="B1069">
            <v>8000</v>
          </cell>
        </row>
        <row r="1070">
          <cell r="A1070" t="str">
            <v>Dưa Leo Thường 07/11/2024</v>
          </cell>
          <cell r="B1070">
            <v>7000</v>
          </cell>
        </row>
        <row r="1071">
          <cell r="A1071" t="str">
            <v>Trái Khổ Qua 07/11/2024</v>
          </cell>
          <cell r="B1071">
            <v>14000</v>
          </cell>
        </row>
        <row r="1072">
          <cell r="A1072" t="str">
            <v>Đậu Cove Trắng 07/11/2024</v>
          </cell>
          <cell r="B1072">
            <v>25000</v>
          </cell>
        </row>
        <row r="1073">
          <cell r="A1073" t="str">
            <v>Cà Chua Socola 07/11/2024</v>
          </cell>
          <cell r="B1073">
            <v>10000</v>
          </cell>
        </row>
        <row r="1074">
          <cell r="A1074" t="str">
            <v>Cà Chua Socola 07/11/2024</v>
          </cell>
          <cell r="B1074">
            <v>11000</v>
          </cell>
        </row>
        <row r="1075">
          <cell r="A1075" t="str">
            <v>Lá Tía Tô 07/11/2024</v>
          </cell>
          <cell r="B1075">
            <v>32000</v>
          </cell>
        </row>
        <row r="1076">
          <cell r="A1076" t="str">
            <v>Xà Lách Lolo Xanh 07/11/2024</v>
          </cell>
          <cell r="B1076">
            <v>32000</v>
          </cell>
        </row>
        <row r="1077">
          <cell r="A1077" t="str">
            <v>Xà Lách Rocket 07/11/2024</v>
          </cell>
          <cell r="B1077">
            <v>120000</v>
          </cell>
        </row>
        <row r="1078">
          <cell r="A1078" t="str">
            <v>Bí Ngòi Xanh 07/11/2024</v>
          </cell>
          <cell r="B1078">
            <v>24000</v>
          </cell>
        </row>
        <row r="1079">
          <cell r="A1079" t="str">
            <v>Củ Su Hào 07/11/2024</v>
          </cell>
          <cell r="B1079">
            <v>18000</v>
          </cell>
        </row>
        <row r="1080">
          <cell r="A1080" t="str">
            <v>Xà Lách Mỡ T.C 07/11/2024</v>
          </cell>
          <cell r="B1080">
            <v>27000</v>
          </cell>
        </row>
        <row r="1081">
          <cell r="A1081" t="str">
            <v>Xà Lách Lolo Xanh T.C 07/11/2024</v>
          </cell>
          <cell r="B1081">
            <v>28000</v>
          </cell>
        </row>
        <row r="1082">
          <cell r="A1082" t="str">
            <v>Trái Su Su 07/11/2024</v>
          </cell>
          <cell r="B1082">
            <v>8000</v>
          </cell>
        </row>
        <row r="1083">
          <cell r="A1083" t="str">
            <v>Cà Chua Bi Đỏ 07/11/2024</v>
          </cell>
          <cell r="B1083">
            <v>11400</v>
          </cell>
        </row>
        <row r="1084">
          <cell r="A1084" t="str">
            <v>Cà Chua Bi Đỏ 07/11/2024</v>
          </cell>
          <cell r="B1084">
            <v>19000</v>
          </cell>
        </row>
        <row r="1085">
          <cell r="A1085" t="str">
            <v>Bông Cải Trắng 07/11/2024</v>
          </cell>
          <cell r="B1085">
            <v>27000</v>
          </cell>
        </row>
        <row r="1086">
          <cell r="A1086" t="str">
            <v>Măng Tây 07/11/2024</v>
          </cell>
          <cell r="B1086">
            <v>53428</v>
          </cell>
        </row>
        <row r="1087">
          <cell r="A1087" t="str">
            <v>Măng Tây 07/11/2024</v>
          </cell>
          <cell r="B1087">
            <v>40000</v>
          </cell>
        </row>
        <row r="1088">
          <cell r="A1088" t="str">
            <v>Lá É 07/11/2024</v>
          </cell>
          <cell r="B1088">
            <v>25000</v>
          </cell>
        </row>
        <row r="1089">
          <cell r="A1089" t="str">
            <v>Lá Nha Đam 07/11/2024</v>
          </cell>
          <cell r="B1089">
            <v>14000</v>
          </cell>
        </row>
        <row r="1090">
          <cell r="A1090" t="str">
            <v>Củ Gừng 07/11/2024</v>
          </cell>
          <cell r="B1090">
            <v>45000</v>
          </cell>
        </row>
        <row r="1091">
          <cell r="A1091" t="str">
            <v>Chuối Laba 07/11/2024</v>
          </cell>
          <cell r="B1091">
            <v>13000</v>
          </cell>
        </row>
        <row r="1092">
          <cell r="A1092" t="str">
            <v>Cải Kale 07/11/2024</v>
          </cell>
          <cell r="B1092">
            <v>27000</v>
          </cell>
        </row>
        <row r="1093">
          <cell r="A1093" t="str">
            <v>Lá Mè 07/11/2024</v>
          </cell>
          <cell r="B1093">
            <v>39000</v>
          </cell>
        </row>
        <row r="1094">
          <cell r="A1094" t="str">
            <v>Xà Lách Lolo Xanh T.C Cây 07/11/2024</v>
          </cell>
          <cell r="B1094">
            <v>6800</v>
          </cell>
        </row>
        <row r="1095">
          <cell r="A1095" t="str">
            <v>Xà Lách Mỡ T.C Cây 07/11/2024</v>
          </cell>
          <cell r="B1095">
            <v>6800</v>
          </cell>
        </row>
        <row r="1096">
          <cell r="A1096" t="str">
            <v>Xà Lách Mỡ T.C 07/11/2024</v>
          </cell>
          <cell r="B1096">
            <v>28000</v>
          </cell>
        </row>
        <row r="1097">
          <cell r="A1097" t="str">
            <v>Xà Lách Thủy Tinh T.C Cây 07/11/2024</v>
          </cell>
          <cell r="B1097">
            <v>6800</v>
          </cell>
        </row>
        <row r="1098">
          <cell r="A1098" t="str">
            <v>Xà Lách Thủy Tinh T.C 07/11/2024</v>
          </cell>
          <cell r="B1098">
            <v>30000</v>
          </cell>
        </row>
        <row r="1099">
          <cell r="A1099" t="str">
            <v>Bắp Cải Tím 07/11/2024</v>
          </cell>
          <cell r="B1099">
            <v>28000</v>
          </cell>
        </row>
        <row r="1100">
          <cell r="A1100" t="str">
            <v>Đậu Cove Trắng 07/11/2024</v>
          </cell>
          <cell r="B1100">
            <v>13000</v>
          </cell>
        </row>
        <row r="1101">
          <cell r="A1101" t="str">
            <v>Đậu Cove Nhật 07/11/2024</v>
          </cell>
          <cell r="B1101">
            <v>9000</v>
          </cell>
        </row>
        <row r="1102">
          <cell r="A1102" t="str">
            <v>Bí Non Nhật 07/11/2024</v>
          </cell>
          <cell r="B1102">
            <v>15000</v>
          </cell>
        </row>
        <row r="1103">
          <cell r="A1103" t="str">
            <v>Dưa Leo Nhật 07/11/2024</v>
          </cell>
          <cell r="B1103">
            <v>11000</v>
          </cell>
        </row>
        <row r="1104">
          <cell r="A1104" t="str">
            <v>Dưa Leo Thường 07/11/2024</v>
          </cell>
          <cell r="B1104">
            <v>9000</v>
          </cell>
        </row>
        <row r="1105">
          <cell r="A1105" t="str">
            <v>Dưa Leo Baby 07/11/2024</v>
          </cell>
          <cell r="B1105">
            <v>6000</v>
          </cell>
        </row>
        <row r="1106">
          <cell r="A1106" t="str">
            <v>Ớt Chuông Đỏ 07/11/2024</v>
          </cell>
          <cell r="B1106">
            <v>44000</v>
          </cell>
        </row>
        <row r="1107">
          <cell r="A1107" t="str">
            <v>Ớt Chuông Vàng 07/11/2024</v>
          </cell>
          <cell r="B1107">
            <v>28000</v>
          </cell>
        </row>
        <row r="1108">
          <cell r="A1108" t="str">
            <v>Củ Cải Trắng 07/11/2024</v>
          </cell>
          <cell r="B1108">
            <v>6000</v>
          </cell>
        </row>
        <row r="1109">
          <cell r="A1109" t="str">
            <v>Cà Chua Thường 07/11/2024</v>
          </cell>
          <cell r="B1109">
            <v>22000</v>
          </cell>
        </row>
        <row r="1110">
          <cell r="A1110" t="str">
            <v>Bơ Booth 07/11/2024</v>
          </cell>
          <cell r="B1110">
            <v>26000</v>
          </cell>
        </row>
        <row r="1111">
          <cell r="A1111" t="str">
            <v>Dưa Leo Baby 07/11/2024</v>
          </cell>
          <cell r="B1111">
            <v>6000</v>
          </cell>
        </row>
        <row r="1112">
          <cell r="A1112" t="str">
            <v>Củ Khoai Lang Mật Size 23 07/11/2024</v>
          </cell>
          <cell r="B1112">
            <v>20000</v>
          </cell>
        </row>
        <row r="1113">
          <cell r="A1113" t="str">
            <v>Củ Khoai Lang Mật Size 46 07/11/2024</v>
          </cell>
          <cell r="B1113">
            <v>20000</v>
          </cell>
        </row>
        <row r="1114">
          <cell r="A1114" t="str">
            <v>Cà Tím 07/11/2024</v>
          </cell>
          <cell r="B1114">
            <v>10000</v>
          </cell>
        </row>
        <row r="1115">
          <cell r="A1115" t="str">
            <v>Cà Tím 07/11/2024</v>
          </cell>
          <cell r="B1115">
            <v>6000</v>
          </cell>
        </row>
        <row r="1116">
          <cell r="A1116" t="str">
            <v>Cà Chua Socola 07/11/2024</v>
          </cell>
          <cell r="B1116">
            <v>8500</v>
          </cell>
        </row>
        <row r="1117">
          <cell r="A1117" t="str">
            <v>Cà Chua Beef 07/11/2024</v>
          </cell>
          <cell r="B1117">
            <v>25000</v>
          </cell>
        </row>
        <row r="1118">
          <cell r="A1118" t="str">
            <v>Ớt Chuông Xanh 07/11/2024</v>
          </cell>
          <cell r="B1118">
            <v>28000</v>
          </cell>
        </row>
        <row r="1119">
          <cell r="A1119" t="str">
            <v>Ớt Chuông Baby 07/11/2024</v>
          </cell>
          <cell r="B1119">
            <v>48000</v>
          </cell>
        </row>
        <row r="1120">
          <cell r="A1120" t="str">
            <v>Ớt Chuông Snack 07/11/2024</v>
          </cell>
          <cell r="B1120">
            <v>58000</v>
          </cell>
        </row>
        <row r="1121">
          <cell r="A1121" t="str">
            <v>Rau Ngò Rí 07/11/2024</v>
          </cell>
          <cell r="B1121">
            <v>35000</v>
          </cell>
        </row>
        <row r="1122">
          <cell r="A1122" t="str">
            <v>Rau Ngót 07/11/2024</v>
          </cell>
          <cell r="B1122">
            <v>18000</v>
          </cell>
        </row>
        <row r="1123">
          <cell r="A1123" t="str">
            <v>Bông Cải Xanh Gốc Dài 07/11/2024</v>
          </cell>
          <cell r="B1123">
            <v>26000</v>
          </cell>
        </row>
        <row r="1124">
          <cell r="A1124" t="str">
            <v>Hành Paro 07/11/2024</v>
          </cell>
          <cell r="B1124">
            <v>48000</v>
          </cell>
        </row>
        <row r="1125">
          <cell r="A1125" t="str">
            <v>Ớt Sweet Palemo 07/11/2024</v>
          </cell>
          <cell r="B1125">
            <v>20000</v>
          </cell>
        </row>
        <row r="1126">
          <cell r="A1126" t="str">
            <v>Hồng Treo Gió 07/11/2024</v>
          </cell>
          <cell r="B1126">
            <v>200000</v>
          </cell>
        </row>
        <row r="1127">
          <cell r="A1127" t="str">
            <v>Dưa Leo Baby 07/11/2024</v>
          </cell>
          <cell r="B1127">
            <v>9000</v>
          </cell>
        </row>
        <row r="1128">
          <cell r="A1128" t="str">
            <v>Gia Công Rau Củ Quả 07/11/2024</v>
          </cell>
          <cell r="B1128">
            <v>2000</v>
          </cell>
        </row>
        <row r="1129">
          <cell r="A1129" t="str">
            <v>Cà Rốt Baby 07/11/2024</v>
          </cell>
          <cell r="B1129">
            <v>55000</v>
          </cell>
        </row>
        <row r="1130">
          <cell r="A1130" t="str">
            <v>Xà Lách Mỹ 07/11/2024</v>
          </cell>
          <cell r="B1130">
            <v>38000</v>
          </cell>
        </row>
        <row r="1131">
          <cell r="A1131" t="str">
            <v>Hồng Giòn Đà Lạt 07/11/2024</v>
          </cell>
          <cell r="B1131">
            <v>27000</v>
          </cell>
        </row>
        <row r="1132">
          <cell r="A1132" t="str">
            <v>Xà Lách Lolo Xanh 07/11/2024</v>
          </cell>
          <cell r="B1132">
            <v>34000</v>
          </cell>
        </row>
        <row r="1133">
          <cell r="A1133" t="str">
            <v>Chanh Không Hạt 07/11/2024</v>
          </cell>
          <cell r="B1133">
            <v>26000</v>
          </cell>
        </row>
        <row r="1134">
          <cell r="A1134" t="str">
            <v>Cà Chua Bi Mix 07/11/2024</v>
          </cell>
          <cell r="B1134">
            <v>55500</v>
          </cell>
        </row>
        <row r="1135">
          <cell r="A1135" t="str">
            <v>Cà Chua Socola 07/11/2024</v>
          </cell>
          <cell r="B1135">
            <v>43500</v>
          </cell>
        </row>
        <row r="1136">
          <cell r="A1136" t="str">
            <v>Cải Kale 07/11/2024</v>
          </cell>
          <cell r="B1136">
            <v>33500</v>
          </cell>
        </row>
        <row r="1137">
          <cell r="A1137" t="str">
            <v>Cải Bó Xôi 07/11/2024</v>
          </cell>
          <cell r="B1137">
            <v>38000</v>
          </cell>
        </row>
        <row r="1138">
          <cell r="A1138" t="str">
            <v>Cải Bó Xôi 07/11/2024</v>
          </cell>
          <cell r="B1138">
            <v>41000</v>
          </cell>
        </row>
        <row r="1139">
          <cell r="A1139" t="str">
            <v>Cà Chua Beef Chùm 07/11/2024</v>
          </cell>
          <cell r="B1139">
            <v>27000</v>
          </cell>
        </row>
        <row r="1140">
          <cell r="A1140" t="str">
            <v>Cà Chua Beef 07/11/2024</v>
          </cell>
          <cell r="B1140">
            <v>24000</v>
          </cell>
        </row>
        <row r="1141">
          <cell r="A1141" t="str">
            <v>Cà Chua Beef 07/11/2024</v>
          </cell>
          <cell r="B1141">
            <v>18200</v>
          </cell>
        </row>
        <row r="1142">
          <cell r="A1142" t="str">
            <v>Cà Chua Beef Trung 07/11/2024</v>
          </cell>
          <cell r="B1142">
            <v>23000</v>
          </cell>
        </row>
        <row r="1143">
          <cell r="A1143" t="str">
            <v>Cà Chua Beef Trung 07/11/2024</v>
          </cell>
          <cell r="B1143">
            <v>21000</v>
          </cell>
        </row>
        <row r="1144">
          <cell r="A1144" t="str">
            <v>Hạt Dẻ Ngố 07/11/2024</v>
          </cell>
          <cell r="B1144">
            <v>28600</v>
          </cell>
        </row>
        <row r="1145">
          <cell r="A1145" t="str">
            <v>Dưa Leo Baby 07/11/2024</v>
          </cell>
          <cell r="B1145">
            <v>7000</v>
          </cell>
        </row>
        <row r="1146">
          <cell r="A1146" t="str">
            <v>Lá Mè 07/11/2024</v>
          </cell>
          <cell r="B1146">
            <v>42000</v>
          </cell>
        </row>
        <row r="1147">
          <cell r="A1147" t="str">
            <v>Cà Rốt Baby 07/11/2024</v>
          </cell>
          <cell r="B1147">
            <v>68000</v>
          </cell>
        </row>
        <row r="1148">
          <cell r="A1148" t="str">
            <v>Cải Kale 07/11/2024</v>
          </cell>
          <cell r="B1148">
            <v>32000</v>
          </cell>
        </row>
        <row r="1149">
          <cell r="A1149" t="str">
            <v>Cải Kale 07/11/2024</v>
          </cell>
          <cell r="B1149">
            <v>35000</v>
          </cell>
        </row>
        <row r="1150">
          <cell r="A1150" t="str">
            <v>Cải Cầu Vồng 07/11/2024</v>
          </cell>
          <cell r="B1150">
            <v>20000</v>
          </cell>
        </row>
        <row r="1151">
          <cell r="A1151" t="str">
            <v>Bông Cải Xanh Baby 07/11/2024</v>
          </cell>
          <cell r="B1151">
            <v>55000</v>
          </cell>
        </row>
        <row r="1152">
          <cell r="A1152" t="str">
            <v>Trái Chanh Vàng 07/11/2024</v>
          </cell>
          <cell r="B1152">
            <v>60000</v>
          </cell>
        </row>
        <row r="1153">
          <cell r="A1153" t="str">
            <v>Xà Lách Lolo Tím 07/11/2024</v>
          </cell>
          <cell r="B1153">
            <v>50000</v>
          </cell>
        </row>
        <row r="1154">
          <cell r="A1154" t="str">
            <v>Xà Lách Romaine 07/11/2024</v>
          </cell>
          <cell r="B1154">
            <v>25000</v>
          </cell>
        </row>
        <row r="1155">
          <cell r="A1155" t="str">
            <v>Cà Chua Beef Trung 07/11/2024</v>
          </cell>
          <cell r="B1155">
            <v>23000</v>
          </cell>
        </row>
        <row r="1156">
          <cell r="A1156" t="str">
            <v>Ớt Sweet Palemo 07/11/2024</v>
          </cell>
          <cell r="B1156">
            <v>21000</v>
          </cell>
        </row>
        <row r="1157">
          <cell r="A1157" t="str">
            <v>Xà Lách Lolo Xanh 07/11/2024</v>
          </cell>
          <cell r="B1157">
            <v>30000</v>
          </cell>
        </row>
        <row r="1158">
          <cell r="A1158" t="str">
            <v>Xà Lách Lolo Xanh 07/11/2024</v>
          </cell>
          <cell r="B1158">
            <v>33000</v>
          </cell>
        </row>
        <row r="1159">
          <cell r="A1159" t="str">
            <v>Cà Chua Thường 07/11/2024</v>
          </cell>
          <cell r="B1159">
            <v>19000</v>
          </cell>
        </row>
        <row r="1160">
          <cell r="A1160" t="str">
            <v>Bí Đao Xanh 07/11/2024</v>
          </cell>
          <cell r="B1160">
            <v>10000</v>
          </cell>
        </row>
        <row r="1161">
          <cell r="A1161" t="str">
            <v>Trái Su Su 07/11/2024</v>
          </cell>
          <cell r="B1161">
            <v>7000</v>
          </cell>
        </row>
        <row r="1162">
          <cell r="A1162" t="str">
            <v>Bơ Booth 07/11/2024</v>
          </cell>
          <cell r="B1162">
            <v>26000</v>
          </cell>
        </row>
        <row r="1163">
          <cell r="A1163" t="str">
            <v>Chanh Dây Tím 07/11/2024</v>
          </cell>
          <cell r="B1163">
            <v>31000</v>
          </cell>
        </row>
        <row r="1164">
          <cell r="A1164" t="str">
            <v>Bắp Cải Trái Tim 07/11/2024</v>
          </cell>
          <cell r="B1164">
            <v>12000</v>
          </cell>
        </row>
        <row r="1165">
          <cell r="A1165" t="str">
            <v>Ớt Chuông Đỏ 07/11/2024</v>
          </cell>
          <cell r="B1165">
            <v>41000</v>
          </cell>
        </row>
        <row r="1166">
          <cell r="A1166" t="str">
            <v>Ớt Chuông Vàng 07/11/2024</v>
          </cell>
          <cell r="B1166">
            <v>22000</v>
          </cell>
        </row>
        <row r="1167">
          <cell r="A1167" t="str">
            <v>Ớt Chuông Xanh 07/11/2024</v>
          </cell>
          <cell r="B1167">
            <v>28000</v>
          </cell>
        </row>
        <row r="1168">
          <cell r="A1168" t="str">
            <v>Hành Paro 07/11/2024</v>
          </cell>
          <cell r="B1168">
            <v>48000</v>
          </cell>
        </row>
        <row r="1169">
          <cell r="A1169" t="str">
            <v>Ớt Sweet Palemo 07/11/2024</v>
          </cell>
          <cell r="B1169">
            <v>20000</v>
          </cell>
        </row>
        <row r="1170">
          <cell r="A1170" t="str">
            <v>Cải Thảo Hỏa Tiễn 07/11/2024</v>
          </cell>
          <cell r="B1170">
            <v>16000</v>
          </cell>
        </row>
        <row r="1171">
          <cell r="A1171" t="str">
            <v>Cà Chua Beef 07/11/2024</v>
          </cell>
          <cell r="B1171">
            <v>18000</v>
          </cell>
        </row>
        <row r="1172">
          <cell r="A1172" t="str">
            <v>Cà Chua Beef Trung 07/11/2024</v>
          </cell>
          <cell r="B1172">
            <v>15000</v>
          </cell>
        </row>
        <row r="1173">
          <cell r="A1173" t="str">
            <v>Bông Cải Xanh Cọng 07/11/2024</v>
          </cell>
          <cell r="B1173">
            <v>30000</v>
          </cell>
        </row>
        <row r="1174">
          <cell r="A1174" t="str">
            <v>Bông Cải Xanh Cọng 07/11/2024</v>
          </cell>
          <cell r="B1174">
            <v>30000</v>
          </cell>
        </row>
        <row r="1175">
          <cell r="A1175" t="str">
            <v>Cà Chua Beef 07/11/2024</v>
          </cell>
          <cell r="B1175">
            <v>24000</v>
          </cell>
        </row>
        <row r="1176">
          <cell r="A1176" t="str">
            <v>Củ Khoai Tây Vàng 07/11/2024</v>
          </cell>
          <cell r="B1176">
            <v>15000</v>
          </cell>
        </row>
        <row r="1177">
          <cell r="A1177" t="str">
            <v>Củ Khoai Tây Bi Vàng 07/11/2024</v>
          </cell>
          <cell r="B1177">
            <v>12000</v>
          </cell>
        </row>
        <row r="1178">
          <cell r="A1178" t="str">
            <v>Cà Rốt Trung 07/11/2024</v>
          </cell>
          <cell r="B1178">
            <v>15000</v>
          </cell>
        </row>
        <row r="1179">
          <cell r="A1179" t="str">
            <v>Củ Khoai Lang Nhật 07/11/2024</v>
          </cell>
          <cell r="B1179">
            <v>19500</v>
          </cell>
        </row>
        <row r="1180">
          <cell r="A1180" t="str">
            <v>Trái Su Su 07/11/2024</v>
          </cell>
          <cell r="B1180">
            <v>7500</v>
          </cell>
        </row>
        <row r="1181">
          <cell r="A1181" t="str">
            <v>Bí Ngòi Xanh 07/11/2024</v>
          </cell>
          <cell r="B1181">
            <v>26000</v>
          </cell>
        </row>
        <row r="1182">
          <cell r="A1182" t="str">
            <v>Bí Ngòi Vàng 07/11/2024</v>
          </cell>
          <cell r="B1182">
            <v>45000</v>
          </cell>
        </row>
        <row r="1183">
          <cell r="A1183" t="str">
            <v>Bí Ngòi Xanh 07/11/2024</v>
          </cell>
          <cell r="B1183">
            <v>25000</v>
          </cell>
        </row>
        <row r="1184">
          <cell r="A1184" t="str">
            <v>Cần Tây 07/11/2024</v>
          </cell>
          <cell r="B1184">
            <v>10000</v>
          </cell>
        </row>
        <row r="1185">
          <cell r="A1185" t="str">
            <v>Xà Lách Mỡ T.C 07/11/2024</v>
          </cell>
          <cell r="B1185">
            <v>28000</v>
          </cell>
        </row>
        <row r="1186">
          <cell r="A1186" t="str">
            <v>Cà Tím 07/11/2024</v>
          </cell>
          <cell r="B1186">
            <v>10000</v>
          </cell>
        </row>
        <row r="1187">
          <cell r="A1187" t="str">
            <v>Bí Đao Xanh 07/11/2024</v>
          </cell>
          <cell r="B1187">
            <v>7000</v>
          </cell>
        </row>
        <row r="1188">
          <cell r="A1188" t="str">
            <v>Cải Thảo Kim Chi 07/11/2024</v>
          </cell>
          <cell r="B1188">
            <v>6000</v>
          </cell>
        </row>
        <row r="1189">
          <cell r="A1189" t="str">
            <v>Củ Cải Trắng 07/11/2024</v>
          </cell>
          <cell r="B1189">
            <v>6500</v>
          </cell>
        </row>
        <row r="1190">
          <cell r="A1190" t="str">
            <v>Cà Chua Thường 07/11/2024</v>
          </cell>
          <cell r="B1190">
            <v>18000</v>
          </cell>
        </row>
        <row r="1191">
          <cell r="A1191" t="str">
            <v>Củ Dền 07/11/2024</v>
          </cell>
          <cell r="B1191">
            <v>17000</v>
          </cell>
        </row>
        <row r="1192">
          <cell r="A1192" t="str">
            <v>Cà Chua Thường 07/11/2024</v>
          </cell>
          <cell r="B1192">
            <v>22000</v>
          </cell>
        </row>
        <row r="1193">
          <cell r="A1193" t="str">
            <v>Cà Chua Thường Trung 07/11/2024</v>
          </cell>
          <cell r="B1193">
            <v>18000</v>
          </cell>
        </row>
        <row r="1194">
          <cell r="A1194" t="str">
            <v>Bắp Cải Tím 07/11/2024</v>
          </cell>
          <cell r="B1194">
            <v>28000</v>
          </cell>
        </row>
        <row r="1195">
          <cell r="A1195" t="str">
            <v>Đậu Cove Trắng 07/11/2024</v>
          </cell>
          <cell r="B1195">
            <v>13000</v>
          </cell>
        </row>
        <row r="1196">
          <cell r="A1196" t="str">
            <v>Đậu Cove Nhật 07/11/2024</v>
          </cell>
          <cell r="B1196">
            <v>9000</v>
          </cell>
        </row>
        <row r="1197">
          <cell r="A1197" t="str">
            <v>Bí Non Nhật 07/11/2024</v>
          </cell>
          <cell r="B1197">
            <v>15000</v>
          </cell>
        </row>
        <row r="1198">
          <cell r="A1198" t="str">
            <v>Chuối Laba 07/11/2024</v>
          </cell>
          <cell r="B1198">
            <v>12000</v>
          </cell>
        </row>
        <row r="1199">
          <cell r="A1199" t="str">
            <v>Cà Rốt Baby 07/11/2024</v>
          </cell>
          <cell r="B1199">
            <v>55000</v>
          </cell>
        </row>
        <row r="1200">
          <cell r="A1200" t="str">
            <v>Cải Thảo 07/11/2024</v>
          </cell>
          <cell r="B1200">
            <v>7500</v>
          </cell>
        </row>
        <row r="1201">
          <cell r="A1201" t="str">
            <v>Cải Thảo Kim Chi 07/11/2024</v>
          </cell>
          <cell r="B1201">
            <v>5500</v>
          </cell>
        </row>
        <row r="1202">
          <cell r="A1202" t="str">
            <v>Củ Su Hào 07/11/2024</v>
          </cell>
          <cell r="B1202">
            <v>18000</v>
          </cell>
        </row>
        <row r="1203">
          <cell r="A1203" t="str">
            <v>Bơ Booth 07/11/2024</v>
          </cell>
          <cell r="B1203">
            <v>23000</v>
          </cell>
        </row>
        <row r="1204">
          <cell r="A1204" t="str">
            <v>Cà Chua Bi Đỏ 07/11/2024</v>
          </cell>
          <cell r="B1204">
            <v>11400</v>
          </cell>
        </row>
        <row r="1205">
          <cell r="A1205" t="str">
            <v>Bông Cải Trắng 07/11/2024</v>
          </cell>
          <cell r="B1205">
            <v>27000</v>
          </cell>
        </row>
        <row r="1206">
          <cell r="A1206" t="str">
            <v>Dưa Leo Baby 07/11/2024</v>
          </cell>
          <cell r="B1206">
            <v>6000</v>
          </cell>
        </row>
        <row r="1207">
          <cell r="A1207" t="str">
            <v>Hồng Giòn Đà Lạt 07/11/2024</v>
          </cell>
          <cell r="B1207">
            <v>27000</v>
          </cell>
        </row>
        <row r="1208">
          <cell r="A1208" t="str">
            <v>Bắp Cải Trắng 07/11/2024</v>
          </cell>
          <cell r="B1208">
            <v>11000</v>
          </cell>
        </row>
        <row r="1209">
          <cell r="A1209" t="str">
            <v>Cải Thảo Kim Chi 07/11/2024</v>
          </cell>
          <cell r="B1209">
            <v>5500</v>
          </cell>
        </row>
        <row r="1210">
          <cell r="A1210" t="str">
            <v>Lá Mè 07/11/2024</v>
          </cell>
          <cell r="B1210">
            <v>42000</v>
          </cell>
        </row>
        <row r="1211">
          <cell r="A1211" t="str">
            <v>DO 0.05S-II 08/11/2024</v>
          </cell>
          <cell r="B1211">
            <v>17527.27</v>
          </cell>
        </row>
        <row r="1212">
          <cell r="A1212" t="str">
            <v>Dầu Do 0.001 S-V 08/11/2024</v>
          </cell>
          <cell r="B1212">
            <v>17836.36</v>
          </cell>
        </row>
        <row r="1213">
          <cell r="A1213" t="str">
            <v>DO 0.05S-II 08/11/2024</v>
          </cell>
          <cell r="B1213">
            <v>17527.27</v>
          </cell>
        </row>
        <row r="1214">
          <cell r="A1214" t="str">
            <v>DO 0.05S-II 08/11/2024</v>
          </cell>
          <cell r="B1214">
            <v>17527.27</v>
          </cell>
        </row>
        <row r="1215">
          <cell r="A1215" t="str">
            <v>Cước đường bộ xe 49C37197T đi qua đoạn Long Phước - NH51 thời gian GD 06:45:17 ngày 08/11/2024 mã GD 1486255166 08/11/2024</v>
          </cell>
          <cell r="B1215">
            <v>76806</v>
          </cell>
        </row>
        <row r="1216">
          <cell r="A1216" t="str">
            <v>Cước đường bộ xe 49C37197T đi qua trạm Liên Đầm thời gian GD 12:08:14 ngày 08/11/2024 mã GD 1486727740 08/11/2024</v>
          </cell>
          <cell r="B1216">
            <v>78704</v>
          </cell>
        </row>
        <row r="1217">
          <cell r="A1217" t="str">
            <v>Cước đường bộ xe 49C37197T đi qua trạm Xa Lộ - Hà Nội thời gian GD 01:52:42 ngày 08/11/2024 mã GD 1486112192 08/11/2024</v>
          </cell>
          <cell r="B1217">
            <v>50000</v>
          </cell>
        </row>
        <row r="1218">
          <cell r="A1218" t="str">
            <v>Cước đường bộ xe 49C37197T đi qua trạm Cầu Phú Mỹ thời gian GD 06:15:12 ngày 08/11/2024 mã GD 1486239048 08/11/2024</v>
          </cell>
          <cell r="B1218">
            <v>22222</v>
          </cell>
        </row>
        <row r="1219">
          <cell r="A1219" t="str">
            <v>Dầu Do 0.001 S-V 08/11/2024</v>
          </cell>
          <cell r="B1219">
            <v>17836.36</v>
          </cell>
        </row>
        <row r="1220">
          <cell r="A1220" t="str">
            <v>Bông Cải Xanh Baby 08/11/2024</v>
          </cell>
          <cell r="B1220">
            <v>50000</v>
          </cell>
        </row>
        <row r="1221">
          <cell r="A1221" t="str">
            <v>Cà Chua Beef 08/11/2024</v>
          </cell>
          <cell r="B1221">
            <v>25000</v>
          </cell>
        </row>
        <row r="1222">
          <cell r="A1222" t="str">
            <v>Ớt Sweet Palemo 300Gr 08/11/2024</v>
          </cell>
          <cell r="B1222">
            <v>14500</v>
          </cell>
        </row>
        <row r="1223">
          <cell r="A1223" t="str">
            <v>Cà Chua Beef Chùm 08/11/2024</v>
          </cell>
          <cell r="B1223">
            <v>25000</v>
          </cell>
        </row>
        <row r="1224">
          <cell r="A1224" t="str">
            <v>Cà Chua Beef Trung 08/11/2024</v>
          </cell>
          <cell r="B1224">
            <v>17000</v>
          </cell>
        </row>
        <row r="1225">
          <cell r="A1225" t="str">
            <v>Cần Tây 08/11/2024</v>
          </cell>
          <cell r="B1225">
            <v>10000</v>
          </cell>
        </row>
        <row r="1226">
          <cell r="A1226" t="str">
            <v>Dưa Leo Baby 08/11/2024</v>
          </cell>
          <cell r="B1226">
            <v>6000</v>
          </cell>
        </row>
        <row r="1227">
          <cell r="A1227" t="str">
            <v>Ớt Sweet Palemo 08/11/2024</v>
          </cell>
          <cell r="B1227">
            <v>21000</v>
          </cell>
        </row>
        <row r="1228">
          <cell r="A1228" t="str">
            <v>Cần Tây 08/11/2024</v>
          </cell>
          <cell r="B1228">
            <v>11000</v>
          </cell>
        </row>
        <row r="1229">
          <cell r="A1229" t="str">
            <v>Hạt Dẻ Ngố 08/11/2024</v>
          </cell>
          <cell r="B1229">
            <v>25800</v>
          </cell>
        </row>
        <row r="1230">
          <cell r="A1230" t="str">
            <v>Cải Thảo Hỏa Tiễn 08/11/2024</v>
          </cell>
          <cell r="B1230">
            <v>16000</v>
          </cell>
        </row>
        <row r="1231">
          <cell r="A1231" t="str">
            <v>Lá Mè 08/11/2024</v>
          </cell>
          <cell r="B1231">
            <v>40000</v>
          </cell>
        </row>
        <row r="1232">
          <cell r="A1232" t="str">
            <v>Trái Mít Thái 08/11/2024</v>
          </cell>
          <cell r="B1232">
            <v>19516</v>
          </cell>
        </row>
        <row r="1233">
          <cell r="A1233" t="str">
            <v>Bông Cải Trắng 08/11/2024</v>
          </cell>
          <cell r="B1233">
            <v>27000</v>
          </cell>
        </row>
        <row r="1234">
          <cell r="A1234" t="str">
            <v>Bông Cải Xanh 7Cm 08/11/2024</v>
          </cell>
          <cell r="B1234">
            <v>40000</v>
          </cell>
        </row>
        <row r="1235">
          <cell r="A1235" t="str">
            <v>Cần Tây 08/11/2024</v>
          </cell>
          <cell r="B1235">
            <v>12000</v>
          </cell>
        </row>
        <row r="1236">
          <cell r="A1236" t="str">
            <v>Bông Cải Xanh 7Cm 08/11/2024</v>
          </cell>
          <cell r="B1236">
            <v>39000</v>
          </cell>
        </row>
        <row r="1237">
          <cell r="A1237" t="str">
            <v>Bông Cải Xanh 10Cm 08/11/2024</v>
          </cell>
          <cell r="B1237">
            <v>33000</v>
          </cell>
        </row>
        <row r="1238">
          <cell r="A1238" t="str">
            <v>Bông Cải Xanh 7Cm 08/11/2024</v>
          </cell>
          <cell r="B1238">
            <v>39000</v>
          </cell>
        </row>
        <row r="1239">
          <cell r="A1239" t="str">
            <v>Bông Cải Xanh Gốc Dài 08/11/2024</v>
          </cell>
          <cell r="B1239">
            <v>26000</v>
          </cell>
        </row>
        <row r="1240">
          <cell r="A1240" t="str">
            <v>Cải Bó Xôi 08/11/2024</v>
          </cell>
          <cell r="B1240">
            <v>34000</v>
          </cell>
        </row>
        <row r="1241">
          <cell r="A1241" t="str">
            <v>Cải Kale 08/11/2024</v>
          </cell>
          <cell r="B1241">
            <v>27000</v>
          </cell>
        </row>
        <row r="1242">
          <cell r="A1242" t="str">
            <v>Cải Cầu Vồng 08/11/2024</v>
          </cell>
          <cell r="B1242">
            <v>18000</v>
          </cell>
        </row>
        <row r="1243">
          <cell r="A1243" t="str">
            <v>Lá Mè 08/11/2024</v>
          </cell>
          <cell r="B1243">
            <v>40000</v>
          </cell>
        </row>
        <row r="1244">
          <cell r="A1244" t="str">
            <v>Đậu Hà Lan Trái 08/11/2024</v>
          </cell>
          <cell r="B1244">
            <v>70000</v>
          </cell>
        </row>
        <row r="1245">
          <cell r="A1245" t="str">
            <v>Lá Tía Tô 08/11/2024</v>
          </cell>
          <cell r="B1245">
            <v>32000</v>
          </cell>
        </row>
        <row r="1246">
          <cell r="A1246" t="str">
            <v>Xà Lách Carol 08/11/2024</v>
          </cell>
          <cell r="B1246">
            <v>32000</v>
          </cell>
        </row>
        <row r="1247">
          <cell r="A1247" t="str">
            <v>Xà Lách Lolo Xanh 08/11/2024</v>
          </cell>
          <cell r="B1247">
            <v>32000</v>
          </cell>
        </row>
        <row r="1248">
          <cell r="A1248" t="str">
            <v>Xà Lách Rocket 08/11/2024</v>
          </cell>
          <cell r="B1248">
            <v>120000</v>
          </cell>
        </row>
        <row r="1249">
          <cell r="A1249" t="str">
            <v>Cà Chua Socola 08/11/2024</v>
          </cell>
          <cell r="B1249">
            <v>30000</v>
          </cell>
        </row>
        <row r="1250">
          <cell r="A1250" t="str">
            <v>Dưa Leo Thường 08/11/2024</v>
          </cell>
          <cell r="B1250">
            <v>9000</v>
          </cell>
        </row>
        <row r="1251">
          <cell r="A1251" t="str">
            <v>Rau Bầu Đất 08/11/2024</v>
          </cell>
          <cell r="B1251">
            <v>21200</v>
          </cell>
        </row>
        <row r="1252">
          <cell r="A1252" t="str">
            <v>Gia Công Rau Củ Quả 08/11/2024</v>
          </cell>
          <cell r="B1252">
            <v>1000</v>
          </cell>
        </row>
        <row r="1253">
          <cell r="A1253" t="str">
            <v>Bí Ngòi Xanh 08/11/2024</v>
          </cell>
          <cell r="B1253">
            <v>25000</v>
          </cell>
        </row>
        <row r="1254">
          <cell r="A1254" t="str">
            <v>Bí Ngòi Vàng 08/11/2024</v>
          </cell>
          <cell r="B1254">
            <v>45000</v>
          </cell>
        </row>
        <row r="1255">
          <cell r="A1255" t="str">
            <v>Cà Rốt 08/11/2024</v>
          </cell>
          <cell r="B1255">
            <v>18500</v>
          </cell>
        </row>
        <row r="1256">
          <cell r="A1256" t="str">
            <v>Củ Khoai Lang Nhật 08/11/2024</v>
          </cell>
          <cell r="B1256">
            <v>19000</v>
          </cell>
        </row>
        <row r="1257">
          <cell r="A1257" t="str">
            <v>Cà Rốt 08/11/2024</v>
          </cell>
          <cell r="B1257">
            <v>17000</v>
          </cell>
        </row>
        <row r="1258">
          <cell r="A1258" t="str">
            <v>Dưa Leo Thường 08/11/2024</v>
          </cell>
          <cell r="B1258">
            <v>7000</v>
          </cell>
        </row>
        <row r="1259">
          <cell r="A1259" t="str">
            <v>Trái Khổ Qua 08/11/2024</v>
          </cell>
          <cell r="B1259">
            <v>14000</v>
          </cell>
        </row>
        <row r="1260">
          <cell r="A1260" t="str">
            <v>Trái Su Su 08/11/2024</v>
          </cell>
          <cell r="B1260">
            <v>7000</v>
          </cell>
        </row>
        <row r="1261">
          <cell r="A1261" t="str">
            <v>Cà Tím 08/11/2024</v>
          </cell>
          <cell r="B1261">
            <v>10000</v>
          </cell>
        </row>
        <row r="1262">
          <cell r="A1262" t="str">
            <v>Cà Tím 08/11/2024</v>
          </cell>
          <cell r="B1262">
            <v>6000</v>
          </cell>
        </row>
        <row r="1263">
          <cell r="A1263" t="str">
            <v>Lá Nha Đam 08/11/2024</v>
          </cell>
          <cell r="B1263">
            <v>14000</v>
          </cell>
        </row>
        <row r="1264">
          <cell r="A1264" t="str">
            <v>Bí Đỏ Hồ Lô 08/11/2024</v>
          </cell>
          <cell r="B1264">
            <v>12000</v>
          </cell>
        </row>
        <row r="1265">
          <cell r="A1265" t="str">
            <v>Củ Gừng 08/11/2024</v>
          </cell>
          <cell r="B1265">
            <v>45000</v>
          </cell>
        </row>
        <row r="1266">
          <cell r="A1266" t="str">
            <v>Củ Khoai Mỡ 08/11/2024</v>
          </cell>
          <cell r="B1266">
            <v>29000</v>
          </cell>
        </row>
        <row r="1267">
          <cell r="A1267" t="str">
            <v>Chuối Laba 08/11/2024</v>
          </cell>
          <cell r="B1267">
            <v>13000</v>
          </cell>
        </row>
        <row r="1268">
          <cell r="A1268" t="str">
            <v>Bí Đao Xanh 08/11/2024</v>
          </cell>
          <cell r="B1268">
            <v>7000</v>
          </cell>
        </row>
        <row r="1269">
          <cell r="A1269" t="str">
            <v>Cà Chua Socola 08/11/2024</v>
          </cell>
          <cell r="B1269">
            <v>10000</v>
          </cell>
        </row>
        <row r="1270">
          <cell r="A1270" t="str">
            <v>Cà Chua Beef 08/11/2024</v>
          </cell>
          <cell r="B1270">
            <v>27000</v>
          </cell>
        </row>
        <row r="1271">
          <cell r="A1271" t="str">
            <v>Cà Chua Thường Trung 08/11/2024</v>
          </cell>
          <cell r="B1271">
            <v>16000</v>
          </cell>
        </row>
        <row r="1272">
          <cell r="A1272" t="str">
            <v>Bắp Cải Tím 08/11/2024</v>
          </cell>
          <cell r="B1272">
            <v>28000</v>
          </cell>
        </row>
        <row r="1273">
          <cell r="A1273" t="str">
            <v>Củ Hành Tây Trung 08/11/2024</v>
          </cell>
          <cell r="B1273">
            <v>15000</v>
          </cell>
        </row>
        <row r="1274">
          <cell r="A1274" t="str">
            <v>Bí Non Nhật 08/11/2024</v>
          </cell>
          <cell r="B1274">
            <v>15000</v>
          </cell>
        </row>
        <row r="1275">
          <cell r="A1275" t="str">
            <v>Đậu Cove Trắng 08/11/2024</v>
          </cell>
          <cell r="B1275">
            <v>13000</v>
          </cell>
        </row>
        <row r="1276">
          <cell r="A1276" t="str">
            <v>Đậu Cove Trắng 08/11/2024</v>
          </cell>
          <cell r="B1276">
            <v>9000</v>
          </cell>
        </row>
        <row r="1277">
          <cell r="A1277" t="str">
            <v>Đậu Cove Nhật 08/11/2024</v>
          </cell>
          <cell r="B1277">
            <v>9000</v>
          </cell>
        </row>
        <row r="1278">
          <cell r="A1278" t="str">
            <v>Dưa Leo Nhật 08/11/2024</v>
          </cell>
          <cell r="B1278">
            <v>11000</v>
          </cell>
        </row>
        <row r="1279">
          <cell r="A1279" t="str">
            <v>Dưa Leo Thường 08/11/2024</v>
          </cell>
          <cell r="B1279">
            <v>9000</v>
          </cell>
        </row>
        <row r="1280">
          <cell r="A1280" t="str">
            <v>Ớt Chuông Đỏ 08/11/2024</v>
          </cell>
          <cell r="B1280">
            <v>42000</v>
          </cell>
        </row>
        <row r="1281">
          <cell r="A1281" t="str">
            <v>Ớt Chuông Vàng 08/11/2024</v>
          </cell>
          <cell r="B1281">
            <v>22000</v>
          </cell>
        </row>
        <row r="1282">
          <cell r="A1282" t="str">
            <v>Cà Chua Bi Đỏ 08/11/2024</v>
          </cell>
          <cell r="B1282">
            <v>11400</v>
          </cell>
        </row>
        <row r="1283">
          <cell r="A1283" t="str">
            <v>Cà Chua Bi Đỏ 08/11/2024</v>
          </cell>
          <cell r="B1283">
            <v>19000</v>
          </cell>
        </row>
        <row r="1284">
          <cell r="A1284" t="str">
            <v>Xà Lách Lolo Xanh T.C 08/11/2024</v>
          </cell>
          <cell r="B1284">
            <v>28000</v>
          </cell>
        </row>
        <row r="1285">
          <cell r="A1285" t="str">
            <v>Đậu Đỏ 08/11/2024</v>
          </cell>
          <cell r="B1285">
            <v>80000</v>
          </cell>
        </row>
        <row r="1286">
          <cell r="A1286" t="str">
            <v>Đậu Ngự 08/11/2024</v>
          </cell>
          <cell r="B1286">
            <v>70000</v>
          </cell>
        </row>
        <row r="1287">
          <cell r="A1287" t="str">
            <v>Đậu Trắng 08/11/2024</v>
          </cell>
          <cell r="B1287">
            <v>70000</v>
          </cell>
        </row>
        <row r="1288">
          <cell r="A1288" t="str">
            <v>Củ Cải Trắng 08/11/2024</v>
          </cell>
          <cell r="B1288">
            <v>6500</v>
          </cell>
        </row>
        <row r="1289">
          <cell r="A1289" t="str">
            <v>Củ Su Hào 08/11/2024</v>
          </cell>
          <cell r="B1289">
            <v>18000</v>
          </cell>
        </row>
        <row r="1290">
          <cell r="A1290" t="str">
            <v>Bí Ngòi Xanh 08/11/2024</v>
          </cell>
          <cell r="B1290">
            <v>27000</v>
          </cell>
        </row>
        <row r="1291">
          <cell r="A1291" t="str">
            <v>Cải Bẹ Dún T.C 08/11/2024</v>
          </cell>
          <cell r="B1291">
            <v>45000</v>
          </cell>
        </row>
        <row r="1292">
          <cell r="A1292" t="str">
            <v>Xà Lách Mỹ 08/11/2024</v>
          </cell>
          <cell r="B1292">
            <v>38000</v>
          </cell>
        </row>
        <row r="1293">
          <cell r="A1293" t="str">
            <v>Cà Rốt Baby 08/11/2024</v>
          </cell>
          <cell r="B1293">
            <v>55000</v>
          </cell>
        </row>
        <row r="1294">
          <cell r="A1294" t="str">
            <v>Xà Lách Mỡ T.C 08/11/2024</v>
          </cell>
          <cell r="B1294">
            <v>26000</v>
          </cell>
        </row>
        <row r="1295">
          <cell r="A1295" t="str">
            <v>Xà Lách Lolo Xanh T.C 08/11/2024</v>
          </cell>
          <cell r="B1295">
            <v>26000</v>
          </cell>
        </row>
        <row r="1296">
          <cell r="A1296" t="str">
            <v>Xà Lách Thủy Tinh T.C Cây 08/11/2024</v>
          </cell>
          <cell r="B1296">
            <v>8000</v>
          </cell>
        </row>
        <row r="1297">
          <cell r="A1297" t="str">
            <v>Măng Tây 08/11/2024</v>
          </cell>
          <cell r="B1297">
            <v>52000</v>
          </cell>
        </row>
        <row r="1298">
          <cell r="A1298" t="str">
            <v>Măng Tây 08/11/2024</v>
          </cell>
          <cell r="B1298">
            <v>40000</v>
          </cell>
        </row>
        <row r="1299">
          <cell r="A1299" t="str">
            <v>Cà Chua Socola 08/11/2024</v>
          </cell>
          <cell r="B1299">
            <v>8500</v>
          </cell>
        </row>
        <row r="1300">
          <cell r="A1300" t="str">
            <v>Cà Chua Socola 08/11/2024</v>
          </cell>
          <cell r="B1300">
            <v>30000</v>
          </cell>
        </row>
        <row r="1301">
          <cell r="A1301" t="str">
            <v>Cà Chua Beef 08/11/2024</v>
          </cell>
          <cell r="B1301">
            <v>25000</v>
          </cell>
        </row>
        <row r="1302">
          <cell r="A1302" t="str">
            <v>Củ Khoai Tây Vàng 08/11/2024</v>
          </cell>
          <cell r="B1302">
            <v>15000</v>
          </cell>
        </row>
        <row r="1303">
          <cell r="A1303" t="str">
            <v>Cà Chua Thường 08/11/2024</v>
          </cell>
          <cell r="B1303">
            <v>17000</v>
          </cell>
        </row>
        <row r="1304">
          <cell r="A1304" t="str">
            <v>Trái Su Su 08/11/2024</v>
          </cell>
          <cell r="B1304">
            <v>7000</v>
          </cell>
        </row>
        <row r="1305">
          <cell r="A1305" t="str">
            <v>Xà Lách Mỡ T.C 08/11/2024</v>
          </cell>
          <cell r="B1305">
            <v>27000</v>
          </cell>
        </row>
        <row r="1306">
          <cell r="A1306" t="str">
            <v>Xà Lách Lolo Xanh T.C 08/11/2024</v>
          </cell>
          <cell r="B1306">
            <v>28000</v>
          </cell>
        </row>
        <row r="1307">
          <cell r="A1307" t="str">
            <v>Củ Dền 08/11/2024</v>
          </cell>
          <cell r="B1307">
            <v>15000</v>
          </cell>
        </row>
        <row r="1308">
          <cell r="A1308" t="str">
            <v>Cà Chua Thường 08/11/2024</v>
          </cell>
          <cell r="B1308">
            <v>19000</v>
          </cell>
        </row>
        <row r="1309">
          <cell r="A1309" t="str">
            <v>Cà Chua Thường Trung 08/11/2024</v>
          </cell>
          <cell r="B1309">
            <v>16000</v>
          </cell>
        </row>
        <row r="1310">
          <cell r="A1310" t="str">
            <v>Cà Rốt 08/11/2024</v>
          </cell>
          <cell r="B1310">
            <v>18000</v>
          </cell>
        </row>
        <row r="1311">
          <cell r="A1311" t="str">
            <v>Bơ Booth 08/11/2024</v>
          </cell>
          <cell r="B1311">
            <v>26000</v>
          </cell>
        </row>
        <row r="1312">
          <cell r="A1312" t="str">
            <v>Bơ Booth 08/11/2024</v>
          </cell>
          <cell r="B1312">
            <v>22000</v>
          </cell>
        </row>
        <row r="1313">
          <cell r="A1313" t="str">
            <v>Dưa Leo Baby 08/11/2024</v>
          </cell>
          <cell r="B1313">
            <v>6000</v>
          </cell>
        </row>
        <row r="1314">
          <cell r="A1314" t="str">
            <v>Ớt Chuông Xanh 08/11/2024</v>
          </cell>
          <cell r="B1314">
            <v>28000</v>
          </cell>
        </row>
        <row r="1315">
          <cell r="A1315" t="str">
            <v>Ớt Chuông Đỏ Trung 08/11/2024</v>
          </cell>
          <cell r="B1315">
            <v>35000</v>
          </cell>
        </row>
        <row r="1316">
          <cell r="A1316" t="str">
            <v>Ớt Chuông Vàng Trung 08/11/2024</v>
          </cell>
          <cell r="B1316">
            <v>16000</v>
          </cell>
        </row>
        <row r="1317">
          <cell r="A1317" t="str">
            <v>Ớt Chuông Xanh Trung 08/11/2024</v>
          </cell>
          <cell r="B1317">
            <v>23000</v>
          </cell>
        </row>
        <row r="1318">
          <cell r="A1318" t="str">
            <v>Hồng Giòn Đà Lạt 08/11/2024</v>
          </cell>
          <cell r="B1318">
            <v>28000</v>
          </cell>
        </row>
        <row r="1319">
          <cell r="A1319" t="str">
            <v>Bắp Cải Trắng 08/11/2024</v>
          </cell>
          <cell r="B1319">
            <v>11000</v>
          </cell>
        </row>
        <row r="1320">
          <cell r="A1320" t="str">
            <v>Xà Lách Lolo Xanh T.C Cây 08/11/2024</v>
          </cell>
          <cell r="B1320">
            <v>6800</v>
          </cell>
        </row>
        <row r="1321">
          <cell r="A1321" t="str">
            <v>Xà Lách Mỡ T.C Cây 08/11/2024</v>
          </cell>
          <cell r="B1321">
            <v>6800</v>
          </cell>
        </row>
        <row r="1322">
          <cell r="A1322" t="str">
            <v>Xà Lách Mỡ T.C 08/11/2024</v>
          </cell>
          <cell r="B1322">
            <v>28000</v>
          </cell>
        </row>
        <row r="1323">
          <cell r="A1323" t="str">
            <v>Xà Lách Thủy Tinh T.C Cây 08/11/2024</v>
          </cell>
          <cell r="B1323">
            <v>6800</v>
          </cell>
        </row>
        <row r="1324">
          <cell r="A1324" t="str">
            <v>Xà Lách Thủy Tinh T.C 08/11/2024</v>
          </cell>
          <cell r="B1324">
            <v>30000</v>
          </cell>
        </row>
        <row r="1325">
          <cell r="A1325" t="str">
            <v>Cải Kale 08/11/2024</v>
          </cell>
          <cell r="B1325">
            <v>33500</v>
          </cell>
        </row>
        <row r="1326">
          <cell r="A1326" t="str">
            <v>Chanh Không Hạt 08/11/2024</v>
          </cell>
          <cell r="B1326">
            <v>26000</v>
          </cell>
        </row>
        <row r="1327">
          <cell r="A1327" t="str">
            <v>Cà Chua Socola 08/11/2024</v>
          </cell>
          <cell r="B1327">
            <v>41500</v>
          </cell>
        </row>
        <row r="1328">
          <cell r="A1328" t="str">
            <v>Cà Chua Bi Mix 08/11/2024</v>
          </cell>
          <cell r="B1328">
            <v>50000</v>
          </cell>
        </row>
        <row r="1329">
          <cell r="A1329" t="str">
            <v>Cà Chua Bi Mix 08/11/2024</v>
          </cell>
          <cell r="B1329">
            <v>51500</v>
          </cell>
        </row>
        <row r="1330">
          <cell r="A1330" t="str">
            <v>Xà Lách Lolo Xanh 08/11/2024</v>
          </cell>
          <cell r="B1330">
            <v>32000</v>
          </cell>
        </row>
        <row r="1331">
          <cell r="A1331" t="str">
            <v>Cà Chua Beef Chùm 08/11/2024</v>
          </cell>
          <cell r="B1331">
            <v>27000</v>
          </cell>
        </row>
        <row r="1332">
          <cell r="A1332" t="str">
            <v>Cà Chua Beef 08/11/2024</v>
          </cell>
          <cell r="B1332">
            <v>24000</v>
          </cell>
        </row>
        <row r="1333">
          <cell r="A1333" t="str">
            <v>Cà Chua Beef 08/11/2024</v>
          </cell>
          <cell r="B1333">
            <v>28000</v>
          </cell>
        </row>
        <row r="1334">
          <cell r="A1334" t="str">
            <v>Cà Chua Beef Trung 08/11/2024</v>
          </cell>
          <cell r="B1334">
            <v>23000</v>
          </cell>
        </row>
        <row r="1335">
          <cell r="A1335" t="str">
            <v>Cà Chua Beef Trung 08/11/2024</v>
          </cell>
          <cell r="B1335">
            <v>21000</v>
          </cell>
        </row>
        <row r="1336">
          <cell r="A1336" t="str">
            <v>Cải Bó Xôi 08/11/2024</v>
          </cell>
          <cell r="B1336">
            <v>40000</v>
          </cell>
        </row>
        <row r="1337">
          <cell r="A1337" t="str">
            <v>Lá Mè 08/11/2024</v>
          </cell>
          <cell r="B1337">
            <v>40000</v>
          </cell>
        </row>
        <row r="1338">
          <cell r="A1338" t="str">
            <v>Dưa Leo Baby 08/11/2024</v>
          </cell>
          <cell r="B1338">
            <v>6500</v>
          </cell>
        </row>
        <row r="1339">
          <cell r="A1339" t="str">
            <v>Cà Rốt Baby 08/11/2024</v>
          </cell>
          <cell r="B1339">
            <v>60000</v>
          </cell>
        </row>
        <row r="1340">
          <cell r="A1340" t="str">
            <v>Cải Cầu Vồng 08/11/2024</v>
          </cell>
          <cell r="B1340">
            <v>20000</v>
          </cell>
        </row>
        <row r="1341">
          <cell r="A1341" t="str">
            <v>Cải Kale 08/11/2024</v>
          </cell>
          <cell r="B1341">
            <v>35000</v>
          </cell>
        </row>
        <row r="1342">
          <cell r="A1342" t="str">
            <v>Bông Cải Xanh Baby 08/11/2024</v>
          </cell>
          <cell r="B1342">
            <v>57000</v>
          </cell>
        </row>
        <row r="1343">
          <cell r="A1343" t="str">
            <v>Củ Cải Đỏ 08/11/2024</v>
          </cell>
          <cell r="B1343">
            <v>13000</v>
          </cell>
        </row>
        <row r="1344">
          <cell r="A1344" t="str">
            <v>Trái Chanh Vàng 08/11/2024</v>
          </cell>
          <cell r="B1344">
            <v>60000</v>
          </cell>
        </row>
        <row r="1345">
          <cell r="A1345" t="str">
            <v>Xà Lách Lolo Tím 08/11/2024</v>
          </cell>
          <cell r="B1345">
            <v>50000</v>
          </cell>
        </row>
        <row r="1346">
          <cell r="A1346" t="str">
            <v>Xà Lách Lolo Xanh 08/11/2024</v>
          </cell>
          <cell r="B1346">
            <v>30000</v>
          </cell>
        </row>
        <row r="1347">
          <cell r="A1347" t="str">
            <v>Xà Lách Lolo Xanh 08/11/2024</v>
          </cell>
          <cell r="B1347">
            <v>33000</v>
          </cell>
        </row>
        <row r="1348">
          <cell r="A1348" t="str">
            <v>Cà Chua Beef Trung 08/11/2024</v>
          </cell>
          <cell r="B1348">
            <v>23000</v>
          </cell>
        </row>
        <row r="1349">
          <cell r="A1349" t="str">
            <v>Ớt Sweet Palemo 08/11/2024</v>
          </cell>
          <cell r="B1349">
            <v>22000</v>
          </cell>
        </row>
        <row r="1350">
          <cell r="A1350" t="str">
            <v>Cà Chua Socola 08/11/2024</v>
          </cell>
          <cell r="B1350">
            <v>42000</v>
          </cell>
        </row>
        <row r="1351">
          <cell r="A1351" t="str">
            <v>Xà Lách Romaine 08/11/2024</v>
          </cell>
          <cell r="B1351">
            <v>30000</v>
          </cell>
        </row>
        <row r="1352">
          <cell r="A1352" t="str">
            <v>Ớt Chuông Baby 08/11/2024</v>
          </cell>
          <cell r="B1352">
            <v>48000</v>
          </cell>
        </row>
        <row r="1353">
          <cell r="A1353" t="str">
            <v>Rau Ngò Rí 08/11/2024</v>
          </cell>
          <cell r="B1353">
            <v>35000</v>
          </cell>
        </row>
        <row r="1354">
          <cell r="A1354" t="str">
            <v>Ớt Sweet Palemo 08/11/2024</v>
          </cell>
          <cell r="B1354">
            <v>23000</v>
          </cell>
        </row>
        <row r="1355">
          <cell r="A1355" t="str">
            <v>Hành Paro 08/11/2024</v>
          </cell>
          <cell r="B1355">
            <v>48000</v>
          </cell>
        </row>
        <row r="1356">
          <cell r="A1356" t="str">
            <v>Củ Cải Trắng 08/11/2024</v>
          </cell>
          <cell r="B1356">
            <v>6000</v>
          </cell>
        </row>
        <row r="1357">
          <cell r="A1357" t="str">
            <v>Găng tay y tế Duy Hàng chưa tiệt trùng (cổ tay ngắn) 08/11/2024</v>
          </cell>
          <cell r="B1357">
            <v>62857.14</v>
          </cell>
        </row>
        <row r="1358">
          <cell r="A1358" t="str">
            <v>CT-MÍT 08/11/2024</v>
          </cell>
          <cell r="B1358">
            <v>14492</v>
          </cell>
        </row>
        <row r="1359">
          <cell r="A1359" t="str">
            <v>Cải Thảo 08/11/2024</v>
          </cell>
          <cell r="B1359">
            <v>7500</v>
          </cell>
        </row>
        <row r="1360">
          <cell r="A1360" t="str">
            <v>Cải Thảo Kim Chi 08/11/2024</v>
          </cell>
          <cell r="B1360">
            <v>5500</v>
          </cell>
        </row>
        <row r="1361">
          <cell r="A1361" t="str">
            <v>Cà Chua Beef 08/11/2024</v>
          </cell>
          <cell r="B1361">
            <v>22000</v>
          </cell>
        </row>
        <row r="1362">
          <cell r="A1362" t="str">
            <v>Cần Tây 08/11/2024</v>
          </cell>
          <cell r="B1362">
            <v>10000</v>
          </cell>
        </row>
        <row r="1363">
          <cell r="A1363" t="str">
            <v>Cà Chua Beef 08/11/2024</v>
          </cell>
          <cell r="B1363">
            <v>24000</v>
          </cell>
        </row>
        <row r="1364">
          <cell r="A1364" t="str">
            <v>Cải Thảo Hỏa Tiễn 08/11/2024</v>
          </cell>
          <cell r="B1364">
            <v>16000</v>
          </cell>
        </row>
        <row r="1365">
          <cell r="A1365" t="str">
            <v>Bông Cải Trắng 08/11/2024</v>
          </cell>
          <cell r="B1365">
            <v>27000</v>
          </cell>
        </row>
        <row r="1366">
          <cell r="A1366" t="str">
            <v>Bông Cải Xanh Cọng 08/11/2024</v>
          </cell>
          <cell r="B1366">
            <v>30000</v>
          </cell>
        </row>
        <row r="1367">
          <cell r="A1367" t="str">
            <v>Bông Cải Xanh Cọng 08/11/2024</v>
          </cell>
          <cell r="B1367">
            <v>30000</v>
          </cell>
        </row>
        <row r="1368">
          <cell r="A1368" t="str">
            <v>Cà Chua Beef Chùm 08/11/2024</v>
          </cell>
          <cell r="B1368">
            <v>25000</v>
          </cell>
        </row>
        <row r="1369">
          <cell r="A1369" t="str">
            <v>Cà Chua Beef 08/11/2024</v>
          </cell>
          <cell r="B1369">
            <v>24000</v>
          </cell>
        </row>
        <row r="1370">
          <cell r="A1370" t="str">
            <v>Cà Chua Beef 08/11/2024</v>
          </cell>
          <cell r="B1370">
            <v>24000</v>
          </cell>
        </row>
        <row r="1371">
          <cell r="A1371" t="str">
            <v>Hồng Treo Gió 08/11/2024</v>
          </cell>
          <cell r="B1371">
            <v>200000</v>
          </cell>
        </row>
        <row r="1372">
          <cell r="A1372" t="str">
            <v>Bí Ngòi Vàng 08/11/2024</v>
          </cell>
          <cell r="B1372">
            <v>45000</v>
          </cell>
        </row>
        <row r="1373">
          <cell r="A1373" t="str">
            <v>Bí Ngòi Xanh 08/11/2024</v>
          </cell>
          <cell r="B1373">
            <v>25000</v>
          </cell>
        </row>
        <row r="1374">
          <cell r="A1374" t="str">
            <v>Cần Tây 08/11/2024</v>
          </cell>
          <cell r="B1374">
            <v>10000</v>
          </cell>
        </row>
        <row r="1375">
          <cell r="A1375" t="str">
            <v>Củ Khoai Lang Nhật 08/11/2024</v>
          </cell>
          <cell r="B1375">
            <v>19000</v>
          </cell>
        </row>
        <row r="1376">
          <cell r="A1376" t="str">
            <v>Cà Rốt Trung 08/11/2024</v>
          </cell>
          <cell r="B1376">
            <v>14000</v>
          </cell>
        </row>
        <row r="1377">
          <cell r="A1377" t="str">
            <v>Bí Ngòi Xanh 08/11/2024</v>
          </cell>
          <cell r="B1377">
            <v>21500</v>
          </cell>
        </row>
        <row r="1378">
          <cell r="A1378" t="str">
            <v>Cà Chua Thường 08/11/2024</v>
          </cell>
          <cell r="B1378">
            <v>18000</v>
          </cell>
        </row>
        <row r="1379">
          <cell r="A1379" t="str">
            <v>Bắp Cải Tím 08/11/2024</v>
          </cell>
          <cell r="B1379">
            <v>28000</v>
          </cell>
        </row>
        <row r="1380">
          <cell r="A1380" t="str">
            <v>Củ Hành Tây 08/11/2024</v>
          </cell>
          <cell r="B1380">
            <v>21000</v>
          </cell>
        </row>
        <row r="1381">
          <cell r="A1381" t="str">
            <v>Đậu Cove Trắng 08/11/2024</v>
          </cell>
          <cell r="B1381">
            <v>13000</v>
          </cell>
        </row>
        <row r="1382">
          <cell r="A1382" t="str">
            <v>Đậu Cove Nhật 08/11/2024</v>
          </cell>
          <cell r="B1382">
            <v>9000</v>
          </cell>
        </row>
        <row r="1383">
          <cell r="A1383" t="str">
            <v>Chuối Laba 08/11/2024</v>
          </cell>
          <cell r="B1383">
            <v>12000</v>
          </cell>
        </row>
        <row r="1384">
          <cell r="A1384" t="str">
            <v>Bí Đao Xanh 08/11/2024</v>
          </cell>
          <cell r="B1384">
            <v>10000</v>
          </cell>
        </row>
        <row r="1385">
          <cell r="A1385" t="str">
            <v>Trái Su Su 08/11/2024</v>
          </cell>
          <cell r="B1385">
            <v>7000</v>
          </cell>
        </row>
        <row r="1386">
          <cell r="A1386" t="str">
            <v>Củ Cải Trắng 08/11/2024</v>
          </cell>
          <cell r="B1386">
            <v>6500</v>
          </cell>
        </row>
        <row r="1387">
          <cell r="A1387" t="str">
            <v>Củ Su Hào 08/11/2024</v>
          </cell>
          <cell r="B1387">
            <v>18000</v>
          </cell>
        </row>
        <row r="1388">
          <cell r="A1388" t="str">
            <v>Củ Dền 08/11/2024</v>
          </cell>
          <cell r="B1388">
            <v>17000</v>
          </cell>
        </row>
        <row r="1389">
          <cell r="A1389" t="str">
            <v>Ớt Chuông Đỏ 08/11/2024</v>
          </cell>
          <cell r="B1389">
            <v>40000</v>
          </cell>
        </row>
        <row r="1390">
          <cell r="A1390" t="str">
            <v>Ớt Chuông Vàng 08/11/2024</v>
          </cell>
          <cell r="B1390">
            <v>21000</v>
          </cell>
        </row>
        <row r="1391">
          <cell r="A1391" t="str">
            <v>Ớt Chuông Xanh 08/11/2024</v>
          </cell>
          <cell r="B1391">
            <v>28000</v>
          </cell>
        </row>
        <row r="1392">
          <cell r="A1392" t="str">
            <v>Củ Khoai Tây Vàng 08/11/2024</v>
          </cell>
          <cell r="B1392">
            <v>15000</v>
          </cell>
        </row>
        <row r="1393">
          <cell r="A1393" t="str">
            <v>Củ Khoai Tây Bi Vàng 08/11/2024</v>
          </cell>
          <cell r="B1393">
            <v>12000</v>
          </cell>
        </row>
        <row r="1394">
          <cell r="A1394" t="str">
            <v>Bơ Booth 08/11/2024</v>
          </cell>
          <cell r="B1394">
            <v>25000</v>
          </cell>
        </row>
        <row r="1395">
          <cell r="A1395" t="str">
            <v>Trái Su Su 08/11/2024</v>
          </cell>
          <cell r="B1395">
            <v>7000</v>
          </cell>
        </row>
        <row r="1396">
          <cell r="A1396" t="str">
            <v>Cà Tím 08/11/2024</v>
          </cell>
          <cell r="B1396">
            <v>10000</v>
          </cell>
        </row>
        <row r="1397">
          <cell r="A1397" t="str">
            <v>Bí Đao Xanh 08/11/2024</v>
          </cell>
          <cell r="B1397">
            <v>7000</v>
          </cell>
        </row>
        <row r="1398">
          <cell r="A1398" t="str">
            <v>Cà Chua Thường 08/11/2024</v>
          </cell>
          <cell r="B1398">
            <v>17000</v>
          </cell>
        </row>
        <row r="1399">
          <cell r="A1399" t="str">
            <v>Cải Thảo Kim Chi 08/11/2024</v>
          </cell>
          <cell r="B1399">
            <v>6000</v>
          </cell>
        </row>
        <row r="1400">
          <cell r="A1400" t="str">
            <v>Bơ Booth 08/11/2024</v>
          </cell>
          <cell r="B1400">
            <v>26000</v>
          </cell>
        </row>
        <row r="1401">
          <cell r="A1401" t="str">
            <v>Chanh Dây Tím 08/11/2024</v>
          </cell>
          <cell r="B1401">
            <v>31000</v>
          </cell>
        </row>
        <row r="1402">
          <cell r="A1402" t="str">
            <v>Hành Paro 08/11/2024</v>
          </cell>
          <cell r="B1402">
            <v>48000</v>
          </cell>
        </row>
        <row r="1403">
          <cell r="A1403" t="str">
            <v>Găng tay y tế Duy Hàng chưa tiệt trùng (cổ tay ngắn) 08/11/2024</v>
          </cell>
          <cell r="B1403">
            <v>62857.14</v>
          </cell>
        </row>
        <row r="1404">
          <cell r="A1404" t="str">
            <v>DO 0.05S-II 09/11/2024</v>
          </cell>
          <cell r="B1404">
            <v>17527.27</v>
          </cell>
        </row>
        <row r="1405">
          <cell r="A1405" t="str">
            <v>Dầu Do 0.001 S-V 09/11/2024</v>
          </cell>
          <cell r="B1405">
            <v>17836.36</v>
          </cell>
        </row>
        <row r="1406">
          <cell r="A1406" t="str">
            <v>Dịch vụ thu gom, vận chuyển rác thải sinh hoạt tháng 10/2024, 11/2024, 12/2024 09/11/2024</v>
          </cell>
          <cell r="B1406">
            <v>2272727</v>
          </cell>
        </row>
        <row r="1407">
          <cell r="A1407" t="str">
            <v>Mực Châm Máy Photo Ricoh AF1075 (túi bạc)
(XS1000VCPB) 09/11/2024</v>
          </cell>
          <cell r="B1407">
            <v>400000</v>
          </cell>
        </row>
        <row r="1408">
          <cell r="A1408" t="str">
            <v>DO 0.05S-II 09/11/2024</v>
          </cell>
          <cell r="B1408">
            <v>17527.27</v>
          </cell>
        </row>
        <row r="1409">
          <cell r="A1409" t="str">
            <v>DO 0.05S-II 09/11/2024</v>
          </cell>
          <cell r="B1409">
            <v>17527.27</v>
          </cell>
        </row>
        <row r="1410">
          <cell r="A1410" t="str">
            <v>Dầu DO 0,05S-II 09/11/2024</v>
          </cell>
          <cell r="B1410">
            <v>17527.27</v>
          </cell>
        </row>
        <row r="1411">
          <cell r="A1411" t="str">
            <v>Dầu Do 0.001 S-V 09/11/2024</v>
          </cell>
          <cell r="B1411">
            <v>17836.36</v>
          </cell>
        </row>
        <row r="1412">
          <cell r="A1412" t="str">
            <v>Bắp Cải Trái Tim 09/11/2024</v>
          </cell>
          <cell r="B1412">
            <v>18000</v>
          </cell>
        </row>
        <row r="1413">
          <cell r="A1413" t="str">
            <v>Bông Cải Xanh 10Cm 09/11/2024</v>
          </cell>
          <cell r="B1413">
            <v>33000</v>
          </cell>
        </row>
        <row r="1414">
          <cell r="A1414" t="str">
            <v>Bông Cải Xanh 7Cm 09/11/2024</v>
          </cell>
          <cell r="B1414">
            <v>39000</v>
          </cell>
        </row>
        <row r="1415">
          <cell r="A1415" t="str">
            <v>Bông Cải Xanh 7Cm 09/11/2024</v>
          </cell>
          <cell r="B1415">
            <v>39000</v>
          </cell>
        </row>
        <row r="1416">
          <cell r="A1416" t="str">
            <v>Bông Cải Xanh 10Cm 09/11/2024</v>
          </cell>
          <cell r="B1416">
            <v>32000</v>
          </cell>
        </row>
        <row r="1417">
          <cell r="A1417" t="str">
            <v>Củ Dền 09/11/2024</v>
          </cell>
          <cell r="B1417">
            <v>16000</v>
          </cell>
        </row>
        <row r="1418">
          <cell r="A1418" t="str">
            <v>Bông Cải Xanh 7Cm 09/11/2024</v>
          </cell>
          <cell r="B1418">
            <v>40000</v>
          </cell>
        </row>
        <row r="1419">
          <cell r="A1419" t="str">
            <v>Cần Tây 09/11/2024</v>
          </cell>
          <cell r="B1419">
            <v>12000</v>
          </cell>
        </row>
        <row r="1420">
          <cell r="A1420" t="str">
            <v>Bắp Cải Trái Tim 09/11/2024</v>
          </cell>
          <cell r="B1420">
            <v>12000</v>
          </cell>
        </row>
        <row r="1421">
          <cell r="A1421" t="str">
            <v>Cải Thảo Hỏa Tiễn 09/11/2024</v>
          </cell>
          <cell r="B1421">
            <v>16000</v>
          </cell>
        </row>
        <row r="1422">
          <cell r="A1422" t="str">
            <v>Bắp Cải Tím 09/11/2024</v>
          </cell>
          <cell r="B1422">
            <v>30000</v>
          </cell>
        </row>
        <row r="1423">
          <cell r="A1423" t="str">
            <v>Cần Tây 09/11/2024</v>
          </cell>
          <cell r="B1423">
            <v>10000</v>
          </cell>
        </row>
        <row r="1424">
          <cell r="A1424" t="str">
            <v>Ớt Sweet Palemo 09/11/2024</v>
          </cell>
          <cell r="B1424">
            <v>21000</v>
          </cell>
        </row>
        <row r="1425">
          <cell r="A1425" t="str">
            <v>Cà Chua Beef Chùm 09/11/2024</v>
          </cell>
          <cell r="B1425">
            <v>25000</v>
          </cell>
        </row>
        <row r="1426">
          <cell r="A1426" t="str">
            <v>Cà Chua Beef Trung 09/11/2024</v>
          </cell>
          <cell r="B1426">
            <v>17000</v>
          </cell>
        </row>
        <row r="1427">
          <cell r="A1427" t="str">
            <v>Dưa Leo Baby 09/11/2024</v>
          </cell>
          <cell r="B1427">
            <v>6000</v>
          </cell>
        </row>
        <row r="1428">
          <cell r="A1428" t="str">
            <v>Bắp Cải Trắng 09/11/2024</v>
          </cell>
          <cell r="B1428">
            <v>11000</v>
          </cell>
        </row>
        <row r="1429">
          <cell r="A1429" t="str">
            <v>Củ Khoai Lang Nhật 09/11/2024</v>
          </cell>
          <cell r="B1429">
            <v>19000</v>
          </cell>
        </row>
        <row r="1430">
          <cell r="A1430" t="str">
            <v>Cà Chua Thường 09/11/2024</v>
          </cell>
          <cell r="B1430">
            <v>16500</v>
          </cell>
        </row>
        <row r="1431">
          <cell r="A1431" t="str">
            <v>Cà Chua Thường Trung 09/11/2024</v>
          </cell>
          <cell r="B1431">
            <v>13500</v>
          </cell>
        </row>
        <row r="1432">
          <cell r="A1432" t="str">
            <v>Cà Chua Socola 09/11/2024</v>
          </cell>
          <cell r="B1432">
            <v>8500</v>
          </cell>
        </row>
        <row r="1433">
          <cell r="A1433" t="str">
            <v>Xà Lách Thủy Tinh T.C Cây 09/11/2024</v>
          </cell>
          <cell r="B1433">
            <v>7000</v>
          </cell>
        </row>
        <row r="1434">
          <cell r="A1434" t="str">
            <v>Cải Kale 09/11/2024</v>
          </cell>
          <cell r="B1434">
            <v>27000</v>
          </cell>
        </row>
        <row r="1435">
          <cell r="A1435" t="str">
            <v>Lá Mè 09/11/2024</v>
          </cell>
          <cell r="B1435">
            <v>39000</v>
          </cell>
        </row>
        <row r="1436">
          <cell r="A1436" t="str">
            <v>Cải Cầu Vồng 09/11/2024</v>
          </cell>
          <cell r="B1436">
            <v>18000</v>
          </cell>
        </row>
        <row r="1437">
          <cell r="A1437" t="str">
            <v>Cải Bó Xôi 09/11/2024</v>
          </cell>
          <cell r="B1437">
            <v>34000</v>
          </cell>
        </row>
        <row r="1438">
          <cell r="A1438" t="str">
            <v>Trái Su Su 09/11/2024</v>
          </cell>
          <cell r="B1438">
            <v>6000</v>
          </cell>
        </row>
        <row r="1439">
          <cell r="A1439" t="str">
            <v>Cà Tím 09/11/2024</v>
          </cell>
          <cell r="B1439">
            <v>8500</v>
          </cell>
        </row>
        <row r="1440">
          <cell r="A1440" t="str">
            <v>Cà Tím 09/11/2024</v>
          </cell>
          <cell r="B1440">
            <v>5000</v>
          </cell>
        </row>
        <row r="1441">
          <cell r="A1441" t="str">
            <v>Hạt Dẻ Ngố 09/11/2024</v>
          </cell>
          <cell r="B1441">
            <v>26400</v>
          </cell>
        </row>
        <row r="1442">
          <cell r="A1442" t="str">
            <v>Cà Chua Socola 09/11/2024</v>
          </cell>
          <cell r="B1442">
            <v>12000</v>
          </cell>
        </row>
        <row r="1443">
          <cell r="A1443" t="str">
            <v>Cà Chua Socola 09/11/2024</v>
          </cell>
          <cell r="B1443">
            <v>14000</v>
          </cell>
        </row>
        <row r="1444">
          <cell r="A1444" t="str">
            <v>Lá Tía Tô 09/11/2024</v>
          </cell>
          <cell r="B1444">
            <v>32000</v>
          </cell>
        </row>
        <row r="1445">
          <cell r="A1445" t="str">
            <v>Xà Lách Lolo Xanh 09/11/2024</v>
          </cell>
          <cell r="B1445">
            <v>32000</v>
          </cell>
        </row>
        <row r="1446">
          <cell r="A1446" t="str">
            <v>Xà Lách Rocket 09/11/2024</v>
          </cell>
          <cell r="B1446">
            <v>120000</v>
          </cell>
        </row>
        <row r="1447">
          <cell r="A1447" t="str">
            <v>Cà Chua Beef 09/11/2024</v>
          </cell>
          <cell r="B1447">
            <v>24000</v>
          </cell>
        </row>
        <row r="1448">
          <cell r="A1448" t="str">
            <v>Cà Chua Beef Trung 09/11/2024</v>
          </cell>
          <cell r="B1448">
            <v>20000</v>
          </cell>
        </row>
        <row r="1449">
          <cell r="A1449" t="str">
            <v>Ớt Chuông Đỏ Trung 09/11/2024</v>
          </cell>
          <cell r="B1449">
            <v>36000</v>
          </cell>
        </row>
        <row r="1450">
          <cell r="A1450" t="str">
            <v>Ớt Chuông Vàng Trung 09/11/2024</v>
          </cell>
          <cell r="B1450">
            <v>14000</v>
          </cell>
        </row>
        <row r="1451">
          <cell r="A1451" t="str">
            <v>Ớt Chuông Xanh Trung 09/11/2024</v>
          </cell>
          <cell r="B1451">
            <v>23000</v>
          </cell>
        </row>
        <row r="1452">
          <cell r="A1452" t="str">
            <v>Cà Chua Bi Đỏ 09/11/2024</v>
          </cell>
          <cell r="B1452">
            <v>11400</v>
          </cell>
        </row>
        <row r="1453">
          <cell r="A1453" t="str">
            <v>Ớt Chuông Đỏ 09/11/2024</v>
          </cell>
          <cell r="B1453">
            <v>42000</v>
          </cell>
        </row>
        <row r="1454">
          <cell r="A1454" t="str">
            <v>Ớt Chuông Vàng 09/11/2024</v>
          </cell>
          <cell r="B1454">
            <v>22000</v>
          </cell>
        </row>
        <row r="1455">
          <cell r="A1455" t="str">
            <v>Củ Cải Trắng 09/11/2024</v>
          </cell>
          <cell r="B1455">
            <v>7000</v>
          </cell>
        </row>
        <row r="1456">
          <cell r="A1456" t="str">
            <v>Cà Rốt 09/11/2024</v>
          </cell>
          <cell r="B1456">
            <v>16500</v>
          </cell>
        </row>
        <row r="1457">
          <cell r="A1457" t="str">
            <v>Xà Lách Lolo Xanh T.C 09/11/2024</v>
          </cell>
          <cell r="B1457">
            <v>26000</v>
          </cell>
        </row>
        <row r="1458">
          <cell r="A1458" t="str">
            <v>Xà Lách Mỡ T.C 09/11/2024</v>
          </cell>
          <cell r="B1458">
            <v>26000</v>
          </cell>
        </row>
        <row r="1459">
          <cell r="A1459" t="str">
            <v>Xà Lách Thủy Tinh T.C Cây 09/11/2024</v>
          </cell>
          <cell r="B1459">
            <v>8000</v>
          </cell>
        </row>
        <row r="1460">
          <cell r="A1460" t="str">
            <v>Bơ Booth 09/11/2024</v>
          </cell>
          <cell r="B1460">
            <v>26000</v>
          </cell>
        </row>
        <row r="1461">
          <cell r="A1461" t="str">
            <v>Bí Ngòi Xanh 09/11/2024</v>
          </cell>
          <cell r="B1461">
            <v>26000</v>
          </cell>
        </row>
        <row r="1462">
          <cell r="A1462" t="str">
            <v>Bí Ngòi Xanh 09/11/2024</v>
          </cell>
          <cell r="B1462">
            <v>22000</v>
          </cell>
        </row>
        <row r="1463">
          <cell r="A1463" t="str">
            <v>Củ Khoai Lang Nhật 09/11/2024</v>
          </cell>
          <cell r="B1463">
            <v>9000</v>
          </cell>
        </row>
        <row r="1464">
          <cell r="A1464" t="str">
            <v>Hồng Treo Gió 09/11/2024</v>
          </cell>
          <cell r="B1464">
            <v>200000</v>
          </cell>
        </row>
        <row r="1465">
          <cell r="A1465" t="str">
            <v>Rau Bầu Đất 09/11/2024</v>
          </cell>
          <cell r="B1465">
            <v>21200</v>
          </cell>
        </row>
        <row r="1466">
          <cell r="A1466" t="str">
            <v>Gia Công Rau Củ Quả 09/11/2024</v>
          </cell>
          <cell r="B1466">
            <v>1000</v>
          </cell>
        </row>
        <row r="1467">
          <cell r="A1467" t="str">
            <v>Gia Công Rau Củ Quả 09/11/2024</v>
          </cell>
          <cell r="B1467">
            <v>2000</v>
          </cell>
        </row>
        <row r="1468">
          <cell r="A1468" t="str">
            <v>Dưa Leo Baby 09/11/2024</v>
          </cell>
          <cell r="B1468">
            <v>6000</v>
          </cell>
        </row>
        <row r="1469">
          <cell r="A1469" t="str">
            <v>Măng Tây 09/11/2024</v>
          </cell>
          <cell r="B1469">
            <v>52000</v>
          </cell>
        </row>
        <row r="1470">
          <cell r="A1470" t="str">
            <v>Măng Tây 09/11/2024</v>
          </cell>
          <cell r="B1470">
            <v>42000</v>
          </cell>
        </row>
        <row r="1471">
          <cell r="A1471" t="str">
            <v>Lá É 09/11/2024</v>
          </cell>
          <cell r="B1471">
            <v>27000</v>
          </cell>
        </row>
        <row r="1472">
          <cell r="A1472" t="str">
            <v>Cà Rốt 09/11/2024</v>
          </cell>
          <cell r="B1472">
            <v>18000</v>
          </cell>
        </row>
        <row r="1473">
          <cell r="A1473" t="str">
            <v>Cải Thảo Hỏa Tiễn 09/11/2024</v>
          </cell>
          <cell r="B1473">
            <v>16000</v>
          </cell>
        </row>
        <row r="1474">
          <cell r="A1474" t="str">
            <v>Củ Dền 09/11/2024</v>
          </cell>
          <cell r="B1474">
            <v>17000</v>
          </cell>
        </row>
        <row r="1475">
          <cell r="A1475" t="str">
            <v>Ớt Chuông Đỏ 09/11/2024</v>
          </cell>
          <cell r="B1475">
            <v>40000</v>
          </cell>
        </row>
        <row r="1476">
          <cell r="A1476" t="str">
            <v>Dưa Leo Baby 09/11/2024</v>
          </cell>
          <cell r="B1476">
            <v>6000</v>
          </cell>
        </row>
        <row r="1477">
          <cell r="A1477" t="str">
            <v>Dưa Leo Nhật 09/11/2024</v>
          </cell>
          <cell r="B1477">
            <v>11000</v>
          </cell>
        </row>
        <row r="1478">
          <cell r="A1478" t="str">
            <v>Dưa Leo Thường 09/11/2024</v>
          </cell>
          <cell r="B1478">
            <v>9000</v>
          </cell>
        </row>
        <row r="1479">
          <cell r="A1479" t="str">
            <v>Đậu Cove Trắng 09/11/2024</v>
          </cell>
          <cell r="B1479">
            <v>12000</v>
          </cell>
        </row>
        <row r="1480">
          <cell r="A1480" t="str">
            <v>Đậu Cove Trắng 09/11/2024</v>
          </cell>
          <cell r="B1480">
            <v>8500</v>
          </cell>
        </row>
        <row r="1481">
          <cell r="A1481" t="str">
            <v>Bí Non Nhật 09/11/2024</v>
          </cell>
          <cell r="B1481">
            <v>15000</v>
          </cell>
        </row>
        <row r="1482">
          <cell r="A1482" t="str">
            <v>Đậu Đỏ 09/11/2024</v>
          </cell>
          <cell r="B1482">
            <v>80000</v>
          </cell>
        </row>
        <row r="1483">
          <cell r="A1483" t="str">
            <v>Đậu Ngự 09/11/2024</v>
          </cell>
          <cell r="B1483">
            <v>70000</v>
          </cell>
        </row>
        <row r="1484">
          <cell r="A1484" t="str">
            <v>Đậu Trắng 09/11/2024</v>
          </cell>
          <cell r="B1484">
            <v>70000</v>
          </cell>
        </row>
        <row r="1485">
          <cell r="A1485" t="str">
            <v>Bông Cải Trắng 09/11/2024</v>
          </cell>
          <cell r="B1485">
            <v>27000</v>
          </cell>
        </row>
        <row r="1486">
          <cell r="A1486" t="str">
            <v>Đậu Cove Nhật 09/11/2024</v>
          </cell>
          <cell r="B1486">
            <v>6000</v>
          </cell>
        </row>
        <row r="1487">
          <cell r="A1487" t="str">
            <v>Củ Khoai Tây Vàng 09/11/2024</v>
          </cell>
          <cell r="B1487">
            <v>15000</v>
          </cell>
        </row>
        <row r="1488">
          <cell r="A1488" t="str">
            <v>Trái Su Su 09/11/2024</v>
          </cell>
          <cell r="B1488">
            <v>6500</v>
          </cell>
        </row>
        <row r="1489">
          <cell r="A1489" t="str">
            <v>Cà Chua Thường 09/11/2024</v>
          </cell>
          <cell r="B1489">
            <v>16000</v>
          </cell>
        </row>
        <row r="1490">
          <cell r="A1490" t="str">
            <v>Xà Lách Mỡ T.C 09/11/2024</v>
          </cell>
          <cell r="B1490">
            <v>27000</v>
          </cell>
        </row>
        <row r="1491">
          <cell r="A1491" t="str">
            <v>Xà Lách Lolo Xanh T.C 09/11/2024</v>
          </cell>
          <cell r="B1491">
            <v>28000</v>
          </cell>
        </row>
        <row r="1492">
          <cell r="A1492" t="str">
            <v>Củ Su Hào 09/11/2024</v>
          </cell>
          <cell r="B1492">
            <v>18000</v>
          </cell>
        </row>
        <row r="1493">
          <cell r="A1493" t="str">
            <v>Trái Su Su 09/11/2024</v>
          </cell>
          <cell r="B1493">
            <v>6500</v>
          </cell>
        </row>
        <row r="1494">
          <cell r="A1494" t="str">
            <v>Lá Nha Đam 09/11/2024</v>
          </cell>
          <cell r="B1494">
            <v>14000</v>
          </cell>
        </row>
        <row r="1495">
          <cell r="A1495" t="str">
            <v>Củ Khoai Mỡ 09/11/2024</v>
          </cell>
          <cell r="B1495">
            <v>30000</v>
          </cell>
        </row>
        <row r="1496">
          <cell r="A1496" t="str">
            <v>Bí Đỏ Hồ Lô 09/11/2024</v>
          </cell>
          <cell r="B1496">
            <v>12000</v>
          </cell>
        </row>
        <row r="1497">
          <cell r="A1497" t="str">
            <v>Chuối Laba 09/11/2024</v>
          </cell>
          <cell r="B1497">
            <v>13000</v>
          </cell>
        </row>
        <row r="1498">
          <cell r="A1498" t="str">
            <v>Bí Đao Xanh 09/11/2024</v>
          </cell>
          <cell r="B1498">
            <v>7000</v>
          </cell>
        </row>
        <row r="1499">
          <cell r="A1499" t="str">
            <v>Củ Gừng 09/11/2024</v>
          </cell>
          <cell r="B1499">
            <v>45000</v>
          </cell>
        </row>
        <row r="1500">
          <cell r="A1500" t="str">
            <v>Xà Lách Lolo Xanh T.C 09/11/2024</v>
          </cell>
          <cell r="B1500">
            <v>28000</v>
          </cell>
        </row>
        <row r="1501">
          <cell r="A1501" t="str">
            <v>Bí Ngòi Xanh 09/11/2024</v>
          </cell>
          <cell r="B1501">
            <v>25000</v>
          </cell>
        </row>
        <row r="1502">
          <cell r="A1502" t="str">
            <v>Ớt Sweet Palemo 09/11/2024</v>
          </cell>
          <cell r="B1502">
            <v>23000</v>
          </cell>
        </row>
        <row r="1503">
          <cell r="A1503" t="str">
            <v>Hành Paro 09/11/2024</v>
          </cell>
          <cell r="B1503">
            <v>48000</v>
          </cell>
        </row>
        <row r="1504">
          <cell r="A1504" t="str">
            <v>Rau Ngò Rí 09/11/2024</v>
          </cell>
          <cell r="B1504">
            <v>35000</v>
          </cell>
        </row>
        <row r="1505">
          <cell r="A1505" t="str">
            <v>Ớt Chuông Xanh 09/11/2024</v>
          </cell>
          <cell r="B1505">
            <v>35000</v>
          </cell>
        </row>
        <row r="1506">
          <cell r="A1506" t="str">
            <v>Ớt Chuông Xanh Trung 09/11/2024</v>
          </cell>
          <cell r="B1506">
            <v>30000</v>
          </cell>
        </row>
        <row r="1507">
          <cell r="A1507" t="str">
            <v>Chuối Laba 09/11/2024</v>
          </cell>
          <cell r="B1507">
            <v>15000</v>
          </cell>
        </row>
        <row r="1508">
          <cell r="A1508" t="str">
            <v>Cà Rốt 09/11/2024</v>
          </cell>
          <cell r="B1508">
            <v>17000</v>
          </cell>
        </row>
        <row r="1509">
          <cell r="A1509" t="str">
            <v>Cà Chua Bi Mix 09/11/2024</v>
          </cell>
          <cell r="B1509">
            <v>55000</v>
          </cell>
        </row>
        <row r="1510">
          <cell r="A1510" t="str">
            <v>Cà Chua Bi Mix 09/11/2024</v>
          </cell>
          <cell r="B1510">
            <v>56500</v>
          </cell>
        </row>
        <row r="1511">
          <cell r="A1511" t="str">
            <v>Cà Chua Socola 09/11/2024</v>
          </cell>
          <cell r="B1511">
            <v>46500</v>
          </cell>
        </row>
        <row r="1512">
          <cell r="A1512" t="str">
            <v>Cải Kale 09/11/2024</v>
          </cell>
          <cell r="B1512">
            <v>33500</v>
          </cell>
        </row>
        <row r="1513">
          <cell r="A1513" t="str">
            <v>Chanh Không Hạt 09/11/2024</v>
          </cell>
          <cell r="B1513">
            <v>26000</v>
          </cell>
        </row>
        <row r="1514">
          <cell r="A1514" t="str">
            <v>Xà Lách Lolo Xanh 09/11/2024</v>
          </cell>
          <cell r="B1514">
            <v>32000</v>
          </cell>
        </row>
        <row r="1515">
          <cell r="A1515" t="str">
            <v>Cải Bó Xôi 09/11/2024</v>
          </cell>
          <cell r="B1515">
            <v>38000</v>
          </cell>
        </row>
        <row r="1516">
          <cell r="A1516" t="str">
            <v>Cà Chua Beef Chùm 09/11/2024</v>
          </cell>
          <cell r="B1516">
            <v>27000</v>
          </cell>
        </row>
        <row r="1517">
          <cell r="A1517" t="str">
            <v>Cà Chua Beef 09/11/2024</v>
          </cell>
          <cell r="B1517">
            <v>24000</v>
          </cell>
        </row>
        <row r="1518">
          <cell r="A1518" t="str">
            <v>Cà Chua Beef 09/11/2024</v>
          </cell>
          <cell r="B1518">
            <v>28000</v>
          </cell>
        </row>
        <row r="1519">
          <cell r="A1519" t="str">
            <v>Cà Chua Beef Trung 09/11/2024</v>
          </cell>
          <cell r="B1519">
            <v>23000</v>
          </cell>
        </row>
        <row r="1520">
          <cell r="A1520" t="str">
            <v>Cà Chua Beef Trung 09/11/2024</v>
          </cell>
          <cell r="B1520">
            <v>21000</v>
          </cell>
        </row>
        <row r="1521">
          <cell r="A1521" t="str">
            <v>Cà Chua Thường 09/11/2024</v>
          </cell>
          <cell r="B1521">
            <v>16000</v>
          </cell>
        </row>
        <row r="1522">
          <cell r="A1522" t="str">
            <v>Cà Chua Thường Trung 09/11/2024</v>
          </cell>
          <cell r="B1522">
            <v>12000</v>
          </cell>
        </row>
        <row r="1523">
          <cell r="A1523" t="str">
            <v>Xà Lách Lolo Xanh T.C Cây 09/11/2024</v>
          </cell>
          <cell r="B1523">
            <v>6800</v>
          </cell>
        </row>
        <row r="1524">
          <cell r="A1524" t="str">
            <v>Xà Lách Mỡ T.C Cây 09/11/2024</v>
          </cell>
          <cell r="B1524">
            <v>6800</v>
          </cell>
        </row>
        <row r="1525">
          <cell r="A1525" t="str">
            <v>Xà Lách Mỡ T.C 09/11/2024</v>
          </cell>
          <cell r="B1525">
            <v>28000</v>
          </cell>
        </row>
        <row r="1526">
          <cell r="A1526" t="str">
            <v>Xà Lách Thủy Tinh T.C Cây 09/11/2024</v>
          </cell>
          <cell r="B1526">
            <v>6800</v>
          </cell>
        </row>
        <row r="1527">
          <cell r="A1527" t="str">
            <v>Xà Lách Thủy Tinh T.C 09/11/2024</v>
          </cell>
          <cell r="B1527">
            <v>30000</v>
          </cell>
        </row>
        <row r="1528">
          <cell r="A1528" t="str">
            <v>Cà Chua Thường Trung 09/11/2024</v>
          </cell>
          <cell r="B1528">
            <v>15000</v>
          </cell>
        </row>
        <row r="1529">
          <cell r="A1529" t="str">
            <v>Băng keo 48mm x 1.8kg 09/11/2024</v>
          </cell>
          <cell r="B1529">
            <v>63800</v>
          </cell>
        </row>
        <row r="1530">
          <cell r="A1530" t="str">
            <v>Xà Lách Mỹ 09/11/2024</v>
          </cell>
          <cell r="B1530">
            <v>38000</v>
          </cell>
        </row>
        <row r="1531">
          <cell r="A1531" t="str">
            <v>Cải Bẹ Dún T.C 09/11/2024</v>
          </cell>
          <cell r="B1531">
            <v>45000</v>
          </cell>
        </row>
        <row r="1532">
          <cell r="A1532" t="str">
            <v>Lá Mè 09/11/2024</v>
          </cell>
          <cell r="B1532">
            <v>40000</v>
          </cell>
        </row>
        <row r="1533">
          <cell r="A1533" t="str">
            <v>Xà Lách Romaine 09/11/2024</v>
          </cell>
          <cell r="B1533">
            <v>30000</v>
          </cell>
        </row>
        <row r="1534">
          <cell r="A1534" t="str">
            <v>Dưa Leo Baby 09/11/2024</v>
          </cell>
          <cell r="B1534">
            <v>6500</v>
          </cell>
        </row>
        <row r="1535">
          <cell r="A1535" t="str">
            <v>Cà Rốt Baby 09/11/2024</v>
          </cell>
          <cell r="B1535">
            <v>55000</v>
          </cell>
        </row>
        <row r="1536">
          <cell r="A1536" t="str">
            <v>Cải Kale 09/11/2024</v>
          </cell>
          <cell r="B1536">
            <v>35000</v>
          </cell>
        </row>
        <row r="1537">
          <cell r="A1537" t="str">
            <v>Cải Kale 09/11/2024</v>
          </cell>
          <cell r="B1537">
            <v>38000</v>
          </cell>
        </row>
        <row r="1538">
          <cell r="A1538" t="str">
            <v>Củ Cải Đỏ 09/11/2024</v>
          </cell>
          <cell r="B1538">
            <v>13000</v>
          </cell>
        </row>
        <row r="1539">
          <cell r="A1539" t="str">
            <v>Cà Chua Socola 09/11/2024</v>
          </cell>
          <cell r="B1539">
            <v>12000</v>
          </cell>
        </row>
        <row r="1540">
          <cell r="A1540" t="str">
            <v>Bông Cải Xanh Baby 09/11/2024</v>
          </cell>
          <cell r="B1540">
            <v>57000</v>
          </cell>
        </row>
        <row r="1541">
          <cell r="A1541" t="str">
            <v>Trái Chanh Vàng 09/11/2024</v>
          </cell>
          <cell r="B1541">
            <v>60000</v>
          </cell>
        </row>
        <row r="1542">
          <cell r="A1542" t="str">
            <v>Xà Lách Lolo Tím 09/11/2024</v>
          </cell>
          <cell r="B1542">
            <v>50000</v>
          </cell>
        </row>
        <row r="1543">
          <cell r="A1543" t="str">
            <v>Xà Lách Lolo Xanh 09/11/2024</v>
          </cell>
          <cell r="B1543">
            <v>30000</v>
          </cell>
        </row>
        <row r="1544">
          <cell r="A1544" t="str">
            <v>Xà Lách Lolo Xanh 09/11/2024</v>
          </cell>
          <cell r="B1544">
            <v>33000</v>
          </cell>
        </row>
        <row r="1545">
          <cell r="A1545" t="str">
            <v>Ớt Sweet Palemo 09/11/2024</v>
          </cell>
          <cell r="B1545">
            <v>22000</v>
          </cell>
        </row>
        <row r="1546">
          <cell r="A1546" t="str">
            <v>Cà Chua Beef Trung 09/11/2024</v>
          </cell>
          <cell r="B1546">
            <v>23000</v>
          </cell>
        </row>
        <row r="1547">
          <cell r="A1547" t="str">
            <v>Cần Tây 09/11/2024</v>
          </cell>
          <cell r="B1547">
            <v>10000</v>
          </cell>
        </row>
        <row r="1548">
          <cell r="A1548" t="str">
            <v>Bắp Cải Tím 09/11/2024</v>
          </cell>
          <cell r="B1548">
            <v>30000</v>
          </cell>
        </row>
        <row r="1549">
          <cell r="A1549" t="str">
            <v>Bông Cải Xanh Cọng 09/11/2024</v>
          </cell>
          <cell r="B1549">
            <v>30000</v>
          </cell>
        </row>
        <row r="1550">
          <cell r="A1550" t="str">
            <v>Cải Thảo 09/11/2024</v>
          </cell>
          <cell r="B1550">
            <v>7500</v>
          </cell>
        </row>
        <row r="1551">
          <cell r="A1551" t="str">
            <v>Cải Thảo Kim Chi 09/11/2024</v>
          </cell>
          <cell r="B1551">
            <v>5500</v>
          </cell>
        </row>
        <row r="1552">
          <cell r="A1552" t="str">
            <v>Bông Cải Xanh Cọng 09/11/2024</v>
          </cell>
          <cell r="B1552">
            <v>30000</v>
          </cell>
        </row>
        <row r="1553">
          <cell r="A1553" t="str">
            <v>Cải Thảo Hỏa Tiễn 09/11/2024</v>
          </cell>
          <cell r="B1553">
            <v>16000</v>
          </cell>
        </row>
        <row r="1554">
          <cell r="A1554" t="str">
            <v>Đậu Cove Trắng 09/11/2024</v>
          </cell>
          <cell r="B1554">
            <v>26000</v>
          </cell>
        </row>
        <row r="1555">
          <cell r="A1555" t="str">
            <v>Cà Chua Beef 09/11/2024</v>
          </cell>
          <cell r="B1555">
            <v>2400</v>
          </cell>
        </row>
        <row r="1556">
          <cell r="A1556" t="str">
            <v>Cà Chua Beef 09/11/2024</v>
          </cell>
          <cell r="B1556">
            <v>24000</v>
          </cell>
        </row>
        <row r="1557">
          <cell r="A1557" t="str">
            <v>Cà Chua Beef 09/11/2024</v>
          </cell>
          <cell r="B1557">
            <v>22000</v>
          </cell>
        </row>
        <row r="1558">
          <cell r="A1558" t="str">
            <v>Bắp Cải Trắng 09/11/2024</v>
          </cell>
          <cell r="B1558">
            <v>11000</v>
          </cell>
        </row>
        <row r="1559">
          <cell r="A1559" t="str">
            <v>Cà Rốt Trung 09/11/2024</v>
          </cell>
          <cell r="B1559">
            <v>14000</v>
          </cell>
        </row>
        <row r="1560">
          <cell r="A1560" t="str">
            <v>Củ Khoai Lang Nhật 09/11/2024</v>
          </cell>
          <cell r="B1560">
            <v>19000</v>
          </cell>
        </row>
        <row r="1561">
          <cell r="A1561" t="str">
            <v>Bí Ngòi Xanh 09/11/2024</v>
          </cell>
          <cell r="B1561">
            <v>22500</v>
          </cell>
        </row>
        <row r="1562">
          <cell r="A1562" t="str">
            <v>Trái Su Su 09/11/2024</v>
          </cell>
          <cell r="B1562">
            <v>6000</v>
          </cell>
        </row>
        <row r="1563">
          <cell r="A1563" t="str">
            <v>Cà Tím 09/11/2024</v>
          </cell>
          <cell r="B1563">
            <v>8500</v>
          </cell>
        </row>
        <row r="1564">
          <cell r="A1564" t="str">
            <v>Bí Ngòi Xanh 09/11/2024</v>
          </cell>
          <cell r="B1564">
            <v>25000</v>
          </cell>
        </row>
        <row r="1565">
          <cell r="A1565" t="str">
            <v>Bí Ngòi Vàng 09/11/2024</v>
          </cell>
          <cell r="B1565">
            <v>45000</v>
          </cell>
        </row>
        <row r="1566">
          <cell r="A1566" t="str">
            <v>Ớt Sweet Palemo 09/11/2024</v>
          </cell>
          <cell r="B1566">
            <v>23000</v>
          </cell>
        </row>
        <row r="1567">
          <cell r="A1567" t="str">
            <v>Ớt Chuông Đỏ 09/11/2024</v>
          </cell>
          <cell r="B1567">
            <v>41000</v>
          </cell>
        </row>
        <row r="1568">
          <cell r="A1568" t="str">
            <v>Ớt Chuông Vàng 09/11/2024</v>
          </cell>
          <cell r="B1568">
            <v>19000</v>
          </cell>
        </row>
        <row r="1569">
          <cell r="A1569" t="str">
            <v>Ớt Chuông Xanh 09/11/2024</v>
          </cell>
          <cell r="B1569">
            <v>28000</v>
          </cell>
        </row>
        <row r="1570">
          <cell r="A1570" t="str">
            <v>Cà Chua Bi Đỏ 09/11/2024</v>
          </cell>
          <cell r="B1570">
            <v>11400</v>
          </cell>
        </row>
        <row r="1571">
          <cell r="A1571" t="str">
            <v>Cà Chua Thường 09/11/2024</v>
          </cell>
          <cell r="B1571">
            <v>17000</v>
          </cell>
        </row>
        <row r="1572">
          <cell r="A1572" t="str">
            <v>Trái Su Su 09/11/2024</v>
          </cell>
          <cell r="B1572">
            <v>7000</v>
          </cell>
        </row>
        <row r="1573">
          <cell r="A1573" t="str">
            <v>Bí Đao Xanh 09/11/2024</v>
          </cell>
          <cell r="B1573">
            <v>10000</v>
          </cell>
        </row>
        <row r="1574">
          <cell r="A1574" t="str">
            <v>Bí Non Nhật 09/11/2024</v>
          </cell>
          <cell r="B1574">
            <v>10000</v>
          </cell>
        </row>
        <row r="1575">
          <cell r="A1575" t="str">
            <v>Bơ Booth 09/11/2024</v>
          </cell>
          <cell r="B1575">
            <v>26000</v>
          </cell>
        </row>
        <row r="1576">
          <cell r="A1576" t="str">
            <v>Chanh Dây Tím 09/11/2024</v>
          </cell>
          <cell r="B1576">
            <v>31000</v>
          </cell>
        </row>
        <row r="1577">
          <cell r="A1577" t="str">
            <v>Xà Lách Mỡ T.C 09/11/2024</v>
          </cell>
          <cell r="B1577">
            <v>28000</v>
          </cell>
        </row>
        <row r="1578">
          <cell r="A1578" t="str">
            <v>Cà Chua Thường 09/11/2024</v>
          </cell>
          <cell r="B1578">
            <v>17000</v>
          </cell>
        </row>
        <row r="1579">
          <cell r="A1579" t="str">
            <v>Bơ Booth 09/11/2024</v>
          </cell>
          <cell r="B1579">
            <v>25000</v>
          </cell>
        </row>
        <row r="1580">
          <cell r="A1580" t="str">
            <v>Củ Dền 09/11/2024</v>
          </cell>
          <cell r="B1580">
            <v>17000</v>
          </cell>
        </row>
        <row r="1581">
          <cell r="A1581" t="str">
            <v>Củ Cải Trắng 09/11/2024</v>
          </cell>
          <cell r="B1581">
            <v>7000</v>
          </cell>
        </row>
        <row r="1582">
          <cell r="A1582" t="str">
            <v>Ớt Chuông Đỏ 09/11/2024</v>
          </cell>
          <cell r="B1582">
            <v>40000</v>
          </cell>
        </row>
        <row r="1583">
          <cell r="A1583" t="str">
            <v>Cải Thảo Kim Chi 09/11/2024</v>
          </cell>
          <cell r="B1583">
            <v>5500</v>
          </cell>
        </row>
        <row r="1584">
          <cell r="A1584" t="str">
            <v>Dưa Leo Baby 09/11/2024</v>
          </cell>
          <cell r="B1584">
            <v>7000</v>
          </cell>
        </row>
        <row r="1585">
          <cell r="A1585" t="str">
            <v>Đậu Cove Trắng 09/11/2024</v>
          </cell>
          <cell r="B1585">
            <v>12000</v>
          </cell>
        </row>
        <row r="1586">
          <cell r="A1586" t="str">
            <v>Bí Non Nhật 09/11/2024</v>
          </cell>
          <cell r="B1586">
            <v>15000</v>
          </cell>
        </row>
        <row r="1587">
          <cell r="A1587" t="str">
            <v>Bông Cải Trắng 09/11/2024</v>
          </cell>
          <cell r="B1587">
            <v>27000</v>
          </cell>
        </row>
        <row r="1588">
          <cell r="A1588" t="str">
            <v>Đậu Cove Nhật 09/11/2024</v>
          </cell>
          <cell r="B1588">
            <v>6000</v>
          </cell>
        </row>
        <row r="1589">
          <cell r="A1589" t="str">
            <v>Củ Khoai Tây Vàng 09/11/2024</v>
          </cell>
          <cell r="B1589">
            <v>15000</v>
          </cell>
        </row>
        <row r="1590">
          <cell r="A1590" t="str">
            <v>Củ Khoai Tây Bi Vàng 09/11/2024</v>
          </cell>
          <cell r="B1590">
            <v>12000</v>
          </cell>
        </row>
        <row r="1591">
          <cell r="A1591" t="str">
            <v>Củ Su Hào 09/11/2024</v>
          </cell>
          <cell r="B1591">
            <v>18000</v>
          </cell>
        </row>
        <row r="1592">
          <cell r="A1592" t="str">
            <v>Cà Tím 09/11/2024</v>
          </cell>
          <cell r="B1592">
            <v>10000</v>
          </cell>
        </row>
        <row r="1593">
          <cell r="A1593" t="str">
            <v>Băng keo 48mm x 1.8kg 09/11/2024</v>
          </cell>
          <cell r="B1593">
            <v>63800</v>
          </cell>
        </row>
        <row r="1594">
          <cell r="A1594" t="str">
            <v>Hành Paro 09/11/2024</v>
          </cell>
          <cell r="B1594">
            <v>43000</v>
          </cell>
        </row>
        <row r="1595">
          <cell r="A1595" t="str">
            <v>Lá Mè 09/11/2024</v>
          </cell>
          <cell r="B1595">
            <v>40000</v>
          </cell>
        </row>
        <row r="1596">
          <cell r="A1596" t="str">
            <v>Cải Thảo 09/11/2024</v>
          </cell>
          <cell r="B1596">
            <v>7500</v>
          </cell>
        </row>
        <row r="1597">
          <cell r="A1597" t="str">
            <v>Cải Thảo Kim Chi 09/11/2024</v>
          </cell>
          <cell r="B1597">
            <v>5500</v>
          </cell>
        </row>
        <row r="1598">
          <cell r="A1598" t="str">
            <v>Cà Chua Beef Trung 09/11/2024</v>
          </cell>
          <cell r="B1598">
            <v>22000</v>
          </cell>
        </row>
        <row r="1599">
          <cell r="A1599" t="str">
            <v>Cà Rốt Baby 09/11/2024</v>
          </cell>
          <cell r="B1599">
            <v>55000</v>
          </cell>
        </row>
        <row r="1600">
          <cell r="A1600" t="str">
            <v>DO 0.05S-II 10/11/2024</v>
          </cell>
          <cell r="B1600">
            <v>17527.27</v>
          </cell>
        </row>
        <row r="1601">
          <cell r="A1601" t="str">
            <v>DO 0.05S-II 10/11/2024</v>
          </cell>
          <cell r="B1601">
            <v>17527.27</v>
          </cell>
        </row>
        <row r="1602">
          <cell r="A1602" t="str">
            <v>DO 0.05S-II 10/11/2024</v>
          </cell>
          <cell r="B1602">
            <v>17527.27</v>
          </cell>
        </row>
        <row r="1603">
          <cell r="A1603" t="str">
            <v>Cước đường bộ xe 49C37197T đi qua trạm Liên Đầm thời gian GD 21:15:37 ngày 10/11/2024 mã GD 1491182599 10/11/2024</v>
          </cell>
          <cell r="B1603">
            <v>78704</v>
          </cell>
        </row>
        <row r="1604">
          <cell r="A1604" t="str">
            <v>Cải Bó Xôi 10/11/2024</v>
          </cell>
          <cell r="B1604">
            <v>38000</v>
          </cell>
        </row>
        <row r="1605">
          <cell r="A1605" t="str">
            <v>Cà Chua Beef Chùm 10/11/2024</v>
          </cell>
          <cell r="B1605">
            <v>26000</v>
          </cell>
        </row>
        <row r="1606">
          <cell r="A1606" t="str">
            <v>Cà Chua Beef 10/11/2024</v>
          </cell>
          <cell r="B1606">
            <v>23000</v>
          </cell>
        </row>
        <row r="1607">
          <cell r="A1607" t="str">
            <v>Cà Chua Beef 10/11/2024</v>
          </cell>
          <cell r="B1607">
            <v>27000</v>
          </cell>
        </row>
        <row r="1608">
          <cell r="A1608" t="str">
            <v>Cà Chua Beef Trung 10/11/2024</v>
          </cell>
          <cell r="B1608">
            <v>22000</v>
          </cell>
        </row>
        <row r="1609">
          <cell r="A1609" t="str">
            <v>Cà Chua Bi Mix 10/11/2024</v>
          </cell>
          <cell r="B1609">
            <v>55000</v>
          </cell>
        </row>
        <row r="1610">
          <cell r="A1610" t="str">
            <v>Cà Chua Bi Mix 10/11/2024</v>
          </cell>
          <cell r="B1610">
            <v>56500</v>
          </cell>
        </row>
        <row r="1611">
          <cell r="A1611" t="str">
            <v>Cà Chua Socola 10/11/2024</v>
          </cell>
          <cell r="B1611">
            <v>46500</v>
          </cell>
        </row>
        <row r="1612">
          <cell r="A1612" t="str">
            <v>Cải Kale 10/11/2024</v>
          </cell>
          <cell r="B1612">
            <v>33500</v>
          </cell>
        </row>
        <row r="1613">
          <cell r="A1613" t="str">
            <v>Bắp Cải Tím 10/11/2024</v>
          </cell>
          <cell r="B1613">
            <v>30000</v>
          </cell>
        </row>
        <row r="1614">
          <cell r="A1614" t="str">
            <v>Bơ Booth 10/11/2024</v>
          </cell>
          <cell r="B1614">
            <v>26000</v>
          </cell>
        </row>
        <row r="1615">
          <cell r="A1615" t="str">
            <v>Bông Cải Xanh 7Cm 10/11/2024</v>
          </cell>
          <cell r="B1615">
            <v>40000</v>
          </cell>
        </row>
        <row r="1616">
          <cell r="A1616" t="str">
            <v>Cà Chua Beef 10/11/2024</v>
          </cell>
          <cell r="B1616">
            <v>24000</v>
          </cell>
        </row>
        <row r="1617">
          <cell r="A1617" t="str">
            <v>Bông Cải Xanh 7Cm 10/11/2024</v>
          </cell>
          <cell r="B1617">
            <v>39000</v>
          </cell>
        </row>
        <row r="1618">
          <cell r="A1618" t="str">
            <v>Cà Chua Beef 10/11/2024</v>
          </cell>
          <cell r="B1618">
            <v>24000</v>
          </cell>
        </row>
        <row r="1619">
          <cell r="A1619" t="str">
            <v>Dưa Leo Baby 10/11/2024</v>
          </cell>
          <cell r="B1619">
            <v>5000</v>
          </cell>
        </row>
        <row r="1620">
          <cell r="A1620" t="str">
            <v>Bông Cải Trắng 10/11/2024</v>
          </cell>
          <cell r="B1620">
            <v>27000</v>
          </cell>
        </row>
        <row r="1621">
          <cell r="A1621" t="str">
            <v>Bông Cải Xanh 7Cm 10/11/2024</v>
          </cell>
          <cell r="B1621">
            <v>39000</v>
          </cell>
        </row>
        <row r="1622">
          <cell r="A1622" t="str">
            <v>Đậu Cove Nhật 10/11/2024</v>
          </cell>
          <cell r="B1622">
            <v>6000</v>
          </cell>
        </row>
        <row r="1623">
          <cell r="A1623" t="str">
            <v>Bí Non Nhật 10/11/2024</v>
          </cell>
          <cell r="B1623">
            <v>10000</v>
          </cell>
        </row>
        <row r="1624">
          <cell r="A1624" t="str">
            <v>Trái Su Su 10/11/2024</v>
          </cell>
          <cell r="B1624">
            <v>7000</v>
          </cell>
        </row>
        <row r="1625">
          <cell r="A1625" t="str">
            <v>Lá Mè 10/11/2024</v>
          </cell>
          <cell r="B1625">
            <v>38000</v>
          </cell>
        </row>
        <row r="1626">
          <cell r="A1626" t="str">
            <v>Bông Cải Xanh 7Cm 10/11/2024</v>
          </cell>
          <cell r="B1626">
            <v>39000</v>
          </cell>
        </row>
        <row r="1627">
          <cell r="A1627" t="str">
            <v>Bông Cải Xanh 10Cm 10/11/2024</v>
          </cell>
          <cell r="B1627">
            <v>33000</v>
          </cell>
        </row>
        <row r="1628">
          <cell r="A1628" t="str">
            <v>Trái Mâm Xôi 10/11/2024</v>
          </cell>
          <cell r="B1628">
            <v>35000</v>
          </cell>
        </row>
        <row r="1629">
          <cell r="A1629" t="str">
            <v>Củ Hành Tây Tím 10/11/2024</v>
          </cell>
          <cell r="B1629">
            <v>20000</v>
          </cell>
        </row>
        <row r="1630">
          <cell r="A1630" t="str">
            <v>Củ Khoai Tây Hồng 10/11/2024</v>
          </cell>
          <cell r="B1630">
            <v>25000</v>
          </cell>
        </row>
        <row r="1631">
          <cell r="A1631" t="str">
            <v>Củ Khoai Lang Mật Size 46 10/11/2024</v>
          </cell>
          <cell r="B1631">
            <v>22000</v>
          </cell>
        </row>
        <row r="1632">
          <cell r="A1632" t="str">
            <v>Củ Khoai Lang Mật Size 23 10/11/2024</v>
          </cell>
          <cell r="B1632">
            <v>22000</v>
          </cell>
        </row>
        <row r="1633">
          <cell r="A1633" t="str">
            <v>Dưa Leo Baby 10/11/2024</v>
          </cell>
          <cell r="B1633">
            <v>6000</v>
          </cell>
        </row>
        <row r="1634">
          <cell r="A1634" t="str">
            <v>Bông Cải Xanh 7Cm 10/11/2024</v>
          </cell>
          <cell r="B1634">
            <v>40000</v>
          </cell>
        </row>
        <row r="1635">
          <cell r="A1635" t="str">
            <v>Cần Tây 10/11/2024</v>
          </cell>
          <cell r="B1635">
            <v>12000</v>
          </cell>
        </row>
        <row r="1636">
          <cell r="A1636" t="str">
            <v>Xà Lách Lolo Xanh T.C Cây 10/11/2024</v>
          </cell>
          <cell r="B1636">
            <v>6800</v>
          </cell>
        </row>
        <row r="1637">
          <cell r="A1637" t="str">
            <v>Xà Lách Lolo Xanh T.C 10/11/2024</v>
          </cell>
          <cell r="B1637">
            <v>28000</v>
          </cell>
        </row>
        <row r="1638">
          <cell r="A1638" t="str">
            <v>Xà Lách Mỡ T.C Cây 10/11/2024</v>
          </cell>
          <cell r="B1638">
            <v>6800</v>
          </cell>
        </row>
        <row r="1639">
          <cell r="A1639" t="str">
            <v>Xà Lách Mỡ T.C 10/11/2024</v>
          </cell>
          <cell r="B1639">
            <v>28000</v>
          </cell>
        </row>
        <row r="1640">
          <cell r="A1640" t="str">
            <v>Xà Lách Thủy Tinh T.C Cây 10/11/2024</v>
          </cell>
          <cell r="B1640">
            <v>6800</v>
          </cell>
        </row>
        <row r="1641">
          <cell r="A1641" t="str">
            <v>Xà Lách Thủy Tinh T.C 10/11/2024</v>
          </cell>
          <cell r="B1641">
            <v>30000</v>
          </cell>
        </row>
        <row r="1642">
          <cell r="A1642" t="str">
            <v>Cải Bó Xôi 10/11/2024</v>
          </cell>
          <cell r="B1642">
            <v>32000</v>
          </cell>
        </row>
        <row r="1643">
          <cell r="A1643" t="str">
            <v>Xà Lách Lolo Xanh T.C 10/11/2024</v>
          </cell>
          <cell r="B1643">
            <v>26000</v>
          </cell>
        </row>
        <row r="1644">
          <cell r="A1644" t="str">
            <v>Xà Lách Thủy Tinh T.C Cây 10/11/2024</v>
          </cell>
          <cell r="B1644">
            <v>8000</v>
          </cell>
        </row>
        <row r="1645">
          <cell r="A1645" t="str">
            <v>Xà Lách Mỡ T.C 10/11/2024</v>
          </cell>
          <cell r="B1645">
            <v>26000</v>
          </cell>
        </row>
        <row r="1646">
          <cell r="A1646" t="str">
            <v>Củ Su Hào 10/11/2024</v>
          </cell>
          <cell r="B1646">
            <v>18000</v>
          </cell>
        </row>
        <row r="1647">
          <cell r="A1647" t="str">
            <v>Trái Su Su 10/11/2024</v>
          </cell>
          <cell r="B1647">
            <v>6000</v>
          </cell>
        </row>
        <row r="1648">
          <cell r="A1648" t="str">
            <v>Xà Lách Thủy Tinh T.C Cây 10/11/2024</v>
          </cell>
          <cell r="B1648">
            <v>7000</v>
          </cell>
        </row>
        <row r="1649">
          <cell r="A1649" t="str">
            <v>Cà Tím 10/11/2024</v>
          </cell>
          <cell r="B1649">
            <v>8000</v>
          </cell>
        </row>
        <row r="1650">
          <cell r="A1650" t="str">
            <v>Cà Tím 10/11/2024</v>
          </cell>
          <cell r="B1650">
            <v>5000</v>
          </cell>
        </row>
        <row r="1651">
          <cell r="A1651" t="str">
            <v>Xà Lách Lolo Xanh T.C 10/11/2024</v>
          </cell>
          <cell r="B1651">
            <v>28000</v>
          </cell>
        </row>
        <row r="1652">
          <cell r="A1652" t="str">
            <v>Xà Lách Mỡ T.C 10/11/2024</v>
          </cell>
          <cell r="B1652">
            <v>27000</v>
          </cell>
        </row>
        <row r="1653">
          <cell r="A1653" t="str">
            <v>Củ Khoai Lang Nhật 10/11/2024</v>
          </cell>
          <cell r="B1653">
            <v>19000</v>
          </cell>
        </row>
        <row r="1654">
          <cell r="A1654" t="str">
            <v>Cà Rốt 10/11/2024</v>
          </cell>
          <cell r="B1654">
            <v>16000</v>
          </cell>
        </row>
        <row r="1655">
          <cell r="A1655" t="str">
            <v>Cà Rốt 10/11/2024</v>
          </cell>
          <cell r="B1655">
            <v>17500</v>
          </cell>
        </row>
        <row r="1656">
          <cell r="A1656" t="str">
            <v>Trái Khổ Qua 10/11/2024</v>
          </cell>
          <cell r="B1656">
            <v>20000</v>
          </cell>
        </row>
        <row r="1657">
          <cell r="A1657" t="str">
            <v>Dưa Leo Thường 10/11/2024</v>
          </cell>
          <cell r="B1657">
            <v>6000</v>
          </cell>
        </row>
        <row r="1658">
          <cell r="A1658" t="str">
            <v>Bí Ngòi Xanh 10/11/2024</v>
          </cell>
          <cell r="B1658">
            <v>20000</v>
          </cell>
        </row>
        <row r="1659">
          <cell r="A1659" t="str">
            <v>Củ Khoai Tây Vàng 10/11/2024</v>
          </cell>
          <cell r="B1659">
            <v>15000</v>
          </cell>
        </row>
        <row r="1660">
          <cell r="A1660" t="str">
            <v>Xà Lách Lolo Xanh T.C 10/11/2024</v>
          </cell>
          <cell r="B1660">
            <v>28000</v>
          </cell>
        </row>
        <row r="1661">
          <cell r="A1661" t="str">
            <v>Măng Tây 10/11/2024</v>
          </cell>
          <cell r="B1661">
            <v>53000</v>
          </cell>
        </row>
        <row r="1662">
          <cell r="A1662" t="str">
            <v>Măng Tây 10/11/2024</v>
          </cell>
          <cell r="B1662">
            <v>40000</v>
          </cell>
        </row>
        <row r="1663">
          <cell r="A1663" t="str">
            <v>Củ Dền 10/11/2024</v>
          </cell>
          <cell r="B1663">
            <v>17000</v>
          </cell>
        </row>
        <row r="1664">
          <cell r="A1664" t="str">
            <v>Ớt Chuông Snack 10/11/2024</v>
          </cell>
          <cell r="B1664">
            <v>58000</v>
          </cell>
        </row>
        <row r="1665">
          <cell r="A1665" t="str">
            <v>Ớt Chuông Baby 10/11/2024</v>
          </cell>
          <cell r="B1665">
            <v>48000</v>
          </cell>
        </row>
        <row r="1666">
          <cell r="A1666" t="str">
            <v>Ớt Sweet Palemo 10/11/2024</v>
          </cell>
          <cell r="B1666">
            <v>23000</v>
          </cell>
        </row>
        <row r="1667">
          <cell r="A1667" t="str">
            <v>Rau Ngò Rí 10/11/2024</v>
          </cell>
          <cell r="B1667">
            <v>35000</v>
          </cell>
        </row>
        <row r="1668">
          <cell r="A1668" t="str">
            <v>Chuối Laba 10/11/2024</v>
          </cell>
          <cell r="B1668">
            <v>15000</v>
          </cell>
        </row>
        <row r="1669">
          <cell r="A1669" t="str">
            <v>Cà Chua Socola 10/11/2024</v>
          </cell>
          <cell r="B1669">
            <v>8500</v>
          </cell>
        </row>
        <row r="1670">
          <cell r="A1670" t="str">
            <v>Cà Chua Bi Đỏ 10/11/2024</v>
          </cell>
          <cell r="B1670">
            <v>19000</v>
          </cell>
        </row>
        <row r="1671">
          <cell r="A1671" t="str">
            <v>Cà Chua Bi Đỏ 10/11/2024</v>
          </cell>
          <cell r="B1671">
            <v>11400</v>
          </cell>
        </row>
        <row r="1672">
          <cell r="A1672" t="str">
            <v>Củ Cải Trắng 10/11/2024</v>
          </cell>
          <cell r="B1672">
            <v>7000</v>
          </cell>
        </row>
        <row r="1673">
          <cell r="A1673" t="str">
            <v>Cà Chua Thường 10/11/2024</v>
          </cell>
          <cell r="B1673">
            <v>16000</v>
          </cell>
        </row>
        <row r="1674">
          <cell r="A1674" t="str">
            <v>Cà Chua Thường Trung 10/11/2024</v>
          </cell>
          <cell r="B1674">
            <v>13000</v>
          </cell>
        </row>
        <row r="1675">
          <cell r="A1675" t="str">
            <v>Lá Nha Đam 10/11/2024</v>
          </cell>
          <cell r="B1675">
            <v>14000</v>
          </cell>
        </row>
        <row r="1676">
          <cell r="A1676" t="str">
            <v>Bí Đỏ Hồ Lô 10/11/2024</v>
          </cell>
          <cell r="B1676">
            <v>12000</v>
          </cell>
        </row>
        <row r="1677">
          <cell r="A1677" t="str">
            <v>Chuối Laba 10/11/2024</v>
          </cell>
          <cell r="B1677">
            <v>13000</v>
          </cell>
        </row>
        <row r="1678">
          <cell r="A1678" t="str">
            <v>Củ Gừng 10/11/2024</v>
          </cell>
          <cell r="B1678">
            <v>45000</v>
          </cell>
        </row>
        <row r="1679">
          <cell r="A1679" t="str">
            <v>Củ Khoai Mỡ 10/11/2024</v>
          </cell>
          <cell r="B1679">
            <v>30000</v>
          </cell>
        </row>
        <row r="1680">
          <cell r="A1680" t="str">
            <v>Hành Paro 10/11/2024</v>
          </cell>
          <cell r="B1680">
            <v>37000</v>
          </cell>
        </row>
        <row r="1681">
          <cell r="A1681" t="str">
            <v>Ớt Chuông Đỏ 10/11/2024</v>
          </cell>
          <cell r="B1681">
            <v>42000</v>
          </cell>
        </row>
        <row r="1682">
          <cell r="A1682" t="str">
            <v>Ớt Chuông Đỏ Trung 10/11/2024</v>
          </cell>
          <cell r="B1682">
            <v>37000</v>
          </cell>
        </row>
        <row r="1683">
          <cell r="A1683" t="str">
            <v>Ớt Chuông Vàng 10/11/2024</v>
          </cell>
          <cell r="B1683">
            <v>22000</v>
          </cell>
        </row>
        <row r="1684">
          <cell r="A1684" t="str">
            <v>Ớt Chuông Vàng Trung 10/11/2024</v>
          </cell>
          <cell r="B1684">
            <v>17000</v>
          </cell>
        </row>
        <row r="1685">
          <cell r="A1685" t="str">
            <v>Đậu Cove Trắng 10/11/2024</v>
          </cell>
          <cell r="B1685">
            <v>11000</v>
          </cell>
        </row>
        <row r="1686">
          <cell r="A1686" t="str">
            <v>Đậu Cove Trắng 10/11/2024</v>
          </cell>
          <cell r="B1686">
            <v>8000</v>
          </cell>
        </row>
        <row r="1687">
          <cell r="A1687" t="str">
            <v>Bí Non Nhật 10/11/2024</v>
          </cell>
          <cell r="B1687">
            <v>15000</v>
          </cell>
        </row>
        <row r="1688">
          <cell r="A1688" t="str">
            <v>Dưa Leo Thường 10/11/2024</v>
          </cell>
          <cell r="B1688">
            <v>9000</v>
          </cell>
        </row>
        <row r="1689">
          <cell r="A1689" t="str">
            <v>Dưa Leo Nhật 10/11/2024</v>
          </cell>
          <cell r="B1689">
            <v>11000</v>
          </cell>
        </row>
        <row r="1690">
          <cell r="A1690" t="str">
            <v>Cà Chua Socola 10/11/2024</v>
          </cell>
          <cell r="B1690">
            <v>12000</v>
          </cell>
        </row>
        <row r="1691">
          <cell r="A1691" t="str">
            <v>Bí Ngòi Vàng 10/11/2024</v>
          </cell>
          <cell r="B1691">
            <v>60000</v>
          </cell>
        </row>
        <row r="1692">
          <cell r="A1692" t="str">
            <v>Cà Chua Socola 10/11/2024</v>
          </cell>
          <cell r="B1692">
            <v>14000</v>
          </cell>
        </row>
        <row r="1693">
          <cell r="A1693" t="str">
            <v>Bắp Cải Trái Tim 10/11/2024</v>
          </cell>
          <cell r="B1693">
            <v>21000</v>
          </cell>
        </row>
        <row r="1694">
          <cell r="A1694" t="str">
            <v>Hồng Treo Gió 10/11/2024</v>
          </cell>
          <cell r="B1694">
            <v>200000</v>
          </cell>
        </row>
        <row r="1695">
          <cell r="A1695" t="str">
            <v>Dưa Leo Baby 10/11/2024</v>
          </cell>
          <cell r="B1695">
            <v>7500</v>
          </cell>
        </row>
        <row r="1696">
          <cell r="A1696" t="str">
            <v>Bí Ngòi Xanh 10/11/2024</v>
          </cell>
          <cell r="B1696">
            <v>22000</v>
          </cell>
        </row>
        <row r="1697">
          <cell r="A1697" t="str">
            <v>Dưa Leo Baby 10/11/2024</v>
          </cell>
          <cell r="B1697">
            <v>6000</v>
          </cell>
        </row>
        <row r="1698">
          <cell r="A1698" t="str">
            <v>Cải Thảo 10/11/2024</v>
          </cell>
          <cell r="B1698">
            <v>7500</v>
          </cell>
        </row>
        <row r="1699">
          <cell r="A1699" t="str">
            <v>Xà Lách Mỹ 10/11/2024</v>
          </cell>
          <cell r="B1699">
            <v>38000</v>
          </cell>
        </row>
        <row r="1700">
          <cell r="A1700" t="str">
            <v>Bí Ngô Mini 10/11/2024</v>
          </cell>
          <cell r="B1700">
            <v>55000</v>
          </cell>
        </row>
        <row r="1701">
          <cell r="A1701" t="str">
            <v>Hồng Giòn Đà Lạt 10/11/2024</v>
          </cell>
          <cell r="B1701">
            <v>28000</v>
          </cell>
        </row>
        <row r="1702">
          <cell r="A1702" t="str">
            <v>Bắp Cải Trắng 10/11/2024</v>
          </cell>
          <cell r="B1702">
            <v>11000</v>
          </cell>
        </row>
        <row r="1703">
          <cell r="A1703" t="str">
            <v>Lá Mè 10/11/2024</v>
          </cell>
          <cell r="B1703">
            <v>40000</v>
          </cell>
        </row>
        <row r="1704">
          <cell r="A1704" t="str">
            <v>Cà Rốt Baby 10/11/2024</v>
          </cell>
          <cell r="B1704">
            <v>55000</v>
          </cell>
        </row>
        <row r="1705">
          <cell r="A1705" t="str">
            <v>Cải Kale 10/11/2024</v>
          </cell>
          <cell r="B1705">
            <v>35000</v>
          </cell>
        </row>
        <row r="1706">
          <cell r="A1706" t="str">
            <v>Cải Kale 10/11/2024</v>
          </cell>
          <cell r="B1706">
            <v>38000</v>
          </cell>
        </row>
        <row r="1707">
          <cell r="A1707" t="str">
            <v>Cải Cầu Vồng 10/11/2024</v>
          </cell>
          <cell r="B1707">
            <v>20000</v>
          </cell>
        </row>
        <row r="1708">
          <cell r="A1708" t="str">
            <v>Bông Cải Xanh Baby 10/11/2024</v>
          </cell>
          <cell r="B1708">
            <v>57000</v>
          </cell>
        </row>
        <row r="1709">
          <cell r="A1709" t="str">
            <v>Xà Lách Lolo Tím 10/11/2024</v>
          </cell>
          <cell r="B1709">
            <v>50000</v>
          </cell>
        </row>
        <row r="1710">
          <cell r="A1710" t="str">
            <v>Xà Lách Lolo Xanh 10/11/2024</v>
          </cell>
          <cell r="B1710">
            <v>30000</v>
          </cell>
        </row>
        <row r="1711">
          <cell r="A1711" t="str">
            <v>Cà Chua Beef Trung 10/11/2024</v>
          </cell>
          <cell r="B1711">
            <v>23000</v>
          </cell>
        </row>
        <row r="1712">
          <cell r="A1712" t="str">
            <v>Ớt Sweet Palemo 10/11/2024</v>
          </cell>
          <cell r="B1712">
            <v>22000</v>
          </cell>
        </row>
        <row r="1713">
          <cell r="A1713" t="str">
            <v>Rau Bầu Đất 10/11/2024</v>
          </cell>
          <cell r="B1713">
            <v>21200</v>
          </cell>
        </row>
        <row r="1714">
          <cell r="A1714" t="str">
            <v>Gia Công Rau Củ Quả 10/11/2024</v>
          </cell>
          <cell r="B1714">
            <v>1200</v>
          </cell>
        </row>
        <row r="1715">
          <cell r="A1715" t="str">
            <v>Gia Công Rau Củ Quả 10/11/2024</v>
          </cell>
          <cell r="B1715">
            <v>2000</v>
          </cell>
        </row>
        <row r="1716">
          <cell r="A1716" t="str">
            <v>CT-MÍT 10/11/2024</v>
          </cell>
          <cell r="B1716">
            <v>14386</v>
          </cell>
        </row>
        <row r="1717">
          <cell r="A1717" t="str">
            <v>Hạt Dẻ Ngố 10/11/2024</v>
          </cell>
          <cell r="B1717">
            <v>26400</v>
          </cell>
        </row>
        <row r="1718">
          <cell r="A1718" t="str">
            <v>Hạt Dẻ Ngố 10/11/2024</v>
          </cell>
          <cell r="B1718">
            <v>28600</v>
          </cell>
        </row>
        <row r="1719">
          <cell r="A1719" t="str">
            <v>Chanh Dây Tím 10/11/2024</v>
          </cell>
          <cell r="B1719">
            <v>31000</v>
          </cell>
        </row>
        <row r="1720">
          <cell r="A1720" t="str">
            <v>Cần Tây 10/11/2024</v>
          </cell>
          <cell r="B1720">
            <v>10000</v>
          </cell>
        </row>
        <row r="1721">
          <cell r="A1721" t="str">
            <v>Bắp Cải Tím 10/11/2024</v>
          </cell>
          <cell r="B1721">
            <v>30000</v>
          </cell>
        </row>
        <row r="1722">
          <cell r="A1722" t="str">
            <v>Bông Cải Xanh Cọng 10/11/2024</v>
          </cell>
          <cell r="B1722">
            <v>30000</v>
          </cell>
        </row>
        <row r="1723">
          <cell r="A1723" t="str">
            <v>Ớt Chuông Đỏ 10/11/2024</v>
          </cell>
          <cell r="B1723">
            <v>41000</v>
          </cell>
        </row>
        <row r="1724">
          <cell r="A1724" t="str">
            <v>Ớt Chuông Vàng 10/11/2024</v>
          </cell>
          <cell r="B1724">
            <v>20000</v>
          </cell>
        </row>
        <row r="1725">
          <cell r="A1725" t="str">
            <v>Cải Thảo Hỏa Tiễn 10/11/2024</v>
          </cell>
          <cell r="B1725">
            <v>16000</v>
          </cell>
        </row>
        <row r="1726">
          <cell r="A1726" t="str">
            <v>Bí Đao Xanh 10/11/2024</v>
          </cell>
          <cell r="B1726">
            <v>10000</v>
          </cell>
        </row>
        <row r="1727">
          <cell r="A1727" t="str">
            <v>Đậu Cove Nhật 10/11/2024</v>
          </cell>
          <cell r="B1727">
            <v>6000</v>
          </cell>
        </row>
        <row r="1728">
          <cell r="A1728" t="str">
            <v>Bơ Booth 10/11/2024</v>
          </cell>
          <cell r="B1728">
            <v>25000</v>
          </cell>
        </row>
        <row r="1729">
          <cell r="A1729" t="str">
            <v>Củ Su Hào 10/11/2024</v>
          </cell>
          <cell r="B1729">
            <v>18000</v>
          </cell>
        </row>
        <row r="1730">
          <cell r="A1730" t="str">
            <v>Cà Chua Beef Chùm 10/11/2024</v>
          </cell>
          <cell r="B1730">
            <v>25000</v>
          </cell>
        </row>
        <row r="1731">
          <cell r="A1731" t="str">
            <v>Cà Chua Beef 10/11/2024</v>
          </cell>
          <cell r="B1731">
            <v>24000</v>
          </cell>
        </row>
        <row r="1732">
          <cell r="A1732" t="str">
            <v>Trái Su Su 10/11/2024</v>
          </cell>
          <cell r="B1732">
            <v>6500</v>
          </cell>
        </row>
        <row r="1733">
          <cell r="A1733" t="str">
            <v>Củ Khoai Lang Nhật 10/11/2024</v>
          </cell>
          <cell r="B1733">
            <v>19000</v>
          </cell>
        </row>
        <row r="1734">
          <cell r="A1734" t="str">
            <v>Cà Rốt Trung 10/11/2024</v>
          </cell>
          <cell r="B1734">
            <v>14000</v>
          </cell>
        </row>
        <row r="1735">
          <cell r="A1735" t="str">
            <v>Bí Ngòi Xanh 10/11/2024</v>
          </cell>
          <cell r="B1735">
            <v>22500</v>
          </cell>
        </row>
        <row r="1736">
          <cell r="A1736" t="str">
            <v>Củ Khoai Tây Vàng 10/11/2024</v>
          </cell>
          <cell r="B1736">
            <v>15000</v>
          </cell>
        </row>
        <row r="1737">
          <cell r="A1737" t="str">
            <v>Cà Chua Beef 10/11/2024</v>
          </cell>
          <cell r="B1737">
            <v>25000</v>
          </cell>
        </row>
        <row r="1738">
          <cell r="A1738" t="str">
            <v>Củ Cải Trắng 10/11/2024</v>
          </cell>
          <cell r="B1738">
            <v>7000</v>
          </cell>
        </row>
        <row r="1739">
          <cell r="A1739" t="str">
            <v>Cà Chua Thường 10/11/2024</v>
          </cell>
          <cell r="B1739">
            <v>17000</v>
          </cell>
        </row>
        <row r="1740">
          <cell r="A1740" t="str">
            <v>Cà Chua Thường 10/11/2024</v>
          </cell>
          <cell r="B1740">
            <v>16000</v>
          </cell>
        </row>
        <row r="1741">
          <cell r="A1741" t="str">
            <v>Củ Dền 10/11/2024</v>
          </cell>
          <cell r="B1741">
            <v>18000</v>
          </cell>
        </row>
        <row r="1742">
          <cell r="A1742" t="str">
            <v>Bí Đao Xanh 10/11/2024</v>
          </cell>
          <cell r="B1742">
            <v>7500</v>
          </cell>
        </row>
        <row r="1743">
          <cell r="A1743" t="str">
            <v>Cà Tím 10/11/2024</v>
          </cell>
          <cell r="B1743">
            <v>8500</v>
          </cell>
        </row>
        <row r="1744">
          <cell r="A1744" t="str">
            <v>Trái Su Su 10/11/2024</v>
          </cell>
          <cell r="B1744">
            <v>6500</v>
          </cell>
        </row>
        <row r="1745">
          <cell r="A1745" t="str">
            <v>Hành Paro 10/11/2024</v>
          </cell>
          <cell r="B1745">
            <v>37000</v>
          </cell>
        </row>
        <row r="1746">
          <cell r="A1746" t="str">
            <v>Cải Thảo 10/11/2024</v>
          </cell>
          <cell r="B1746">
            <v>7500</v>
          </cell>
        </row>
        <row r="1747">
          <cell r="A1747" t="str">
            <v>Cải Thảo Kim Chi 10/11/2024</v>
          </cell>
          <cell r="B1747">
            <v>5500</v>
          </cell>
        </row>
        <row r="1748">
          <cell r="A1748" t="str">
            <v>Đậu Cove Trắng 10/11/2024</v>
          </cell>
          <cell r="B1748">
            <v>11000</v>
          </cell>
        </row>
        <row r="1749">
          <cell r="A1749" t="str">
            <v>Bắp Cải Trắng 10/11/2024</v>
          </cell>
          <cell r="B1749">
            <v>11000</v>
          </cell>
        </row>
        <row r="1750">
          <cell r="A1750" t="str">
            <v>Hồng Giòn Đà Lạt 10/11/2024</v>
          </cell>
          <cell r="B1750">
            <v>28000</v>
          </cell>
        </row>
        <row r="1751">
          <cell r="A1751" t="str">
            <v>Hạt Dẻ Ngố 10/11/2024</v>
          </cell>
          <cell r="B1751">
            <v>28600</v>
          </cell>
        </row>
        <row r="1752">
          <cell r="A1752" t="str">
            <v>DO 0.05S-II 11/11/2024</v>
          </cell>
          <cell r="B1752">
            <v>17527.27</v>
          </cell>
        </row>
        <row r="1753">
          <cell r="A1753" t="str">
            <v>DO 0.05S-II 11/11/2024</v>
          </cell>
          <cell r="B1753">
            <v>17527.27</v>
          </cell>
        </row>
        <row r="1754">
          <cell r="A1754" t="str">
            <v>DO 0.05S-II 11/11/2024</v>
          </cell>
          <cell r="B1754">
            <v>17527.27</v>
          </cell>
        </row>
        <row r="1755">
          <cell r="A1755" t="str">
            <v>Cước đường bộ xe 49C37197T đi qua trạm Cầu Phú Mỹ thời gian GD 06:35:32 ngày 11/11/2024 mã GD 1491489785 11/11/2024</v>
          </cell>
          <cell r="B1755">
            <v>22222</v>
          </cell>
        </row>
        <row r="1756">
          <cell r="A1756" t="str">
            <v>Cước đường bộ xe 49C37197T đi qua trạm Xa Lộ - Hà Nội thời gian GD 02:29:20 ngày 11/11/2024 mã GD 1491347371 11/11/2024</v>
          </cell>
          <cell r="B1756">
            <v>50000</v>
          </cell>
        </row>
        <row r="1757">
          <cell r="A1757" t="str">
            <v>Cước đường bộ xe 49C37197T đi qua đoạn Long Phước - NH51 thời gian GD 07:08:27 ngày 11/11/2024 mã GD 1491512777 11/11/2024</v>
          </cell>
          <cell r="B1757">
            <v>76806</v>
          </cell>
        </row>
        <row r="1758">
          <cell r="A1758" t="str">
            <v>Cước đường bộ xe 49C37197T đi qua trạm Liên Đầm thời gian GD 13:00:45 ngày 11/11/2024 mã GD 1492017985 11/11/2024</v>
          </cell>
          <cell r="B1758">
            <v>78704</v>
          </cell>
        </row>
        <row r="1759">
          <cell r="A1759" t="str">
            <v>Cước đường bộ xe 49C37197T đi qua trạm Liên Đầm thời gian GD 20:59:58 ngày 11/11/2024 mã GD 1492641056 11/11/2024</v>
          </cell>
          <cell r="B1759">
            <v>78704</v>
          </cell>
        </row>
        <row r="1760">
          <cell r="A1760" t="str">
            <v>Xà Lách Lolo Xanh T.C Cây 11/11/2024</v>
          </cell>
          <cell r="B1760">
            <v>6800</v>
          </cell>
        </row>
        <row r="1761">
          <cell r="A1761" t="str">
            <v>Xà Lách Lolo Xanh T.C 11/11/2024</v>
          </cell>
          <cell r="B1761">
            <v>28000</v>
          </cell>
        </row>
        <row r="1762">
          <cell r="A1762" t="str">
            <v>Xà Lách Mỡ T.C Cây 11/11/2024</v>
          </cell>
          <cell r="B1762">
            <v>6800</v>
          </cell>
        </row>
        <row r="1763">
          <cell r="A1763" t="str">
            <v>Xà Lách Mỡ T.C 11/11/2024</v>
          </cell>
          <cell r="B1763">
            <v>28000</v>
          </cell>
        </row>
        <row r="1764">
          <cell r="A1764" t="str">
            <v>Xà Lách Thủy Tinh T.C Cây 11/11/2024</v>
          </cell>
          <cell r="B1764">
            <v>6800</v>
          </cell>
        </row>
        <row r="1765">
          <cell r="A1765" t="str">
            <v>Xà Lách Thủy Tinh T.C 11/11/2024</v>
          </cell>
          <cell r="B1765">
            <v>30000</v>
          </cell>
        </row>
        <row r="1766">
          <cell r="A1766" t="str">
            <v>Bí Ngòi Xanh 11/11/2024</v>
          </cell>
          <cell r="B1766">
            <v>20000</v>
          </cell>
        </row>
        <row r="1767">
          <cell r="A1767" t="str">
            <v>Bắp Cải Trái Tim 11/11/2024</v>
          </cell>
          <cell r="B1767">
            <v>18000</v>
          </cell>
        </row>
        <row r="1768">
          <cell r="A1768" t="str">
            <v>Bông Cải Xanh 7Cm 11/11/2024</v>
          </cell>
          <cell r="B1768">
            <v>39000</v>
          </cell>
        </row>
        <row r="1769">
          <cell r="A1769" t="str">
            <v>Cần Tây 11/11/2024</v>
          </cell>
          <cell r="B1769">
            <v>10000</v>
          </cell>
        </row>
        <row r="1770">
          <cell r="A1770" t="str">
            <v>Dưa Leo Baby 11/11/2024</v>
          </cell>
          <cell r="B1770">
            <v>6000</v>
          </cell>
        </row>
        <row r="1771">
          <cell r="A1771" t="str">
            <v>Dưa Leo Baby 11/11/2024</v>
          </cell>
          <cell r="B1771">
            <v>6000</v>
          </cell>
        </row>
        <row r="1772">
          <cell r="A1772" t="str">
            <v>Bắp Cải Tím 11/11/2024</v>
          </cell>
          <cell r="B1772">
            <v>30000</v>
          </cell>
        </row>
        <row r="1773">
          <cell r="A1773" t="str">
            <v>Cần Tây 11/11/2024</v>
          </cell>
          <cell r="B1773">
            <v>10000</v>
          </cell>
        </row>
        <row r="1774">
          <cell r="A1774" t="str">
            <v>Đậu Đỏ 11/11/2024</v>
          </cell>
          <cell r="B1774">
            <v>80000</v>
          </cell>
        </row>
        <row r="1775">
          <cell r="A1775" t="str">
            <v>Đậu Ngự 11/11/2024</v>
          </cell>
          <cell r="B1775">
            <v>70000</v>
          </cell>
        </row>
        <row r="1776">
          <cell r="A1776" t="str">
            <v>Đậu Trắng 11/11/2024</v>
          </cell>
          <cell r="B1776">
            <v>70000</v>
          </cell>
        </row>
        <row r="1777">
          <cell r="A1777" t="str">
            <v>Lá Mè 11/11/2024</v>
          </cell>
          <cell r="B1777">
            <v>38000</v>
          </cell>
        </row>
        <row r="1778">
          <cell r="A1778" t="str">
            <v>Cần Tây 11/11/2024</v>
          </cell>
          <cell r="B1778">
            <v>12000</v>
          </cell>
        </row>
        <row r="1779">
          <cell r="A1779" t="str">
            <v>Bông Cải Xanh 7Cm 11/11/2024</v>
          </cell>
          <cell r="B1779">
            <v>39000</v>
          </cell>
        </row>
        <row r="1780">
          <cell r="A1780" t="str">
            <v>Bí Ngòi Xanh 11/11/2024</v>
          </cell>
          <cell r="B1780">
            <v>20000</v>
          </cell>
        </row>
        <row r="1781">
          <cell r="A1781" t="str">
            <v>Củ Hành Tây Tím 11/11/2024</v>
          </cell>
          <cell r="B1781">
            <v>20000</v>
          </cell>
        </row>
        <row r="1782">
          <cell r="A1782" t="str">
            <v>Bông Cải Xanh 7Cm 11/11/2024</v>
          </cell>
          <cell r="B1782">
            <v>39000</v>
          </cell>
        </row>
        <row r="1783">
          <cell r="A1783" t="str">
            <v>Bông Cải Trắng 11/11/2024</v>
          </cell>
          <cell r="B1783">
            <v>27000</v>
          </cell>
        </row>
        <row r="1784">
          <cell r="A1784" t="str">
            <v>Bí Non Nhật 11/11/2024</v>
          </cell>
          <cell r="B1784">
            <v>10000</v>
          </cell>
        </row>
        <row r="1785">
          <cell r="A1785" t="str">
            <v>Trái Su Su 11/11/2024</v>
          </cell>
          <cell r="B1785">
            <v>7000</v>
          </cell>
        </row>
        <row r="1786">
          <cell r="A1786" t="str">
            <v>Đậu Cove Nhật 11/11/2024</v>
          </cell>
          <cell r="B1786">
            <v>6000</v>
          </cell>
        </row>
        <row r="1787">
          <cell r="A1787" t="str">
            <v>Bông Cải Xanh 10Cm 11/11/2024</v>
          </cell>
          <cell r="B1787">
            <v>33000</v>
          </cell>
        </row>
        <row r="1788">
          <cell r="A1788" t="str">
            <v>Dưa Leo Baby 11/11/2024</v>
          </cell>
          <cell r="B1788">
            <v>5000</v>
          </cell>
        </row>
        <row r="1789">
          <cell r="A1789" t="str">
            <v>Bông Cải Xanh 7Cm 11/11/2024</v>
          </cell>
          <cell r="B1789">
            <v>39000</v>
          </cell>
        </row>
        <row r="1790">
          <cell r="A1790" t="str">
            <v>Trái Su Su 11/11/2024</v>
          </cell>
          <cell r="B1790">
            <v>6500</v>
          </cell>
        </row>
        <row r="1791">
          <cell r="A1791" t="str">
            <v>Lá Nha Đam 11/11/2024</v>
          </cell>
          <cell r="B1791">
            <v>14000</v>
          </cell>
        </row>
        <row r="1792">
          <cell r="A1792" t="str">
            <v>Củ Gừng 11/11/2024</v>
          </cell>
          <cell r="B1792">
            <v>45000</v>
          </cell>
        </row>
        <row r="1793">
          <cell r="A1793" t="str">
            <v>Bí Đỏ Hồ Lô 11/11/2024</v>
          </cell>
          <cell r="B1793">
            <v>12000</v>
          </cell>
        </row>
        <row r="1794">
          <cell r="A1794" t="str">
            <v>Chuối Laba 11/11/2024</v>
          </cell>
          <cell r="B1794">
            <v>13000</v>
          </cell>
        </row>
        <row r="1795">
          <cell r="A1795" t="str">
            <v>Cà Rốt 11/11/2024</v>
          </cell>
          <cell r="B1795">
            <v>15000</v>
          </cell>
        </row>
        <row r="1796">
          <cell r="A1796" t="str">
            <v>Bí Đao Xanh 11/11/2024</v>
          </cell>
          <cell r="B1796">
            <v>7500</v>
          </cell>
        </row>
        <row r="1797">
          <cell r="A1797" t="str">
            <v>Xà Lách Lolo Xanh T.C 11/11/2024</v>
          </cell>
          <cell r="B1797">
            <v>28000</v>
          </cell>
        </row>
        <row r="1798">
          <cell r="A1798" t="str">
            <v>Xà Lách Mỡ T.C 11/11/2024</v>
          </cell>
          <cell r="B1798">
            <v>27000</v>
          </cell>
        </row>
        <row r="1799">
          <cell r="A1799" t="str">
            <v>Xà Lách Thủy Tinh T.C Cây 11/11/2024</v>
          </cell>
          <cell r="B1799">
            <v>7000</v>
          </cell>
        </row>
        <row r="1800">
          <cell r="A1800" t="str">
            <v>Củ Khoai Lang Nhật 11/11/2024</v>
          </cell>
          <cell r="B1800">
            <v>19000</v>
          </cell>
        </row>
        <row r="1801">
          <cell r="A1801" t="str">
            <v>Cà Rốt 11/11/2024</v>
          </cell>
          <cell r="B1801">
            <v>17000</v>
          </cell>
        </row>
        <row r="1802">
          <cell r="A1802" t="str">
            <v>Cà Tím 11/11/2024</v>
          </cell>
          <cell r="B1802">
            <v>8000</v>
          </cell>
        </row>
        <row r="1803">
          <cell r="A1803" t="str">
            <v>Cà Tím 11/11/2024</v>
          </cell>
          <cell r="B1803">
            <v>5000</v>
          </cell>
        </row>
        <row r="1804">
          <cell r="A1804" t="str">
            <v>Củ Cải Trắng 11/11/2024</v>
          </cell>
          <cell r="B1804">
            <v>7000</v>
          </cell>
        </row>
        <row r="1805">
          <cell r="A1805" t="str">
            <v>Củ Khoai Tây Vàng 11/11/2024</v>
          </cell>
          <cell r="B1805">
            <v>15000</v>
          </cell>
        </row>
        <row r="1806">
          <cell r="A1806" t="str">
            <v>Xà Lách Lolo Xanh T.C 11/11/2024</v>
          </cell>
          <cell r="B1806">
            <v>28000</v>
          </cell>
        </row>
        <row r="1807">
          <cell r="A1807" t="str">
            <v>Cà Chua Thường 11/11/2024</v>
          </cell>
          <cell r="B1807">
            <v>18000</v>
          </cell>
        </row>
        <row r="1808">
          <cell r="A1808" t="str">
            <v>Củ Su Hào 11/11/2024</v>
          </cell>
          <cell r="B1808">
            <v>18000</v>
          </cell>
        </row>
        <row r="1809">
          <cell r="A1809" t="str">
            <v>Xà Lách Lolo Xanh T.C 11/11/2024</v>
          </cell>
          <cell r="B1809">
            <v>26000</v>
          </cell>
        </row>
        <row r="1810">
          <cell r="A1810" t="str">
            <v>Xà Lách Thủy Tinh T.C Cây 11/11/2024</v>
          </cell>
          <cell r="B1810">
            <v>8000</v>
          </cell>
        </row>
        <row r="1811">
          <cell r="A1811" t="str">
            <v>Xà Lách Mỡ T.C 11/11/2024</v>
          </cell>
          <cell r="B1811">
            <v>26000</v>
          </cell>
        </row>
        <row r="1812">
          <cell r="A1812" t="str">
            <v>Củ Dền 11/11/2024</v>
          </cell>
          <cell r="B1812">
            <v>17000</v>
          </cell>
        </row>
        <row r="1813">
          <cell r="A1813" t="str">
            <v>Bắp Cải Trắng 11/11/2024</v>
          </cell>
          <cell r="B1813">
            <v>11000</v>
          </cell>
        </row>
        <row r="1814">
          <cell r="A1814" t="str">
            <v>Bí Ngòi Xanh 11/11/2024</v>
          </cell>
          <cell r="B1814">
            <v>22500</v>
          </cell>
        </row>
        <row r="1815">
          <cell r="A1815" t="str">
            <v>Cải Bó Xôi 11/11/2024</v>
          </cell>
          <cell r="B1815">
            <v>32000</v>
          </cell>
        </row>
        <row r="1816">
          <cell r="A1816" t="str">
            <v>Ớt Chuông Đỏ 11/11/2024</v>
          </cell>
          <cell r="B1816">
            <v>41000</v>
          </cell>
        </row>
        <row r="1817">
          <cell r="A1817" t="str">
            <v>Ớt Chuông Xanh 11/11/2024</v>
          </cell>
          <cell r="B1817">
            <v>28000</v>
          </cell>
        </row>
        <row r="1818">
          <cell r="A1818" t="str">
            <v>Ớt Chuông Xanh Trung 11/11/2024</v>
          </cell>
          <cell r="B1818">
            <v>23000</v>
          </cell>
        </row>
        <row r="1819">
          <cell r="A1819" t="str">
            <v>Ớt Chuông Vàng 11/11/2024</v>
          </cell>
          <cell r="B1819">
            <v>20000</v>
          </cell>
        </row>
        <row r="1820">
          <cell r="A1820" t="str">
            <v>Cải Thảo 11/11/2024</v>
          </cell>
          <cell r="B1820">
            <v>7500</v>
          </cell>
        </row>
        <row r="1821">
          <cell r="A1821" t="str">
            <v>Măng Tây 11/11/2024</v>
          </cell>
          <cell r="B1821">
            <v>57000</v>
          </cell>
        </row>
        <row r="1822">
          <cell r="A1822" t="str">
            <v>Măng Tây 11/11/2024</v>
          </cell>
          <cell r="B1822">
            <v>47000</v>
          </cell>
        </row>
        <row r="1823">
          <cell r="A1823" t="str">
            <v>Lá É 11/11/2024</v>
          </cell>
          <cell r="B1823">
            <v>29000</v>
          </cell>
        </row>
        <row r="1824">
          <cell r="A1824" t="str">
            <v>Cà Chua Thường Trung 11/11/2024</v>
          </cell>
          <cell r="B1824">
            <v>13000</v>
          </cell>
        </row>
        <row r="1825">
          <cell r="A1825" t="str">
            <v>Cà Chua Thường 11/11/2024</v>
          </cell>
          <cell r="B1825">
            <v>16000</v>
          </cell>
        </row>
        <row r="1826">
          <cell r="A1826" t="str">
            <v>Ớt Sweet Palemo 11/11/2024</v>
          </cell>
          <cell r="B1826">
            <v>21000</v>
          </cell>
        </row>
        <row r="1827">
          <cell r="A1827" t="str">
            <v>Cà Chua Beef 11/11/2024</v>
          </cell>
          <cell r="B1827">
            <v>24000</v>
          </cell>
        </row>
        <row r="1828">
          <cell r="A1828" t="str">
            <v>Trái Mâm Xôi 11/11/2024</v>
          </cell>
          <cell r="B1828">
            <v>35000</v>
          </cell>
        </row>
        <row r="1829">
          <cell r="A1829" t="str">
            <v>Ớt Chuông Baby 11/11/2024</v>
          </cell>
          <cell r="B1829">
            <v>48000</v>
          </cell>
        </row>
        <row r="1830">
          <cell r="A1830" t="str">
            <v>Ớt Chuông Snack 11/11/2024</v>
          </cell>
          <cell r="B1830">
            <v>58000</v>
          </cell>
        </row>
        <row r="1831">
          <cell r="A1831" t="str">
            <v>Ớt Sweet Palemo 11/11/2024</v>
          </cell>
          <cell r="B1831">
            <v>23000</v>
          </cell>
        </row>
        <row r="1832">
          <cell r="A1832" t="str">
            <v>Trái Khổ Qua 11/11/2024</v>
          </cell>
          <cell r="B1832">
            <v>20000</v>
          </cell>
        </row>
        <row r="1833">
          <cell r="A1833" t="str">
            <v>Cà Rốt 11/11/2024</v>
          </cell>
          <cell r="B1833">
            <v>15500</v>
          </cell>
        </row>
        <row r="1834">
          <cell r="A1834" t="str">
            <v>Dưa Leo Baby 11/11/2024</v>
          </cell>
          <cell r="B1834">
            <v>7500</v>
          </cell>
        </row>
        <row r="1835">
          <cell r="A1835" t="str">
            <v>Bắp Cải Trái Tim 11/11/2024</v>
          </cell>
          <cell r="B1835">
            <v>21000</v>
          </cell>
        </row>
        <row r="1836">
          <cell r="A1836" t="str">
            <v>Cà Chua Socola 11/11/2024</v>
          </cell>
          <cell r="B1836">
            <v>12000</v>
          </cell>
        </row>
        <row r="1837">
          <cell r="A1837" t="str">
            <v>Cà Chua Socola 11/11/2024</v>
          </cell>
          <cell r="B1837">
            <v>14000</v>
          </cell>
        </row>
        <row r="1838">
          <cell r="A1838" t="str">
            <v>Lá Tía Tô 11/11/2024</v>
          </cell>
          <cell r="B1838">
            <v>32000</v>
          </cell>
        </row>
        <row r="1839">
          <cell r="A1839" t="str">
            <v>Xà Lách Carol 11/11/2024</v>
          </cell>
          <cell r="B1839">
            <v>32000</v>
          </cell>
        </row>
        <row r="1840">
          <cell r="A1840" t="str">
            <v>Xà Lách Rocket 11/11/2024</v>
          </cell>
          <cell r="B1840">
            <v>120000</v>
          </cell>
        </row>
        <row r="1841">
          <cell r="A1841" t="str">
            <v>Cà Chua Bi Đỏ 11/11/2024</v>
          </cell>
          <cell r="B1841">
            <v>16500</v>
          </cell>
        </row>
        <row r="1842">
          <cell r="A1842" t="str">
            <v>Cà Chua Bi Đỏ 11/11/2024</v>
          </cell>
          <cell r="B1842">
            <v>9900</v>
          </cell>
        </row>
        <row r="1843">
          <cell r="A1843" t="str">
            <v>Cà Rốt Trung 11/11/2024</v>
          </cell>
          <cell r="B1843">
            <v>12000</v>
          </cell>
        </row>
        <row r="1844">
          <cell r="A1844" t="str">
            <v>Bơ Booth 11/11/2024</v>
          </cell>
          <cell r="B1844">
            <v>26000</v>
          </cell>
        </row>
        <row r="1845">
          <cell r="A1845" t="str">
            <v>Bí Đỏ Tròn 11/11/2024</v>
          </cell>
          <cell r="B1845">
            <v>5200</v>
          </cell>
        </row>
        <row r="1846">
          <cell r="A1846" t="str">
            <v>Cà Chua Socola 11/11/2024</v>
          </cell>
          <cell r="B1846">
            <v>8500</v>
          </cell>
        </row>
        <row r="1847">
          <cell r="A1847" t="str">
            <v>Hành Paro 11/11/2024</v>
          </cell>
          <cell r="B1847">
            <v>38000</v>
          </cell>
        </row>
        <row r="1848">
          <cell r="A1848" t="str">
            <v>Bí Non Nhật 11/11/2024</v>
          </cell>
          <cell r="B1848">
            <v>14000</v>
          </cell>
        </row>
        <row r="1849">
          <cell r="A1849" t="str">
            <v>Dưa Leo Nhật 11/11/2024</v>
          </cell>
          <cell r="B1849">
            <v>10000</v>
          </cell>
        </row>
        <row r="1850">
          <cell r="A1850" t="str">
            <v>Dưa Leo Thường 11/11/2024</v>
          </cell>
          <cell r="B1850">
            <v>9000</v>
          </cell>
        </row>
        <row r="1851">
          <cell r="A1851" t="str">
            <v>Đậu Cove Trắng 11/11/2024</v>
          </cell>
          <cell r="B1851">
            <v>10000</v>
          </cell>
        </row>
        <row r="1852">
          <cell r="A1852" t="str">
            <v>Đậu Cove Trắng 11/11/2024</v>
          </cell>
          <cell r="B1852">
            <v>7000</v>
          </cell>
        </row>
        <row r="1853">
          <cell r="A1853" t="str">
            <v>Ớt Chuông Đỏ 11/11/2024</v>
          </cell>
          <cell r="B1853">
            <v>42000</v>
          </cell>
        </row>
        <row r="1854">
          <cell r="A1854" t="str">
            <v>Ớt Chuông Vàng 11/11/2024</v>
          </cell>
          <cell r="B1854">
            <v>22000</v>
          </cell>
        </row>
        <row r="1855">
          <cell r="A1855" t="str">
            <v>Hồng Giòn Đà Lạt 11/11/2024</v>
          </cell>
          <cell r="B1855">
            <v>28000</v>
          </cell>
        </row>
        <row r="1856">
          <cell r="A1856" t="str">
            <v>Xà Lách Mỹ 11/11/2024</v>
          </cell>
          <cell r="B1856">
            <v>38000</v>
          </cell>
        </row>
        <row r="1857">
          <cell r="A1857" t="str">
            <v>Bí Ngô Mini 11/11/2024</v>
          </cell>
          <cell r="B1857">
            <v>55000</v>
          </cell>
        </row>
        <row r="1858">
          <cell r="A1858" t="str">
            <v>Rau Bầu Đất 11/11/2024</v>
          </cell>
          <cell r="B1858">
            <v>21200</v>
          </cell>
        </row>
        <row r="1859">
          <cell r="A1859" t="str">
            <v>Gia Công Rau Củ Quả 11/11/2024</v>
          </cell>
          <cell r="B1859">
            <v>2000</v>
          </cell>
        </row>
        <row r="1860">
          <cell r="A1860" t="str">
            <v>Gia Công Rau Củ Quả 11/11/2024</v>
          </cell>
          <cell r="B1860">
            <v>1200</v>
          </cell>
        </row>
        <row r="1861">
          <cell r="A1861" t="str">
            <v>Cà Chua Socola 11/11/2024</v>
          </cell>
          <cell r="B1861">
            <v>46500</v>
          </cell>
        </row>
        <row r="1862">
          <cell r="A1862" t="str">
            <v>Cải Kale 11/11/2024</v>
          </cell>
          <cell r="B1862">
            <v>33500</v>
          </cell>
        </row>
        <row r="1863">
          <cell r="A1863" t="str">
            <v>Cải Cầu Vồng 11/11/2024</v>
          </cell>
          <cell r="B1863">
            <v>20000</v>
          </cell>
        </row>
        <row r="1864">
          <cell r="A1864" t="str">
            <v>Chanh Không Hạt 11/11/2024</v>
          </cell>
          <cell r="B1864">
            <v>26000</v>
          </cell>
        </row>
        <row r="1865">
          <cell r="A1865" t="str">
            <v>Cải Bó Xôi 11/11/2024</v>
          </cell>
          <cell r="B1865">
            <v>37000</v>
          </cell>
        </row>
        <row r="1866">
          <cell r="A1866" t="str">
            <v>Cà Chua Beef Chùm 11/11/2024</v>
          </cell>
          <cell r="B1866">
            <v>26000</v>
          </cell>
        </row>
        <row r="1867">
          <cell r="A1867" t="str">
            <v>Cà Chua Beef 11/11/2024</v>
          </cell>
          <cell r="B1867">
            <v>23000</v>
          </cell>
        </row>
        <row r="1868">
          <cell r="A1868" t="str">
            <v>Cà Chua Beef 11/11/2024</v>
          </cell>
          <cell r="B1868">
            <v>27000</v>
          </cell>
        </row>
        <row r="1869">
          <cell r="A1869" t="str">
            <v>Cà Chua Beef Trung 11/11/2024</v>
          </cell>
          <cell r="B1869">
            <v>21000</v>
          </cell>
        </row>
        <row r="1870">
          <cell r="A1870" t="str">
            <v>Cà Chua Beef Trung 11/11/2024</v>
          </cell>
          <cell r="B1870">
            <v>19000</v>
          </cell>
        </row>
        <row r="1871">
          <cell r="A1871" t="str">
            <v>Cải Kale 11/11/2024</v>
          </cell>
          <cell r="B1871">
            <v>35000</v>
          </cell>
        </row>
        <row r="1872">
          <cell r="A1872" t="str">
            <v>Cải Kale 11/11/2024</v>
          </cell>
          <cell r="B1872">
            <v>38000</v>
          </cell>
        </row>
        <row r="1873">
          <cell r="A1873" t="str">
            <v>Cải Cầu Vồng 11/11/2024</v>
          </cell>
          <cell r="B1873">
            <v>20000</v>
          </cell>
        </row>
        <row r="1874">
          <cell r="A1874" t="str">
            <v>Cà Rốt Baby 11/11/2024</v>
          </cell>
          <cell r="B1874">
            <v>55000</v>
          </cell>
        </row>
        <row r="1875">
          <cell r="A1875" t="str">
            <v>Lá Mè 11/11/2024</v>
          </cell>
          <cell r="B1875">
            <v>38000</v>
          </cell>
        </row>
        <row r="1876">
          <cell r="A1876" t="str">
            <v>Dưa Leo Baby 11/11/2024</v>
          </cell>
          <cell r="B1876">
            <v>6500</v>
          </cell>
        </row>
        <row r="1877">
          <cell r="A1877" t="str">
            <v>Bông Cải Xanh Baby 11/11/2024</v>
          </cell>
          <cell r="B1877">
            <v>57000</v>
          </cell>
        </row>
        <row r="1878">
          <cell r="A1878" t="str">
            <v>Cà Chua Beef Trung 11/11/2024</v>
          </cell>
          <cell r="B1878">
            <v>23000</v>
          </cell>
        </row>
        <row r="1879">
          <cell r="A1879" t="str">
            <v>Ớt Sweet Palemo 11/11/2024</v>
          </cell>
          <cell r="B1879">
            <v>22000</v>
          </cell>
        </row>
        <row r="1880">
          <cell r="A1880" t="str">
            <v>Xà Lách Lolo Xanh 11/11/2024</v>
          </cell>
          <cell r="B1880">
            <v>30000</v>
          </cell>
        </row>
        <row r="1881">
          <cell r="A1881" t="str">
            <v>Cà Chua Bi Mix 11/11/2024</v>
          </cell>
          <cell r="B1881">
            <v>17500</v>
          </cell>
        </row>
        <row r="1882">
          <cell r="A1882" t="str">
            <v>Củ Cải Đỏ 11/11/2024</v>
          </cell>
          <cell r="B1882">
            <v>13000</v>
          </cell>
        </row>
        <row r="1883">
          <cell r="A1883" t="str">
            <v>Xà Lách Lolo Tím 11/11/2024</v>
          </cell>
          <cell r="B1883">
            <v>50000</v>
          </cell>
        </row>
        <row r="1884">
          <cell r="A1884" t="str">
            <v>Bắp Cải Tím 11/11/2024</v>
          </cell>
          <cell r="B1884">
            <v>30000</v>
          </cell>
        </row>
        <row r="1885">
          <cell r="A1885" t="str">
            <v>Cần Tây 11/11/2024</v>
          </cell>
          <cell r="B1885">
            <v>10000</v>
          </cell>
        </row>
        <row r="1886">
          <cell r="A1886" t="str">
            <v>Bông Cải Xanh Cọng 11/11/2024</v>
          </cell>
          <cell r="B1886">
            <v>30000</v>
          </cell>
        </row>
        <row r="1887">
          <cell r="A1887" t="str">
            <v>Bông Cải Xanh Cọng 11/11/2024</v>
          </cell>
          <cell r="B1887">
            <v>30000</v>
          </cell>
        </row>
        <row r="1888">
          <cell r="A1888" t="str">
            <v>Cải Thảo Hỏa Tiễn 11/11/2024</v>
          </cell>
          <cell r="B1888">
            <v>16000</v>
          </cell>
        </row>
        <row r="1889">
          <cell r="A1889" t="str">
            <v>Bí Đao Xanh 11/11/2024</v>
          </cell>
          <cell r="B1889">
            <v>10000</v>
          </cell>
        </row>
        <row r="1890">
          <cell r="A1890" t="str">
            <v>Bông Cải Trắng 11/11/2024</v>
          </cell>
          <cell r="B1890">
            <v>27000</v>
          </cell>
        </row>
        <row r="1891">
          <cell r="A1891" t="str">
            <v>Bí Ngòi Xanh 11/11/2024</v>
          </cell>
          <cell r="B1891">
            <v>20000</v>
          </cell>
        </row>
        <row r="1892">
          <cell r="A1892" t="str">
            <v>Chuối Laba 11/11/2024</v>
          </cell>
          <cell r="B1892">
            <v>13000</v>
          </cell>
        </row>
        <row r="1893">
          <cell r="A1893" t="str">
            <v>Cà Tím 11/11/2024</v>
          </cell>
          <cell r="B1893">
            <v>8000</v>
          </cell>
        </row>
        <row r="1894">
          <cell r="A1894" t="str">
            <v>Bơ Booth 11/11/2024</v>
          </cell>
          <cell r="B1894">
            <v>25000</v>
          </cell>
        </row>
        <row r="1895">
          <cell r="A1895" t="str">
            <v>Trái Su Su 11/11/2024</v>
          </cell>
          <cell r="B1895">
            <v>6500</v>
          </cell>
        </row>
        <row r="1896">
          <cell r="A1896" t="str">
            <v>Củ Su Hào 11/11/2024</v>
          </cell>
          <cell r="B1896">
            <v>18000</v>
          </cell>
        </row>
        <row r="1897">
          <cell r="A1897" t="str">
            <v>Chuối Laba 11/11/2024</v>
          </cell>
          <cell r="B1897">
            <v>13000</v>
          </cell>
        </row>
        <row r="1898">
          <cell r="A1898" t="str">
            <v>Củ Khoai Tây Vàng 11/11/2024</v>
          </cell>
          <cell r="B1898">
            <v>15000</v>
          </cell>
        </row>
        <row r="1899">
          <cell r="A1899" t="str">
            <v>Bắp Cải Trắng 11/11/2024</v>
          </cell>
          <cell r="B1899">
            <v>11000</v>
          </cell>
        </row>
        <row r="1900">
          <cell r="A1900" t="str">
            <v>Ớt Chuông Đỏ 11/11/2024</v>
          </cell>
          <cell r="B1900">
            <v>41000</v>
          </cell>
        </row>
        <row r="1901">
          <cell r="A1901" t="str">
            <v>Ớt Chuông Vàng 11/11/2024</v>
          </cell>
          <cell r="B1901">
            <v>20000</v>
          </cell>
        </row>
        <row r="1902">
          <cell r="A1902" t="str">
            <v>Củ Dền 11/11/2024</v>
          </cell>
          <cell r="B1902">
            <v>18000</v>
          </cell>
        </row>
        <row r="1903">
          <cell r="A1903" t="str">
            <v>Trái Su Su 11/11/2024</v>
          </cell>
          <cell r="B1903">
            <v>6000</v>
          </cell>
        </row>
        <row r="1904">
          <cell r="A1904" t="str">
            <v>Bí Đỏ Tròn 11/11/2024</v>
          </cell>
          <cell r="B1904">
            <v>5200</v>
          </cell>
        </row>
        <row r="1905">
          <cell r="A1905" t="str">
            <v>Cải Thảo 11/11/2024</v>
          </cell>
          <cell r="B1905">
            <v>7500</v>
          </cell>
        </row>
        <row r="1906">
          <cell r="A1906" t="str">
            <v>Cải Thảo Kim Chi 11/11/2024</v>
          </cell>
          <cell r="B1906">
            <v>5500</v>
          </cell>
        </row>
        <row r="1907">
          <cell r="A1907" t="str">
            <v>Bơ Booth 11/11/2024</v>
          </cell>
          <cell r="B1907">
            <v>26000</v>
          </cell>
        </row>
        <row r="1908">
          <cell r="A1908" t="str">
            <v>Chanh Dây Tím 11/11/2024</v>
          </cell>
          <cell r="B1908">
            <v>31000</v>
          </cell>
        </row>
        <row r="1909">
          <cell r="A1909" t="str">
            <v>Củ Cải Trắng 11/11/2024</v>
          </cell>
          <cell r="B1909">
            <v>7000</v>
          </cell>
        </row>
        <row r="1910">
          <cell r="A1910" t="str">
            <v>Cà Chua Thường 11/11/2024</v>
          </cell>
          <cell r="B1910">
            <v>17000</v>
          </cell>
        </row>
        <row r="1911">
          <cell r="A1911" t="str">
            <v>Cà Rốt Trung 11/11/2024</v>
          </cell>
          <cell r="B1911">
            <v>12000</v>
          </cell>
        </row>
        <row r="1912">
          <cell r="A1912" t="str">
            <v>Bắp Cải Trái Tim 11/11/2024</v>
          </cell>
          <cell r="B1912">
            <v>21000</v>
          </cell>
        </row>
        <row r="1913">
          <cell r="A1913" t="str">
            <v>Cà Chua Thường 11/11/2024</v>
          </cell>
          <cell r="B1913">
            <v>17000</v>
          </cell>
        </row>
        <row r="1914">
          <cell r="A1914" t="str">
            <v>Hành Paro 11/11/2024</v>
          </cell>
          <cell r="B1914">
            <v>38000</v>
          </cell>
        </row>
        <row r="1915">
          <cell r="A1915" t="str">
            <v>Hồng Giòn Đà Lạt 11/11/2024</v>
          </cell>
          <cell r="B1915">
            <v>28000</v>
          </cell>
        </row>
        <row r="1916">
          <cell r="A1916" t="str">
            <v>Đậu Cove Trắng 11/11/2024</v>
          </cell>
          <cell r="B1916">
            <v>10000</v>
          </cell>
        </row>
        <row r="1917">
          <cell r="A1917" t="str">
            <v>Đậu Cove Nhật 11/11/2024</v>
          </cell>
          <cell r="B1917">
            <v>9000</v>
          </cell>
        </row>
        <row r="1918">
          <cell r="A1918" t="str">
            <v>Cà Chua Beef 11/11/2024</v>
          </cell>
          <cell r="B1918">
            <v>24500</v>
          </cell>
        </row>
        <row r="1919">
          <cell r="A1919" t="str">
            <v>Bắp Cải Trái Tim 11/11/2024</v>
          </cell>
          <cell r="B1919">
            <v>18000</v>
          </cell>
        </row>
        <row r="1920">
          <cell r="A1920" t="str">
            <v>Thức uống Umeshu Cocktail 12/11/2024</v>
          </cell>
          <cell r="B1920">
            <v>73000</v>
          </cell>
        </row>
        <row r="1921">
          <cell r="A1921" t="str">
            <v>Thức uống Highball 12/11/2024</v>
          </cell>
          <cell r="B1921">
            <v>96000</v>
          </cell>
        </row>
        <row r="1922">
          <cell r="A1922" t="str">
            <v>Bia Tươi Sapporo - Sapporo Draught 12/11/2024</v>
          </cell>
          <cell r="B1922">
            <v>50000</v>
          </cell>
        </row>
        <row r="1923">
          <cell r="A1923" t="str">
            <v>Trà đào cam sả-Peach Orange Lemongrass Tea 12/11/2024</v>
          </cell>
          <cell r="B1923">
            <v>79000</v>
          </cell>
        </row>
        <row r="1924">
          <cell r="A1924" t="str">
            <v>Hàu Nướng Sốt Đậu Tương - Kaki Misoyaki 12/11/2024</v>
          </cell>
          <cell r="B1924">
            <v>180000</v>
          </cell>
        </row>
        <row r="1925">
          <cell r="A1925" t="str">
            <v>Sò Điệp Nướng Bơ &amp; Sốt Nước Tương - Hotate Butter Shoyu Yaki 12/11/2024</v>
          </cell>
          <cell r="B1925">
            <v>197000</v>
          </cell>
        </row>
        <row r="1926">
          <cell r="A1926" t="str">
            <v>Cơm Trắng - Gohan 12/11/2024</v>
          </cell>
          <cell r="B1926">
            <v>20000</v>
          </cell>
        </row>
        <row r="1927">
          <cell r="A1927" t="str">
            <v>Lẩu Bò Tokachi, Nước Dashi - Shabu Shabu Nabe Tokachi Beef Dashi 12/11/2024</v>
          </cell>
          <cell r="B1927">
            <v>546000</v>
          </cell>
        </row>
        <row r="1928">
          <cell r="A1928" t="str">
            <v>Bò Tokachi Thêm (100Gr) - Extra Topping Tokachi Beef (100Gr) 12/11/2024</v>
          </cell>
          <cell r="B1928">
            <v>215000</v>
          </cell>
        </row>
        <row r="1929">
          <cell r="A1929" t="str">
            <v>DO 0.05S-II 12/11/2024</v>
          </cell>
          <cell r="B1929">
            <v>17527.27</v>
          </cell>
        </row>
        <row r="1930">
          <cell r="A1930" t="str">
            <v>Dầu Do 0.001 S-V 12/11/2024</v>
          </cell>
          <cell r="B1930">
            <v>17836.36</v>
          </cell>
        </row>
        <row r="1931">
          <cell r="A1931" t="str">
            <v>Dầu Do 0.001 S-V 12/11/2024</v>
          </cell>
          <cell r="B1931">
            <v>17836.36</v>
          </cell>
        </row>
        <row r="1932">
          <cell r="A1932" t="str">
            <v>Cước đường bộ xe 49C37197T đi qua trạm Liên Đầm thời gian GD 11:44:04 ngày 12/11/2024 mã GD 1493379012 12/11/2024</v>
          </cell>
          <cell r="B1932">
            <v>78704</v>
          </cell>
        </row>
        <row r="1933">
          <cell r="A1933" t="str">
            <v>DO 0.05S-II 12/11/2024</v>
          </cell>
          <cell r="B1933">
            <v>17527.27</v>
          </cell>
        </row>
        <row r="1934">
          <cell r="A1934" t="str">
            <v>DO 0.05S-II 12/11/2024</v>
          </cell>
          <cell r="B1934">
            <v>17527.27</v>
          </cell>
        </row>
        <row r="1935">
          <cell r="A1935" t="str">
            <v>Cước đường bộ xe 49C37197T đi qua trạm Xa Lộ - Hà Nội thời gian GD 01:50:01 ngày 12/11/2024 mã GD 1492790684 12/11/2024</v>
          </cell>
          <cell r="B1935">
            <v>50000</v>
          </cell>
        </row>
        <row r="1936">
          <cell r="A1936" t="str">
            <v>Cước đường bộ xe 49C37197T đi qua trạm Cầu Phú Mỹ thời gian GD 05:45:15 ngày 12/11/2024 mã GD 1492895984 12/11/2024</v>
          </cell>
          <cell r="B1936">
            <v>22222</v>
          </cell>
        </row>
        <row r="1937">
          <cell r="A1937" t="str">
            <v>Cước đường bộ xe 49C37197T đi qua đoạn Long Phước - NH51 thời gian GD 06:29:07 ngày 12/11/2024 mã GD 1492924360 12/11/2024</v>
          </cell>
          <cell r="B1937">
            <v>76806</v>
          </cell>
        </row>
        <row r="1938">
          <cell r="A1938" t="str">
            <v>Ắc quy N100 ĐN QG HYB 12/11/2024</v>
          </cell>
          <cell r="B1938">
            <v>1759259.25</v>
          </cell>
        </row>
        <row r="1939">
          <cell r="A1939" t="str">
            <v>NƯỚC LAU SÀN SUNLIGHT HƯƠNG CHANH YUZU &amp; SẢ TÚI 2KG 12/11/2024</v>
          </cell>
          <cell r="B1939">
            <v>38182</v>
          </cell>
        </row>
        <row r="1940">
          <cell r="A1940" t="str">
            <v>VIM VỆ SINH XANH BIỂN 900ML/880ML 12/11/2024</v>
          </cell>
          <cell r="B1940">
            <v>30909</v>
          </cell>
        </row>
        <row r="1941">
          <cell r="A1941" t="str">
            <v>NƯỚC RỬA TAY LIFEBUOY BẠC BẢO VỆ TÚI 987ML/985ML 12/11/2024</v>
          </cell>
          <cell r="B1941">
            <v>114545</v>
          </cell>
        </row>
        <row r="1942">
          <cell r="A1942" t="str">
            <v>NƯỚC RỬA TAY LIFEBUOY SỮA DƯỠNG ẨM TÚI 987/985ML 12/11/2024</v>
          </cell>
          <cell r="B1942">
            <v>129091</v>
          </cell>
        </row>
        <row r="1943">
          <cell r="A1943" t="str">
            <v>Cà Chua Bi Mix 12/11/2024</v>
          </cell>
          <cell r="B1943">
            <v>56500</v>
          </cell>
        </row>
        <row r="1944">
          <cell r="A1944" t="str">
            <v>Cải Kale 12/11/2024</v>
          </cell>
          <cell r="B1944">
            <v>33500</v>
          </cell>
        </row>
        <row r="1945">
          <cell r="A1945" t="str">
            <v>Cải Kale 12/11/2024</v>
          </cell>
          <cell r="B1945">
            <v>32000</v>
          </cell>
        </row>
        <row r="1946">
          <cell r="A1946" t="str">
            <v>Chanh Không Hạt 12/11/2024</v>
          </cell>
          <cell r="B1946">
            <v>26000</v>
          </cell>
        </row>
        <row r="1947">
          <cell r="A1947" t="str">
            <v>Cà Chua Socola 12/11/2024</v>
          </cell>
          <cell r="B1947">
            <v>46500</v>
          </cell>
        </row>
        <row r="1948">
          <cell r="A1948" t="str">
            <v>Cải Bó Xôi 12/11/2024</v>
          </cell>
          <cell r="B1948">
            <v>37000</v>
          </cell>
        </row>
        <row r="1949">
          <cell r="A1949" t="str">
            <v>Cà Chua Beef 12/11/2024</v>
          </cell>
          <cell r="B1949">
            <v>23000</v>
          </cell>
        </row>
        <row r="1950">
          <cell r="A1950" t="str">
            <v>Cà Chua Beef 12/11/2024</v>
          </cell>
          <cell r="B1950">
            <v>27000</v>
          </cell>
        </row>
        <row r="1951">
          <cell r="A1951" t="str">
            <v>Cà Chua Beef 12/11/2024</v>
          </cell>
          <cell r="B1951">
            <v>26000</v>
          </cell>
        </row>
        <row r="1952">
          <cell r="A1952" t="str">
            <v>Cà Chua Beef Trung 12/11/2024</v>
          </cell>
          <cell r="B1952">
            <v>21000</v>
          </cell>
        </row>
        <row r="1953">
          <cell r="A1953" t="str">
            <v>Cà Chua Beef Trung 12/11/2024</v>
          </cell>
          <cell r="B1953">
            <v>19000</v>
          </cell>
        </row>
        <row r="1954">
          <cell r="A1954" t="str">
            <v>Lá Mè 12/11/2024</v>
          </cell>
          <cell r="B1954">
            <v>40000</v>
          </cell>
        </row>
        <row r="1955">
          <cell r="A1955" t="str">
            <v>Cà Rốt Baby 12/11/2024</v>
          </cell>
          <cell r="B1955">
            <v>55000</v>
          </cell>
        </row>
        <row r="1956">
          <cell r="A1956" t="str">
            <v>Cải Kale 12/11/2024</v>
          </cell>
          <cell r="B1956">
            <v>35000</v>
          </cell>
        </row>
        <row r="1957">
          <cell r="A1957" t="str">
            <v>Cải Kale 12/11/2024</v>
          </cell>
          <cell r="B1957">
            <v>38000</v>
          </cell>
        </row>
        <row r="1958">
          <cell r="A1958" t="str">
            <v>Cải Cầu Vồng 12/11/2024</v>
          </cell>
          <cell r="B1958">
            <v>20000</v>
          </cell>
        </row>
        <row r="1959">
          <cell r="A1959" t="str">
            <v>Cà Chua Beef Trung 12/11/2024</v>
          </cell>
          <cell r="B1959">
            <v>23000</v>
          </cell>
        </row>
        <row r="1960">
          <cell r="A1960" t="str">
            <v>Cà Chua Socola 12/11/2024</v>
          </cell>
          <cell r="B1960">
            <v>12000</v>
          </cell>
        </row>
        <row r="1961">
          <cell r="A1961" t="str">
            <v>Củ Cải Đỏ 12/11/2024</v>
          </cell>
          <cell r="B1961">
            <v>14000</v>
          </cell>
        </row>
        <row r="1962">
          <cell r="A1962" t="str">
            <v>Xà Lách Lolo Xanh 12/11/2024</v>
          </cell>
          <cell r="B1962">
            <v>30000</v>
          </cell>
        </row>
        <row r="1963">
          <cell r="A1963" t="str">
            <v>Lá Quế Tây 12/11/2024</v>
          </cell>
          <cell r="B1963">
            <v>100000</v>
          </cell>
        </row>
        <row r="1964">
          <cell r="A1964" t="str">
            <v>Ớt Sweet Palemo 12/11/2024</v>
          </cell>
          <cell r="B1964">
            <v>22000</v>
          </cell>
        </row>
        <row r="1965">
          <cell r="A1965" t="str">
            <v>Củ Hành Tây Trung 12/11/2024</v>
          </cell>
          <cell r="B1965">
            <v>15000</v>
          </cell>
        </row>
        <row r="1966">
          <cell r="A1966" t="str">
            <v>Ớt Sweet Palemo 12/11/2024</v>
          </cell>
          <cell r="B1966">
            <v>21000</v>
          </cell>
        </row>
        <row r="1967">
          <cell r="A1967" t="str">
            <v>Bí Ngô Mini 12/11/2024</v>
          </cell>
          <cell r="B1967">
            <v>48000</v>
          </cell>
        </row>
        <row r="1968">
          <cell r="A1968" t="str">
            <v>Bơ Booth 12/11/2024</v>
          </cell>
          <cell r="B1968">
            <v>26000</v>
          </cell>
        </row>
        <row r="1969">
          <cell r="A1969" t="str">
            <v>Cà Tím 12/11/2024</v>
          </cell>
          <cell r="B1969">
            <v>9000</v>
          </cell>
        </row>
        <row r="1970">
          <cell r="A1970" t="str">
            <v>Cà Tím 12/11/2024</v>
          </cell>
          <cell r="B1970">
            <v>6000</v>
          </cell>
        </row>
        <row r="1971">
          <cell r="A1971" t="str">
            <v>Củ Cải Trắng 12/11/2024</v>
          </cell>
          <cell r="B1971">
            <v>7000</v>
          </cell>
        </row>
        <row r="1972">
          <cell r="A1972" t="str">
            <v>Cà Rốt Trung 12/11/2024</v>
          </cell>
          <cell r="B1972">
            <v>12000</v>
          </cell>
        </row>
        <row r="1973">
          <cell r="A1973" t="str">
            <v>Xà Lách Lolo Xanh T.C 12/11/2024</v>
          </cell>
          <cell r="B1973">
            <v>28000</v>
          </cell>
        </row>
        <row r="1974">
          <cell r="A1974" t="str">
            <v>Ớt Chuông Đỏ 12/11/2024</v>
          </cell>
          <cell r="B1974">
            <v>42000</v>
          </cell>
        </row>
        <row r="1975">
          <cell r="A1975" t="str">
            <v>Ớt Chuông Vàng 12/11/2024</v>
          </cell>
          <cell r="B1975">
            <v>22000</v>
          </cell>
        </row>
        <row r="1976">
          <cell r="A1976" t="str">
            <v>Củ Khoai Tây Vàng 12/11/2024</v>
          </cell>
          <cell r="B1976">
            <v>15000</v>
          </cell>
        </row>
        <row r="1977">
          <cell r="A1977" t="str">
            <v>Củ Khoai Tây Bi Vàng 12/11/2024</v>
          </cell>
          <cell r="B1977">
            <v>12000</v>
          </cell>
        </row>
        <row r="1978">
          <cell r="A1978" t="str">
            <v>Củ Su Hào 12/11/2024</v>
          </cell>
          <cell r="B1978">
            <v>18000</v>
          </cell>
        </row>
        <row r="1979">
          <cell r="A1979" t="str">
            <v>Củ Khoai Lang Nhật 12/11/2024</v>
          </cell>
          <cell r="B1979">
            <v>19000</v>
          </cell>
        </row>
        <row r="1980">
          <cell r="A1980" t="str">
            <v>Xà Lách Lolo Xanh T.C 12/11/2024</v>
          </cell>
          <cell r="B1980">
            <v>28000</v>
          </cell>
        </row>
        <row r="1981">
          <cell r="A1981" t="str">
            <v>Xà Lách Mỡ T.C 12/11/2024</v>
          </cell>
          <cell r="B1981">
            <v>27000</v>
          </cell>
        </row>
        <row r="1982">
          <cell r="A1982" t="str">
            <v>Dưa Leo Thường 12/11/2024</v>
          </cell>
          <cell r="B1982">
            <v>4500</v>
          </cell>
        </row>
        <row r="1983">
          <cell r="A1983" t="str">
            <v>Trái Khổ Qua 12/11/2024</v>
          </cell>
          <cell r="B1983">
            <v>20000</v>
          </cell>
        </row>
        <row r="1984">
          <cell r="A1984" t="str">
            <v>Cà Chua Thường 12/11/2024</v>
          </cell>
          <cell r="B1984">
            <v>18000</v>
          </cell>
        </row>
        <row r="1985">
          <cell r="A1985" t="str">
            <v>Cà Chua Beef 12/11/2024</v>
          </cell>
          <cell r="B1985">
            <v>24000</v>
          </cell>
        </row>
        <row r="1986">
          <cell r="A1986" t="str">
            <v>Xà Lách Lolo Xanh T.C 12/11/2024</v>
          </cell>
          <cell r="B1986">
            <v>26000</v>
          </cell>
        </row>
        <row r="1987">
          <cell r="A1987" t="str">
            <v>Xà Lách Mỡ T.C 12/11/2024</v>
          </cell>
          <cell r="B1987">
            <v>26000</v>
          </cell>
        </row>
        <row r="1988">
          <cell r="A1988" t="str">
            <v>Xà Lách Thủy Tinh T.C Cây 12/11/2024</v>
          </cell>
          <cell r="B1988">
            <v>8000</v>
          </cell>
        </row>
        <row r="1989">
          <cell r="A1989" t="str">
            <v>Bí Ngòi Xanh 12/11/2024</v>
          </cell>
          <cell r="B1989">
            <v>17000</v>
          </cell>
        </row>
        <row r="1990">
          <cell r="A1990" t="str">
            <v>Trái Mâm Xôi 12/11/2024</v>
          </cell>
          <cell r="B1990">
            <v>35000</v>
          </cell>
        </row>
        <row r="1991">
          <cell r="A1991" t="str">
            <v>Cải Bó Xôi 12/11/2024</v>
          </cell>
          <cell r="B1991">
            <v>30000</v>
          </cell>
        </row>
        <row r="1992">
          <cell r="A1992" t="str">
            <v>Ớt Chuông Baby 12/11/2024</v>
          </cell>
          <cell r="B1992">
            <v>48000</v>
          </cell>
        </row>
        <row r="1993">
          <cell r="A1993" t="str">
            <v>Ớt Chuông Snack 12/11/2024</v>
          </cell>
          <cell r="B1993">
            <v>58000</v>
          </cell>
        </row>
        <row r="1994">
          <cell r="A1994" t="str">
            <v>Ớt Sweet Palemo 12/11/2024</v>
          </cell>
          <cell r="B1994">
            <v>23000</v>
          </cell>
        </row>
        <row r="1995">
          <cell r="A1995" t="str">
            <v>Bắp Cải Trắng 12/11/2024</v>
          </cell>
          <cell r="B1995">
            <v>11000</v>
          </cell>
        </row>
        <row r="1996">
          <cell r="A1996" t="str">
            <v>Cà Chua Socola 12/11/2024</v>
          </cell>
          <cell r="B1996">
            <v>8500</v>
          </cell>
        </row>
        <row r="1997">
          <cell r="A1997" t="str">
            <v>Xà Lách Lolo Xanh T.C Cây 12/11/2024</v>
          </cell>
          <cell r="B1997">
            <v>6800</v>
          </cell>
        </row>
        <row r="1998">
          <cell r="A1998" t="str">
            <v>Xà Lách Mỡ T.C Cây 12/11/2024</v>
          </cell>
          <cell r="B1998">
            <v>6800</v>
          </cell>
        </row>
        <row r="1999">
          <cell r="A1999" t="str">
            <v>Xà Lách Mỡ T.C 12/11/2024</v>
          </cell>
          <cell r="B1999">
            <v>28000</v>
          </cell>
        </row>
        <row r="2000">
          <cell r="A2000" t="str">
            <v>Xà Lách Thủy Tinh T.C Cây 12/11/2024</v>
          </cell>
          <cell r="B2000">
            <v>6800</v>
          </cell>
        </row>
        <row r="2001">
          <cell r="A2001" t="str">
            <v>Xà Lách Thủy Tinh T.C 12/11/2024</v>
          </cell>
          <cell r="B2001">
            <v>30000</v>
          </cell>
        </row>
        <row r="2002">
          <cell r="A2002" t="str">
            <v>Ớt Chuông Đỏ 12/11/2024</v>
          </cell>
          <cell r="B2002">
            <v>35000</v>
          </cell>
        </row>
        <row r="2003">
          <cell r="A2003" t="str">
            <v>Ớt Chuông Xanh 12/11/2024</v>
          </cell>
          <cell r="B2003">
            <v>25000</v>
          </cell>
        </row>
        <row r="2004">
          <cell r="A2004" t="str">
            <v>Cà Chua Beef 12/11/2024</v>
          </cell>
          <cell r="B2004">
            <v>23000</v>
          </cell>
        </row>
        <row r="2005">
          <cell r="A2005" t="str">
            <v>Lá Mè 12/11/2024</v>
          </cell>
          <cell r="B2005">
            <v>38000</v>
          </cell>
        </row>
        <row r="2006">
          <cell r="A2006" t="str">
            <v>Bông Cải Xanh 7Cm 12/11/2024</v>
          </cell>
          <cell r="B2006">
            <v>40000</v>
          </cell>
        </row>
        <row r="2007">
          <cell r="A2007" t="str">
            <v>Bông Cải Xanh 10Cm 12/11/2024</v>
          </cell>
          <cell r="B2007">
            <v>33000</v>
          </cell>
        </row>
        <row r="2008">
          <cell r="A2008" t="str">
            <v>Bông Cải Xanh 7Cm 12/11/2024</v>
          </cell>
          <cell r="B2008">
            <v>39000</v>
          </cell>
        </row>
        <row r="2009">
          <cell r="A2009" t="str">
            <v>Bông Cải Xanh 7Cm 12/11/2024</v>
          </cell>
          <cell r="B2009">
            <v>39000</v>
          </cell>
        </row>
        <row r="2010">
          <cell r="A2010" t="str">
            <v>Dưa Leo Baby 12/11/2024</v>
          </cell>
          <cell r="B2010">
            <v>5000</v>
          </cell>
        </row>
        <row r="2011">
          <cell r="A2011" t="str">
            <v>Đậu Cove Nhật 12/11/2024</v>
          </cell>
          <cell r="B2011">
            <v>6000</v>
          </cell>
        </row>
        <row r="2012">
          <cell r="A2012" t="str">
            <v>Ớt Chuông Vàng 12/11/2024</v>
          </cell>
          <cell r="B2012">
            <v>19000</v>
          </cell>
        </row>
        <row r="2013">
          <cell r="A2013" t="str">
            <v>Ớt Chuông Xanh 12/11/2024</v>
          </cell>
          <cell r="B2013">
            <v>27000</v>
          </cell>
        </row>
        <row r="2014">
          <cell r="A2014" t="str">
            <v>Cần Tây 12/11/2024</v>
          </cell>
          <cell r="B2014">
            <v>12000</v>
          </cell>
        </row>
        <row r="2015">
          <cell r="A2015" t="str">
            <v>Bông Cải Xanh 7Cm 12/11/2024</v>
          </cell>
          <cell r="B2015">
            <v>39000</v>
          </cell>
        </row>
        <row r="2016">
          <cell r="A2016" t="str">
            <v>Cần Tây 12/11/2024</v>
          </cell>
          <cell r="B2016">
            <v>12000</v>
          </cell>
        </row>
        <row r="2017">
          <cell r="A2017" t="str">
            <v>Cà Chua Beef Chùm 12/11/2024</v>
          </cell>
          <cell r="B2017">
            <v>24000</v>
          </cell>
        </row>
        <row r="2018">
          <cell r="A2018" t="str">
            <v>Cà Chua Beef 12/11/2024</v>
          </cell>
          <cell r="B2018">
            <v>22000</v>
          </cell>
        </row>
        <row r="2019">
          <cell r="A2019" t="str">
            <v>Cà Chua Beef Chùm 12/11/2024</v>
          </cell>
          <cell r="B2019">
            <v>25000</v>
          </cell>
        </row>
        <row r="2020">
          <cell r="A2020" t="str">
            <v>Cà Chua Beef Trung 12/11/2024</v>
          </cell>
          <cell r="B2020">
            <v>17000</v>
          </cell>
        </row>
        <row r="2021">
          <cell r="A2021" t="str">
            <v>Bí Non Nhật 12/11/2024</v>
          </cell>
          <cell r="B2021">
            <v>10000</v>
          </cell>
        </row>
        <row r="2022">
          <cell r="A2022" t="str">
            <v>Bông Cải Trắng 12/11/2024</v>
          </cell>
          <cell r="B2022">
            <v>27000</v>
          </cell>
        </row>
        <row r="2023">
          <cell r="A2023" t="str">
            <v>Đậu Đỏ 12/11/2024</v>
          </cell>
          <cell r="B2023">
            <v>80000</v>
          </cell>
        </row>
        <row r="2024">
          <cell r="A2024" t="str">
            <v>Đậu Ngự 12/11/2024</v>
          </cell>
          <cell r="B2024">
            <v>70000</v>
          </cell>
        </row>
        <row r="2025">
          <cell r="A2025" t="str">
            <v>Đậu Trắng 12/11/2024</v>
          </cell>
          <cell r="B2025">
            <v>70000</v>
          </cell>
        </row>
        <row r="2026">
          <cell r="A2026" t="str">
            <v>Trái Su Su 12/11/2024</v>
          </cell>
          <cell r="B2026">
            <v>6000</v>
          </cell>
        </row>
        <row r="2027">
          <cell r="A2027" t="str">
            <v>Dưa Leo Baby 12/11/2024</v>
          </cell>
          <cell r="B2027">
            <v>6000</v>
          </cell>
        </row>
        <row r="2028">
          <cell r="A2028" t="str">
            <v>Măng Tây 12/11/2024</v>
          </cell>
          <cell r="B2028">
            <v>55000</v>
          </cell>
        </row>
        <row r="2029">
          <cell r="A2029" t="str">
            <v>Măng Tây 12/11/2024</v>
          </cell>
          <cell r="B2029">
            <v>48000</v>
          </cell>
        </row>
        <row r="2030">
          <cell r="A2030" t="str">
            <v>Bắp Cải Trái Tim 12/11/2024</v>
          </cell>
          <cell r="B2030">
            <v>14000</v>
          </cell>
        </row>
        <row r="2031">
          <cell r="A2031" t="str">
            <v>Cải Kale 12/11/2024</v>
          </cell>
          <cell r="B2031">
            <v>36000</v>
          </cell>
        </row>
        <row r="2032">
          <cell r="A2032" t="str">
            <v>Cà Chua Bi Đỏ 12/11/2024</v>
          </cell>
          <cell r="B2032">
            <v>9900</v>
          </cell>
        </row>
        <row r="2033">
          <cell r="A2033" t="str">
            <v>Cà Chua Bi Đỏ 12/11/2024</v>
          </cell>
          <cell r="B2033">
            <v>16500</v>
          </cell>
        </row>
        <row r="2034">
          <cell r="A2034" t="str">
            <v>Củ Dền 12/11/2024</v>
          </cell>
          <cell r="B2034">
            <v>18000</v>
          </cell>
        </row>
        <row r="2035">
          <cell r="A2035" t="str">
            <v>Cà Rốt 12/11/2024</v>
          </cell>
          <cell r="B2035">
            <v>16000</v>
          </cell>
        </row>
        <row r="2036">
          <cell r="A2036" t="str">
            <v>Cải Thảo 12/11/2024</v>
          </cell>
          <cell r="B2036">
            <v>7500</v>
          </cell>
        </row>
        <row r="2037">
          <cell r="A2037" t="str">
            <v>Đậu Cove Trắng 12/11/2024</v>
          </cell>
          <cell r="B2037">
            <v>7000</v>
          </cell>
        </row>
        <row r="2038">
          <cell r="A2038" t="str">
            <v>Dưa Leo Thường 12/11/2024</v>
          </cell>
          <cell r="B2038">
            <v>9000</v>
          </cell>
        </row>
        <row r="2039">
          <cell r="A2039" t="str">
            <v>Dưa Leo Nhật 12/11/2024</v>
          </cell>
          <cell r="B2039">
            <v>10000</v>
          </cell>
        </row>
        <row r="2040">
          <cell r="A2040" t="str">
            <v>Bí Non Nhật 12/11/2024</v>
          </cell>
          <cell r="B2040">
            <v>14000</v>
          </cell>
        </row>
        <row r="2041">
          <cell r="A2041" t="str">
            <v>Bắp Cải Tím 12/11/2024</v>
          </cell>
          <cell r="B2041">
            <v>28000</v>
          </cell>
        </row>
        <row r="2042">
          <cell r="A2042" t="str">
            <v>Cà Chua Thường 12/11/2024</v>
          </cell>
          <cell r="B2042">
            <v>17000</v>
          </cell>
        </row>
        <row r="2043">
          <cell r="A2043" t="str">
            <v>Cà Chua Thường Trung 12/11/2024</v>
          </cell>
          <cell r="B2043">
            <v>14000</v>
          </cell>
        </row>
        <row r="2044">
          <cell r="A2044" t="str">
            <v>Cà Chua Socola 12/11/2024</v>
          </cell>
          <cell r="B2044">
            <v>14000</v>
          </cell>
        </row>
        <row r="2045">
          <cell r="A2045" t="str">
            <v>Lá Tía Tô 12/11/2024</v>
          </cell>
          <cell r="B2045">
            <v>32000</v>
          </cell>
        </row>
        <row r="2046">
          <cell r="A2046" t="str">
            <v>Rau Bầu Đất 12/11/2024</v>
          </cell>
          <cell r="B2046">
            <v>30000</v>
          </cell>
        </row>
        <row r="2047">
          <cell r="A2047" t="str">
            <v>Xà Lách Rocket 12/11/2024</v>
          </cell>
          <cell r="B2047">
            <v>120000</v>
          </cell>
        </row>
        <row r="2048">
          <cell r="A2048" t="str">
            <v>Củ Cải Đỏ 12/11/2024</v>
          </cell>
          <cell r="B2048">
            <v>15000</v>
          </cell>
        </row>
        <row r="2049">
          <cell r="A2049" t="str">
            <v>Cà Rốt 12/11/2024</v>
          </cell>
          <cell r="B2049">
            <v>15000</v>
          </cell>
        </row>
        <row r="2050">
          <cell r="A2050" t="str">
            <v>Lá Nha Đam 12/11/2024</v>
          </cell>
          <cell r="B2050">
            <v>14000</v>
          </cell>
        </row>
        <row r="2051">
          <cell r="A2051" t="str">
            <v>Bí Đỏ Hồ Lô 12/11/2024</v>
          </cell>
          <cell r="B2051">
            <v>12000</v>
          </cell>
        </row>
        <row r="2052">
          <cell r="A2052" t="str">
            <v>Chuối Laba 12/11/2024</v>
          </cell>
          <cell r="B2052">
            <v>13000</v>
          </cell>
        </row>
        <row r="2053">
          <cell r="A2053" t="str">
            <v>Cà Rốt 12/11/2024</v>
          </cell>
          <cell r="B2053">
            <v>15000</v>
          </cell>
        </row>
        <row r="2054">
          <cell r="A2054" t="str">
            <v>Củ Gừng 12/11/2024</v>
          </cell>
          <cell r="B2054">
            <v>45000</v>
          </cell>
        </row>
        <row r="2055">
          <cell r="A2055" t="str">
            <v>Xà Lách Mỹ 12/11/2024</v>
          </cell>
          <cell r="B2055">
            <v>38000</v>
          </cell>
        </row>
        <row r="2056">
          <cell r="A2056" t="str">
            <v>Hành Paro 12/11/2024</v>
          </cell>
          <cell r="B2056">
            <v>39000</v>
          </cell>
        </row>
        <row r="2057">
          <cell r="A2057" t="str">
            <v>Bí Ngòi Xanh 12/11/2024</v>
          </cell>
          <cell r="B2057">
            <v>17000</v>
          </cell>
        </row>
        <row r="2058">
          <cell r="A2058" t="str">
            <v>Bông Cải Xanh Baby 12/11/2024</v>
          </cell>
          <cell r="B2058">
            <v>50000</v>
          </cell>
        </row>
        <row r="2059">
          <cell r="A2059" t="str">
            <v>Củ Hành Tây 12/11/2024</v>
          </cell>
          <cell r="B2059">
            <v>22000</v>
          </cell>
        </row>
        <row r="2060">
          <cell r="A2060" t="str">
            <v>Cần Tây 12/11/2024</v>
          </cell>
          <cell r="B2060">
            <v>10000</v>
          </cell>
        </row>
        <row r="2061">
          <cell r="A2061" t="str">
            <v>Cải Thảo Hỏa Tiễn 12/11/2024</v>
          </cell>
          <cell r="B2061">
            <v>16000</v>
          </cell>
        </row>
        <row r="2062">
          <cell r="A2062" t="str">
            <v>Đậu Cove Nhật 12/11/2024</v>
          </cell>
          <cell r="B2062">
            <v>6000</v>
          </cell>
        </row>
        <row r="2063">
          <cell r="A2063" t="str">
            <v>Ớt Chuông Đỏ 12/11/2024</v>
          </cell>
          <cell r="B2063">
            <v>40000</v>
          </cell>
        </row>
        <row r="2064">
          <cell r="A2064" t="str">
            <v>Ớt Chuông Vàng 12/11/2024</v>
          </cell>
          <cell r="B2064">
            <v>19000</v>
          </cell>
        </row>
        <row r="2065">
          <cell r="A2065" t="str">
            <v>Ớt Chuông Xanh 12/11/2024</v>
          </cell>
          <cell r="B2065">
            <v>27000</v>
          </cell>
        </row>
        <row r="2066">
          <cell r="A2066" t="str">
            <v>Bí Ngòi Xanh 12/11/2024</v>
          </cell>
          <cell r="B2066">
            <v>16000</v>
          </cell>
        </row>
        <row r="2067">
          <cell r="A2067" t="str">
            <v>Cà Chua Beef 12/11/2024</v>
          </cell>
          <cell r="B2067">
            <v>23000</v>
          </cell>
        </row>
        <row r="2068">
          <cell r="A2068" t="str">
            <v>Cà Chua Beef 12/11/2024</v>
          </cell>
          <cell r="B2068">
            <v>23000</v>
          </cell>
        </row>
        <row r="2069">
          <cell r="A2069" t="str">
            <v>Bí Đao Xanh 12/11/2024</v>
          </cell>
          <cell r="B2069">
            <v>10000</v>
          </cell>
        </row>
        <row r="2070">
          <cell r="A2070" t="str">
            <v>Trái Su Su 12/11/2024</v>
          </cell>
          <cell r="B2070">
            <v>7000</v>
          </cell>
        </row>
        <row r="2071">
          <cell r="A2071" t="str">
            <v>Bông Cải Trắng 12/11/2024</v>
          </cell>
          <cell r="B2071">
            <v>27000</v>
          </cell>
        </row>
        <row r="2072">
          <cell r="A2072" t="str">
            <v>Chuối Laba 12/11/2024</v>
          </cell>
          <cell r="B2072">
            <v>13000</v>
          </cell>
        </row>
        <row r="2073">
          <cell r="A2073" t="str">
            <v>Bắp Cải Trái Tim 12/11/2024</v>
          </cell>
          <cell r="B2073">
            <v>17000</v>
          </cell>
        </row>
        <row r="2074">
          <cell r="A2074" t="str">
            <v>Bông Cải Xanh Cọng 12/11/2024</v>
          </cell>
          <cell r="B2074">
            <v>30000</v>
          </cell>
        </row>
        <row r="2075">
          <cell r="A2075" t="str">
            <v>Bông Cải Xanh Cọng 12/11/2024</v>
          </cell>
          <cell r="B2075">
            <v>30000</v>
          </cell>
        </row>
        <row r="2076">
          <cell r="A2076" t="str">
            <v>Bơ Booth 12/11/2024</v>
          </cell>
          <cell r="B2076">
            <v>25000</v>
          </cell>
        </row>
        <row r="2077">
          <cell r="A2077" t="str">
            <v>Cà Rốt Trung 12/11/2024</v>
          </cell>
          <cell r="B2077">
            <v>12000</v>
          </cell>
        </row>
        <row r="2078">
          <cell r="A2078" t="str">
            <v>Củ Cải Trắng 12/11/2024</v>
          </cell>
          <cell r="B2078">
            <v>7000</v>
          </cell>
        </row>
        <row r="2079">
          <cell r="A2079" t="str">
            <v>Củ Khoai Tây Vàng 12/11/2024</v>
          </cell>
          <cell r="B2079">
            <v>15000</v>
          </cell>
        </row>
        <row r="2080">
          <cell r="A2080" t="str">
            <v>Củ Khoai Tây Bi Vàng 12/11/2024</v>
          </cell>
          <cell r="B2080">
            <v>12000</v>
          </cell>
        </row>
        <row r="2081">
          <cell r="A2081" t="str">
            <v>Củ Su Hào 12/11/2024</v>
          </cell>
          <cell r="B2081">
            <v>18000</v>
          </cell>
        </row>
        <row r="2082">
          <cell r="A2082" t="str">
            <v>Củ Khoai Lang Nhật 12/11/2024</v>
          </cell>
          <cell r="B2082">
            <v>19000</v>
          </cell>
        </row>
        <row r="2083">
          <cell r="A2083" t="str">
            <v>Bí Ngòi Xanh 12/11/2024</v>
          </cell>
          <cell r="B2083">
            <v>16000</v>
          </cell>
        </row>
        <row r="2084">
          <cell r="A2084" t="str">
            <v>Chanh Dây Tím 12/11/2024</v>
          </cell>
          <cell r="B2084">
            <v>31000</v>
          </cell>
        </row>
        <row r="2085">
          <cell r="A2085" t="str">
            <v>Bơ Booth 12/11/2024</v>
          </cell>
          <cell r="B2085">
            <v>26000</v>
          </cell>
        </row>
        <row r="2086">
          <cell r="A2086" t="str">
            <v>Trái Su Su 12/11/2024</v>
          </cell>
          <cell r="B2086">
            <v>6000</v>
          </cell>
        </row>
        <row r="2087">
          <cell r="A2087" t="str">
            <v>Cà Chua Thường 12/11/2024</v>
          </cell>
          <cell r="B2087">
            <v>18000</v>
          </cell>
        </row>
        <row r="2088">
          <cell r="A2088" t="str">
            <v>Cà Chua Bi Đỏ 12/11/2024</v>
          </cell>
          <cell r="B2088">
            <v>9900</v>
          </cell>
        </row>
        <row r="2089">
          <cell r="A2089" t="str">
            <v>Củ Dền 12/11/2024</v>
          </cell>
          <cell r="B2089">
            <v>18000</v>
          </cell>
        </row>
        <row r="2090">
          <cell r="A2090" t="str">
            <v>Bí Đao Xanh 12/11/2024</v>
          </cell>
          <cell r="B2090">
            <v>7500</v>
          </cell>
        </row>
        <row r="2091">
          <cell r="A2091" t="str">
            <v>Cà Tím 12/11/2024</v>
          </cell>
          <cell r="B2091">
            <v>8000</v>
          </cell>
        </row>
        <row r="2092">
          <cell r="A2092" t="str">
            <v>Chuối Laba 12/11/2024</v>
          </cell>
          <cell r="B2092">
            <v>13000</v>
          </cell>
        </row>
        <row r="2093">
          <cell r="A2093" t="str">
            <v>Bắp Cải Tím 12/11/2024</v>
          </cell>
          <cell r="B2093">
            <v>28000</v>
          </cell>
        </row>
        <row r="2094">
          <cell r="A2094" t="str">
            <v>Cải Thảo 12/11/2024</v>
          </cell>
          <cell r="B2094">
            <v>7500</v>
          </cell>
        </row>
        <row r="2095">
          <cell r="A2095" t="str">
            <v>Cải Thảo Kim Chi 12/11/2024</v>
          </cell>
          <cell r="B2095">
            <v>5500</v>
          </cell>
        </row>
        <row r="2096">
          <cell r="A2096" t="str">
            <v>Bắp Cải Trắng 12/11/2024</v>
          </cell>
          <cell r="B2096">
            <v>11000</v>
          </cell>
        </row>
        <row r="2097">
          <cell r="A2097" t="str">
            <v>Đậu Cove Trắng 12/11/2024</v>
          </cell>
          <cell r="B2097">
            <v>10000</v>
          </cell>
        </row>
        <row r="2098">
          <cell r="A2098" t="str">
            <v>Hành Paro 12/11/2024</v>
          </cell>
          <cell r="B2098">
            <v>39000</v>
          </cell>
        </row>
        <row r="2099">
          <cell r="A2099" t="str">
            <v>DO 0.05S-II 13/11/2024</v>
          </cell>
          <cell r="B2099">
            <v>17527.27</v>
          </cell>
        </row>
        <row r="2100">
          <cell r="A2100" t="str">
            <v>(H) Pizza Margherita với xúc xích Ý Milano và xúc xích cay Chorizo 13/11/2024</v>
          </cell>
          <cell r="B2100">
            <v>119000</v>
          </cell>
        </row>
        <row r="2101">
          <cell r="A2101" t="str">
            <v>(H) Pizza Hải sản xốt cà chua cay với phô mai hun khói 13/11/2024</v>
          </cell>
          <cell r="B2101">
            <v>137000</v>
          </cell>
        </row>
        <row r="2102">
          <cell r="A2102" t="str">
            <v>Súp nghêu hầm 13/11/2024</v>
          </cell>
          <cell r="B2102">
            <v>82000</v>
          </cell>
        </row>
        <row r="2103">
          <cell r="A2103" t="str">
            <v>Súp cà chua thịt viên Ý với phô mai Mascarpone 13/11/2024</v>
          </cell>
          <cell r="B2103">
            <v>82000</v>
          </cell>
        </row>
        <row r="2104">
          <cell r="A2104" t="str">
            <v>Ricotta Parma Ham Wrap(2pc) 13/11/2024</v>
          </cell>
          <cell r="B2104">
            <v>88000</v>
          </cell>
        </row>
        <row r="2105">
          <cell r="A2105" t="str">
            <v>Mì Ý xốt kem với cua và xốt cà chua 13/11/2024</v>
          </cell>
          <cell r="B2105">
            <v>254000</v>
          </cell>
        </row>
        <row r="2106">
          <cell r="A2106" t="str">
            <v>Nước sinh tố Cam và lá Rocket thải độc 13/11/2024</v>
          </cell>
          <cell r="B2106">
            <v>65000</v>
          </cell>
        </row>
        <row r="2107">
          <cell r="A2107" t="str">
            <v>So da Gừng 13/11/2024</v>
          </cell>
          <cell r="B2107">
            <v>62000</v>
          </cell>
        </row>
        <row r="2108">
          <cell r="A2108" t="str">
            <v>Rổ nhựa 60*40 màu đen 13/11/2024</v>
          </cell>
          <cell r="B2108">
            <v>34000</v>
          </cell>
        </row>
        <row r="2109">
          <cell r="A2109" t="str">
            <v>Cước đường bộ xe 49C37197T đi qua trạm Liên Đầm thời gian GD 21:18:33 ngày 13/11/2024 mã GD 1495562244 13/11/2024</v>
          </cell>
          <cell r="B2109">
            <v>78704</v>
          </cell>
        </row>
        <row r="2110">
          <cell r="A2110" t="str">
            <v>DO 0.05S-II 13/11/2024</v>
          </cell>
          <cell r="B2110">
            <v>17527.27</v>
          </cell>
        </row>
        <row r="2111">
          <cell r="A2111" t="str">
            <v>DO 0.05S-II 13/11/2024</v>
          </cell>
          <cell r="B2111">
            <v>17527.27</v>
          </cell>
        </row>
        <row r="2112">
          <cell r="A2112" t="str">
            <v>Lá Mè 13/11/2024</v>
          </cell>
          <cell r="B2112">
            <v>38000</v>
          </cell>
        </row>
        <row r="2113">
          <cell r="A2113" t="str">
            <v>Trái Mâm Xôi 13/11/2024</v>
          </cell>
          <cell r="B2113">
            <v>35000</v>
          </cell>
        </row>
        <row r="2114">
          <cell r="A2114" t="str">
            <v>Xà Lách Mỹ 13/11/2024</v>
          </cell>
          <cell r="B2114">
            <v>35000</v>
          </cell>
        </row>
        <row r="2115">
          <cell r="A2115" t="str">
            <v>Cần Tây 13/11/2024</v>
          </cell>
          <cell r="B2115">
            <v>10000</v>
          </cell>
        </row>
        <row r="2116">
          <cell r="A2116" t="str">
            <v>Cần Tây 13/11/2024</v>
          </cell>
          <cell r="B2116">
            <v>12000</v>
          </cell>
        </row>
        <row r="2117">
          <cell r="A2117" t="str">
            <v>Bí Ngòi Xanh 13/11/2024</v>
          </cell>
          <cell r="B2117">
            <v>14000</v>
          </cell>
        </row>
        <row r="2118">
          <cell r="A2118" t="str">
            <v>Cà Chua Beef Chùm 13/11/2024</v>
          </cell>
          <cell r="B2118">
            <v>25000</v>
          </cell>
        </row>
        <row r="2119">
          <cell r="A2119" t="str">
            <v>Cà Chua Beef 13/11/2024</v>
          </cell>
          <cell r="B2119">
            <v>22000</v>
          </cell>
        </row>
        <row r="2120">
          <cell r="A2120" t="str">
            <v>Cà Chua Beef Trung 13/11/2024</v>
          </cell>
          <cell r="B2120">
            <v>17000</v>
          </cell>
        </row>
        <row r="2121">
          <cell r="A2121" t="str">
            <v>Bắp Cải Trắng 13/11/2024</v>
          </cell>
          <cell r="B2121">
            <v>11000</v>
          </cell>
        </row>
        <row r="2122">
          <cell r="A2122" t="str">
            <v>Cải Thảo Hỏa Tiễn 13/11/2024</v>
          </cell>
          <cell r="B2122">
            <v>16000</v>
          </cell>
        </row>
        <row r="2123">
          <cell r="A2123" t="str">
            <v>Dưa Leo Baby 13/11/2024</v>
          </cell>
          <cell r="B2123">
            <v>5000</v>
          </cell>
        </row>
        <row r="2124">
          <cell r="A2124" t="str">
            <v>Bông Cải Trắng 13/11/2024</v>
          </cell>
          <cell r="B2124">
            <v>27000</v>
          </cell>
        </row>
        <row r="2125">
          <cell r="A2125" t="str">
            <v>Trái Mít Thái 13/11/2024</v>
          </cell>
          <cell r="B2125">
            <v>19493</v>
          </cell>
        </row>
        <row r="2126">
          <cell r="A2126" t="str">
            <v>Bông Cải Xanh 7Cm 13/11/2024</v>
          </cell>
          <cell r="B2126">
            <v>39000</v>
          </cell>
        </row>
        <row r="2127">
          <cell r="A2127" t="str">
            <v>Bông Cải Xanh 7Cm 13/11/2024</v>
          </cell>
          <cell r="B2127">
            <v>39000</v>
          </cell>
        </row>
        <row r="2128">
          <cell r="A2128" t="str">
            <v>Bông Cải Xanh 10Cm 13/11/2024</v>
          </cell>
          <cell r="B2128">
            <v>33000</v>
          </cell>
        </row>
        <row r="2129">
          <cell r="A2129" t="str">
            <v>Bông Cải Xanh 7Cm 13/11/2024</v>
          </cell>
          <cell r="B2129">
            <v>39000</v>
          </cell>
        </row>
        <row r="2130">
          <cell r="A2130" t="str">
            <v>Cần Tây 13/11/2024</v>
          </cell>
          <cell r="B2130">
            <v>12000</v>
          </cell>
        </row>
        <row r="2131">
          <cell r="A2131" t="str">
            <v>Bông Cải Xanh 7Cm 13/11/2024</v>
          </cell>
          <cell r="B2131">
            <v>39000</v>
          </cell>
        </row>
        <row r="2132">
          <cell r="A2132" t="str">
            <v>Cà Chua Socola 13/11/2024</v>
          </cell>
          <cell r="B2132">
            <v>32000</v>
          </cell>
        </row>
        <row r="2133">
          <cell r="A2133" t="str">
            <v>Bí Ngòi Xanh 13/11/2024</v>
          </cell>
          <cell r="B2133">
            <v>15000</v>
          </cell>
        </row>
        <row r="2134">
          <cell r="A2134" t="str">
            <v>Dưa Leo Baby 13/11/2024</v>
          </cell>
          <cell r="B2134">
            <v>7500</v>
          </cell>
        </row>
        <row r="2135">
          <cell r="A2135" t="str">
            <v>Gia Công Rau Củ Quả 13/11/2024</v>
          </cell>
          <cell r="B2135">
            <v>1700</v>
          </cell>
        </row>
        <row r="2136">
          <cell r="A2136" t="str">
            <v>Gia Công Rau Củ Quả 13/11/2024</v>
          </cell>
          <cell r="B2136">
            <v>1700</v>
          </cell>
        </row>
        <row r="2137">
          <cell r="A2137" t="str">
            <v>Gia Công Rau Củ Quả 13/11/2024</v>
          </cell>
          <cell r="B2137">
            <v>1700</v>
          </cell>
        </row>
        <row r="2138">
          <cell r="A2138" t="str">
            <v>Đậu Đỏ 13/11/2024</v>
          </cell>
          <cell r="B2138">
            <v>80000</v>
          </cell>
        </row>
        <row r="2139">
          <cell r="A2139" t="str">
            <v>Đậu Ngự 13/11/2024</v>
          </cell>
          <cell r="B2139">
            <v>70000</v>
          </cell>
        </row>
        <row r="2140">
          <cell r="A2140" t="str">
            <v>Đậu Trắng 13/11/2024</v>
          </cell>
          <cell r="B2140">
            <v>70000</v>
          </cell>
        </row>
        <row r="2141">
          <cell r="A2141" t="str">
            <v>Bí Ngòi Xanh 13/11/2024</v>
          </cell>
          <cell r="B2141">
            <v>14000</v>
          </cell>
        </row>
        <row r="2142">
          <cell r="A2142" t="str">
            <v>Củ Dền 13/11/2024</v>
          </cell>
          <cell r="B2142">
            <v>17000</v>
          </cell>
        </row>
        <row r="2143">
          <cell r="A2143" t="str">
            <v>Bắp Cải Trái Tim 13/11/2024</v>
          </cell>
          <cell r="B2143">
            <v>18000</v>
          </cell>
        </row>
        <row r="2144">
          <cell r="A2144" t="str">
            <v>Cải Bó Xôi 13/11/2024</v>
          </cell>
          <cell r="B2144">
            <v>30000</v>
          </cell>
        </row>
        <row r="2145">
          <cell r="A2145" t="str">
            <v>Cà Chua Socola 13/11/2024</v>
          </cell>
          <cell r="B2145">
            <v>8500</v>
          </cell>
        </row>
        <row r="2146">
          <cell r="A2146" t="str">
            <v>Xà Lách Lolo Xanh T.C Cây 13/11/2024</v>
          </cell>
          <cell r="B2146">
            <v>6800</v>
          </cell>
        </row>
        <row r="2147">
          <cell r="A2147" t="str">
            <v>Xà Lách Mỡ T.C Cây 13/11/2024</v>
          </cell>
          <cell r="B2147">
            <v>6800</v>
          </cell>
        </row>
        <row r="2148">
          <cell r="A2148" t="str">
            <v>Xà Lách Mỡ T.C 13/11/2024</v>
          </cell>
          <cell r="B2148">
            <v>28000</v>
          </cell>
        </row>
        <row r="2149">
          <cell r="A2149" t="str">
            <v>Xà Lách Thủy Tinh T.C Cây 13/11/2024</v>
          </cell>
          <cell r="B2149">
            <v>6800</v>
          </cell>
        </row>
        <row r="2150">
          <cell r="A2150" t="str">
            <v>Xà Lách Thủy Tinh T.C 13/11/2024</v>
          </cell>
          <cell r="B2150">
            <v>30000</v>
          </cell>
        </row>
        <row r="2151">
          <cell r="A2151" t="str">
            <v>Cà Chua Thường 13/11/2024</v>
          </cell>
          <cell r="B2151">
            <v>18000</v>
          </cell>
        </row>
        <row r="2152">
          <cell r="A2152" t="str">
            <v>Cà Chua Thường Trung 13/11/2024</v>
          </cell>
          <cell r="B2152">
            <v>15000</v>
          </cell>
        </row>
        <row r="2153">
          <cell r="A2153" t="str">
            <v>Đậu Cove Nhật 13/11/2024</v>
          </cell>
          <cell r="B2153">
            <v>6000</v>
          </cell>
        </row>
        <row r="2154">
          <cell r="A2154" t="str">
            <v>Cà Rốt 13/11/2024</v>
          </cell>
          <cell r="B2154">
            <v>15000</v>
          </cell>
        </row>
        <row r="2155">
          <cell r="A2155" t="str">
            <v>Dưa Leo Thường 13/11/2024</v>
          </cell>
          <cell r="B2155">
            <v>4500</v>
          </cell>
        </row>
        <row r="2156">
          <cell r="A2156" t="str">
            <v>Trái Khổ Qua 13/11/2024</v>
          </cell>
          <cell r="B2156">
            <v>20000</v>
          </cell>
        </row>
        <row r="2157">
          <cell r="A2157" t="str">
            <v>Bơ Booth 13/11/2024</v>
          </cell>
          <cell r="B2157">
            <v>28000</v>
          </cell>
        </row>
        <row r="2158">
          <cell r="A2158" t="str">
            <v>Chuối Laba 13/11/2024</v>
          </cell>
          <cell r="B2158">
            <v>11500</v>
          </cell>
        </row>
        <row r="2159">
          <cell r="A2159" t="str">
            <v>Cà Tím 13/11/2024</v>
          </cell>
          <cell r="B2159">
            <v>8500</v>
          </cell>
        </row>
        <row r="2160">
          <cell r="A2160" t="str">
            <v>Cà Tím 13/11/2024</v>
          </cell>
          <cell r="B2160">
            <v>6000</v>
          </cell>
        </row>
        <row r="2161">
          <cell r="A2161" t="str">
            <v>Củ Cải Trắng 13/11/2024</v>
          </cell>
          <cell r="B2161">
            <v>6500</v>
          </cell>
        </row>
        <row r="2162">
          <cell r="A2162" t="str">
            <v>Ớt Chuông Đỏ 13/11/2024</v>
          </cell>
          <cell r="B2162">
            <v>38000</v>
          </cell>
        </row>
        <row r="2163">
          <cell r="A2163" t="str">
            <v>Ớt Chuông Vàng 13/11/2024</v>
          </cell>
          <cell r="B2163">
            <v>18000</v>
          </cell>
        </row>
        <row r="2164">
          <cell r="A2164" t="str">
            <v>Ớt Chuông Xanh 13/11/2024</v>
          </cell>
          <cell r="B2164">
            <v>27000</v>
          </cell>
        </row>
        <row r="2165">
          <cell r="A2165" t="str">
            <v>Bí Ngô Mini 13/11/2024</v>
          </cell>
          <cell r="B2165">
            <v>48000</v>
          </cell>
        </row>
        <row r="2166">
          <cell r="A2166" t="str">
            <v>Ớt Sweet Palemo 13/11/2024</v>
          </cell>
          <cell r="B2166">
            <v>21000</v>
          </cell>
        </row>
        <row r="2167">
          <cell r="A2167" t="str">
            <v>Trái Su Su 13/11/2024</v>
          </cell>
          <cell r="B2167">
            <v>7500</v>
          </cell>
        </row>
        <row r="2168">
          <cell r="A2168" t="str">
            <v>Lá Nha Đam 13/11/2024</v>
          </cell>
          <cell r="B2168">
            <v>14000</v>
          </cell>
        </row>
        <row r="2169">
          <cell r="A2169" t="str">
            <v>Củ Khoai Mỡ 13/11/2024</v>
          </cell>
          <cell r="B2169">
            <v>30000</v>
          </cell>
        </row>
        <row r="2170">
          <cell r="A2170" t="str">
            <v>Củ Gừng 13/11/2024</v>
          </cell>
          <cell r="B2170">
            <v>45000</v>
          </cell>
        </row>
        <row r="2171">
          <cell r="A2171" t="str">
            <v>Bí Đỏ Hồ Lô 13/11/2024</v>
          </cell>
          <cell r="B2171">
            <v>13000</v>
          </cell>
        </row>
        <row r="2172">
          <cell r="A2172" t="str">
            <v>Cà Rốt 13/11/2024</v>
          </cell>
          <cell r="B2172">
            <v>17000</v>
          </cell>
        </row>
        <row r="2173">
          <cell r="A2173" t="str">
            <v>Ớt Chuông Đỏ 13/11/2024</v>
          </cell>
          <cell r="B2173">
            <v>42000</v>
          </cell>
        </row>
        <row r="2174">
          <cell r="A2174" t="str">
            <v>Xà Lách Lolo Xanh T.C 13/11/2024</v>
          </cell>
          <cell r="B2174">
            <v>28000</v>
          </cell>
        </row>
        <row r="2175">
          <cell r="A2175" t="str">
            <v>Củ Khoai Lang Nhật 13/11/2024</v>
          </cell>
          <cell r="B2175">
            <v>19000</v>
          </cell>
        </row>
        <row r="2176">
          <cell r="A2176" t="str">
            <v>Cà Chua Bi Đỏ 13/11/2024</v>
          </cell>
          <cell r="B2176">
            <v>16500</v>
          </cell>
        </row>
        <row r="2177">
          <cell r="A2177" t="str">
            <v>Cà Chua Bi Đỏ 13/11/2024</v>
          </cell>
          <cell r="B2177">
            <v>9900</v>
          </cell>
        </row>
        <row r="2178">
          <cell r="A2178" t="str">
            <v>Củ Khoai Tây Vàng 13/11/2024</v>
          </cell>
          <cell r="B2178">
            <v>15000</v>
          </cell>
        </row>
        <row r="2179">
          <cell r="A2179" t="str">
            <v>Xà Lách Mỡ T.C 13/11/2024</v>
          </cell>
          <cell r="B2179">
            <v>27000</v>
          </cell>
        </row>
        <row r="2180">
          <cell r="A2180" t="str">
            <v>Xà Lách Lolo Xanh T.C 13/11/2024</v>
          </cell>
          <cell r="B2180">
            <v>28000</v>
          </cell>
        </row>
        <row r="2181">
          <cell r="A2181" t="str">
            <v>Củ Su Hào 13/11/2024</v>
          </cell>
          <cell r="B2181">
            <v>18000</v>
          </cell>
        </row>
        <row r="2182">
          <cell r="A2182" t="str">
            <v>Cải Thảo 13/11/2024</v>
          </cell>
          <cell r="B2182">
            <v>7500</v>
          </cell>
        </row>
        <row r="2183">
          <cell r="A2183" t="str">
            <v>Măng Tây 13/11/2024</v>
          </cell>
          <cell r="B2183">
            <v>58000</v>
          </cell>
        </row>
        <row r="2184">
          <cell r="A2184" t="str">
            <v>Măng Tây 13/11/2024</v>
          </cell>
          <cell r="B2184">
            <v>45000</v>
          </cell>
        </row>
        <row r="2185">
          <cell r="A2185" t="str">
            <v>Dưa Leo Thường 13/11/2024</v>
          </cell>
          <cell r="B2185">
            <v>9000</v>
          </cell>
        </row>
        <row r="2186">
          <cell r="A2186" t="str">
            <v>Dưa Leo Nhật 13/11/2024</v>
          </cell>
          <cell r="B2186">
            <v>10000</v>
          </cell>
        </row>
        <row r="2187">
          <cell r="A2187" t="str">
            <v>Bí Non Nhật 13/11/2024</v>
          </cell>
          <cell r="B2187">
            <v>14000</v>
          </cell>
        </row>
        <row r="2188">
          <cell r="A2188" t="str">
            <v>Đậu Cove Trắng 13/11/2024</v>
          </cell>
          <cell r="B2188">
            <v>11000</v>
          </cell>
        </row>
        <row r="2189">
          <cell r="A2189" t="str">
            <v>Ớt Sweet Palemo 13/11/2024</v>
          </cell>
          <cell r="B2189">
            <v>23000</v>
          </cell>
        </row>
        <row r="2190">
          <cell r="A2190" t="str">
            <v>Rau Ngò Rí 13/11/2024</v>
          </cell>
          <cell r="B2190">
            <v>35000</v>
          </cell>
        </row>
        <row r="2191">
          <cell r="A2191" t="str">
            <v>Bông Cải Xanh Gốc Dài 13/11/2024</v>
          </cell>
          <cell r="B2191">
            <v>30000</v>
          </cell>
        </row>
        <row r="2192">
          <cell r="A2192" t="str">
            <v>Ớt Chuông Baby 13/11/2024</v>
          </cell>
          <cell r="B2192">
            <v>48000</v>
          </cell>
        </row>
        <row r="2193">
          <cell r="A2193" t="str">
            <v>Ớt Chuông Snack 13/11/2024</v>
          </cell>
          <cell r="B2193">
            <v>58000</v>
          </cell>
        </row>
        <row r="2194">
          <cell r="A2194" t="str">
            <v>Xà Lách Mỡ T.C 13/11/2024</v>
          </cell>
          <cell r="B2194">
            <v>26000</v>
          </cell>
        </row>
        <row r="2195">
          <cell r="A2195" t="str">
            <v>Xà Lách Lolo Xanh T.C 13/11/2024</v>
          </cell>
          <cell r="B2195">
            <v>26000</v>
          </cell>
        </row>
        <row r="2196">
          <cell r="A2196" t="str">
            <v>Xà Lách Thủy Tinh T.C Cây 13/11/2024</v>
          </cell>
          <cell r="B2196">
            <v>8000</v>
          </cell>
        </row>
        <row r="2197">
          <cell r="A2197" t="str">
            <v>Bí Non Nhật 13/11/2024</v>
          </cell>
          <cell r="B2197">
            <v>10000</v>
          </cell>
        </row>
        <row r="2198">
          <cell r="A2198" t="str">
            <v>Trái Su Su 13/11/2024</v>
          </cell>
          <cell r="B2198">
            <v>7000</v>
          </cell>
        </row>
        <row r="2199">
          <cell r="A2199" t="str">
            <v>Bí Đao Xanh 13/11/2024</v>
          </cell>
          <cell r="B2199">
            <v>10000</v>
          </cell>
        </row>
        <row r="2200">
          <cell r="A2200" t="str">
            <v>Bí Ngòi Xanh 13/11/2024</v>
          </cell>
          <cell r="B2200">
            <v>14000</v>
          </cell>
        </row>
        <row r="2201">
          <cell r="A2201" t="str">
            <v>Hành Paro 13/11/2024</v>
          </cell>
          <cell r="B2201">
            <v>38000</v>
          </cell>
        </row>
        <row r="2202">
          <cell r="A2202" t="str">
            <v>Dưa Leo Baby 13/11/2024</v>
          </cell>
          <cell r="B2202">
            <v>6000</v>
          </cell>
        </row>
        <row r="2203">
          <cell r="A2203" t="str">
            <v>Dưa Leo Baby 13/11/2024</v>
          </cell>
          <cell r="B2203">
            <v>5000</v>
          </cell>
        </row>
        <row r="2204">
          <cell r="A2204" t="str">
            <v>Bắp Cải Tím 13/11/2024</v>
          </cell>
          <cell r="B2204">
            <v>28000</v>
          </cell>
        </row>
        <row r="2205">
          <cell r="A2205" t="str">
            <v>Cà Chua Thường Trung 13/11/2024</v>
          </cell>
          <cell r="B2205">
            <v>13000</v>
          </cell>
        </row>
        <row r="2206">
          <cell r="A2206" t="str">
            <v>Cà Chua Beef 13/11/2024</v>
          </cell>
          <cell r="B2206">
            <v>24000</v>
          </cell>
        </row>
        <row r="2207">
          <cell r="A2207" t="str">
            <v>Cà Chua Socola 13/11/2024</v>
          </cell>
          <cell r="B2207">
            <v>12000</v>
          </cell>
        </row>
        <row r="2208">
          <cell r="A2208" t="str">
            <v>Lá Tía Tô 13/11/2024</v>
          </cell>
          <cell r="B2208">
            <v>32000</v>
          </cell>
        </row>
        <row r="2209">
          <cell r="A2209" t="str">
            <v>Xà Lách Lolo Xanh 13/11/2024</v>
          </cell>
          <cell r="B2209">
            <v>33000</v>
          </cell>
        </row>
        <row r="2210">
          <cell r="A2210" t="str">
            <v>Xà Lách Rocket 13/11/2024</v>
          </cell>
          <cell r="B2210">
            <v>120000</v>
          </cell>
        </row>
        <row r="2211">
          <cell r="A2211" t="str">
            <v>Đậu Hà Lan Trái 13/11/2024</v>
          </cell>
          <cell r="B2211">
            <v>80000</v>
          </cell>
        </row>
        <row r="2212">
          <cell r="A2212" t="str">
            <v>Xà Lách Carol 13/11/2024</v>
          </cell>
          <cell r="B2212">
            <v>32000</v>
          </cell>
        </row>
        <row r="2213">
          <cell r="A2213" t="str">
            <v>Bắp Cải Trái Tim 13/11/2024</v>
          </cell>
          <cell r="B2213">
            <v>15000</v>
          </cell>
        </row>
        <row r="2214">
          <cell r="A2214" t="str">
            <v>Hồng Treo Gió 13/11/2024</v>
          </cell>
          <cell r="B2214">
            <v>200000</v>
          </cell>
        </row>
        <row r="2215">
          <cell r="A2215" t="str">
            <v>Hồng Giòn Đà Lạt 13/11/2024</v>
          </cell>
          <cell r="B2215">
            <v>28000</v>
          </cell>
        </row>
        <row r="2216">
          <cell r="A2216" t="str">
            <v>Lá Mè 13/11/2024</v>
          </cell>
          <cell r="B2216">
            <v>40000</v>
          </cell>
        </row>
        <row r="2217">
          <cell r="A2217" t="str">
            <v>Dưa Leo Baby 13/11/2024</v>
          </cell>
          <cell r="B2217">
            <v>5000</v>
          </cell>
        </row>
        <row r="2218">
          <cell r="A2218" t="str">
            <v>Cà Rốt Baby 13/11/2024</v>
          </cell>
          <cell r="B2218">
            <v>55000</v>
          </cell>
        </row>
        <row r="2219">
          <cell r="A2219" t="str">
            <v>Cải Cầu Vồng 13/11/2024</v>
          </cell>
          <cell r="B2219">
            <v>20000</v>
          </cell>
        </row>
        <row r="2220">
          <cell r="A2220" t="str">
            <v>Cải Kale 13/11/2024</v>
          </cell>
          <cell r="B2220">
            <v>35000</v>
          </cell>
        </row>
        <row r="2221">
          <cell r="A2221" t="str">
            <v>Cải Kale 13/11/2024</v>
          </cell>
          <cell r="B2221">
            <v>38000</v>
          </cell>
        </row>
        <row r="2222">
          <cell r="A2222" t="str">
            <v>Củ Cải Đỏ 13/11/2024</v>
          </cell>
          <cell r="B2222">
            <v>14000</v>
          </cell>
        </row>
        <row r="2223">
          <cell r="A2223" t="str">
            <v>Bông Cải Xanh Baby 13/11/2024</v>
          </cell>
          <cell r="B2223">
            <v>57000</v>
          </cell>
        </row>
        <row r="2224">
          <cell r="A2224" t="str">
            <v>Xà Lách Lolo Tím 13/11/2024</v>
          </cell>
          <cell r="B2224">
            <v>50000</v>
          </cell>
        </row>
        <row r="2225">
          <cell r="A2225" t="str">
            <v>Lá Hương Thảo 13/11/2024</v>
          </cell>
          <cell r="B2225">
            <v>100000</v>
          </cell>
        </row>
        <row r="2226">
          <cell r="A2226" t="str">
            <v>Bông Bí Nụ 13/11/2024</v>
          </cell>
          <cell r="B2226">
            <v>60000</v>
          </cell>
        </row>
        <row r="2227">
          <cell r="A2227" t="str">
            <v>Ớt Sweet Palemo 13/11/2024</v>
          </cell>
          <cell r="B2227">
            <v>22000</v>
          </cell>
        </row>
        <row r="2228">
          <cell r="A2228" t="str">
            <v>Xà Lách Lolo Xanh 13/11/2024</v>
          </cell>
          <cell r="B2228">
            <v>30000</v>
          </cell>
        </row>
        <row r="2229">
          <cell r="A2229" t="str">
            <v>Xà Lách Lolo Xanh 13/11/2024</v>
          </cell>
          <cell r="B2229">
            <v>33000</v>
          </cell>
        </row>
        <row r="2230">
          <cell r="A2230" t="str">
            <v>Cà Chua Beef Trung 13/11/2024</v>
          </cell>
          <cell r="B2230">
            <v>21000</v>
          </cell>
        </row>
        <row r="2231">
          <cell r="A2231" t="str">
            <v>Cải Kale 13/11/2024</v>
          </cell>
          <cell r="B2231">
            <v>33500</v>
          </cell>
        </row>
        <row r="2232">
          <cell r="A2232" t="str">
            <v>Cải Kale 13/11/2024</v>
          </cell>
          <cell r="B2232">
            <v>30000</v>
          </cell>
        </row>
        <row r="2233">
          <cell r="A2233" t="str">
            <v>Cà Chua Bi Mix 13/11/2024</v>
          </cell>
          <cell r="B2233">
            <v>55000</v>
          </cell>
        </row>
        <row r="2234">
          <cell r="A2234" t="str">
            <v>Cà Chua Bi Mix 13/11/2024</v>
          </cell>
          <cell r="B2234">
            <v>56500</v>
          </cell>
        </row>
        <row r="2235">
          <cell r="A2235" t="str">
            <v>Cà Chua Socola 13/11/2024</v>
          </cell>
          <cell r="B2235">
            <v>46500</v>
          </cell>
        </row>
        <row r="2236">
          <cell r="A2236" t="str">
            <v>Chanh Không Hạt 13/11/2024</v>
          </cell>
          <cell r="B2236">
            <v>26000</v>
          </cell>
        </row>
        <row r="2237">
          <cell r="A2237" t="str">
            <v>Cải Bó Xôi 13/11/2024</v>
          </cell>
          <cell r="B2237">
            <v>34000</v>
          </cell>
        </row>
        <row r="2238">
          <cell r="A2238" t="str">
            <v>Cải Bó Xôi 13/11/2024</v>
          </cell>
          <cell r="B2238">
            <v>37000</v>
          </cell>
        </row>
        <row r="2239">
          <cell r="A2239" t="str">
            <v>Cà Chua Beef Chùm 13/11/2024</v>
          </cell>
          <cell r="B2239">
            <v>26000</v>
          </cell>
        </row>
        <row r="2240">
          <cell r="A2240" t="str">
            <v>Cà Chua Beef 13/11/2024</v>
          </cell>
          <cell r="B2240">
            <v>23000</v>
          </cell>
        </row>
        <row r="2241">
          <cell r="A2241" t="str">
            <v>Cà Chua Beef 13/11/2024</v>
          </cell>
          <cell r="B2241">
            <v>27000</v>
          </cell>
        </row>
        <row r="2242">
          <cell r="A2242" t="str">
            <v>Cà Chua Beef Trung 13/11/2024</v>
          </cell>
          <cell r="B2242">
            <v>21000</v>
          </cell>
        </row>
        <row r="2243">
          <cell r="A2243" t="str">
            <v>Cà Chua Thường 13/11/2024</v>
          </cell>
          <cell r="B2243">
            <v>17000</v>
          </cell>
        </row>
        <row r="2244">
          <cell r="A2244" t="str">
            <v>Cà Chua Thường Trung 13/11/2024</v>
          </cell>
          <cell r="B2244">
            <v>13000</v>
          </cell>
        </row>
        <row r="2245">
          <cell r="A2245" t="str">
            <v>Hạt Dẻ Ngố 13/11/2024</v>
          </cell>
          <cell r="B2245">
            <v>26400</v>
          </cell>
        </row>
        <row r="2246">
          <cell r="A2246" t="str">
            <v>Hạt Dẻ Ngố 13/11/2024</v>
          </cell>
          <cell r="B2246">
            <v>28600</v>
          </cell>
        </row>
        <row r="2247">
          <cell r="A2247" t="str">
            <v>Bắp Cải Tím 13/11/2024</v>
          </cell>
          <cell r="B2247">
            <v>30000</v>
          </cell>
        </row>
        <row r="2248">
          <cell r="A2248" t="str">
            <v>Cần Tây 13/11/2024</v>
          </cell>
          <cell r="B2248">
            <v>10000</v>
          </cell>
        </row>
        <row r="2249">
          <cell r="A2249" t="str">
            <v>Bắp Cải Trắng 13/11/2024</v>
          </cell>
          <cell r="B2249">
            <v>11000</v>
          </cell>
        </row>
        <row r="2250">
          <cell r="A2250" t="str">
            <v>Cải Thảo 13/11/2024</v>
          </cell>
          <cell r="B2250">
            <v>7500</v>
          </cell>
        </row>
        <row r="2251">
          <cell r="A2251" t="str">
            <v>Cải Thảo Kim Chi 13/11/2024</v>
          </cell>
          <cell r="B2251">
            <v>5500</v>
          </cell>
        </row>
        <row r="2252">
          <cell r="A2252" t="str">
            <v>Cải Thảo Hỏa Tiễn 13/11/2024</v>
          </cell>
          <cell r="B2252">
            <v>16000</v>
          </cell>
        </row>
        <row r="2253">
          <cell r="A2253" t="str">
            <v>Cần Tây 13/11/2024</v>
          </cell>
          <cell r="B2253">
            <v>10000</v>
          </cell>
        </row>
        <row r="2254">
          <cell r="A2254" t="str">
            <v>Bông Cải Trắng 13/11/2024</v>
          </cell>
          <cell r="B2254">
            <v>27000</v>
          </cell>
        </row>
        <row r="2255">
          <cell r="A2255" t="str">
            <v>Bông Cải Xanh Cọng 13/11/2024</v>
          </cell>
          <cell r="B2255">
            <v>30000</v>
          </cell>
        </row>
        <row r="2256">
          <cell r="A2256" t="str">
            <v>Bông Cải Xanh Cọng 13/11/2024</v>
          </cell>
          <cell r="B2256">
            <v>30000</v>
          </cell>
        </row>
        <row r="2257">
          <cell r="A2257" t="str">
            <v>Bắp Cải Trái Tim 13/11/2024</v>
          </cell>
          <cell r="B2257">
            <v>14000</v>
          </cell>
        </row>
        <row r="2258">
          <cell r="A2258" t="str">
            <v>Bí Ngòi Xanh 13/11/2024</v>
          </cell>
          <cell r="B2258">
            <v>14000</v>
          </cell>
        </row>
        <row r="2259">
          <cell r="A2259" t="str">
            <v>Xà Lách Mỡ T.C 13/11/2024</v>
          </cell>
          <cell r="B2259">
            <v>28000</v>
          </cell>
        </row>
        <row r="2260">
          <cell r="A2260" t="str">
            <v>Đậu Cove Nhật 13/11/2024</v>
          </cell>
          <cell r="B2260">
            <v>6000</v>
          </cell>
        </row>
        <row r="2261">
          <cell r="A2261" t="str">
            <v>Củ Khoai Lang Nhật 13/11/2024</v>
          </cell>
          <cell r="B2261">
            <v>19000</v>
          </cell>
        </row>
        <row r="2262">
          <cell r="A2262" t="str">
            <v>Cà Rốt Trung 13/11/2024</v>
          </cell>
          <cell r="B2262">
            <v>11000</v>
          </cell>
        </row>
        <row r="2263">
          <cell r="A2263" t="str">
            <v>Bí Ngòi Xanh 13/11/2024</v>
          </cell>
          <cell r="B2263">
            <v>14000</v>
          </cell>
        </row>
        <row r="2264">
          <cell r="A2264" t="str">
            <v>Trái Su Su 13/11/2024</v>
          </cell>
          <cell r="B2264">
            <v>7500</v>
          </cell>
        </row>
        <row r="2265">
          <cell r="A2265" t="str">
            <v>Chanh Dây Tím 13/11/2024</v>
          </cell>
          <cell r="B2265">
            <v>31000</v>
          </cell>
        </row>
        <row r="2266">
          <cell r="A2266" t="str">
            <v>Lá Mè 13/11/2024</v>
          </cell>
          <cell r="B2266">
            <v>36000</v>
          </cell>
        </row>
        <row r="2267">
          <cell r="A2267" t="str">
            <v>Ớt Chuông Đỏ 13/11/2024</v>
          </cell>
          <cell r="B2267">
            <v>38000</v>
          </cell>
        </row>
        <row r="2268">
          <cell r="A2268" t="str">
            <v>Ớt Chuông Vàng 13/11/2024</v>
          </cell>
          <cell r="B2268">
            <v>18000</v>
          </cell>
        </row>
        <row r="2269">
          <cell r="A2269" t="str">
            <v>Ớt Chuông Xanh 13/11/2024</v>
          </cell>
          <cell r="B2269">
            <v>27000</v>
          </cell>
        </row>
        <row r="2270">
          <cell r="A2270" t="str">
            <v>Ớt Sweet Palemo 13/11/2024</v>
          </cell>
          <cell r="B2270">
            <v>21000</v>
          </cell>
        </row>
        <row r="2271">
          <cell r="A2271" t="str">
            <v>Bơ Booth 13/11/2024</v>
          </cell>
          <cell r="B2271">
            <v>25000</v>
          </cell>
        </row>
        <row r="2272">
          <cell r="A2272" t="str">
            <v>Trái Su Su 13/11/2024</v>
          </cell>
          <cell r="B2272">
            <v>7500</v>
          </cell>
        </row>
        <row r="2273">
          <cell r="A2273" t="str">
            <v>Chuối Laba 13/11/2024</v>
          </cell>
          <cell r="B2273">
            <v>13000</v>
          </cell>
        </row>
        <row r="2274">
          <cell r="A2274" t="str">
            <v>Bí Đao Xanh 13/11/2024</v>
          </cell>
          <cell r="B2274">
            <v>7500</v>
          </cell>
        </row>
        <row r="2275">
          <cell r="A2275" t="str">
            <v>Cà Tím 13/11/2024</v>
          </cell>
          <cell r="B2275">
            <v>8500</v>
          </cell>
        </row>
        <row r="2276">
          <cell r="A2276" t="str">
            <v>Chuối Laba 13/11/2024</v>
          </cell>
          <cell r="B2276">
            <v>13000</v>
          </cell>
        </row>
        <row r="2277">
          <cell r="A2277" t="str">
            <v>Củ Khoai Lang Nhật 13/11/2024</v>
          </cell>
          <cell r="B2277">
            <v>19000</v>
          </cell>
        </row>
        <row r="2278">
          <cell r="A2278" t="str">
            <v>Cà Rốt Trung 13/11/2024</v>
          </cell>
          <cell r="B2278">
            <v>12000</v>
          </cell>
        </row>
        <row r="2279">
          <cell r="A2279" t="str">
            <v>Củ Cải Trắng 13/11/2024</v>
          </cell>
          <cell r="B2279">
            <v>6500</v>
          </cell>
        </row>
        <row r="2280">
          <cell r="A2280" t="str">
            <v>Cà Chua Bi Đỏ 13/11/2024</v>
          </cell>
          <cell r="B2280">
            <v>9900</v>
          </cell>
        </row>
        <row r="2281">
          <cell r="A2281" t="str">
            <v>Trái Su Su 13/11/2024</v>
          </cell>
          <cell r="B2281">
            <v>8000</v>
          </cell>
        </row>
        <row r="2282">
          <cell r="A2282" t="str">
            <v>Củ Dền 13/11/2024</v>
          </cell>
          <cell r="B2282">
            <v>22000</v>
          </cell>
        </row>
        <row r="2283">
          <cell r="A2283" t="str">
            <v>Củ Khoai Tây Vàng 13/11/2024</v>
          </cell>
          <cell r="B2283">
            <v>15000</v>
          </cell>
        </row>
        <row r="2284">
          <cell r="A2284" t="str">
            <v>Củ Khoai Tây Bi Vàng 13/11/2024</v>
          </cell>
          <cell r="B2284">
            <v>12000</v>
          </cell>
        </row>
        <row r="2285">
          <cell r="A2285" t="str">
            <v>Củ Cải Trắng 13/11/2024</v>
          </cell>
          <cell r="B2285">
            <v>7000</v>
          </cell>
        </row>
        <row r="2286">
          <cell r="A2286" t="str">
            <v>Cà Chua Thường 13/11/2024</v>
          </cell>
          <cell r="B2286">
            <v>19000</v>
          </cell>
        </row>
        <row r="2287">
          <cell r="A2287" t="str">
            <v>Củ Su Hào 13/11/2024</v>
          </cell>
          <cell r="B2287">
            <v>18000</v>
          </cell>
        </row>
        <row r="2288">
          <cell r="A2288" t="str">
            <v>Cà Chua Beef 13/11/2024</v>
          </cell>
          <cell r="B2288">
            <v>24000</v>
          </cell>
        </row>
        <row r="2289">
          <cell r="A2289" t="str">
            <v>Cà Chua Thường 13/11/2024</v>
          </cell>
          <cell r="B2289">
            <v>18000</v>
          </cell>
        </row>
        <row r="2290">
          <cell r="A2290" t="str">
            <v>Đậu Cove Trắng 13/11/2024</v>
          </cell>
          <cell r="B2290">
            <v>11000</v>
          </cell>
        </row>
        <row r="2291">
          <cell r="A2291" t="str">
            <v>Hành Paro 13/11/2024</v>
          </cell>
          <cell r="B2291">
            <v>38000</v>
          </cell>
        </row>
        <row r="2292">
          <cell r="A2292" t="str">
            <v>Củ Dền 13/11/2024</v>
          </cell>
          <cell r="B2292">
            <v>18000</v>
          </cell>
        </row>
        <row r="2293">
          <cell r="A2293" t="str">
            <v>Cà Chua Thường 13/11/2024</v>
          </cell>
          <cell r="B2293">
            <v>17000</v>
          </cell>
        </row>
        <row r="2294">
          <cell r="A2294" t="str">
            <v>Cà Rốt Baby 13/11/2024</v>
          </cell>
          <cell r="B2294">
            <v>55000</v>
          </cell>
        </row>
        <row r="2295">
          <cell r="A2295" t="str">
            <v>Cà Chua Beef Trung 13/11/2024</v>
          </cell>
          <cell r="B2295">
            <v>19000</v>
          </cell>
        </row>
        <row r="2296">
          <cell r="A2296" t="str">
            <v>Cải Thảo 13/11/2024</v>
          </cell>
          <cell r="B2296">
            <v>7500</v>
          </cell>
        </row>
        <row r="2297">
          <cell r="A2297" t="str">
            <v>Cải Thảo Kim Chi 13/11/2024</v>
          </cell>
          <cell r="B2297">
            <v>5500</v>
          </cell>
        </row>
        <row r="2298">
          <cell r="A2298" t="str">
            <v>Dầu Do 0.001 S-V 14/11/2024</v>
          </cell>
          <cell r="B2298">
            <v>17445.45</v>
          </cell>
        </row>
        <row r="2299">
          <cell r="A2299" t="str">
            <v>DO 0.05S-II 14/11/2024</v>
          </cell>
          <cell r="B2299">
            <v>17527.27</v>
          </cell>
        </row>
        <row r="2300">
          <cell r="A2300" t="str">
            <v>Dầu Do 0.001 S-V 14/11/2024</v>
          </cell>
          <cell r="B2300">
            <v>17445.45</v>
          </cell>
        </row>
        <row r="2301">
          <cell r="A2301" t="str">
            <v>Dầu DO 0,05S-II 14/11/2024</v>
          </cell>
          <cell r="B2301">
            <v>17218.18</v>
          </cell>
        </row>
        <row r="2302">
          <cell r="A2302" t="str">
            <v>Cước đường bộ xe 49C37197T đi qua trạm Liên Đầm thời gian GD 13:04:18 ngày 14/11/2024 mã GD 1496369030 14/11/2024</v>
          </cell>
          <cell r="B2302">
            <v>78704</v>
          </cell>
        </row>
        <row r="2303">
          <cell r="A2303" t="str">
            <v>DO 0.05S-II 14/11/2024</v>
          </cell>
          <cell r="B2303">
            <v>17527.27</v>
          </cell>
        </row>
        <row r="2304">
          <cell r="A2304" t="str">
            <v>Cước đường bộ xe 49C37197T đi qua trạm Cầu Phú Mỹ thời gian GD 06:58:31 ngày 14/11/2024 mã GD 1495868723 14/11/2024</v>
          </cell>
          <cell r="B2304">
            <v>22222</v>
          </cell>
        </row>
        <row r="2305">
          <cell r="A2305" t="str">
            <v>Cước đường bộ xe 49C37197T đi qua đoạn Long Phước - NH51 thời gian GD 07:43:56 ngày 14/11/2024 mã GD 1495908737 14/11/2024</v>
          </cell>
          <cell r="B2305">
            <v>76806</v>
          </cell>
        </row>
        <row r="2306">
          <cell r="A2306" t="str">
            <v>Cước đường bộ xe 49C37197T đi qua trạm Xa Lộ - Hà Nội thời gian GD 02:14:54 ngày 14/11/2024 mã GD 1495709833 14/11/2024</v>
          </cell>
          <cell r="B2306">
            <v>50000</v>
          </cell>
        </row>
        <row r="2307">
          <cell r="A2307" t="str">
            <v>Cà Chua Beef 14/11/2024</v>
          </cell>
          <cell r="B2307">
            <v>23000</v>
          </cell>
        </row>
        <row r="2308">
          <cell r="A2308" t="str">
            <v>Cà Chua Beef Chùm 14/11/2024</v>
          </cell>
          <cell r="B2308">
            <v>24000</v>
          </cell>
        </row>
        <row r="2309">
          <cell r="A2309" t="str">
            <v>Dưa Leo Baby 14/11/2024</v>
          </cell>
          <cell r="B2309">
            <v>4500</v>
          </cell>
        </row>
        <row r="2310">
          <cell r="A2310" t="str">
            <v>Dưa Leo Baby 14/11/2024</v>
          </cell>
          <cell r="B2310">
            <v>3500</v>
          </cell>
        </row>
        <row r="2311">
          <cell r="A2311" t="str">
            <v>Trái Mít Thái 14/11/2024</v>
          </cell>
          <cell r="B2311">
            <v>19526</v>
          </cell>
        </row>
        <row r="2312">
          <cell r="A2312" t="str">
            <v>Xà Lách Mỹ 14/11/2024</v>
          </cell>
          <cell r="B2312">
            <v>38000</v>
          </cell>
        </row>
        <row r="2313">
          <cell r="A2313" t="str">
            <v>Dưa Leo Baby 14/11/2024</v>
          </cell>
          <cell r="B2313">
            <v>4000</v>
          </cell>
        </row>
        <row r="2314">
          <cell r="A2314" t="str">
            <v>Bông Cải Xanh 7Cm 14/11/2024</v>
          </cell>
          <cell r="B2314">
            <v>39000</v>
          </cell>
        </row>
        <row r="2315">
          <cell r="A2315" t="str">
            <v>Bông Cải Xanh 10Cm 14/11/2024</v>
          </cell>
          <cell r="B2315">
            <v>33000</v>
          </cell>
        </row>
        <row r="2316">
          <cell r="A2316" t="str">
            <v>Bông Cải Xanh 7Cm 14/11/2024</v>
          </cell>
          <cell r="B2316">
            <v>39000</v>
          </cell>
        </row>
        <row r="2317">
          <cell r="A2317" t="str">
            <v>Trái Mâm Xôi 14/11/2024</v>
          </cell>
          <cell r="B2317">
            <v>35000</v>
          </cell>
        </row>
        <row r="2318">
          <cell r="A2318" t="str">
            <v>Bông Cải Xanh 7Cm 14/11/2024</v>
          </cell>
          <cell r="B2318">
            <v>39000</v>
          </cell>
        </row>
        <row r="2319">
          <cell r="A2319" t="str">
            <v>Cần Tây 14/11/2024</v>
          </cell>
          <cell r="B2319">
            <v>12000</v>
          </cell>
        </row>
        <row r="2320">
          <cell r="A2320" t="str">
            <v>Bông Cải Xanh 7Cm 14/11/2024</v>
          </cell>
          <cell r="B2320">
            <v>39000</v>
          </cell>
        </row>
        <row r="2321">
          <cell r="A2321" t="str">
            <v>Bí Ngòi Xanh 14/11/2024</v>
          </cell>
          <cell r="B2321">
            <v>10000</v>
          </cell>
        </row>
        <row r="2322">
          <cell r="A2322" t="str">
            <v>Bắp Cải Tím 14/11/2024</v>
          </cell>
          <cell r="B2322">
            <v>30000</v>
          </cell>
        </row>
        <row r="2323">
          <cell r="A2323" t="str">
            <v>Cần Tây 14/11/2024</v>
          </cell>
          <cell r="B2323">
            <v>12000</v>
          </cell>
        </row>
        <row r="2324">
          <cell r="A2324" t="str">
            <v>Cải Bó Xôi 14/11/2024</v>
          </cell>
          <cell r="B2324">
            <v>30000</v>
          </cell>
        </row>
        <row r="2325">
          <cell r="A2325" t="str">
            <v>Củ Dền 14/11/2024</v>
          </cell>
          <cell r="B2325">
            <v>18000</v>
          </cell>
        </row>
        <row r="2326">
          <cell r="A2326" t="str">
            <v>Bông Cải Trắng 14/11/2024</v>
          </cell>
          <cell r="B2326">
            <v>27000</v>
          </cell>
        </row>
        <row r="2327">
          <cell r="A2327" t="str">
            <v>Bông Cải Trắng Cây 14/11/2024</v>
          </cell>
          <cell r="B2327">
            <v>30000</v>
          </cell>
        </row>
        <row r="2328">
          <cell r="A2328" t="str">
            <v>Bông Cải Trắng Cây 14/11/2024</v>
          </cell>
          <cell r="B2328">
            <v>25000</v>
          </cell>
        </row>
        <row r="2329">
          <cell r="A2329" t="str">
            <v>Hồng Treo Gió 14/11/2024</v>
          </cell>
          <cell r="B2329">
            <v>200000</v>
          </cell>
        </row>
        <row r="2330">
          <cell r="A2330" t="str">
            <v>Bí Ngòi Xanh 14/11/2024</v>
          </cell>
          <cell r="B2330">
            <v>14000</v>
          </cell>
        </row>
        <row r="2331">
          <cell r="A2331" t="str">
            <v>Dưa Leo Baby 14/11/2024</v>
          </cell>
          <cell r="B2331">
            <v>7000</v>
          </cell>
        </row>
        <row r="2332">
          <cell r="A2332" t="str">
            <v>Rau Bầu Đất 14/11/2024</v>
          </cell>
          <cell r="B2332">
            <v>21700</v>
          </cell>
        </row>
        <row r="2333">
          <cell r="A2333" t="str">
            <v>Gia Công Rau Củ Quả 14/11/2024</v>
          </cell>
          <cell r="B2333">
            <v>1700</v>
          </cell>
        </row>
        <row r="2334">
          <cell r="A2334" t="str">
            <v>Gia Công Rau Củ Quả 14/11/2024</v>
          </cell>
          <cell r="B2334">
            <v>1700</v>
          </cell>
        </row>
        <row r="2335">
          <cell r="A2335" t="str">
            <v>Củ Khoai Lang Mật Size 23 14/11/2024</v>
          </cell>
          <cell r="B2335">
            <v>23000</v>
          </cell>
        </row>
        <row r="2336">
          <cell r="A2336" t="str">
            <v>Củ Khoai Lang Mật Size 46 14/11/2024</v>
          </cell>
          <cell r="B2336">
            <v>23000</v>
          </cell>
        </row>
        <row r="2337">
          <cell r="A2337" t="str">
            <v>Củ Khoai Lang Mật Size 23 14/11/2024</v>
          </cell>
          <cell r="B2337">
            <v>23000</v>
          </cell>
        </row>
        <row r="2338">
          <cell r="A2338" t="str">
            <v>Củ Khoai Lang Mật Size 46 14/11/2024</v>
          </cell>
          <cell r="B2338">
            <v>23000</v>
          </cell>
        </row>
        <row r="2339">
          <cell r="A2339" t="str">
            <v>Củ Khoai Lang Mật Size Nhỏ 14/11/2024</v>
          </cell>
          <cell r="B2339">
            <v>20000</v>
          </cell>
        </row>
        <row r="2340">
          <cell r="A2340" t="str">
            <v>Cà Chua Beef 14/11/2024</v>
          </cell>
          <cell r="B2340">
            <v>24500</v>
          </cell>
        </row>
        <row r="2341">
          <cell r="A2341" t="str">
            <v>Cà Chua Socola 14/11/2024</v>
          </cell>
          <cell r="B2341">
            <v>8500</v>
          </cell>
        </row>
        <row r="2342">
          <cell r="A2342" t="str">
            <v>Bắp Cải Trắng 14/11/2024</v>
          </cell>
          <cell r="B2342">
            <v>11000</v>
          </cell>
        </row>
        <row r="2343">
          <cell r="A2343" t="str">
            <v>Cải Thảo 14/11/2024</v>
          </cell>
          <cell r="B2343">
            <v>8411.11</v>
          </cell>
        </row>
        <row r="2344">
          <cell r="A2344" t="str">
            <v>Lá Mè 14/11/2024</v>
          </cell>
          <cell r="B2344">
            <v>36000</v>
          </cell>
        </row>
        <row r="2345">
          <cell r="A2345" t="str">
            <v>Bí Ngòi Xanh 14/11/2024</v>
          </cell>
          <cell r="B2345">
            <v>12000</v>
          </cell>
        </row>
        <row r="2346">
          <cell r="A2346" t="str">
            <v>Hành Paro 14/11/2024</v>
          </cell>
          <cell r="B2346">
            <v>38000</v>
          </cell>
        </row>
        <row r="2347">
          <cell r="A2347" t="str">
            <v>Củ Khoai Lang Mật Size 23 14/11/2024</v>
          </cell>
          <cell r="B2347">
            <v>22000</v>
          </cell>
        </row>
        <row r="2348">
          <cell r="A2348" t="str">
            <v>Củ Khoai Lang Mật Size 46 14/11/2024</v>
          </cell>
          <cell r="B2348">
            <v>22000</v>
          </cell>
        </row>
        <row r="2349">
          <cell r="A2349" t="str">
            <v>Cà Chua Socola 14/11/2024</v>
          </cell>
          <cell r="B2349">
            <v>12000</v>
          </cell>
        </row>
        <row r="2350">
          <cell r="A2350" t="str">
            <v>Lá Tía Tô 14/11/2024</v>
          </cell>
          <cell r="B2350">
            <v>32000</v>
          </cell>
        </row>
        <row r="2351">
          <cell r="A2351" t="str">
            <v>Xà Lách Rocket 14/11/2024</v>
          </cell>
          <cell r="B2351">
            <v>120000</v>
          </cell>
        </row>
        <row r="2352">
          <cell r="A2352" t="str">
            <v>Củ Cải Đỏ 14/11/2024</v>
          </cell>
          <cell r="B2352">
            <v>15000</v>
          </cell>
        </row>
        <row r="2353">
          <cell r="A2353" t="str">
            <v>Xà Lách Mỡ T.C 14/11/2024</v>
          </cell>
          <cell r="B2353">
            <v>27000</v>
          </cell>
        </row>
        <row r="2354">
          <cell r="A2354" t="str">
            <v>Xà Lách Lolo Xanh T.C 14/11/2024</v>
          </cell>
          <cell r="B2354">
            <v>28000</v>
          </cell>
        </row>
        <row r="2355">
          <cell r="A2355" t="str">
            <v>Củ Su Hào 14/11/2024</v>
          </cell>
          <cell r="B2355">
            <v>18000</v>
          </cell>
        </row>
        <row r="2356">
          <cell r="A2356" t="str">
            <v>Trái Su Su 14/11/2024</v>
          </cell>
          <cell r="B2356">
            <v>8000</v>
          </cell>
        </row>
        <row r="2357">
          <cell r="A2357" t="str">
            <v>Lá Nha Đam 14/11/2024</v>
          </cell>
          <cell r="B2357">
            <v>14000</v>
          </cell>
        </row>
        <row r="2358">
          <cell r="A2358" t="str">
            <v>Củ Gừng 14/11/2024</v>
          </cell>
          <cell r="B2358">
            <v>45000</v>
          </cell>
        </row>
        <row r="2359">
          <cell r="A2359" t="str">
            <v>Bí Đỏ Hồ Lô 14/11/2024</v>
          </cell>
          <cell r="B2359">
            <v>13000</v>
          </cell>
        </row>
        <row r="2360">
          <cell r="A2360" t="str">
            <v>Củ Khoai Mỡ 14/11/2024</v>
          </cell>
          <cell r="B2360">
            <v>30000</v>
          </cell>
        </row>
        <row r="2361">
          <cell r="A2361" t="str">
            <v>Bí Đao Xanh 14/11/2024</v>
          </cell>
          <cell r="B2361">
            <v>7500</v>
          </cell>
        </row>
        <row r="2362">
          <cell r="A2362" t="str">
            <v>Cà Rốt 14/11/2024</v>
          </cell>
          <cell r="B2362">
            <v>17000</v>
          </cell>
        </row>
        <row r="2363">
          <cell r="A2363" t="str">
            <v>Đậu Đỏ 14/11/2024</v>
          </cell>
          <cell r="B2363">
            <v>80000</v>
          </cell>
        </row>
        <row r="2364">
          <cell r="A2364" t="str">
            <v>Đậu Trắng 14/11/2024</v>
          </cell>
          <cell r="B2364">
            <v>70000</v>
          </cell>
        </row>
        <row r="2365">
          <cell r="A2365" t="str">
            <v>Cà Chua Thường Trung 14/11/2024</v>
          </cell>
          <cell r="B2365">
            <v>14000</v>
          </cell>
        </row>
        <row r="2366">
          <cell r="A2366" t="str">
            <v>Ớt Chuông Đỏ 14/11/2024</v>
          </cell>
          <cell r="B2366">
            <v>42000</v>
          </cell>
        </row>
        <row r="2367">
          <cell r="A2367" t="str">
            <v>Ớt Chuông Vàng 14/11/2024</v>
          </cell>
          <cell r="B2367">
            <v>22000</v>
          </cell>
        </row>
        <row r="2368">
          <cell r="A2368" t="str">
            <v>Đậu Cove Trắng 14/11/2024</v>
          </cell>
          <cell r="B2368">
            <v>11500</v>
          </cell>
        </row>
        <row r="2369">
          <cell r="A2369" t="str">
            <v>Đậu Cove Trắng 14/11/2024</v>
          </cell>
          <cell r="B2369">
            <v>8000</v>
          </cell>
        </row>
        <row r="2370">
          <cell r="A2370" t="str">
            <v>Dưa Leo Nhật 14/11/2024</v>
          </cell>
          <cell r="B2370">
            <v>10000</v>
          </cell>
        </row>
        <row r="2371">
          <cell r="A2371" t="str">
            <v>Dưa Leo Thường 14/11/2024</v>
          </cell>
          <cell r="B2371">
            <v>8000</v>
          </cell>
        </row>
        <row r="2372">
          <cell r="A2372" t="str">
            <v>Bí Non Nhật 14/11/2024</v>
          </cell>
          <cell r="B2372">
            <v>12000</v>
          </cell>
        </row>
        <row r="2373">
          <cell r="A2373" t="str">
            <v>CT-MÍT 14/11/2024</v>
          </cell>
          <cell r="B2373">
            <v>15416</v>
          </cell>
        </row>
        <row r="2374">
          <cell r="A2374" t="str">
            <v>Ớt Chuông Snack 14/11/2024</v>
          </cell>
          <cell r="B2374">
            <v>58000</v>
          </cell>
        </row>
        <row r="2375">
          <cell r="A2375" t="str">
            <v>Ớt Chuông Baby 14/11/2024</v>
          </cell>
          <cell r="B2375">
            <v>48000</v>
          </cell>
        </row>
        <row r="2376">
          <cell r="A2376" t="str">
            <v>Bông Cải Xanh Gốc Dài 14/11/2024</v>
          </cell>
          <cell r="B2376">
            <v>30000</v>
          </cell>
        </row>
        <row r="2377">
          <cell r="A2377" t="str">
            <v>Rau Ngò Rí 14/11/2024</v>
          </cell>
          <cell r="B2377">
            <v>35000</v>
          </cell>
        </row>
        <row r="2378">
          <cell r="A2378" t="str">
            <v>Rau Ngót 14/11/2024</v>
          </cell>
          <cell r="B2378">
            <v>18000</v>
          </cell>
        </row>
        <row r="2379">
          <cell r="A2379" t="str">
            <v>Ớt Sweet Palemo 14/11/2024</v>
          </cell>
          <cell r="B2379">
            <v>23000</v>
          </cell>
        </row>
        <row r="2380">
          <cell r="A2380" t="str">
            <v>Măng Tây 14/11/2024</v>
          </cell>
          <cell r="B2380">
            <v>57000</v>
          </cell>
        </row>
        <row r="2381">
          <cell r="A2381" t="str">
            <v>Măng Tây 14/11/2024</v>
          </cell>
          <cell r="B2381">
            <v>46000</v>
          </cell>
        </row>
        <row r="2382">
          <cell r="A2382" t="str">
            <v>Lá É 14/11/2024</v>
          </cell>
          <cell r="B2382">
            <v>27000</v>
          </cell>
        </row>
        <row r="2383">
          <cell r="A2383" t="str">
            <v>Bí Ngòi Xanh 14/11/2024</v>
          </cell>
          <cell r="B2383">
            <v>11000</v>
          </cell>
        </row>
        <row r="2384">
          <cell r="A2384" t="str">
            <v>Hồng Giòn Đà Lạt 14/11/2024</v>
          </cell>
          <cell r="B2384">
            <v>28000</v>
          </cell>
        </row>
        <row r="2385">
          <cell r="A2385" t="str">
            <v>Xà Lách Lolo Xanh T.C 14/11/2024</v>
          </cell>
          <cell r="B2385">
            <v>28000</v>
          </cell>
        </row>
        <row r="2386">
          <cell r="A2386" t="str">
            <v>Củ Khoai Lang Nhật 14/11/2024</v>
          </cell>
          <cell r="B2386">
            <v>19000</v>
          </cell>
        </row>
        <row r="2387">
          <cell r="A2387" t="str">
            <v>Củ Cải Trắng 14/11/2024</v>
          </cell>
          <cell r="B2387">
            <v>6500</v>
          </cell>
        </row>
        <row r="2388">
          <cell r="A2388" t="str">
            <v>Đậu Cove Nhật 14/11/2024</v>
          </cell>
          <cell r="B2388">
            <v>6000</v>
          </cell>
        </row>
        <row r="2389">
          <cell r="A2389" t="str">
            <v>Xà Lách Thủy Tinh T.C Cây 14/11/2024</v>
          </cell>
          <cell r="B2389">
            <v>7000</v>
          </cell>
        </row>
        <row r="2390">
          <cell r="A2390" t="str">
            <v>Bí Ngòi Xanh 14/11/2024</v>
          </cell>
          <cell r="B2390">
            <v>11000</v>
          </cell>
        </row>
        <row r="2391">
          <cell r="A2391" t="str">
            <v>Xà Lách Lolo Xanh T.C 14/11/2024</v>
          </cell>
          <cell r="B2391">
            <v>26000</v>
          </cell>
        </row>
        <row r="2392">
          <cell r="A2392" t="str">
            <v>Xà Lách Mỡ T.C 14/11/2024</v>
          </cell>
          <cell r="B2392">
            <v>26000</v>
          </cell>
        </row>
        <row r="2393">
          <cell r="A2393" t="str">
            <v>Xà Lách Thủy Tinh T.C Cây 14/11/2024</v>
          </cell>
          <cell r="B2393">
            <v>8000</v>
          </cell>
        </row>
        <row r="2394">
          <cell r="A2394" t="str">
            <v>Bơ Booth 14/11/2024</v>
          </cell>
          <cell r="B2394">
            <v>26000</v>
          </cell>
        </row>
        <row r="2395">
          <cell r="A2395" t="str">
            <v>Bơ Booth 14/11/2024</v>
          </cell>
          <cell r="B2395">
            <v>28000</v>
          </cell>
        </row>
        <row r="2396">
          <cell r="A2396" t="str">
            <v>Cà Tím 14/11/2024</v>
          </cell>
          <cell r="B2396">
            <v>9000</v>
          </cell>
        </row>
        <row r="2397">
          <cell r="A2397" t="str">
            <v>Cà Tím 14/11/2024</v>
          </cell>
          <cell r="B2397">
            <v>6000</v>
          </cell>
        </row>
        <row r="2398">
          <cell r="A2398" t="str">
            <v>Cà Chua Bi Đỏ 14/11/2024</v>
          </cell>
          <cell r="B2398">
            <v>16500</v>
          </cell>
        </row>
        <row r="2399">
          <cell r="A2399" t="str">
            <v>Cà Chua Bi Đỏ 14/11/2024</v>
          </cell>
          <cell r="B2399">
            <v>9900</v>
          </cell>
        </row>
        <row r="2400">
          <cell r="A2400" t="str">
            <v>Cà Rốt 14/11/2024</v>
          </cell>
          <cell r="B2400">
            <v>14000</v>
          </cell>
        </row>
        <row r="2401">
          <cell r="A2401" t="str">
            <v>Cà Chua Thường Trung 14/11/2024</v>
          </cell>
          <cell r="B2401">
            <v>15000</v>
          </cell>
        </row>
        <row r="2402">
          <cell r="A2402" t="str">
            <v>Cà Chua Thường 14/11/2024</v>
          </cell>
          <cell r="B2402">
            <v>18000</v>
          </cell>
        </row>
        <row r="2403">
          <cell r="A2403" t="str">
            <v>Cà Rốt 14/11/2024</v>
          </cell>
          <cell r="B2403">
            <v>14000</v>
          </cell>
        </row>
        <row r="2404">
          <cell r="A2404" t="str">
            <v>Dưa Leo Thường 14/11/2024</v>
          </cell>
          <cell r="B2404">
            <v>4500</v>
          </cell>
        </row>
        <row r="2405">
          <cell r="A2405" t="str">
            <v>Trái Khổ Qua 14/11/2024</v>
          </cell>
          <cell r="B2405">
            <v>20000</v>
          </cell>
        </row>
        <row r="2406">
          <cell r="A2406" t="str">
            <v>Bí Đao Xanh 14/11/2024</v>
          </cell>
          <cell r="B2406">
            <v>10000</v>
          </cell>
        </row>
        <row r="2407">
          <cell r="A2407" t="str">
            <v>Bí Non Nhật 14/11/2024</v>
          </cell>
          <cell r="B2407">
            <v>10000</v>
          </cell>
        </row>
        <row r="2408">
          <cell r="A2408" t="str">
            <v>Bí Non Nhật 14/11/2024</v>
          </cell>
          <cell r="B2408">
            <v>8000</v>
          </cell>
        </row>
        <row r="2409">
          <cell r="A2409" t="str">
            <v>Củ Khoai Tây Vàng 14/11/2024</v>
          </cell>
          <cell r="B2409">
            <v>15000</v>
          </cell>
        </row>
        <row r="2410">
          <cell r="A2410" t="str">
            <v>Dưa Leo Baby 14/11/2024</v>
          </cell>
          <cell r="B2410">
            <v>6000</v>
          </cell>
        </row>
        <row r="2411">
          <cell r="A2411" t="str">
            <v>Xà Lách Lolo Xanh T.C Cây 14/11/2024</v>
          </cell>
          <cell r="B2411">
            <v>6800</v>
          </cell>
        </row>
        <row r="2412">
          <cell r="A2412" t="str">
            <v>Xà Lách Mỡ T.C Cây 14/11/2024</v>
          </cell>
          <cell r="B2412">
            <v>6800</v>
          </cell>
        </row>
        <row r="2413">
          <cell r="A2413" t="str">
            <v>Xà Lách Mỡ T.C 14/11/2024</v>
          </cell>
          <cell r="B2413">
            <v>28000</v>
          </cell>
        </row>
        <row r="2414">
          <cell r="A2414" t="str">
            <v>Xà Lách Thủy Tinh T.C Cây 14/11/2024</v>
          </cell>
          <cell r="B2414">
            <v>6800</v>
          </cell>
        </row>
        <row r="2415">
          <cell r="A2415" t="str">
            <v>Xà Lách Thủy Tinh T.C 14/11/2024</v>
          </cell>
          <cell r="B2415">
            <v>30000</v>
          </cell>
        </row>
        <row r="2416">
          <cell r="A2416" t="str">
            <v>Xà Lách Mỡ T.C Cây 14/11/2024</v>
          </cell>
          <cell r="B2416">
            <v>6800</v>
          </cell>
        </row>
        <row r="2417">
          <cell r="A2417" t="str">
            <v>Cải Bó Xôi 14/11/2024</v>
          </cell>
          <cell r="B2417">
            <v>34000</v>
          </cell>
        </row>
        <row r="2418">
          <cell r="A2418" t="str">
            <v>Cải Bó Xôi 14/11/2024</v>
          </cell>
          <cell r="B2418">
            <v>37000</v>
          </cell>
        </row>
        <row r="2419">
          <cell r="A2419" t="str">
            <v>Cà Chua Beef 14/11/2024</v>
          </cell>
          <cell r="B2419">
            <v>23000</v>
          </cell>
        </row>
        <row r="2420">
          <cell r="A2420" t="str">
            <v>Cà Chua Beef 14/11/2024</v>
          </cell>
          <cell r="B2420">
            <v>27000</v>
          </cell>
        </row>
        <row r="2421">
          <cell r="A2421" t="str">
            <v>Cà Chua Beef Trung 14/11/2024</v>
          </cell>
          <cell r="B2421">
            <v>21000</v>
          </cell>
        </row>
        <row r="2422">
          <cell r="A2422" t="str">
            <v>Cà Chua Bi Mix 14/11/2024</v>
          </cell>
          <cell r="B2422">
            <v>56500</v>
          </cell>
        </row>
        <row r="2423">
          <cell r="A2423" t="str">
            <v>Cà Chua Socola 14/11/2024</v>
          </cell>
          <cell r="B2423">
            <v>46500</v>
          </cell>
        </row>
        <row r="2424">
          <cell r="A2424" t="str">
            <v>Cải Kale 14/11/2024</v>
          </cell>
          <cell r="B2424">
            <v>32000</v>
          </cell>
        </row>
        <row r="2425">
          <cell r="A2425" t="str">
            <v>Cải Kale 14/11/2024</v>
          </cell>
          <cell r="B2425">
            <v>0</v>
          </cell>
        </row>
        <row r="2426">
          <cell r="A2426" t="str">
            <v>Cải Kale 14/11/2024</v>
          </cell>
          <cell r="B2426">
            <v>33500</v>
          </cell>
        </row>
        <row r="2427">
          <cell r="A2427" t="str">
            <v>Lá Mè 14/11/2024</v>
          </cell>
          <cell r="B2427">
            <v>40000</v>
          </cell>
        </row>
        <row r="2428">
          <cell r="A2428" t="str">
            <v>Dưa Leo Baby 14/11/2024</v>
          </cell>
          <cell r="B2428">
            <v>4500</v>
          </cell>
        </row>
        <row r="2429">
          <cell r="A2429" t="str">
            <v>Cà Rốt Baby 14/11/2024</v>
          </cell>
          <cell r="B2429">
            <v>55000</v>
          </cell>
        </row>
        <row r="2430">
          <cell r="A2430" t="str">
            <v>Cải Cầu Vồng 14/11/2024</v>
          </cell>
          <cell r="B2430">
            <v>18000</v>
          </cell>
        </row>
        <row r="2431">
          <cell r="A2431" t="str">
            <v>Cải Kale 14/11/2024</v>
          </cell>
          <cell r="B2431">
            <v>35000</v>
          </cell>
        </row>
        <row r="2432">
          <cell r="A2432" t="str">
            <v>Cải Kale 14/11/2024</v>
          </cell>
          <cell r="B2432">
            <v>38000</v>
          </cell>
        </row>
        <row r="2433">
          <cell r="A2433" t="str">
            <v>Trái Chanh Vàng 14/11/2024</v>
          </cell>
          <cell r="B2433">
            <v>60000</v>
          </cell>
        </row>
        <row r="2434">
          <cell r="A2434" t="str">
            <v>Xà Lách Lolo Tím 14/11/2024</v>
          </cell>
          <cell r="B2434">
            <v>50000</v>
          </cell>
        </row>
        <row r="2435">
          <cell r="A2435" t="str">
            <v>Củ Cải Đỏ 14/11/2024</v>
          </cell>
          <cell r="B2435">
            <v>14000</v>
          </cell>
        </row>
        <row r="2436">
          <cell r="A2436" t="str">
            <v>Cà Chua Bi Mix 14/11/2024</v>
          </cell>
          <cell r="B2436">
            <v>17000</v>
          </cell>
        </row>
        <row r="2437">
          <cell r="A2437" t="str">
            <v>Bông Cải Xanh Baby 14/11/2024</v>
          </cell>
          <cell r="B2437">
            <v>57000</v>
          </cell>
        </row>
        <row r="2438">
          <cell r="A2438" t="str">
            <v>Cà Chua Beef Trung 14/11/2024</v>
          </cell>
          <cell r="B2438">
            <v>21000</v>
          </cell>
        </row>
        <row r="2439">
          <cell r="A2439" t="str">
            <v>Ớt Sweet Palemo 14/11/2024</v>
          </cell>
          <cell r="B2439">
            <v>22000</v>
          </cell>
        </row>
        <row r="2440">
          <cell r="A2440" t="str">
            <v>Xà Lách Lolo Xanh 14/11/2024</v>
          </cell>
          <cell r="B2440">
            <v>30000</v>
          </cell>
        </row>
        <row r="2441">
          <cell r="A2441" t="str">
            <v>Xà Lách Lolo Xanh 14/11/2024</v>
          </cell>
          <cell r="B2441">
            <v>33000</v>
          </cell>
        </row>
        <row r="2442">
          <cell r="A2442" t="str">
            <v>Cà Chua Thường 14/11/2024</v>
          </cell>
          <cell r="B2442">
            <v>19000</v>
          </cell>
        </row>
        <row r="2443">
          <cell r="A2443" t="str">
            <v>Cà Chua Thường Trung 14/11/2024</v>
          </cell>
          <cell r="B2443">
            <v>16000</v>
          </cell>
        </row>
        <row r="2444">
          <cell r="A2444" t="str">
            <v>Dưa Leo Baby 14/11/2024</v>
          </cell>
          <cell r="B2444">
            <v>5000</v>
          </cell>
        </row>
        <row r="2445">
          <cell r="A2445" t="str">
            <v>Trái Su Su 14/11/2024</v>
          </cell>
          <cell r="B2445">
            <v>8000</v>
          </cell>
        </row>
        <row r="2446">
          <cell r="A2446" t="str">
            <v>Củ Cải Trắng 14/11/2024</v>
          </cell>
          <cell r="B2446">
            <v>8000</v>
          </cell>
        </row>
        <row r="2447">
          <cell r="A2447" t="str">
            <v>Củ Su Hào 14/11/2024</v>
          </cell>
          <cell r="B2447">
            <v>18000</v>
          </cell>
        </row>
        <row r="2448">
          <cell r="A2448" t="str">
            <v>Chuối Laba 14/11/2024</v>
          </cell>
          <cell r="B2448">
            <v>13000</v>
          </cell>
        </row>
        <row r="2449">
          <cell r="A2449" t="str">
            <v>Bí Đao Xanh 14/11/2024</v>
          </cell>
          <cell r="B2449">
            <v>7500</v>
          </cell>
        </row>
        <row r="2450">
          <cell r="A2450" t="str">
            <v>Cà Tím 14/11/2024</v>
          </cell>
          <cell r="B2450">
            <v>9500</v>
          </cell>
        </row>
        <row r="2451">
          <cell r="A2451" t="str">
            <v>Đậu Cove Trắng 14/11/2024</v>
          </cell>
          <cell r="B2451">
            <v>11500</v>
          </cell>
        </row>
        <row r="2452">
          <cell r="A2452" t="str">
            <v>Cà Chua Thường 14/11/2024</v>
          </cell>
          <cell r="B2452">
            <v>17000</v>
          </cell>
        </row>
        <row r="2453">
          <cell r="A2453" t="str">
            <v>Củ Dền 14/11/2024</v>
          </cell>
          <cell r="B2453">
            <v>18000</v>
          </cell>
        </row>
        <row r="2454">
          <cell r="A2454" t="str">
            <v>Cải Thảo Kim Chi 14/11/2024</v>
          </cell>
          <cell r="B2454">
            <v>5500</v>
          </cell>
        </row>
        <row r="2455">
          <cell r="A2455" t="str">
            <v>Cà Chua Beef 14/11/2024</v>
          </cell>
          <cell r="B2455">
            <v>23000</v>
          </cell>
        </row>
        <row r="2456">
          <cell r="A2456" t="str">
            <v>Cần Tây 14/11/2024</v>
          </cell>
          <cell r="B2456">
            <v>10000</v>
          </cell>
        </row>
        <row r="2457">
          <cell r="A2457" t="str">
            <v>Cải Thảo Hỏa Tiễn 14/11/2024</v>
          </cell>
          <cell r="B2457">
            <v>16000</v>
          </cell>
        </row>
        <row r="2458">
          <cell r="A2458" t="str">
            <v>Bông Cải Xanh Cọng 14/11/2024</v>
          </cell>
          <cell r="B2458">
            <v>30000</v>
          </cell>
        </row>
        <row r="2459">
          <cell r="A2459" t="str">
            <v>Bông Cải Xanh Cọng 14/11/2024</v>
          </cell>
          <cell r="B2459">
            <v>30000</v>
          </cell>
        </row>
        <row r="2460">
          <cell r="A2460" t="str">
            <v>Bí Ngòi Xanh 14/11/2024</v>
          </cell>
          <cell r="B2460">
            <v>13000</v>
          </cell>
        </row>
        <row r="2461">
          <cell r="A2461" t="str">
            <v>Bắp Cải Tím 14/11/2024</v>
          </cell>
          <cell r="B2461">
            <v>30000</v>
          </cell>
        </row>
        <row r="2462">
          <cell r="A2462" t="str">
            <v>Củ Dền 14/11/2024</v>
          </cell>
          <cell r="B2462">
            <v>18000</v>
          </cell>
        </row>
        <row r="2463">
          <cell r="A2463" t="str">
            <v>Bông Cải Trắng 14/11/2024</v>
          </cell>
          <cell r="B2463">
            <v>27000</v>
          </cell>
        </row>
        <row r="2464">
          <cell r="A2464" t="str">
            <v>Ớt Chuông Đỏ 14/11/2024</v>
          </cell>
          <cell r="B2464">
            <v>37000</v>
          </cell>
        </row>
        <row r="2465">
          <cell r="A2465" t="str">
            <v>Ớt Chuông Vàng 14/11/2024</v>
          </cell>
          <cell r="B2465">
            <v>17000</v>
          </cell>
        </row>
        <row r="2466">
          <cell r="A2466" t="str">
            <v>Ớt Chuông Xanh 14/11/2024</v>
          </cell>
          <cell r="B2466">
            <v>26000</v>
          </cell>
        </row>
        <row r="2467">
          <cell r="A2467" t="str">
            <v>Hồng Treo Gió 14/11/2024</v>
          </cell>
          <cell r="B2467">
            <v>200000</v>
          </cell>
        </row>
        <row r="2468">
          <cell r="A2468" t="str">
            <v>Bắp Cải Trắng 14/11/2024</v>
          </cell>
          <cell r="B2468">
            <v>11000</v>
          </cell>
        </row>
        <row r="2469">
          <cell r="A2469" t="str">
            <v>Cải Thảo 14/11/2024</v>
          </cell>
          <cell r="B2469">
            <v>8411.11</v>
          </cell>
        </row>
        <row r="2470">
          <cell r="A2470" t="str">
            <v>Ớt Sweet Palemo 14/11/2024</v>
          </cell>
          <cell r="B2470">
            <v>21000</v>
          </cell>
        </row>
        <row r="2471">
          <cell r="A2471" t="str">
            <v>Cải Thảo Kim Chi 14/11/2024</v>
          </cell>
          <cell r="B2471">
            <v>5500</v>
          </cell>
        </row>
        <row r="2472">
          <cell r="A2472" t="str">
            <v>Hành Paro 14/11/2024</v>
          </cell>
          <cell r="B2472">
            <v>38000</v>
          </cell>
        </row>
        <row r="2473">
          <cell r="A2473" t="str">
            <v>Hồng Giòn Đà Lạt 14/11/2024</v>
          </cell>
          <cell r="B2473">
            <v>28000</v>
          </cell>
        </row>
        <row r="2474">
          <cell r="A2474" t="str">
            <v>Chuối Laba 14/11/2024</v>
          </cell>
          <cell r="B2474">
            <v>13000</v>
          </cell>
        </row>
        <row r="2475">
          <cell r="A2475" t="str">
            <v>Củ Cải Trắng 14/11/2024</v>
          </cell>
          <cell r="B2475">
            <v>6500</v>
          </cell>
        </row>
        <row r="2476">
          <cell r="A2476" t="str">
            <v>Đậu Cove Nhật 14/11/2024</v>
          </cell>
          <cell r="B2476">
            <v>6000</v>
          </cell>
        </row>
        <row r="2477">
          <cell r="A2477" t="str">
            <v>Củ Khoai Lang Nhật 14/11/2024</v>
          </cell>
          <cell r="B2477">
            <v>19000</v>
          </cell>
        </row>
        <row r="2478">
          <cell r="A2478" t="str">
            <v>Trái Su Su 14/11/2024</v>
          </cell>
          <cell r="B2478">
            <v>7500</v>
          </cell>
        </row>
        <row r="2479">
          <cell r="A2479" t="str">
            <v>Chanh Dây Tím 14/11/2024</v>
          </cell>
          <cell r="B2479">
            <v>31000</v>
          </cell>
        </row>
        <row r="2480">
          <cell r="A2480" t="str">
            <v>Cà Tím 14/11/2024</v>
          </cell>
          <cell r="B2480">
            <v>9000</v>
          </cell>
        </row>
        <row r="2481">
          <cell r="A2481" t="str">
            <v>Cà Chua Beef 14/11/2024</v>
          </cell>
          <cell r="B2481">
            <v>24000</v>
          </cell>
        </row>
        <row r="2482">
          <cell r="A2482" t="str">
            <v>Cà Chua Bi Đỏ 14/11/2024</v>
          </cell>
          <cell r="B2482">
            <v>9900</v>
          </cell>
        </row>
        <row r="2483">
          <cell r="A2483" t="str">
            <v>Cà Rốt Trung 14/11/2024</v>
          </cell>
          <cell r="B2483">
            <v>12000</v>
          </cell>
        </row>
        <row r="2484">
          <cell r="A2484" t="str">
            <v>Cà Chua Thường 14/11/2024</v>
          </cell>
          <cell r="B2484">
            <v>18000</v>
          </cell>
        </row>
        <row r="2485">
          <cell r="A2485" t="str">
            <v>Cà Rốt Trung 14/11/2024</v>
          </cell>
          <cell r="B2485">
            <v>10000</v>
          </cell>
        </row>
        <row r="2486">
          <cell r="A2486" t="str">
            <v>Củ Khoai Tây Vàng 14/11/2024</v>
          </cell>
          <cell r="B2486">
            <v>15000</v>
          </cell>
        </row>
        <row r="2487">
          <cell r="A2487" t="str">
            <v>Bơ Booth 14/11/2024</v>
          </cell>
          <cell r="B2487">
            <v>25000</v>
          </cell>
        </row>
        <row r="2488">
          <cell r="A2488" t="str">
            <v>Xà Lách Mỡ T.C 14/11/2024</v>
          </cell>
          <cell r="B2488">
            <v>28000</v>
          </cell>
        </row>
        <row r="2489">
          <cell r="A2489" t="str">
            <v>Cà Chua Beef Trung 14/11/2024</v>
          </cell>
          <cell r="B2489">
            <v>19000</v>
          </cell>
        </row>
        <row r="2490">
          <cell r="A2490" t="str">
            <v>Lá Mè 14/11/2024</v>
          </cell>
          <cell r="B2490">
            <v>40000</v>
          </cell>
        </row>
        <row r="2491">
          <cell r="A2491" t="str">
            <v>Xà Lách Romaine 14/11/2024</v>
          </cell>
          <cell r="B2491">
            <v>30000</v>
          </cell>
        </row>
        <row r="2492">
          <cell r="A2492" t="str">
            <v>Cà Rốt Baby 14/11/2024</v>
          </cell>
          <cell r="B2492">
            <v>55000</v>
          </cell>
        </row>
        <row r="2493">
          <cell r="A2493" t="str">
            <v>DO 0.05S-II 15/11/2024</v>
          </cell>
          <cell r="B2493">
            <v>17218.18</v>
          </cell>
        </row>
        <row r="2494">
          <cell r="A2494" t="str">
            <v>Máy chuyên dùng thực hiện đóng mở cửa kiểu cuốn (nâng lên, hạ xuống) gồm: 1 động cơ điện 220V/50Hz 2,5A 1/4HP x 4P 180W; hộp giảm tốc bằng bánh răng; 1 hộp điều khiển. Model YH-A-400 15/11/2024</v>
          </cell>
          <cell r="B2494">
            <v>2272727</v>
          </cell>
        </row>
        <row r="2495">
          <cell r="A2495" t="str">
            <v>DO 0.05S-II 15/11/2024</v>
          </cell>
          <cell r="B2495">
            <v>17218.18</v>
          </cell>
        </row>
        <row r="2496">
          <cell r="A2496" t="str">
            <v>DO 0.05S-II 15/11/2024</v>
          </cell>
          <cell r="B2496">
            <v>17218.18</v>
          </cell>
        </row>
        <row r="2497">
          <cell r="A2497" t="str">
            <v>Dưa Leo Baby 15/11/2024</v>
          </cell>
          <cell r="B2497">
            <v>3500</v>
          </cell>
        </row>
        <row r="2498">
          <cell r="A2498" t="str">
            <v>Cà Chua Beef 15/11/2024</v>
          </cell>
          <cell r="B2498">
            <v>23000</v>
          </cell>
        </row>
        <row r="2499">
          <cell r="A2499" t="str">
            <v>Đậu Đỏ 15/11/2024</v>
          </cell>
          <cell r="B2499">
            <v>80000</v>
          </cell>
        </row>
        <row r="2500">
          <cell r="A2500" t="str">
            <v>Đậu Ngự 15/11/2024</v>
          </cell>
          <cell r="B2500">
            <v>70000</v>
          </cell>
        </row>
        <row r="2501">
          <cell r="A2501" t="str">
            <v>Đậu Trắng 15/11/2024</v>
          </cell>
          <cell r="B2501">
            <v>70000</v>
          </cell>
        </row>
        <row r="2502">
          <cell r="A2502" t="str">
            <v>Trái Mâm Xôi 15/11/2024</v>
          </cell>
          <cell r="B2502">
            <v>35000</v>
          </cell>
        </row>
        <row r="2503">
          <cell r="A2503" t="str">
            <v>Cải Bó Xôi 15/11/2024</v>
          </cell>
          <cell r="B2503">
            <v>28000</v>
          </cell>
        </row>
        <row r="2504">
          <cell r="A2504" t="str">
            <v>Ớt Sweet Palemo 15/11/2024</v>
          </cell>
          <cell r="B2504">
            <v>21000</v>
          </cell>
        </row>
        <row r="2505">
          <cell r="A2505" t="str">
            <v>Ớt Chuông Xanh 15/11/2024</v>
          </cell>
          <cell r="B2505">
            <v>26000</v>
          </cell>
        </row>
        <row r="2506">
          <cell r="A2506" t="str">
            <v>Ớt Chuông Đỏ 15/11/2024</v>
          </cell>
          <cell r="B2506">
            <v>37000</v>
          </cell>
        </row>
        <row r="2507">
          <cell r="A2507" t="str">
            <v>Ớt Chuông Vàng 15/11/2024</v>
          </cell>
          <cell r="B2507">
            <v>17000</v>
          </cell>
        </row>
        <row r="2508">
          <cell r="A2508" t="str">
            <v>Cần Tây 15/11/2024</v>
          </cell>
          <cell r="B2508">
            <v>12000</v>
          </cell>
        </row>
        <row r="2509">
          <cell r="A2509" t="str">
            <v>Dưa Leo Baby 15/11/2024</v>
          </cell>
          <cell r="B2509">
            <v>3500</v>
          </cell>
        </row>
        <row r="2510">
          <cell r="A2510" t="str">
            <v>Bắp Cải Trái Tim 15/11/2024</v>
          </cell>
          <cell r="B2510">
            <v>13000</v>
          </cell>
        </row>
        <row r="2511">
          <cell r="A2511" t="str">
            <v>Cải Thảo Hỏa Tiễn 15/11/2024</v>
          </cell>
          <cell r="B2511">
            <v>16000</v>
          </cell>
        </row>
        <row r="2512">
          <cell r="A2512" t="str">
            <v>Củ Hành Tây Tím 15/11/2024</v>
          </cell>
          <cell r="B2512">
            <v>20000</v>
          </cell>
        </row>
        <row r="2513">
          <cell r="A2513" t="str">
            <v>Dưa Leo Baby 15/11/2024</v>
          </cell>
          <cell r="B2513">
            <v>4000</v>
          </cell>
        </row>
        <row r="2514">
          <cell r="A2514" t="str">
            <v>Bông Cải Xanh 7Cm 15/11/2024</v>
          </cell>
          <cell r="B2514">
            <v>39000</v>
          </cell>
        </row>
        <row r="2515">
          <cell r="A2515" t="str">
            <v>Bông Cải Xanh 7Cm 15/11/2024</v>
          </cell>
          <cell r="B2515">
            <v>40000</v>
          </cell>
        </row>
        <row r="2516">
          <cell r="A2516" t="str">
            <v>Bông Cải Xanh 10Cm 15/11/2024</v>
          </cell>
          <cell r="B2516">
            <v>33000</v>
          </cell>
        </row>
        <row r="2517">
          <cell r="A2517" t="str">
            <v>Bông Cải Xanh 7Cm 15/11/2024</v>
          </cell>
          <cell r="B2517">
            <v>39000</v>
          </cell>
        </row>
        <row r="2518">
          <cell r="A2518" t="str">
            <v>Bông Cải Trắng 15/11/2024</v>
          </cell>
          <cell r="B2518">
            <v>34000</v>
          </cell>
        </row>
        <row r="2519">
          <cell r="A2519" t="str">
            <v>Bông Cải Trắng Cây 15/11/2024</v>
          </cell>
          <cell r="B2519">
            <v>35000</v>
          </cell>
        </row>
        <row r="2520">
          <cell r="A2520" t="str">
            <v>Bông Cải Trắng Cây 15/11/2024</v>
          </cell>
          <cell r="B2520">
            <v>25000</v>
          </cell>
        </row>
        <row r="2521">
          <cell r="A2521" t="str">
            <v>Hồng Treo Gió 15/11/2024</v>
          </cell>
          <cell r="B2521">
            <v>200000</v>
          </cell>
        </row>
        <row r="2522">
          <cell r="A2522" t="str">
            <v>Bí Ngòi Xanh 15/11/2024</v>
          </cell>
          <cell r="B2522">
            <v>14000</v>
          </cell>
        </row>
        <row r="2523">
          <cell r="A2523" t="str">
            <v>Dưa Leo Baby 15/11/2024</v>
          </cell>
          <cell r="B2523">
            <v>7000</v>
          </cell>
        </row>
        <row r="2524">
          <cell r="A2524" t="str">
            <v>Gia Công Rau Củ Quả 15/11/2024</v>
          </cell>
          <cell r="B2524">
            <v>1700</v>
          </cell>
        </row>
        <row r="2525">
          <cell r="A2525" t="str">
            <v>Gia Công Rau Củ Quả 15/11/2024</v>
          </cell>
          <cell r="B2525">
            <v>1700</v>
          </cell>
        </row>
        <row r="2526">
          <cell r="A2526" t="str">
            <v>Bí Ngòi Xanh 15/11/2024</v>
          </cell>
          <cell r="B2526">
            <v>11000</v>
          </cell>
        </row>
        <row r="2527">
          <cell r="A2527" t="str">
            <v>Xà Lách Lolo Xanh 15/11/2024</v>
          </cell>
          <cell r="B2527">
            <v>27000</v>
          </cell>
        </row>
        <row r="2528">
          <cell r="A2528" t="str">
            <v>Đậu Cove Trắng 15/11/2024</v>
          </cell>
          <cell r="B2528">
            <v>11500</v>
          </cell>
        </row>
        <row r="2529">
          <cell r="A2529" t="str">
            <v>Đậu Cove Trắng 15/11/2024</v>
          </cell>
          <cell r="B2529">
            <v>8000</v>
          </cell>
        </row>
        <row r="2530">
          <cell r="A2530" t="str">
            <v>Dưa Leo Thường 15/11/2024</v>
          </cell>
          <cell r="B2530">
            <v>8000</v>
          </cell>
        </row>
        <row r="2531">
          <cell r="A2531" t="str">
            <v>Dưa Leo Nhật 15/11/2024</v>
          </cell>
          <cell r="B2531">
            <v>10000</v>
          </cell>
        </row>
        <row r="2532">
          <cell r="A2532" t="str">
            <v>Xà Lách Lolo Xanh T.C 15/11/2024</v>
          </cell>
          <cell r="B2532">
            <v>26000</v>
          </cell>
        </row>
        <row r="2533">
          <cell r="A2533" t="str">
            <v>Xà Lách Mỡ T.C 15/11/2024</v>
          </cell>
          <cell r="B2533">
            <v>26000</v>
          </cell>
        </row>
        <row r="2534">
          <cell r="A2534" t="str">
            <v>Xà Lách Thủy Tinh T.C Cây 15/11/2024</v>
          </cell>
          <cell r="B2534">
            <v>8000</v>
          </cell>
        </row>
        <row r="2535">
          <cell r="A2535" t="str">
            <v>Trái Su Su 15/11/2024</v>
          </cell>
          <cell r="B2535">
            <v>7000</v>
          </cell>
        </row>
        <row r="2536">
          <cell r="A2536" t="str">
            <v>Bí Đao Xanh 15/11/2024</v>
          </cell>
          <cell r="B2536">
            <v>10000</v>
          </cell>
        </row>
        <row r="2537">
          <cell r="A2537" t="str">
            <v>Bắp Cải Tím 15/11/2024</v>
          </cell>
          <cell r="B2537">
            <v>28000</v>
          </cell>
        </row>
        <row r="2538">
          <cell r="A2538" t="str">
            <v>Cà Chua Thường Trung 15/11/2024</v>
          </cell>
          <cell r="B2538">
            <v>12000</v>
          </cell>
        </row>
        <row r="2539">
          <cell r="A2539" t="str">
            <v>Dưa Leo Baby 15/11/2024</v>
          </cell>
          <cell r="B2539">
            <v>6000</v>
          </cell>
        </row>
        <row r="2540">
          <cell r="A2540" t="str">
            <v>Dưa Leo Baby 15/11/2024</v>
          </cell>
          <cell r="B2540">
            <v>4000</v>
          </cell>
        </row>
        <row r="2541">
          <cell r="A2541" t="str">
            <v>Bơ Booth 15/11/2024</v>
          </cell>
          <cell r="B2541">
            <v>28000</v>
          </cell>
        </row>
        <row r="2542">
          <cell r="A2542" t="str">
            <v>Cà Rốt 15/11/2024</v>
          </cell>
          <cell r="B2542">
            <v>14000</v>
          </cell>
        </row>
        <row r="2543">
          <cell r="A2543" t="str">
            <v>Hành Paro 15/11/2024</v>
          </cell>
          <cell r="B2543">
            <v>38000</v>
          </cell>
        </row>
        <row r="2544">
          <cell r="A2544" t="str">
            <v>Củ Cải Trắng 15/11/2024</v>
          </cell>
          <cell r="B2544">
            <v>6500</v>
          </cell>
        </row>
        <row r="2545">
          <cell r="A2545" t="str">
            <v>Cà Chua Thường Trung 15/11/2024</v>
          </cell>
          <cell r="B2545">
            <v>15000</v>
          </cell>
        </row>
        <row r="2546">
          <cell r="A2546" t="str">
            <v>Củ Khoai Lang Nhật 15/11/2024</v>
          </cell>
          <cell r="B2546">
            <v>18500</v>
          </cell>
        </row>
        <row r="2547">
          <cell r="A2547" t="str">
            <v>Lá Mè 15/11/2024</v>
          </cell>
          <cell r="B2547">
            <v>36000</v>
          </cell>
        </row>
        <row r="2548">
          <cell r="A2548" t="str">
            <v>Cà Chua Socola 15/11/2024</v>
          </cell>
          <cell r="B2548">
            <v>10000</v>
          </cell>
        </row>
        <row r="2549">
          <cell r="A2549" t="str">
            <v>Lá Tía Tô 15/11/2024</v>
          </cell>
          <cell r="B2549">
            <v>32000</v>
          </cell>
        </row>
        <row r="2550">
          <cell r="A2550" t="str">
            <v>Xà Lách Lolo Xanh 15/11/2024</v>
          </cell>
          <cell r="B2550">
            <v>33000</v>
          </cell>
        </row>
        <row r="2551">
          <cell r="A2551" t="str">
            <v>Xà Lách Rocket 15/11/2024</v>
          </cell>
          <cell r="B2551">
            <v>120000</v>
          </cell>
        </row>
        <row r="2552">
          <cell r="A2552" t="str">
            <v>Đậu Hà Lan Trái 15/11/2024</v>
          </cell>
          <cell r="B2552">
            <v>80000</v>
          </cell>
        </row>
        <row r="2553">
          <cell r="A2553" t="str">
            <v>Xà Lách Carol 15/11/2024</v>
          </cell>
          <cell r="B2553">
            <v>32000</v>
          </cell>
        </row>
        <row r="2554">
          <cell r="A2554" t="str">
            <v>Rau Bầu Đất 15/11/2024</v>
          </cell>
          <cell r="B2554">
            <v>30000</v>
          </cell>
        </row>
        <row r="2555">
          <cell r="A2555" t="str">
            <v>Củ Khoai Tây Vàng 15/11/2024</v>
          </cell>
          <cell r="B2555">
            <v>15000</v>
          </cell>
        </row>
        <row r="2556">
          <cell r="A2556" t="str">
            <v>Xà Lách Mỡ T.C 15/11/2024</v>
          </cell>
          <cell r="B2556">
            <v>27000</v>
          </cell>
        </row>
        <row r="2557">
          <cell r="A2557" t="str">
            <v>Xà Lách Lolo Xanh T.C 15/11/2024</v>
          </cell>
          <cell r="B2557">
            <v>28000</v>
          </cell>
        </row>
        <row r="2558">
          <cell r="A2558" t="str">
            <v>Củ Su Hào 15/11/2024</v>
          </cell>
          <cell r="B2558">
            <v>18000</v>
          </cell>
        </row>
        <row r="2559">
          <cell r="A2559" t="str">
            <v>Lá Nha Đam 15/11/2024</v>
          </cell>
          <cell r="B2559">
            <v>14000</v>
          </cell>
        </row>
        <row r="2560">
          <cell r="A2560" t="str">
            <v>Củ Gừng 15/11/2024</v>
          </cell>
          <cell r="B2560">
            <v>45000</v>
          </cell>
        </row>
        <row r="2561">
          <cell r="A2561" t="str">
            <v>Củ Khoai Mỡ 15/11/2024</v>
          </cell>
          <cell r="B2561">
            <v>30000</v>
          </cell>
        </row>
        <row r="2562">
          <cell r="A2562" t="str">
            <v>Bí Đỏ Hồ Lô 15/11/2024</v>
          </cell>
          <cell r="B2562">
            <v>13000</v>
          </cell>
        </row>
        <row r="2563">
          <cell r="A2563" t="str">
            <v>Cà Rốt 15/11/2024</v>
          </cell>
          <cell r="B2563">
            <v>16000</v>
          </cell>
        </row>
        <row r="2564">
          <cell r="A2564" t="str">
            <v>Ớt Chuông Đỏ 15/11/2024</v>
          </cell>
          <cell r="B2564">
            <v>40000</v>
          </cell>
        </row>
        <row r="2565">
          <cell r="A2565" t="str">
            <v>Ớt Chuông Vàng 15/11/2024</v>
          </cell>
          <cell r="B2565">
            <v>20000</v>
          </cell>
        </row>
        <row r="2566">
          <cell r="A2566" t="str">
            <v>Cà Chua Bi Đỏ 15/11/2024</v>
          </cell>
          <cell r="B2566">
            <v>16500</v>
          </cell>
        </row>
        <row r="2567">
          <cell r="A2567" t="str">
            <v>Cà Chua Bi Đỏ 15/11/2024</v>
          </cell>
          <cell r="B2567">
            <v>9900</v>
          </cell>
        </row>
        <row r="2568">
          <cell r="A2568" t="str">
            <v>Xà Lách Thủy Tinh T.C Cây 15/11/2024</v>
          </cell>
          <cell r="B2568">
            <v>7000</v>
          </cell>
        </row>
        <row r="2569">
          <cell r="A2569" t="str">
            <v>Cà Rốt 15/11/2024</v>
          </cell>
          <cell r="B2569">
            <v>14500</v>
          </cell>
        </row>
        <row r="2570">
          <cell r="A2570" t="str">
            <v>Dưa Leo Thường 15/11/2024</v>
          </cell>
          <cell r="B2570">
            <v>4500</v>
          </cell>
        </row>
        <row r="2571">
          <cell r="A2571" t="str">
            <v>Trái Khổ Qua 15/11/2024</v>
          </cell>
          <cell r="B2571">
            <v>20000</v>
          </cell>
        </row>
        <row r="2572">
          <cell r="A2572" t="str">
            <v>Cà Tím 15/11/2024</v>
          </cell>
          <cell r="B2572">
            <v>9000</v>
          </cell>
        </row>
        <row r="2573">
          <cell r="A2573" t="str">
            <v>Cà Tím 15/11/2024</v>
          </cell>
          <cell r="B2573">
            <v>6000</v>
          </cell>
        </row>
        <row r="2574">
          <cell r="A2574" t="str">
            <v>Măng Tây 15/11/2024</v>
          </cell>
          <cell r="B2574">
            <v>58000</v>
          </cell>
        </row>
        <row r="2575">
          <cell r="A2575" t="str">
            <v>Măng Tây 15/11/2024</v>
          </cell>
          <cell r="B2575">
            <v>45000</v>
          </cell>
        </row>
        <row r="2576">
          <cell r="A2576" t="str">
            <v>Ớt Sweet Palemo 15/11/2024</v>
          </cell>
          <cell r="B2576">
            <v>23000</v>
          </cell>
        </row>
        <row r="2577">
          <cell r="A2577" t="str">
            <v>Ớt Chuông Baby 15/11/2024</v>
          </cell>
          <cell r="B2577">
            <v>48000</v>
          </cell>
        </row>
        <row r="2578">
          <cell r="A2578" t="str">
            <v>Rau Ngò Rí 15/11/2024</v>
          </cell>
          <cell r="B2578">
            <v>35000</v>
          </cell>
        </row>
        <row r="2579">
          <cell r="A2579" t="str">
            <v>Rau Ngót 15/11/2024</v>
          </cell>
          <cell r="B2579">
            <v>18000</v>
          </cell>
        </row>
        <row r="2580">
          <cell r="A2580" t="str">
            <v>Ớt Chuông Snack 15/11/2024</v>
          </cell>
          <cell r="B2580">
            <v>58000</v>
          </cell>
        </row>
        <row r="2581">
          <cell r="A2581" t="str">
            <v>Bông Cải Xanh Gốc Dài 15/11/2024</v>
          </cell>
          <cell r="B2581">
            <v>30000</v>
          </cell>
        </row>
        <row r="2582">
          <cell r="A2582" t="str">
            <v>Cà Chua Socola 15/11/2024</v>
          </cell>
          <cell r="B2582">
            <v>8500</v>
          </cell>
        </row>
        <row r="2583">
          <cell r="A2583" t="str">
            <v>Củ Dền 15/11/2024</v>
          </cell>
          <cell r="B2583">
            <v>18000</v>
          </cell>
        </row>
        <row r="2584">
          <cell r="A2584" t="str">
            <v>Cà Chua Beef 15/11/2024</v>
          </cell>
          <cell r="B2584">
            <v>24000</v>
          </cell>
        </row>
        <row r="2585">
          <cell r="A2585" t="str">
            <v>Hồng Giòn Đà Lạt 15/11/2024</v>
          </cell>
          <cell r="B2585">
            <v>28000</v>
          </cell>
        </row>
        <row r="2586">
          <cell r="A2586" t="str">
            <v>Xà Lách Lolo Xanh T.C Cây 15/11/2024</v>
          </cell>
          <cell r="B2586">
            <v>6800</v>
          </cell>
        </row>
        <row r="2587">
          <cell r="A2587" t="str">
            <v>Xà Lách Mỡ T.C Cây 15/11/2024</v>
          </cell>
          <cell r="B2587">
            <v>6800</v>
          </cell>
        </row>
        <row r="2588">
          <cell r="A2588" t="str">
            <v>Xà Lách Mỡ T.C 15/11/2024</v>
          </cell>
          <cell r="B2588">
            <v>28000</v>
          </cell>
        </row>
        <row r="2589">
          <cell r="A2589" t="str">
            <v>Xà Lách Thủy Tinh T.C Cây 15/11/2024</v>
          </cell>
          <cell r="B2589">
            <v>6800</v>
          </cell>
        </row>
        <row r="2590">
          <cell r="A2590" t="str">
            <v>Xà Lách Thủy Tinh T.C 15/11/2024</v>
          </cell>
          <cell r="B2590">
            <v>30000</v>
          </cell>
        </row>
        <row r="2591">
          <cell r="A2591" t="str">
            <v>Cải Bó Xôi 15/11/2024</v>
          </cell>
          <cell r="B2591">
            <v>36000</v>
          </cell>
        </row>
        <row r="2592">
          <cell r="A2592" t="str">
            <v>Cà Chua Beef Chùm 15/11/2024</v>
          </cell>
          <cell r="B2592">
            <v>25000</v>
          </cell>
        </row>
        <row r="2593">
          <cell r="A2593" t="str">
            <v>Cà Chua Beef 15/11/2024</v>
          </cell>
          <cell r="B2593">
            <v>22000</v>
          </cell>
        </row>
        <row r="2594">
          <cell r="A2594" t="str">
            <v>Cà Chua Beef 15/11/2024</v>
          </cell>
          <cell r="B2594">
            <v>17600</v>
          </cell>
        </row>
        <row r="2595">
          <cell r="A2595" t="str">
            <v>Cà Chua Beef Trung 15/11/2024</v>
          </cell>
          <cell r="B2595">
            <v>21000</v>
          </cell>
        </row>
        <row r="2596">
          <cell r="A2596" t="str">
            <v>Cà Chua Bi Mix 15/11/2024</v>
          </cell>
          <cell r="B2596">
            <v>56500</v>
          </cell>
        </row>
        <row r="2597">
          <cell r="A2597" t="str">
            <v>Cà Chua Bi Mix 15/11/2024</v>
          </cell>
          <cell r="B2597">
            <v>55000</v>
          </cell>
        </row>
        <row r="2598">
          <cell r="A2598" t="str">
            <v>Cải Kale 15/11/2024</v>
          </cell>
          <cell r="B2598">
            <v>33500</v>
          </cell>
        </row>
        <row r="2599">
          <cell r="A2599" t="str">
            <v>Chanh Không Hạt 15/11/2024</v>
          </cell>
          <cell r="B2599">
            <v>26000</v>
          </cell>
        </row>
        <row r="2600">
          <cell r="A2600" t="str">
            <v>Cà Rốt Baby 15/11/2024</v>
          </cell>
          <cell r="B2600">
            <v>55000</v>
          </cell>
        </row>
        <row r="2601">
          <cell r="A2601" t="str">
            <v>Cải Kale 15/11/2024</v>
          </cell>
          <cell r="B2601">
            <v>35000</v>
          </cell>
        </row>
        <row r="2602">
          <cell r="A2602" t="str">
            <v>Cải Cầu Vồng 15/11/2024</v>
          </cell>
          <cell r="B2602">
            <v>18000</v>
          </cell>
        </row>
        <row r="2603">
          <cell r="A2603" t="str">
            <v>Củ Cải Đỏ 15/11/2024</v>
          </cell>
          <cell r="B2603">
            <v>14000</v>
          </cell>
        </row>
        <row r="2604">
          <cell r="A2604" t="str">
            <v>Bông Cải Xanh Baby 15/11/2024</v>
          </cell>
          <cell r="B2604">
            <v>57000</v>
          </cell>
        </row>
        <row r="2605">
          <cell r="A2605" t="str">
            <v>Lá Hương Thảo 15/11/2024</v>
          </cell>
          <cell r="B2605">
            <v>100000</v>
          </cell>
        </row>
        <row r="2606">
          <cell r="A2606" t="str">
            <v>Ớt Sweet Palemo 15/11/2024</v>
          </cell>
          <cell r="B2606">
            <v>22000</v>
          </cell>
        </row>
        <row r="2607">
          <cell r="A2607" t="str">
            <v>Xà Lách Lolo Xanh 15/11/2024</v>
          </cell>
          <cell r="B2607">
            <v>30000</v>
          </cell>
        </row>
        <row r="2608">
          <cell r="A2608" t="str">
            <v>Xà Lách Lolo Xanh 15/11/2024</v>
          </cell>
          <cell r="B2608">
            <v>33000</v>
          </cell>
        </row>
        <row r="2609">
          <cell r="A2609" t="str">
            <v>Cà Chua Beef Trung 15/11/2024</v>
          </cell>
          <cell r="B2609">
            <v>21000</v>
          </cell>
        </row>
        <row r="2610">
          <cell r="A2610" t="str">
            <v>Cà Chua Socola 15/11/2024</v>
          </cell>
          <cell r="B2610">
            <v>11500</v>
          </cell>
        </row>
        <row r="2611">
          <cell r="A2611" t="str">
            <v>Lá Mè 15/11/2024</v>
          </cell>
          <cell r="B2611">
            <v>40000</v>
          </cell>
        </row>
        <row r="2612">
          <cell r="A2612" t="str">
            <v>Xà Lách Romaine 15/11/2024</v>
          </cell>
          <cell r="B2612">
            <v>30000</v>
          </cell>
        </row>
        <row r="2613">
          <cell r="A2613" t="str">
            <v>Dưa Leo Baby 15/11/2024</v>
          </cell>
          <cell r="B2613">
            <v>4000</v>
          </cell>
        </row>
        <row r="2614">
          <cell r="A2614" t="str">
            <v>Hạt Dẻ Ngố 15/11/2024</v>
          </cell>
          <cell r="B2614">
            <v>25900</v>
          </cell>
        </row>
        <row r="2615">
          <cell r="A2615" t="str">
            <v>Hạt Dẻ Ngố 15/11/2024</v>
          </cell>
          <cell r="B2615">
            <v>28600</v>
          </cell>
        </row>
        <row r="2616">
          <cell r="A2616" t="str">
            <v>Tem dán VR F40MM 15/11/2024</v>
          </cell>
          <cell r="B2616">
            <v>40</v>
          </cell>
        </row>
        <row r="2617">
          <cell r="A2617" t="str">
            <v>Bắp Cải Tím 15/11/2024</v>
          </cell>
          <cell r="B2617">
            <v>30000</v>
          </cell>
        </row>
        <row r="2618">
          <cell r="A2618" t="str">
            <v>Cần Tây 15/11/2024</v>
          </cell>
          <cell r="B2618">
            <v>10000</v>
          </cell>
        </row>
        <row r="2619">
          <cell r="A2619" t="str">
            <v>Ớt Chuông Xanh 15/11/2024</v>
          </cell>
          <cell r="B2619">
            <v>26000</v>
          </cell>
        </row>
        <row r="2620">
          <cell r="A2620" t="str">
            <v>Cải Thảo Hỏa Tiễn 15/11/2024</v>
          </cell>
          <cell r="B2620">
            <v>16000</v>
          </cell>
        </row>
        <row r="2621">
          <cell r="A2621" t="str">
            <v>Cần Tây 15/11/2024</v>
          </cell>
          <cell r="B2621">
            <v>10000</v>
          </cell>
        </row>
        <row r="2622">
          <cell r="A2622" t="str">
            <v>Bông Cải Xanh Cọng 15/11/2024</v>
          </cell>
          <cell r="B2622">
            <v>30000</v>
          </cell>
        </row>
        <row r="2623">
          <cell r="A2623" t="str">
            <v>Bông Cải Xanh Cọng 15/11/2024</v>
          </cell>
          <cell r="B2623">
            <v>30000</v>
          </cell>
        </row>
        <row r="2624">
          <cell r="A2624" t="str">
            <v>Bông Cải Trắng 15/11/2024</v>
          </cell>
          <cell r="B2624">
            <v>27000</v>
          </cell>
        </row>
        <row r="2625">
          <cell r="A2625" t="str">
            <v>Bí Ngòi Xanh 15/11/2024</v>
          </cell>
          <cell r="B2625">
            <v>11000</v>
          </cell>
        </row>
        <row r="2626">
          <cell r="A2626" t="str">
            <v>Đậu Cove Trắng 15/11/2024</v>
          </cell>
          <cell r="B2626">
            <v>11500</v>
          </cell>
        </row>
        <row r="2627">
          <cell r="A2627" t="str">
            <v>Cà Chua Thường 15/11/2024</v>
          </cell>
          <cell r="B2627">
            <v>15000</v>
          </cell>
        </row>
        <row r="2628">
          <cell r="A2628" t="str">
            <v>Chanh Dây Tím 15/11/2024</v>
          </cell>
          <cell r="B2628">
            <v>25000</v>
          </cell>
        </row>
        <row r="2629">
          <cell r="A2629" t="str">
            <v>Cà Rốt Trung 15/11/2024</v>
          </cell>
          <cell r="B2629">
            <v>12000</v>
          </cell>
        </row>
        <row r="2630">
          <cell r="A2630" t="str">
            <v>Hành Paro 15/11/2024</v>
          </cell>
          <cell r="B2630">
            <v>38000</v>
          </cell>
        </row>
        <row r="2631">
          <cell r="A2631" t="str">
            <v>Cà Chua Beef 15/11/2024</v>
          </cell>
          <cell r="B2631">
            <v>22000</v>
          </cell>
        </row>
        <row r="2632">
          <cell r="A2632" t="str">
            <v>Cà Chua Beef Trung 15/11/2024</v>
          </cell>
          <cell r="B2632">
            <v>19000</v>
          </cell>
        </row>
        <row r="2633">
          <cell r="A2633" t="str">
            <v>Củ Cải Trắng 15/11/2024</v>
          </cell>
          <cell r="B2633">
            <v>6500</v>
          </cell>
        </row>
        <row r="2634">
          <cell r="A2634" t="str">
            <v>Cà Chua Thường 15/11/2024</v>
          </cell>
          <cell r="B2634">
            <v>17000</v>
          </cell>
        </row>
        <row r="2635">
          <cell r="A2635" t="str">
            <v>Đậu Cove Nhật 15/11/2024</v>
          </cell>
          <cell r="B2635">
            <v>6000</v>
          </cell>
        </row>
        <row r="2636">
          <cell r="A2636" t="str">
            <v>Củ Khoai Lang Nhật 15/11/2024</v>
          </cell>
          <cell r="B2636">
            <v>19000</v>
          </cell>
        </row>
        <row r="2637">
          <cell r="A2637" t="str">
            <v>Củ Khoai Lang Nhật 15/11/2024</v>
          </cell>
          <cell r="B2637">
            <v>18500</v>
          </cell>
        </row>
        <row r="2638">
          <cell r="A2638" t="str">
            <v>Củ Dền 15/11/2024</v>
          </cell>
          <cell r="B2638">
            <v>18000</v>
          </cell>
        </row>
        <row r="2639">
          <cell r="A2639" t="str">
            <v>Trái Su Su 15/11/2024</v>
          </cell>
          <cell r="B2639">
            <v>8000</v>
          </cell>
        </row>
        <row r="2640">
          <cell r="A2640" t="str">
            <v>Củ Khoai Tây Vàng 15/11/2024</v>
          </cell>
          <cell r="B2640">
            <v>15000</v>
          </cell>
        </row>
        <row r="2641">
          <cell r="A2641" t="str">
            <v>Củ Khoai Tây Bi Vàng 15/11/2024</v>
          </cell>
          <cell r="B2641">
            <v>12000</v>
          </cell>
        </row>
        <row r="2642">
          <cell r="A2642" t="str">
            <v>Trái Su Su 15/11/2024</v>
          </cell>
          <cell r="B2642">
            <v>8000</v>
          </cell>
        </row>
        <row r="2643">
          <cell r="A2643" t="str">
            <v>Cà Chua Thường 15/11/2024</v>
          </cell>
          <cell r="B2643">
            <v>18000</v>
          </cell>
        </row>
        <row r="2644">
          <cell r="A2644" t="str">
            <v>Củ Su Hào 15/11/2024</v>
          </cell>
          <cell r="B2644">
            <v>18000</v>
          </cell>
        </row>
        <row r="2645">
          <cell r="A2645" t="str">
            <v>Bơ Booth 15/11/2024</v>
          </cell>
          <cell r="B2645">
            <v>25000</v>
          </cell>
        </row>
        <row r="2646">
          <cell r="A2646" t="str">
            <v>Bí Đao Xanh 15/11/2024</v>
          </cell>
          <cell r="B2646">
            <v>7500</v>
          </cell>
        </row>
        <row r="2647">
          <cell r="A2647" t="str">
            <v>Cà Tím 15/11/2024</v>
          </cell>
          <cell r="B2647">
            <v>10000</v>
          </cell>
        </row>
        <row r="2648">
          <cell r="A2648" t="str">
            <v>Chuối Laba 15/11/2024</v>
          </cell>
          <cell r="B2648">
            <v>13000</v>
          </cell>
        </row>
        <row r="2649">
          <cell r="A2649" t="str">
            <v>Trái Su Su 15/11/2024</v>
          </cell>
          <cell r="B2649">
            <v>9000</v>
          </cell>
        </row>
        <row r="2650">
          <cell r="A2650" t="str">
            <v>Chuối Laba 15/11/2024</v>
          </cell>
          <cell r="B2650">
            <v>13000</v>
          </cell>
        </row>
        <row r="2651">
          <cell r="A2651" t="str">
            <v>Đậu Cove Trắng 15/11/2024</v>
          </cell>
          <cell r="B2651">
            <v>10000</v>
          </cell>
        </row>
        <row r="2652">
          <cell r="A2652" t="str">
            <v>Cà Chua Bi Đỏ 15/11/2024</v>
          </cell>
          <cell r="B2652">
            <v>9900</v>
          </cell>
        </row>
        <row r="2653">
          <cell r="A2653" t="str">
            <v>Cà Chua Thường 15/11/2024</v>
          </cell>
          <cell r="B2653">
            <v>18000</v>
          </cell>
        </row>
        <row r="2654">
          <cell r="A2654" t="str">
            <v>Bí Ngòi Xanh 15/11/2024</v>
          </cell>
          <cell r="B2654">
            <v>11000</v>
          </cell>
        </row>
        <row r="2655">
          <cell r="A2655" t="str">
            <v>Cà Chua Beef 15/11/2024</v>
          </cell>
          <cell r="B2655">
            <v>24500</v>
          </cell>
        </row>
        <row r="2656">
          <cell r="A2656" t="str">
            <v>DO 0.05S-II 16/11/2024</v>
          </cell>
          <cell r="B2656">
            <v>17218.18</v>
          </cell>
        </row>
        <row r="2657">
          <cell r="A2657" t="str">
            <v>DO 0.05S-II 16/11/2024</v>
          </cell>
          <cell r="B2657">
            <v>17218.18</v>
          </cell>
        </row>
        <row r="2658">
          <cell r="A2658" t="str">
            <v>Hành Paro 16/11/2024</v>
          </cell>
          <cell r="B2658">
            <v>38000</v>
          </cell>
        </row>
        <row r="2659">
          <cell r="A2659" t="str">
            <v>Bí Ngòi Xanh 16/11/2024</v>
          </cell>
          <cell r="B2659">
            <v>11000</v>
          </cell>
        </row>
        <row r="2660">
          <cell r="A2660" t="str">
            <v>Cải Bó Xôi 16/11/2024</v>
          </cell>
          <cell r="B2660">
            <v>36000</v>
          </cell>
        </row>
        <row r="2661">
          <cell r="A2661" t="str">
            <v>Cà Chua Beef Chùm 16/11/2024</v>
          </cell>
          <cell r="B2661">
            <v>25000</v>
          </cell>
        </row>
        <row r="2662">
          <cell r="A2662" t="str">
            <v>Cà Chua Beef 16/11/2024</v>
          </cell>
          <cell r="B2662">
            <v>22000</v>
          </cell>
        </row>
        <row r="2663">
          <cell r="A2663" t="str">
            <v>Cà Chua Beef 16/11/2024</v>
          </cell>
          <cell r="B2663">
            <v>17600</v>
          </cell>
        </row>
        <row r="2664">
          <cell r="A2664" t="str">
            <v>Cà Chua Beef Trung 16/11/2024</v>
          </cell>
          <cell r="B2664">
            <v>21000</v>
          </cell>
        </row>
        <row r="2665">
          <cell r="A2665" t="str">
            <v>Cà Chua Beef Trung 16/11/2024</v>
          </cell>
          <cell r="B2665">
            <v>19000</v>
          </cell>
        </row>
        <row r="2666">
          <cell r="A2666" t="str">
            <v>Cà Chua Bi Mix 16/11/2024</v>
          </cell>
          <cell r="B2666">
            <v>55000</v>
          </cell>
        </row>
        <row r="2667">
          <cell r="A2667" t="str">
            <v>Cà Chua Bi Mix 16/11/2024</v>
          </cell>
          <cell r="B2667">
            <v>56500</v>
          </cell>
        </row>
        <row r="2668">
          <cell r="A2668" t="str">
            <v>Cà Chua Socola 16/11/2024</v>
          </cell>
          <cell r="B2668">
            <v>46500</v>
          </cell>
        </row>
        <row r="2669">
          <cell r="A2669" t="str">
            <v>Chanh Không Hạt 16/11/2024</v>
          </cell>
          <cell r="B2669">
            <v>26000</v>
          </cell>
        </row>
        <row r="2670">
          <cell r="A2670" t="str">
            <v>Củ Hành Tây 16/11/2024</v>
          </cell>
          <cell r="B2670">
            <v>27000</v>
          </cell>
        </row>
        <row r="2671">
          <cell r="A2671" t="str">
            <v>Củ Khoai Lang Mật Size 23 16/11/2024</v>
          </cell>
          <cell r="B2671">
            <v>25000</v>
          </cell>
        </row>
        <row r="2672">
          <cell r="A2672" t="str">
            <v>Bắp Cải Trắng 16/11/2024</v>
          </cell>
          <cell r="B2672">
            <v>11000</v>
          </cell>
        </row>
        <row r="2673">
          <cell r="A2673" t="str">
            <v>Cà Chua Beef Chùm 16/11/2024</v>
          </cell>
          <cell r="B2673">
            <v>26000</v>
          </cell>
        </row>
        <row r="2674">
          <cell r="A2674" t="str">
            <v>Cà Chua Beef 16/11/2024</v>
          </cell>
          <cell r="B2674">
            <v>24000</v>
          </cell>
        </row>
        <row r="2675">
          <cell r="A2675" t="str">
            <v>Cà Chua Thường 16/11/2024</v>
          </cell>
          <cell r="B2675">
            <v>17000</v>
          </cell>
        </row>
        <row r="2676">
          <cell r="A2676" t="str">
            <v>Dưa Leo Baby 16/11/2024</v>
          </cell>
          <cell r="B2676">
            <v>3500</v>
          </cell>
        </row>
        <row r="2677">
          <cell r="A2677" t="str">
            <v>Bí Đỏ Tròn 16/11/2024</v>
          </cell>
          <cell r="B2677">
            <v>5300</v>
          </cell>
        </row>
        <row r="2678">
          <cell r="A2678" t="str">
            <v>Dưa Leo Thường 16/11/2024</v>
          </cell>
          <cell r="B2678">
            <v>7000</v>
          </cell>
        </row>
        <row r="2679">
          <cell r="A2679" t="str">
            <v>Dưa Leo Nhật 16/11/2024</v>
          </cell>
          <cell r="B2679">
            <v>10000</v>
          </cell>
        </row>
        <row r="2680">
          <cell r="A2680" t="str">
            <v>Cà Chua Socola 16/11/2024</v>
          </cell>
          <cell r="B2680">
            <v>32000</v>
          </cell>
        </row>
        <row r="2681">
          <cell r="A2681" t="str">
            <v>Gia Công Rau Củ Quả 16/11/2024</v>
          </cell>
          <cell r="B2681">
            <v>1700</v>
          </cell>
        </row>
        <row r="2682">
          <cell r="A2682" t="str">
            <v>Gia Công Rau Củ Quả 16/11/2024</v>
          </cell>
          <cell r="B2682">
            <v>1700</v>
          </cell>
        </row>
        <row r="2683">
          <cell r="A2683" t="str">
            <v>Xà Lách Lolo Xanh T.C Cây 16/11/2024</v>
          </cell>
          <cell r="B2683">
            <v>6800</v>
          </cell>
        </row>
        <row r="2684">
          <cell r="A2684" t="str">
            <v>Xà Lách Mỡ T.C Cây 16/11/2024</v>
          </cell>
          <cell r="B2684">
            <v>6800</v>
          </cell>
        </row>
        <row r="2685">
          <cell r="A2685" t="str">
            <v>Xà Lách Mỡ T.C 16/11/2024</v>
          </cell>
          <cell r="B2685">
            <v>28000</v>
          </cell>
        </row>
        <row r="2686">
          <cell r="A2686" t="str">
            <v>Xà Lách Thủy Tinh T.C Cây 16/11/2024</v>
          </cell>
          <cell r="B2686">
            <v>6800</v>
          </cell>
        </row>
        <row r="2687">
          <cell r="A2687" t="str">
            <v>Xà Lách Thủy Tinh T.C 16/11/2024</v>
          </cell>
          <cell r="B2687">
            <v>30000</v>
          </cell>
        </row>
        <row r="2688">
          <cell r="A2688" t="str">
            <v>Bông Cải Xanh 7Cm 16/11/2024</v>
          </cell>
          <cell r="B2688">
            <v>39000</v>
          </cell>
        </row>
        <row r="2689">
          <cell r="A2689" t="str">
            <v>Bông Cải Trắng 16/11/2024</v>
          </cell>
          <cell r="B2689">
            <v>27000</v>
          </cell>
        </row>
        <row r="2690">
          <cell r="A2690" t="str">
            <v>Bông Cải Trắng Cây 16/11/2024</v>
          </cell>
          <cell r="B2690">
            <v>33000</v>
          </cell>
        </row>
        <row r="2691">
          <cell r="A2691" t="str">
            <v>Ớt Sweet Palemo 16/11/2024</v>
          </cell>
          <cell r="B2691">
            <v>21000</v>
          </cell>
        </row>
        <row r="2692">
          <cell r="A2692" t="str">
            <v>Bông Cải Xanh 7Cm 16/11/2024</v>
          </cell>
          <cell r="B2692">
            <v>39000</v>
          </cell>
        </row>
        <row r="2693">
          <cell r="A2693" t="str">
            <v>Bông Cải Xanh 10Cm 16/11/2024</v>
          </cell>
          <cell r="B2693">
            <v>33000</v>
          </cell>
        </row>
        <row r="2694">
          <cell r="A2694" t="str">
            <v>Xà Lách Lolo Xanh T.C 16/11/2024</v>
          </cell>
          <cell r="B2694">
            <v>26000</v>
          </cell>
        </row>
        <row r="2695">
          <cell r="A2695" t="str">
            <v>Xà Lách Thủy Tinh T.C Cây 16/11/2024</v>
          </cell>
          <cell r="B2695">
            <v>8000</v>
          </cell>
        </row>
        <row r="2696">
          <cell r="A2696" t="str">
            <v>Xà Lách Mỡ T.C 16/11/2024</v>
          </cell>
          <cell r="B2696">
            <v>26000</v>
          </cell>
        </row>
        <row r="2697">
          <cell r="A2697" t="str">
            <v>Bí Non Nhật 16/11/2024</v>
          </cell>
          <cell r="B2697">
            <v>10000</v>
          </cell>
        </row>
        <row r="2698">
          <cell r="A2698" t="str">
            <v>Trái Su Su 16/11/2024</v>
          </cell>
          <cell r="B2698">
            <v>7000</v>
          </cell>
        </row>
        <row r="2699">
          <cell r="A2699" t="str">
            <v>Bí Đao Xanh 16/11/2024</v>
          </cell>
          <cell r="B2699">
            <v>10000</v>
          </cell>
        </row>
        <row r="2700">
          <cell r="A2700" t="str">
            <v>Bí Non Nhật 16/11/2024</v>
          </cell>
          <cell r="B2700">
            <v>8000</v>
          </cell>
        </row>
        <row r="2701">
          <cell r="A2701" t="str">
            <v>Xà Lách Lolo Xanh 16/11/2024</v>
          </cell>
          <cell r="B2701">
            <v>26000</v>
          </cell>
        </row>
        <row r="2702">
          <cell r="A2702" t="str">
            <v>Cải Bó Xôi 16/11/2024</v>
          </cell>
          <cell r="B2702">
            <v>30000</v>
          </cell>
        </row>
        <row r="2703">
          <cell r="A2703" t="str">
            <v>Bông Cải Xanh 10Cm 16/11/2024</v>
          </cell>
          <cell r="B2703">
            <v>33000</v>
          </cell>
        </row>
        <row r="2704">
          <cell r="A2704" t="str">
            <v>Bông Cải Xanh 7Cm 16/11/2024</v>
          </cell>
          <cell r="B2704">
            <v>39000</v>
          </cell>
        </row>
        <row r="2705">
          <cell r="A2705" t="str">
            <v>Dưa Leo Baby 16/11/2024</v>
          </cell>
          <cell r="B2705">
            <v>4000</v>
          </cell>
        </row>
        <row r="2706">
          <cell r="A2706" t="str">
            <v>Củ Khoai Lang Mật Size 23 16/11/2024</v>
          </cell>
          <cell r="B2706">
            <v>26000</v>
          </cell>
        </row>
        <row r="2707">
          <cell r="A2707" t="str">
            <v>Xà Lách Thủy Tinh T.C Cây 16/11/2024</v>
          </cell>
          <cell r="B2707">
            <v>6000</v>
          </cell>
        </row>
        <row r="2708">
          <cell r="A2708" t="str">
            <v>Cần Tây 16/11/2024</v>
          </cell>
          <cell r="B2708">
            <v>14000</v>
          </cell>
        </row>
        <row r="2709">
          <cell r="A2709" t="str">
            <v>Trái Mâm Xôi 16/11/2024</v>
          </cell>
          <cell r="B2709">
            <v>35000</v>
          </cell>
        </row>
        <row r="2710">
          <cell r="A2710" t="str">
            <v>Dưa Leo Baby 16/11/2024</v>
          </cell>
          <cell r="B2710">
            <v>6000</v>
          </cell>
        </row>
        <row r="2711">
          <cell r="A2711" t="str">
            <v>Lá Mè 16/11/2024</v>
          </cell>
          <cell r="B2711">
            <v>38000</v>
          </cell>
        </row>
        <row r="2712">
          <cell r="A2712" t="str">
            <v>Cà Chua Beef 16/11/2024</v>
          </cell>
          <cell r="B2712">
            <v>22000</v>
          </cell>
        </row>
        <row r="2713">
          <cell r="A2713" t="str">
            <v>Cà Chua Beef Chùm 16/11/2024</v>
          </cell>
          <cell r="B2713">
            <v>25000</v>
          </cell>
        </row>
        <row r="2714">
          <cell r="A2714" t="str">
            <v>Cà Chua Beef Trung 16/11/2024</v>
          </cell>
          <cell r="B2714">
            <v>17000</v>
          </cell>
        </row>
        <row r="2715">
          <cell r="A2715" t="str">
            <v>Xà Lách Mỹ 16/11/2024</v>
          </cell>
          <cell r="B2715">
            <v>33000</v>
          </cell>
        </row>
        <row r="2716">
          <cell r="A2716" t="str">
            <v>Cà Chua Beef Chùm 16/11/2024</v>
          </cell>
          <cell r="B2716">
            <v>24000</v>
          </cell>
        </row>
        <row r="2717">
          <cell r="A2717" t="str">
            <v>Đậu Đỏ 16/11/2024</v>
          </cell>
          <cell r="B2717">
            <v>80000</v>
          </cell>
        </row>
        <row r="2718">
          <cell r="A2718" t="str">
            <v>Đậu Ngự 16/11/2024</v>
          </cell>
          <cell r="B2718">
            <v>70000</v>
          </cell>
        </row>
        <row r="2719">
          <cell r="A2719" t="str">
            <v>Lá Nha Đam 16/11/2024</v>
          </cell>
          <cell r="B2719">
            <v>14000</v>
          </cell>
        </row>
        <row r="2720">
          <cell r="A2720" t="str">
            <v>Củ Khoai Mỡ 16/11/2024</v>
          </cell>
          <cell r="B2720">
            <v>30000</v>
          </cell>
        </row>
        <row r="2721">
          <cell r="A2721" t="str">
            <v>Củ Gừng 16/11/2024</v>
          </cell>
          <cell r="B2721">
            <v>45000</v>
          </cell>
        </row>
        <row r="2722">
          <cell r="A2722" t="str">
            <v>Bí Đỏ Hồ Lô 16/11/2024</v>
          </cell>
          <cell r="B2722">
            <v>13000</v>
          </cell>
        </row>
        <row r="2723">
          <cell r="A2723" t="str">
            <v>Củ Dền 16/11/2024</v>
          </cell>
          <cell r="B2723">
            <v>18000</v>
          </cell>
        </row>
        <row r="2724">
          <cell r="A2724" t="str">
            <v>Bông Cải Xanh 7Cm 16/11/2024</v>
          </cell>
          <cell r="B2724">
            <v>40000</v>
          </cell>
        </row>
        <row r="2725">
          <cell r="A2725" t="str">
            <v>Bí Ngòi Xanh 16/11/2024</v>
          </cell>
          <cell r="B2725">
            <v>11000</v>
          </cell>
        </row>
        <row r="2726">
          <cell r="A2726" t="str">
            <v>Cà Tím 16/11/2024</v>
          </cell>
          <cell r="B2726">
            <v>9000</v>
          </cell>
        </row>
        <row r="2727">
          <cell r="A2727" t="str">
            <v>Cà Tím 16/11/2024</v>
          </cell>
          <cell r="B2727">
            <v>6000</v>
          </cell>
        </row>
        <row r="2728">
          <cell r="A2728" t="str">
            <v>Cà Rốt 16/11/2024</v>
          </cell>
          <cell r="B2728">
            <v>15000</v>
          </cell>
        </row>
        <row r="2729">
          <cell r="A2729" t="str">
            <v>Xà Lách Thủy Tinh T.C Cây 16/11/2024</v>
          </cell>
          <cell r="B2729">
            <v>7500</v>
          </cell>
        </row>
        <row r="2730">
          <cell r="A2730" t="str">
            <v>Củ Khoai Lang Nhật 16/11/2024</v>
          </cell>
          <cell r="B2730">
            <v>18000</v>
          </cell>
        </row>
        <row r="2731">
          <cell r="A2731" t="str">
            <v>Cà Chua Socola 16/11/2024</v>
          </cell>
          <cell r="B2731">
            <v>12000</v>
          </cell>
        </row>
        <row r="2732">
          <cell r="A2732" t="str">
            <v>Củ Cải Đỏ 16/11/2024</v>
          </cell>
          <cell r="B2732">
            <v>15000</v>
          </cell>
        </row>
        <row r="2733">
          <cell r="A2733" t="str">
            <v>Xà Lách Rocket 16/11/2024</v>
          </cell>
          <cell r="B2733">
            <v>120000</v>
          </cell>
        </row>
        <row r="2734">
          <cell r="A2734" t="str">
            <v>Ớt Chuông Đỏ 16/11/2024</v>
          </cell>
          <cell r="B2734">
            <v>40000</v>
          </cell>
        </row>
        <row r="2735">
          <cell r="A2735" t="str">
            <v>Ớt Chuông Vàng 16/11/2024</v>
          </cell>
          <cell r="B2735">
            <v>20000</v>
          </cell>
        </row>
        <row r="2736">
          <cell r="A2736" t="str">
            <v>Cà Chua Beef 16/11/2024</v>
          </cell>
          <cell r="B2736">
            <v>22000</v>
          </cell>
        </row>
        <row r="2737">
          <cell r="A2737" t="str">
            <v>Cà Chua Socola 16/11/2024</v>
          </cell>
          <cell r="B2737">
            <v>11000</v>
          </cell>
        </row>
        <row r="2738">
          <cell r="A2738" t="str">
            <v>Dưa Leo Baby 16/11/2024</v>
          </cell>
          <cell r="B2738">
            <v>6000</v>
          </cell>
        </row>
        <row r="2739">
          <cell r="A2739" t="str">
            <v>Dưa Leo Baby 16/11/2024</v>
          </cell>
          <cell r="B2739">
            <v>4000</v>
          </cell>
        </row>
        <row r="2740">
          <cell r="A2740" t="str">
            <v>Bí Non Nhật 16/11/2024</v>
          </cell>
          <cell r="B2740">
            <v>10000</v>
          </cell>
        </row>
        <row r="2741">
          <cell r="A2741" t="str">
            <v>Cải Cầu Vồng 16/11/2024</v>
          </cell>
          <cell r="B2741">
            <v>18000</v>
          </cell>
        </row>
        <row r="2742">
          <cell r="A2742" t="str">
            <v>Măng Tây 16/11/2024</v>
          </cell>
          <cell r="B2742">
            <v>58000</v>
          </cell>
        </row>
        <row r="2743">
          <cell r="A2743" t="str">
            <v>Măng Tây 16/11/2024</v>
          </cell>
          <cell r="B2743">
            <v>45000</v>
          </cell>
        </row>
        <row r="2744">
          <cell r="A2744" t="str">
            <v>Cần Tây 16/11/2024</v>
          </cell>
          <cell r="B2744">
            <v>12000</v>
          </cell>
        </row>
        <row r="2745">
          <cell r="A2745" t="str">
            <v>Cà Chua Socola 16/11/2024</v>
          </cell>
          <cell r="B2745">
            <v>8500</v>
          </cell>
        </row>
        <row r="2746">
          <cell r="A2746" t="str">
            <v>Ớt Chuông Baby 16/11/2024</v>
          </cell>
          <cell r="B2746">
            <v>48000</v>
          </cell>
        </row>
        <row r="2747">
          <cell r="A2747" t="str">
            <v>Ớt Chuông Snack 16/11/2024</v>
          </cell>
          <cell r="B2747">
            <v>58000</v>
          </cell>
        </row>
        <row r="2748">
          <cell r="A2748" t="str">
            <v>Ớt Chuông Xanh 16/11/2024</v>
          </cell>
          <cell r="B2748">
            <v>30000</v>
          </cell>
        </row>
        <row r="2749">
          <cell r="A2749" t="str">
            <v>Ớt Sweet Palemo 16/11/2024</v>
          </cell>
          <cell r="B2749">
            <v>23000</v>
          </cell>
        </row>
        <row r="2750">
          <cell r="A2750" t="str">
            <v>Rau Ngò Rí 16/11/2024</v>
          </cell>
          <cell r="B2750">
            <v>35000</v>
          </cell>
        </row>
        <row r="2751">
          <cell r="A2751" t="str">
            <v>Bơ Booth 16/11/2024</v>
          </cell>
          <cell r="B2751">
            <v>28000</v>
          </cell>
        </row>
        <row r="2752">
          <cell r="A2752" t="str">
            <v>Bí Ngòi Xanh 16/11/2024</v>
          </cell>
          <cell r="B2752">
            <v>4000</v>
          </cell>
        </row>
        <row r="2753">
          <cell r="A2753" t="str">
            <v>Cà Rốt 16/11/2024</v>
          </cell>
          <cell r="B2753">
            <v>14000</v>
          </cell>
        </row>
        <row r="2754">
          <cell r="A2754" t="str">
            <v>Xà Lách Lolo Xanh T.C 16/11/2024</v>
          </cell>
          <cell r="B2754">
            <v>28000</v>
          </cell>
        </row>
        <row r="2755">
          <cell r="A2755" t="str">
            <v>Xà Lách Mỡ T.C 16/11/2024</v>
          </cell>
          <cell r="B2755">
            <v>27000</v>
          </cell>
        </row>
        <row r="2756">
          <cell r="A2756" t="str">
            <v>Cà Rốt 16/11/2024</v>
          </cell>
          <cell r="B2756">
            <v>15000</v>
          </cell>
        </row>
        <row r="2757">
          <cell r="A2757" t="str">
            <v>Đậu Cove Trắng 16/11/2024</v>
          </cell>
          <cell r="B2757">
            <v>7000</v>
          </cell>
        </row>
        <row r="2758">
          <cell r="A2758" t="str">
            <v>Đậu Cove Trắng 16/11/2024</v>
          </cell>
          <cell r="B2758">
            <v>10000</v>
          </cell>
        </row>
        <row r="2759">
          <cell r="A2759" t="str">
            <v>Củ Cải Trắng 16/11/2024</v>
          </cell>
          <cell r="B2759">
            <v>6500</v>
          </cell>
        </row>
        <row r="2760">
          <cell r="A2760" t="str">
            <v>Cà Chua Bi Đỏ 16/11/2024</v>
          </cell>
          <cell r="B2760">
            <v>9900</v>
          </cell>
        </row>
        <row r="2761">
          <cell r="A2761" t="str">
            <v>Cà Chua Bi Đỏ 16/11/2024</v>
          </cell>
          <cell r="B2761">
            <v>16500</v>
          </cell>
        </row>
        <row r="2762">
          <cell r="A2762" t="str">
            <v>Cà Chua Thường Trung 16/11/2024</v>
          </cell>
          <cell r="B2762">
            <v>12000</v>
          </cell>
        </row>
        <row r="2763">
          <cell r="A2763" t="str">
            <v>Bắp Cải Trái Tim 16/11/2024</v>
          </cell>
          <cell r="B2763">
            <v>12000</v>
          </cell>
        </row>
        <row r="2764">
          <cell r="A2764" t="str">
            <v>Xà Lách Lolo Xanh T.C 16/11/2024</v>
          </cell>
          <cell r="B2764">
            <v>28000</v>
          </cell>
        </row>
        <row r="2765">
          <cell r="A2765" t="str">
            <v>Củ Khoai Tây Vàng 16/11/2024</v>
          </cell>
          <cell r="B2765">
            <v>15000</v>
          </cell>
        </row>
        <row r="2766">
          <cell r="A2766" t="str">
            <v>Củ Khoai Tây Bi Vàng 16/11/2024</v>
          </cell>
          <cell r="B2766">
            <v>12000</v>
          </cell>
        </row>
        <row r="2767">
          <cell r="A2767" t="str">
            <v>Củ Su Hào 16/11/2024</v>
          </cell>
          <cell r="B2767">
            <v>18000</v>
          </cell>
        </row>
        <row r="2768">
          <cell r="A2768" t="str">
            <v>Dưa Leo Thường 16/11/2024</v>
          </cell>
          <cell r="B2768">
            <v>3000</v>
          </cell>
        </row>
        <row r="2769">
          <cell r="A2769" t="str">
            <v>Trái Khổ Qua 16/11/2024</v>
          </cell>
          <cell r="B2769">
            <v>15000</v>
          </cell>
        </row>
        <row r="2770">
          <cell r="A2770" t="str">
            <v>Lá Mè 16/11/2024</v>
          </cell>
          <cell r="B2770">
            <v>40000</v>
          </cell>
        </row>
        <row r="2771">
          <cell r="A2771" t="str">
            <v>Dưa Leo Baby 16/11/2024</v>
          </cell>
          <cell r="B2771">
            <v>4000</v>
          </cell>
        </row>
        <row r="2772">
          <cell r="A2772" t="str">
            <v>Cà Rốt Baby 16/11/2024</v>
          </cell>
          <cell r="B2772">
            <v>55000</v>
          </cell>
        </row>
        <row r="2773">
          <cell r="A2773" t="str">
            <v>Cải Kale 16/11/2024</v>
          </cell>
          <cell r="B2773">
            <v>32000</v>
          </cell>
        </row>
        <row r="2774">
          <cell r="A2774" t="str">
            <v>Cải Kale 16/11/2024</v>
          </cell>
          <cell r="B2774">
            <v>35000</v>
          </cell>
        </row>
        <row r="2775">
          <cell r="A2775" t="str">
            <v>Cải Cầu Vồng 16/11/2024</v>
          </cell>
          <cell r="B2775">
            <v>18000</v>
          </cell>
        </row>
        <row r="2776">
          <cell r="A2776" t="str">
            <v>Bông Cải Xanh Baby 16/11/2024</v>
          </cell>
          <cell r="B2776">
            <v>57000</v>
          </cell>
        </row>
        <row r="2777">
          <cell r="A2777" t="str">
            <v>Cà Chua Beef Trung 16/11/2024</v>
          </cell>
          <cell r="B2777">
            <v>20000</v>
          </cell>
        </row>
        <row r="2778">
          <cell r="A2778" t="str">
            <v>Cà Chua Socola 16/11/2024</v>
          </cell>
          <cell r="B2778">
            <v>11500</v>
          </cell>
        </row>
        <row r="2779">
          <cell r="A2779" t="str">
            <v>Củ Cải Đỏ 16/11/2024</v>
          </cell>
          <cell r="B2779">
            <v>14000</v>
          </cell>
        </row>
        <row r="2780">
          <cell r="A2780" t="str">
            <v>Trái Chanh Vàng 16/11/2024</v>
          </cell>
          <cell r="B2780">
            <v>60000</v>
          </cell>
        </row>
        <row r="2781">
          <cell r="A2781" t="str">
            <v>Xà Lách Lolo Xanh 16/11/2024</v>
          </cell>
          <cell r="B2781">
            <v>33000</v>
          </cell>
        </row>
        <row r="2782">
          <cell r="A2782" t="str">
            <v>Xà Lách Lolo Xanh 16/11/2024</v>
          </cell>
          <cell r="B2782">
            <v>30000</v>
          </cell>
        </row>
        <row r="2783">
          <cell r="A2783" t="str">
            <v>Xà Lách Romaine 16/11/2024</v>
          </cell>
          <cell r="B2783">
            <v>30000</v>
          </cell>
        </row>
        <row r="2784">
          <cell r="A2784" t="str">
            <v>Ớt Sweet Palemo 16/11/2024</v>
          </cell>
          <cell r="B2784">
            <v>22000</v>
          </cell>
        </row>
        <row r="2785">
          <cell r="A2785" t="str">
            <v>Cà Chua Beef Trung 16/11/2024</v>
          </cell>
          <cell r="B2785">
            <v>21000</v>
          </cell>
        </row>
        <row r="2786">
          <cell r="A2786" t="str">
            <v>Trái Mít Thái 16/11/2024</v>
          </cell>
          <cell r="B2786">
            <v>19714</v>
          </cell>
        </row>
        <row r="2787">
          <cell r="A2787" t="str">
            <v>LƯỚI ĐÓNG GÓI NÔNG SẢN (CAM) 16/11/2024</v>
          </cell>
          <cell r="B2787">
            <v>1650</v>
          </cell>
        </row>
        <row r="2788">
          <cell r="A2788" t="str">
            <v>Ghim kẹp dập tay U506 16/11/2024</v>
          </cell>
          <cell r="B2788">
            <v>250000</v>
          </cell>
        </row>
        <row r="2789">
          <cell r="A2789" t="str">
            <v>Bắp Cải Trắng 16/11/2024</v>
          </cell>
          <cell r="B2789">
            <v>11000</v>
          </cell>
        </row>
        <row r="2790">
          <cell r="A2790" t="str">
            <v>Bắp Cải Trắng 16/11/2024</v>
          </cell>
          <cell r="B2790">
            <v>11000</v>
          </cell>
        </row>
        <row r="2791">
          <cell r="A2791" t="str">
            <v>Hành Paro 16/11/2024</v>
          </cell>
          <cell r="B2791">
            <v>38000</v>
          </cell>
        </row>
        <row r="2792">
          <cell r="A2792" t="str">
            <v>Trái Su Su 16/11/2024</v>
          </cell>
          <cell r="B2792">
            <v>8000</v>
          </cell>
        </row>
        <row r="2793">
          <cell r="A2793" t="str">
            <v>Bí Đỏ Tròn 16/11/2024</v>
          </cell>
          <cell r="B2793">
            <v>5300</v>
          </cell>
        </row>
        <row r="2794">
          <cell r="A2794" t="str">
            <v>Đậu Cove Trắng 16/11/2024</v>
          </cell>
          <cell r="B2794">
            <v>10000</v>
          </cell>
        </row>
        <row r="2795">
          <cell r="A2795" t="str">
            <v>Bí Non Nhật 16/11/2024</v>
          </cell>
          <cell r="B2795">
            <v>12000</v>
          </cell>
        </row>
        <row r="2796">
          <cell r="A2796" t="str">
            <v>Cà Chua Bi Đỏ 16/11/2024</v>
          </cell>
          <cell r="B2796">
            <v>9900</v>
          </cell>
        </row>
        <row r="2797">
          <cell r="A2797" t="str">
            <v>Xà Lách Mỡ T.C 16/11/2024</v>
          </cell>
          <cell r="B2797">
            <v>28000</v>
          </cell>
        </row>
        <row r="2798">
          <cell r="A2798" t="str">
            <v>Cần Tây 16/11/2024</v>
          </cell>
          <cell r="B2798">
            <v>12000</v>
          </cell>
        </row>
        <row r="2799">
          <cell r="A2799" t="str">
            <v>Bông Cải Xanh Cọng 16/11/2024</v>
          </cell>
          <cell r="B2799">
            <v>30000</v>
          </cell>
        </row>
        <row r="2800">
          <cell r="A2800" t="str">
            <v>Cà Chua Beef 16/11/2024</v>
          </cell>
          <cell r="B2800">
            <v>23000</v>
          </cell>
        </row>
        <row r="2801">
          <cell r="A2801" t="str">
            <v>Bông Cải Trắng 16/11/2024</v>
          </cell>
          <cell r="B2801">
            <v>27000</v>
          </cell>
        </row>
        <row r="2802">
          <cell r="A2802" t="str">
            <v>Trái Su Su 16/11/2024</v>
          </cell>
          <cell r="B2802">
            <v>8000</v>
          </cell>
        </row>
        <row r="2803">
          <cell r="A2803" t="str">
            <v>Củ Dền 16/11/2024</v>
          </cell>
          <cell r="B2803">
            <v>22000</v>
          </cell>
        </row>
        <row r="2804">
          <cell r="A2804" t="str">
            <v>Bắp Cải Tím 16/11/2024</v>
          </cell>
          <cell r="B2804">
            <v>30000</v>
          </cell>
        </row>
        <row r="2805">
          <cell r="A2805" t="str">
            <v>Cần Tây 16/11/2024</v>
          </cell>
          <cell r="B2805">
            <v>12000</v>
          </cell>
        </row>
        <row r="2806">
          <cell r="A2806" t="str">
            <v>Ớt Chuông Đỏ 16/11/2024</v>
          </cell>
          <cell r="B2806">
            <v>36000</v>
          </cell>
        </row>
        <row r="2807">
          <cell r="A2807" t="str">
            <v>Ớt Chuông Vàng 16/11/2024</v>
          </cell>
          <cell r="B2807">
            <v>16000</v>
          </cell>
        </row>
        <row r="2808">
          <cell r="A2808" t="str">
            <v>Cà Chua Beef 16/11/2024</v>
          </cell>
          <cell r="B2808">
            <v>23000</v>
          </cell>
        </row>
        <row r="2809">
          <cell r="A2809" t="str">
            <v>Cải Thảo Kim Chi 16/11/2024</v>
          </cell>
          <cell r="B2809">
            <v>5500</v>
          </cell>
        </row>
        <row r="2810">
          <cell r="A2810" t="str">
            <v>Cà Chua Beef 16/11/2024</v>
          </cell>
          <cell r="B2810">
            <v>23000</v>
          </cell>
        </row>
        <row r="2811">
          <cell r="A2811" t="str">
            <v>Bắp Cải Trái Tim 16/11/2024</v>
          </cell>
          <cell r="B2811">
            <v>13000</v>
          </cell>
        </row>
        <row r="2812">
          <cell r="A2812" t="str">
            <v>Bơ Booth 16/11/2024</v>
          </cell>
          <cell r="B2812">
            <v>25000</v>
          </cell>
        </row>
        <row r="2813">
          <cell r="A2813" t="str">
            <v>Bí Đao Xanh 16/11/2024</v>
          </cell>
          <cell r="B2813">
            <v>7500</v>
          </cell>
        </row>
        <row r="2814">
          <cell r="A2814" t="str">
            <v>Cà Tím 16/11/2024</v>
          </cell>
          <cell r="B2814">
            <v>10000</v>
          </cell>
        </row>
        <row r="2815">
          <cell r="A2815" t="str">
            <v>Chuối Laba 16/11/2024</v>
          </cell>
          <cell r="B2815">
            <v>13000</v>
          </cell>
        </row>
        <row r="2816">
          <cell r="A2816" t="str">
            <v>Củ Khoai Lang Nhật 16/11/2024</v>
          </cell>
          <cell r="B2816">
            <v>18000</v>
          </cell>
        </row>
        <row r="2817">
          <cell r="A2817" t="str">
            <v>Bí Ngòi Xanh 16/11/2024</v>
          </cell>
          <cell r="B2817">
            <v>11000</v>
          </cell>
        </row>
        <row r="2818">
          <cell r="A2818" t="str">
            <v>Cà Chua Thường 16/11/2024</v>
          </cell>
          <cell r="B2818">
            <v>16000</v>
          </cell>
        </row>
        <row r="2819">
          <cell r="A2819" t="str">
            <v>Cà Tím 16/11/2024</v>
          </cell>
          <cell r="B2819">
            <v>9000</v>
          </cell>
        </row>
        <row r="2820">
          <cell r="A2820" t="str">
            <v>Bí Đao Xanh 16/11/2024</v>
          </cell>
          <cell r="B2820">
            <v>8000</v>
          </cell>
        </row>
        <row r="2821">
          <cell r="A2821" t="str">
            <v>Củ Su Hào 16/11/2024</v>
          </cell>
          <cell r="B2821">
            <v>18000</v>
          </cell>
        </row>
        <row r="2822">
          <cell r="A2822" t="str">
            <v>Đậu Cove Nhật 16/11/2024</v>
          </cell>
          <cell r="B2822">
            <v>6000</v>
          </cell>
        </row>
        <row r="2823">
          <cell r="A2823" t="str">
            <v>Củ Khoai Tây Vàng 16/11/2024</v>
          </cell>
          <cell r="B2823">
            <v>15000</v>
          </cell>
        </row>
        <row r="2824">
          <cell r="A2824" t="str">
            <v>Củ Khoai Tây Bi Vàng 16/11/2024</v>
          </cell>
          <cell r="B2824">
            <v>12000</v>
          </cell>
        </row>
        <row r="2825">
          <cell r="A2825" t="str">
            <v>Bắp Cải Trái Tim 16/11/2024</v>
          </cell>
          <cell r="B2825">
            <v>12000</v>
          </cell>
        </row>
        <row r="2826">
          <cell r="A2826" t="str">
            <v>Cà Chua Thường 16/11/2024</v>
          </cell>
          <cell r="B2826">
            <v>15000</v>
          </cell>
        </row>
        <row r="2827">
          <cell r="A2827" t="str">
            <v>Củ Cải Trắng 16/11/2024</v>
          </cell>
          <cell r="B2827">
            <v>6500</v>
          </cell>
        </row>
        <row r="2828">
          <cell r="A2828" t="str">
            <v>Củ Cải Trắng 16/11/2024</v>
          </cell>
          <cell r="B2828">
            <v>7000</v>
          </cell>
        </row>
        <row r="2829">
          <cell r="A2829" t="str">
            <v>Cà Rốt Trung 16/11/2024</v>
          </cell>
          <cell r="B2829">
            <v>12000</v>
          </cell>
        </row>
        <row r="2830">
          <cell r="A2830" t="str">
            <v>Bí Ngòi Xanh 16/11/2024</v>
          </cell>
          <cell r="B2830">
            <v>10000</v>
          </cell>
        </row>
        <row r="2831">
          <cell r="A2831" t="str">
            <v>Chanh Dây Tím 16/11/2024</v>
          </cell>
          <cell r="B2831">
            <v>25000</v>
          </cell>
        </row>
        <row r="2832">
          <cell r="A2832" t="str">
            <v>Ớt Sweet Palemo 16/11/2024</v>
          </cell>
          <cell r="B2832">
            <v>23000</v>
          </cell>
        </row>
        <row r="2833">
          <cell r="A2833" t="str">
            <v>Ớt Chuông Xanh 16/11/2024</v>
          </cell>
          <cell r="B2833">
            <v>30000</v>
          </cell>
        </row>
        <row r="2834">
          <cell r="A2834" t="str">
            <v>Cà Chua Beef 16/11/2024</v>
          </cell>
          <cell r="B2834">
            <v>24500</v>
          </cell>
        </row>
        <row r="2835">
          <cell r="A2835" t="str">
            <v>Lá Mè 16/11/2024</v>
          </cell>
          <cell r="B2835">
            <v>36000</v>
          </cell>
        </row>
        <row r="2836">
          <cell r="A2836" t="str">
            <v>Cà Chua Beef Trung 16/11/2024</v>
          </cell>
          <cell r="B2836">
            <v>20000</v>
          </cell>
        </row>
        <row r="2837">
          <cell r="A2837" t="str">
            <v>Cà Rốt Baby 16/11/2024</v>
          </cell>
          <cell r="B2837">
            <v>55000</v>
          </cell>
        </row>
        <row r="2838">
          <cell r="A2838" t="str">
            <v>Dưa Leo Baby 16/11/2024</v>
          </cell>
          <cell r="B2838">
            <v>4000</v>
          </cell>
        </row>
        <row r="2839">
          <cell r="A2839" t="str">
            <v>Ghim kẹp dập tay U506 16/11/2024</v>
          </cell>
          <cell r="B2839">
            <v>250000</v>
          </cell>
        </row>
        <row r="2840">
          <cell r="A2840" t="str">
            <v>DO 0.05S-II 17/11/2024</v>
          </cell>
          <cell r="B2840">
            <v>17218.18</v>
          </cell>
        </row>
        <row r="2841">
          <cell r="A2841" t="str">
            <v>Cước đường bộ xe 49C37197T đi qua trạm Liên Đầm thời gian GD 20:39:00 ngày 17/11/2024 mã GD 1501589577 17/11/2024</v>
          </cell>
          <cell r="B2841">
            <v>78704</v>
          </cell>
        </row>
        <row r="2842">
          <cell r="A2842" t="str">
            <v>DO 0.05S-II 17/11/2024</v>
          </cell>
          <cell r="B2842">
            <v>17218.18</v>
          </cell>
        </row>
        <row r="2843">
          <cell r="A2843" t="str">
            <v>DO 0.05S-II 17/11/2024</v>
          </cell>
          <cell r="B2843">
            <v>17218.18</v>
          </cell>
        </row>
        <row r="2844">
          <cell r="A2844" t="str">
            <v>Măng Tây 17/11/2024</v>
          </cell>
          <cell r="B2844">
            <v>59000</v>
          </cell>
        </row>
        <row r="2845">
          <cell r="A2845" t="str">
            <v>Măng Tây 17/11/2024</v>
          </cell>
          <cell r="B2845">
            <v>45000</v>
          </cell>
        </row>
        <row r="2846">
          <cell r="A2846" t="str">
            <v>Lá É 17/11/2024</v>
          </cell>
          <cell r="B2846">
            <v>25000</v>
          </cell>
        </row>
        <row r="2847">
          <cell r="A2847" t="str">
            <v>Cà Chua Socola 17/11/2024</v>
          </cell>
          <cell r="B2847">
            <v>12000</v>
          </cell>
        </row>
        <row r="2848">
          <cell r="A2848" t="str">
            <v>Rau Bầu Đất 17/11/2024</v>
          </cell>
          <cell r="B2848">
            <v>30000</v>
          </cell>
        </row>
        <row r="2849">
          <cell r="A2849" t="str">
            <v>Xà Lách Lolo Xanh 17/11/2024</v>
          </cell>
          <cell r="B2849">
            <v>28000</v>
          </cell>
        </row>
        <row r="2850">
          <cell r="A2850" t="str">
            <v>Xà Lách Rocket 17/11/2024</v>
          </cell>
          <cell r="B2850">
            <v>120000</v>
          </cell>
        </row>
        <row r="2851">
          <cell r="A2851" t="str">
            <v>Cần Tây 17/11/2024</v>
          </cell>
          <cell r="B2851">
            <v>12000</v>
          </cell>
        </row>
        <row r="2852">
          <cell r="A2852" t="str">
            <v>Xà Lách Thủy Tinh T.C Cây 17/11/2024</v>
          </cell>
          <cell r="B2852">
            <v>6000</v>
          </cell>
        </row>
        <row r="2853">
          <cell r="A2853" t="str">
            <v>Cà Chua Beef 17/11/2024</v>
          </cell>
          <cell r="B2853">
            <v>23000</v>
          </cell>
        </row>
        <row r="2854">
          <cell r="A2854" t="str">
            <v>Cà Chua Beef Chùm 17/11/2024</v>
          </cell>
          <cell r="B2854">
            <v>24000</v>
          </cell>
        </row>
        <row r="2855">
          <cell r="A2855" t="str">
            <v>Cải Bó Xôi 17/11/2024</v>
          </cell>
          <cell r="B2855">
            <v>30000</v>
          </cell>
        </row>
        <row r="2856">
          <cell r="A2856" t="str">
            <v>Xà Lách Mỹ 17/11/2024</v>
          </cell>
          <cell r="B2856">
            <v>33000</v>
          </cell>
        </row>
        <row r="2857">
          <cell r="A2857" t="str">
            <v>Bắp Cải Trái Tim 17/11/2024</v>
          </cell>
          <cell r="B2857">
            <v>17000</v>
          </cell>
        </row>
        <row r="2858">
          <cell r="A2858" t="str">
            <v>Cải Thảo Hỏa Tiễn 17/11/2024</v>
          </cell>
          <cell r="B2858">
            <v>16000</v>
          </cell>
        </row>
        <row r="2859">
          <cell r="A2859" t="str">
            <v>Củ Dền 17/11/2024</v>
          </cell>
          <cell r="B2859">
            <v>18000</v>
          </cell>
        </row>
        <row r="2860">
          <cell r="A2860" t="str">
            <v>Dưa Leo Baby 17/11/2024</v>
          </cell>
          <cell r="B2860">
            <v>4000</v>
          </cell>
        </row>
        <row r="2861">
          <cell r="A2861" t="str">
            <v>Bông Cải Xanh 7Cm 17/11/2024</v>
          </cell>
          <cell r="B2861">
            <v>39000</v>
          </cell>
        </row>
        <row r="2862">
          <cell r="A2862" t="str">
            <v>Bông Cải Xanh 10Cm 17/11/2024</v>
          </cell>
          <cell r="B2862">
            <v>33000</v>
          </cell>
        </row>
        <row r="2863">
          <cell r="A2863" t="str">
            <v>Bông Cải Xanh 7Cm 17/11/2024</v>
          </cell>
          <cell r="B2863">
            <v>38000</v>
          </cell>
        </row>
        <row r="2864">
          <cell r="A2864" t="str">
            <v>Dưa Leo Baby 17/11/2024</v>
          </cell>
          <cell r="B2864">
            <v>4000</v>
          </cell>
        </row>
        <row r="2865">
          <cell r="A2865" t="str">
            <v>Cà Chua Beef Chùm 17/11/2024</v>
          </cell>
          <cell r="B2865">
            <v>25000</v>
          </cell>
        </row>
        <row r="2866">
          <cell r="A2866" t="str">
            <v>Cà Chua Beef 17/11/2024</v>
          </cell>
          <cell r="B2866">
            <v>22000</v>
          </cell>
        </row>
        <row r="2867">
          <cell r="A2867" t="str">
            <v>Cà Chua Beef Trung 17/11/2024</v>
          </cell>
          <cell r="B2867">
            <v>17000</v>
          </cell>
        </row>
        <row r="2868">
          <cell r="A2868" t="str">
            <v>Ớt Chuông Xanh 17/11/2024</v>
          </cell>
          <cell r="B2868">
            <v>26000</v>
          </cell>
        </row>
        <row r="2869">
          <cell r="A2869" t="str">
            <v>Ớt Chuông Đỏ Trung 17/11/2024</v>
          </cell>
          <cell r="B2869">
            <v>28000</v>
          </cell>
        </row>
        <row r="2870">
          <cell r="A2870" t="str">
            <v>Ớt Chuông Vàng Trung 17/11/2024</v>
          </cell>
          <cell r="B2870">
            <v>11000</v>
          </cell>
        </row>
        <row r="2871">
          <cell r="A2871" t="str">
            <v>Ớt Chuông Xanh Trung 17/11/2024</v>
          </cell>
          <cell r="B2871">
            <v>21000</v>
          </cell>
        </row>
        <row r="2872">
          <cell r="A2872" t="str">
            <v>Dưa Leo Baby 17/11/2024</v>
          </cell>
          <cell r="B2872">
            <v>6000</v>
          </cell>
        </row>
        <row r="2873">
          <cell r="A2873" t="str">
            <v>Gia Công Rau Củ Quả 17/11/2024</v>
          </cell>
          <cell r="B2873">
            <v>1700</v>
          </cell>
        </row>
        <row r="2874">
          <cell r="A2874" t="str">
            <v>Lá Mè 17/11/2024</v>
          </cell>
          <cell r="B2874">
            <v>38000</v>
          </cell>
        </row>
        <row r="2875">
          <cell r="A2875" t="str">
            <v>Cà Chua Beef 17/11/2024</v>
          </cell>
          <cell r="B2875">
            <v>22000</v>
          </cell>
        </row>
        <row r="2876">
          <cell r="A2876" t="str">
            <v>Cà Chua Beef Trung 17/11/2024</v>
          </cell>
          <cell r="B2876">
            <v>18000</v>
          </cell>
        </row>
        <row r="2877">
          <cell r="A2877" t="str">
            <v>Bắp Cải Tím 17/11/2024</v>
          </cell>
          <cell r="B2877">
            <v>30000</v>
          </cell>
        </row>
        <row r="2878">
          <cell r="A2878" t="str">
            <v>Cần Tây 17/11/2024</v>
          </cell>
          <cell r="B2878">
            <v>14000</v>
          </cell>
        </row>
        <row r="2879">
          <cell r="A2879" t="str">
            <v>Trái Mâm Xôi 17/11/2024</v>
          </cell>
          <cell r="B2879">
            <v>35000</v>
          </cell>
        </row>
        <row r="2880">
          <cell r="A2880" t="str">
            <v>Bông Cải Xanh 7Cm 17/11/2024</v>
          </cell>
          <cell r="B2880">
            <v>39000</v>
          </cell>
        </row>
        <row r="2881">
          <cell r="A2881" t="str">
            <v>Củ Khoai Lang Mật Size 23 17/11/2024</v>
          </cell>
          <cell r="B2881">
            <v>26000</v>
          </cell>
        </row>
        <row r="2882">
          <cell r="A2882" t="str">
            <v>Củ Khoai Lang Mật Size 23 17/11/2024</v>
          </cell>
          <cell r="B2882">
            <v>23000</v>
          </cell>
        </row>
        <row r="2883">
          <cell r="A2883" t="str">
            <v>Củ Khoai Lang Mật Size 46 17/11/2024</v>
          </cell>
          <cell r="B2883">
            <v>23000</v>
          </cell>
        </row>
        <row r="2884">
          <cell r="A2884" t="str">
            <v>Bí Ngô Mini 17/11/2024</v>
          </cell>
          <cell r="B2884">
            <v>48000</v>
          </cell>
        </row>
        <row r="2885">
          <cell r="A2885" t="str">
            <v>Cà Chua Beef 17/11/2024</v>
          </cell>
          <cell r="B2885">
            <v>24500</v>
          </cell>
        </row>
        <row r="2886">
          <cell r="A2886" t="str">
            <v>Cà Chua Socola 17/11/2024</v>
          </cell>
          <cell r="B2886">
            <v>8500</v>
          </cell>
        </row>
        <row r="2887">
          <cell r="A2887" t="str">
            <v>Bí Ngòi Xanh 17/11/2024</v>
          </cell>
          <cell r="B2887">
            <v>10000</v>
          </cell>
        </row>
        <row r="2888">
          <cell r="A2888" t="str">
            <v>Củ Hành Tây 17/11/2024</v>
          </cell>
          <cell r="B2888">
            <v>22000</v>
          </cell>
        </row>
        <row r="2889">
          <cell r="A2889" t="str">
            <v>Củ Hành Tây Trung 17/11/2024</v>
          </cell>
          <cell r="B2889">
            <v>15000</v>
          </cell>
        </row>
        <row r="2890">
          <cell r="A2890" t="str">
            <v>Trái Su Su 17/11/2024</v>
          </cell>
          <cell r="B2890">
            <v>9500</v>
          </cell>
        </row>
        <row r="2891">
          <cell r="A2891" t="str">
            <v>Lá Nha Đam 17/11/2024</v>
          </cell>
          <cell r="B2891">
            <v>14000</v>
          </cell>
        </row>
        <row r="2892">
          <cell r="A2892" t="str">
            <v>Bí Đỏ Hồ Lô 17/11/2024</v>
          </cell>
          <cell r="B2892">
            <v>13000</v>
          </cell>
        </row>
        <row r="2893">
          <cell r="A2893" t="str">
            <v>Cà Rốt 17/11/2024</v>
          </cell>
          <cell r="B2893">
            <v>15000</v>
          </cell>
        </row>
        <row r="2894">
          <cell r="A2894" t="str">
            <v>Đậu Cove Trắng 17/11/2024</v>
          </cell>
          <cell r="B2894">
            <v>10000</v>
          </cell>
        </row>
        <row r="2895">
          <cell r="A2895" t="str">
            <v>Đậu Cove Trắng 17/11/2024</v>
          </cell>
          <cell r="B2895">
            <v>7000</v>
          </cell>
        </row>
        <row r="2896">
          <cell r="A2896" t="str">
            <v>Xà Lách Lolo Xanh T.C 17/11/2024</v>
          </cell>
          <cell r="B2896">
            <v>28000</v>
          </cell>
        </row>
        <row r="2897">
          <cell r="A2897" t="str">
            <v>Củ Cải Trắng 17/11/2024</v>
          </cell>
          <cell r="B2897">
            <v>6500</v>
          </cell>
        </row>
        <row r="2898">
          <cell r="A2898" t="str">
            <v>Củ Khoai Lang Nhật 17/11/2024</v>
          </cell>
          <cell r="B2898">
            <v>18500</v>
          </cell>
        </row>
        <row r="2899">
          <cell r="A2899" t="str">
            <v>Xà Lách Thủy Tinh T.C Cây 17/11/2024</v>
          </cell>
          <cell r="B2899">
            <v>7500</v>
          </cell>
        </row>
        <row r="2900">
          <cell r="A2900" t="str">
            <v>Cà Rốt 17/11/2024</v>
          </cell>
          <cell r="B2900">
            <v>15000</v>
          </cell>
        </row>
        <row r="2901">
          <cell r="A2901" t="str">
            <v>Củ Su Hào 17/11/2024</v>
          </cell>
          <cell r="B2901">
            <v>18000</v>
          </cell>
        </row>
        <row r="2902">
          <cell r="A2902" t="str">
            <v>Hành Paro 17/11/2024</v>
          </cell>
          <cell r="B2902">
            <v>38000</v>
          </cell>
        </row>
        <row r="2903">
          <cell r="A2903" t="str">
            <v>Bí Ngòi Xanh 17/11/2024</v>
          </cell>
          <cell r="B2903">
            <v>11000</v>
          </cell>
        </row>
        <row r="2904">
          <cell r="A2904" t="str">
            <v>Cà Tím 17/11/2024</v>
          </cell>
          <cell r="B2904">
            <v>6000</v>
          </cell>
        </row>
        <row r="2905">
          <cell r="A2905" t="str">
            <v>Bông Cải Xanh Gốc Dài 17/11/2024</v>
          </cell>
          <cell r="B2905">
            <v>30000</v>
          </cell>
        </row>
        <row r="2906">
          <cell r="A2906" t="str">
            <v>Ớt Chuông Baby 17/11/2024</v>
          </cell>
          <cell r="B2906">
            <v>48000</v>
          </cell>
        </row>
        <row r="2907">
          <cell r="A2907" t="str">
            <v>Ớt Sweet Palemo 17/11/2024</v>
          </cell>
          <cell r="B2907">
            <v>23000</v>
          </cell>
        </row>
        <row r="2908">
          <cell r="A2908" t="str">
            <v>Rau Ngò Rí 17/11/2024</v>
          </cell>
          <cell r="B2908">
            <v>35000</v>
          </cell>
        </row>
        <row r="2909">
          <cell r="A2909" t="str">
            <v>Củ Khoai Tây Vàng 17/11/2024</v>
          </cell>
          <cell r="B2909">
            <v>15000</v>
          </cell>
        </row>
        <row r="2910">
          <cell r="A2910" t="str">
            <v>Cà Chua Thường 17/11/2024</v>
          </cell>
          <cell r="B2910">
            <v>15000</v>
          </cell>
        </row>
        <row r="2911">
          <cell r="A2911" t="str">
            <v>Xà Lách Mỡ T.C 17/11/2024</v>
          </cell>
          <cell r="B2911">
            <v>27000</v>
          </cell>
        </row>
        <row r="2912">
          <cell r="A2912" t="str">
            <v>Xà Lách Lolo Xanh T.C 17/11/2024</v>
          </cell>
          <cell r="B2912">
            <v>28000</v>
          </cell>
        </row>
        <row r="2913">
          <cell r="A2913" t="str">
            <v>Chuối Laba 17/11/2024</v>
          </cell>
          <cell r="B2913">
            <v>13000</v>
          </cell>
        </row>
        <row r="2914">
          <cell r="A2914" t="str">
            <v>Ớt Chuông Đỏ 17/11/2024</v>
          </cell>
          <cell r="B2914">
            <v>37000</v>
          </cell>
        </row>
        <row r="2915">
          <cell r="A2915" t="str">
            <v>Ớt Chuông Vàng 17/11/2024</v>
          </cell>
          <cell r="B2915">
            <v>18000</v>
          </cell>
        </row>
        <row r="2916">
          <cell r="A2916" t="str">
            <v>Ớt Chuông Xanh 17/11/2024</v>
          </cell>
          <cell r="B2916">
            <v>27000</v>
          </cell>
        </row>
        <row r="2917">
          <cell r="A2917" t="str">
            <v>Ớt Sweet Palemo 17/11/2024</v>
          </cell>
          <cell r="B2917">
            <v>67000</v>
          </cell>
        </row>
        <row r="2918">
          <cell r="A2918" t="str">
            <v>Ớt Chuông Snack 17/11/2024</v>
          </cell>
          <cell r="B2918">
            <v>49000</v>
          </cell>
        </row>
        <row r="2919">
          <cell r="A2919" t="str">
            <v>Ớt Chuông Baby 17/11/2024</v>
          </cell>
          <cell r="B2919">
            <v>44000</v>
          </cell>
        </row>
        <row r="2920">
          <cell r="A2920" t="str">
            <v>Cà Chua Thường 17/11/2024</v>
          </cell>
          <cell r="B2920">
            <v>15500</v>
          </cell>
        </row>
        <row r="2921">
          <cell r="A2921" t="str">
            <v>Cà Chua Thường 17/11/2024</v>
          </cell>
          <cell r="B2921">
            <v>16000</v>
          </cell>
        </row>
        <row r="2922">
          <cell r="A2922" t="str">
            <v>Bí Đao Xanh 17/11/2024</v>
          </cell>
          <cell r="B2922">
            <v>8000</v>
          </cell>
        </row>
        <row r="2923">
          <cell r="A2923" t="str">
            <v>Trái Khổ Qua 17/11/2024</v>
          </cell>
          <cell r="B2923">
            <v>15000</v>
          </cell>
        </row>
        <row r="2924">
          <cell r="A2924" t="str">
            <v>Trái Bầu 17/11/2024</v>
          </cell>
          <cell r="B2924">
            <v>12000</v>
          </cell>
        </row>
        <row r="2925">
          <cell r="A2925" t="str">
            <v>Trái Mít Thái 17/11/2024</v>
          </cell>
          <cell r="B2925">
            <v>19727</v>
          </cell>
        </row>
        <row r="2926">
          <cell r="A2926" t="str">
            <v>Củ Gừng 17/11/2024</v>
          </cell>
          <cell r="B2926">
            <v>39000</v>
          </cell>
        </row>
        <row r="2927">
          <cell r="A2927" t="str">
            <v>Bông Cải Trắng 17/11/2024</v>
          </cell>
          <cell r="B2927">
            <v>27000</v>
          </cell>
        </row>
        <row r="2928">
          <cell r="A2928" t="str">
            <v>Xà Lách Lolo Xanh 17/11/2024</v>
          </cell>
          <cell r="B2928">
            <v>26000</v>
          </cell>
        </row>
        <row r="2929">
          <cell r="A2929" t="str">
            <v>Cà Chua Beef 17/11/2024</v>
          </cell>
          <cell r="B2929">
            <v>20000</v>
          </cell>
        </row>
        <row r="2930">
          <cell r="A2930" t="str">
            <v>Cà Chua Beef Trung 17/11/2024</v>
          </cell>
          <cell r="B2930">
            <v>15000</v>
          </cell>
        </row>
        <row r="2931">
          <cell r="A2931" t="str">
            <v>Củ Khoai Lang Mật Size 23 17/11/2024</v>
          </cell>
          <cell r="B2931">
            <v>25000</v>
          </cell>
        </row>
        <row r="2932">
          <cell r="A2932" t="str">
            <v>Củ Khoai Lang Mật Size 46 17/11/2024</v>
          </cell>
          <cell r="B2932">
            <v>25000</v>
          </cell>
        </row>
        <row r="2933">
          <cell r="A2933" t="str">
            <v>Bí Non Nhật 17/11/2024</v>
          </cell>
          <cell r="B2933">
            <v>10000</v>
          </cell>
        </row>
        <row r="2934">
          <cell r="A2934" t="str">
            <v>Dưa Leo Baby 17/11/2024</v>
          </cell>
          <cell r="B2934">
            <v>6000</v>
          </cell>
        </row>
        <row r="2935">
          <cell r="A2935" t="str">
            <v>Dưa Leo Baby 17/11/2024</v>
          </cell>
          <cell r="B2935">
            <v>4000</v>
          </cell>
        </row>
        <row r="2936">
          <cell r="A2936" t="str">
            <v>Cà Chua Bi Đỏ 17/11/2024</v>
          </cell>
          <cell r="B2936">
            <v>9900</v>
          </cell>
        </row>
        <row r="2937">
          <cell r="A2937" t="str">
            <v>Cà Chua Bi Đỏ 17/11/2024</v>
          </cell>
          <cell r="B2937">
            <v>16500</v>
          </cell>
        </row>
        <row r="2938">
          <cell r="A2938" t="str">
            <v>Đậu Cove Trắng 17/11/2024</v>
          </cell>
          <cell r="B2938">
            <v>9000</v>
          </cell>
        </row>
        <row r="2939">
          <cell r="A2939" t="str">
            <v>Dưa Leo Thường 17/11/2024</v>
          </cell>
          <cell r="B2939">
            <v>6000</v>
          </cell>
        </row>
        <row r="2940">
          <cell r="A2940" t="str">
            <v>Dưa Leo Nhật 17/11/2024</v>
          </cell>
          <cell r="B2940">
            <v>10000</v>
          </cell>
        </row>
        <row r="2941">
          <cell r="A2941" t="str">
            <v>Bắp Cải Trái Tim 17/11/2024</v>
          </cell>
          <cell r="B2941">
            <v>12000</v>
          </cell>
        </row>
        <row r="2942">
          <cell r="A2942" t="str">
            <v>Cà Chua Thường Trung 17/11/2024</v>
          </cell>
          <cell r="B2942">
            <v>12000</v>
          </cell>
        </row>
        <row r="2943">
          <cell r="A2943" t="str">
            <v>Bí Đao Xanh 17/11/2024</v>
          </cell>
          <cell r="B2943">
            <v>10000</v>
          </cell>
        </row>
        <row r="2944">
          <cell r="A2944" t="str">
            <v>Bí Non Nhật 17/11/2024</v>
          </cell>
          <cell r="B2944">
            <v>10000</v>
          </cell>
        </row>
        <row r="2945">
          <cell r="A2945" t="str">
            <v>Bí Non Nhật 17/11/2024</v>
          </cell>
          <cell r="B2945">
            <v>8000</v>
          </cell>
        </row>
        <row r="2946">
          <cell r="A2946" t="str">
            <v>Xà Lách Lolo Xanh T.C 17/11/2024</v>
          </cell>
          <cell r="B2946">
            <v>26000</v>
          </cell>
        </row>
        <row r="2947">
          <cell r="A2947" t="str">
            <v>Xà Lách Mỡ T.C 17/11/2024</v>
          </cell>
          <cell r="B2947">
            <v>26000</v>
          </cell>
        </row>
        <row r="2948">
          <cell r="A2948" t="str">
            <v>Xà Lách Thủy Tinh T.C Cây 17/11/2024</v>
          </cell>
          <cell r="B2948">
            <v>8000</v>
          </cell>
        </row>
        <row r="2949">
          <cell r="A2949" t="str">
            <v>Bắp Cải Trắng 17/11/2024</v>
          </cell>
          <cell r="B2949">
            <v>11000</v>
          </cell>
        </row>
        <row r="2950">
          <cell r="A2950" t="str">
            <v>Dưa Leo Baby 17/11/2024</v>
          </cell>
          <cell r="B2950">
            <v>4000</v>
          </cell>
        </row>
        <row r="2951">
          <cell r="A2951" t="str">
            <v>Lá Mè 17/11/2024</v>
          </cell>
          <cell r="B2951">
            <v>40000</v>
          </cell>
        </row>
        <row r="2952">
          <cell r="A2952" t="str">
            <v>Bông Cải Xanh Baby 17/11/2024</v>
          </cell>
          <cell r="B2952">
            <v>57000</v>
          </cell>
        </row>
        <row r="2953">
          <cell r="A2953" t="str">
            <v>Cà Chua Beef Trung 17/11/2024</v>
          </cell>
          <cell r="B2953">
            <v>20000</v>
          </cell>
        </row>
        <row r="2954">
          <cell r="A2954" t="str">
            <v>Củ Cải Đỏ 17/11/2024</v>
          </cell>
          <cell r="B2954">
            <v>14000</v>
          </cell>
        </row>
        <row r="2955">
          <cell r="A2955" t="str">
            <v>Xà Lách Lolo Xanh 17/11/2024</v>
          </cell>
          <cell r="B2955">
            <v>33000</v>
          </cell>
        </row>
        <row r="2956">
          <cell r="A2956" t="str">
            <v>Xà Lách Lolo Xanh 17/11/2024</v>
          </cell>
          <cell r="B2956">
            <v>30000</v>
          </cell>
        </row>
        <row r="2957">
          <cell r="A2957" t="str">
            <v>Xà Lách Romaine 17/11/2024</v>
          </cell>
          <cell r="B2957">
            <v>30000</v>
          </cell>
        </row>
        <row r="2958">
          <cell r="A2958" t="str">
            <v>Cà Chua Beef Trung 17/11/2024</v>
          </cell>
          <cell r="B2958">
            <v>21000</v>
          </cell>
        </row>
        <row r="2959">
          <cell r="A2959" t="str">
            <v>Ớt Sweet Palemo 17/11/2024</v>
          </cell>
          <cell r="B2959">
            <v>23000</v>
          </cell>
        </row>
        <row r="2960">
          <cell r="A2960" t="str">
            <v>Cà Rốt Baby 17/11/2024</v>
          </cell>
          <cell r="B2960">
            <v>52000</v>
          </cell>
        </row>
        <row r="2961">
          <cell r="A2961" t="str">
            <v>Cải Cầu Vồng 17/11/2024</v>
          </cell>
          <cell r="B2961">
            <v>18000</v>
          </cell>
        </row>
        <row r="2962">
          <cell r="A2962" t="str">
            <v>Cải Kale 17/11/2024</v>
          </cell>
          <cell r="B2962">
            <v>35000</v>
          </cell>
        </row>
        <row r="2963">
          <cell r="A2963" t="str">
            <v>Xà Lách Lolo Xanh T.C Cây 17/11/2024</v>
          </cell>
          <cell r="B2963">
            <v>6800</v>
          </cell>
        </row>
        <row r="2964">
          <cell r="A2964" t="str">
            <v>Xà Lách Mỡ T.C Cây 17/11/2024</v>
          </cell>
          <cell r="B2964">
            <v>6800</v>
          </cell>
        </row>
        <row r="2965">
          <cell r="A2965" t="str">
            <v>Xà Lách Mỡ T.C 17/11/2024</v>
          </cell>
          <cell r="B2965">
            <v>28000</v>
          </cell>
        </row>
        <row r="2966">
          <cell r="A2966" t="str">
            <v>Xà Lách Thủy Tinh T.C Cây 17/11/2024</v>
          </cell>
          <cell r="B2966">
            <v>6800</v>
          </cell>
        </row>
        <row r="2967">
          <cell r="A2967" t="str">
            <v>Xà Lách Thủy Tinh T.C 17/11/2024</v>
          </cell>
          <cell r="B2967">
            <v>30000</v>
          </cell>
        </row>
        <row r="2968">
          <cell r="A2968" t="str">
            <v>Cà Chua Bi Mix 17/11/2024</v>
          </cell>
          <cell r="B2968">
            <v>55000</v>
          </cell>
        </row>
        <row r="2969">
          <cell r="A2969" t="str">
            <v>Cà Chua Bi Mix 17/11/2024</v>
          </cell>
          <cell r="B2969">
            <v>56500</v>
          </cell>
        </row>
        <row r="2970">
          <cell r="A2970" t="str">
            <v>Cà Chua Socola 17/11/2024</v>
          </cell>
          <cell r="B2970">
            <v>43500</v>
          </cell>
        </row>
        <row r="2971">
          <cell r="A2971" t="str">
            <v>Cải Kale 17/11/2024</v>
          </cell>
          <cell r="B2971">
            <v>32000</v>
          </cell>
        </row>
        <row r="2972">
          <cell r="A2972" t="str">
            <v>Cải Kale 17/11/2024</v>
          </cell>
          <cell r="B2972">
            <v>33500</v>
          </cell>
        </row>
        <row r="2973">
          <cell r="A2973" t="str">
            <v>Chanh Không Hạt 17/11/2024</v>
          </cell>
          <cell r="B2973">
            <v>26000</v>
          </cell>
        </row>
        <row r="2974">
          <cell r="A2974" t="str">
            <v>Cải Bó Xôi 17/11/2024</v>
          </cell>
          <cell r="B2974">
            <v>36000</v>
          </cell>
        </row>
        <row r="2975">
          <cell r="A2975" t="str">
            <v>Cà Chua Beef 17/11/2024</v>
          </cell>
          <cell r="B2975">
            <v>22000</v>
          </cell>
        </row>
        <row r="2976">
          <cell r="A2976" t="str">
            <v>Cà Chua Beef 17/11/2024</v>
          </cell>
          <cell r="B2976">
            <v>17600</v>
          </cell>
        </row>
        <row r="2977">
          <cell r="A2977" t="str">
            <v>Cà Chua Beef Trung 17/11/2024</v>
          </cell>
          <cell r="B2977">
            <v>21000</v>
          </cell>
        </row>
        <row r="2978">
          <cell r="A2978" t="str">
            <v>CT-XÀ LÁCH LOLO XANH 17/11/2024</v>
          </cell>
          <cell r="B2978">
            <v>65000</v>
          </cell>
        </row>
        <row r="2979">
          <cell r="A2979" t="str">
            <v>CT-DUA LEO BB 17/11/2024</v>
          </cell>
          <cell r="B2979">
            <v>30000</v>
          </cell>
        </row>
        <row r="2980">
          <cell r="A2980" t="str">
            <v>CT-CÀ CHUA BI ĐỎ 17/11/2024</v>
          </cell>
          <cell r="B2980">
            <v>65000</v>
          </cell>
        </row>
        <row r="2981">
          <cell r="A2981" t="str">
            <v>Hạt Dẻ Ngố 17/11/2024</v>
          </cell>
          <cell r="B2981">
            <v>26400</v>
          </cell>
        </row>
        <row r="2982">
          <cell r="A2982" t="str">
            <v>Đậu Cove Trắng 17/11/2024</v>
          </cell>
          <cell r="B2982">
            <v>9000</v>
          </cell>
        </row>
        <row r="2983">
          <cell r="A2983" t="str">
            <v>Cải Thảo Kim Chi 17/11/2024</v>
          </cell>
          <cell r="B2983">
            <v>5500</v>
          </cell>
        </row>
        <row r="2984">
          <cell r="A2984" t="str">
            <v>Cà Chua Thường 17/11/2024</v>
          </cell>
          <cell r="B2984">
            <v>14500</v>
          </cell>
        </row>
        <row r="2985">
          <cell r="A2985" t="str">
            <v>Cà Chua Beef 17/11/2024</v>
          </cell>
          <cell r="B2985">
            <v>23000</v>
          </cell>
        </row>
        <row r="2986">
          <cell r="A2986" t="str">
            <v>Cà Chua Beef 17/11/2024</v>
          </cell>
          <cell r="B2986">
            <v>23000</v>
          </cell>
        </row>
        <row r="2987">
          <cell r="A2987" t="str">
            <v>Cải Thảo Hỏa Tiễn 17/11/2024</v>
          </cell>
          <cell r="B2987">
            <v>16000</v>
          </cell>
        </row>
        <row r="2988">
          <cell r="A2988" t="str">
            <v>Củ Dền 17/11/2024</v>
          </cell>
          <cell r="B2988">
            <v>18000</v>
          </cell>
        </row>
        <row r="2989">
          <cell r="A2989" t="str">
            <v>Ớt Chuông Đỏ 17/11/2024</v>
          </cell>
          <cell r="B2989">
            <v>33000</v>
          </cell>
        </row>
        <row r="2990">
          <cell r="A2990" t="str">
            <v>Ớt Chuông Vàng 17/11/2024</v>
          </cell>
          <cell r="B2990">
            <v>16000</v>
          </cell>
        </row>
        <row r="2991">
          <cell r="A2991" t="str">
            <v>Ớt Chuông Xanh 17/11/2024</v>
          </cell>
          <cell r="B2991">
            <v>26000</v>
          </cell>
        </row>
        <row r="2992">
          <cell r="A2992" t="str">
            <v>Bông Cải Xanh Cọng 17/11/2024</v>
          </cell>
          <cell r="B2992">
            <v>30000</v>
          </cell>
        </row>
        <row r="2993">
          <cell r="A2993" t="str">
            <v>Bắp Cải Tím 17/11/2024</v>
          </cell>
          <cell r="B2993">
            <v>30000</v>
          </cell>
        </row>
        <row r="2994">
          <cell r="A2994" t="str">
            <v>Cần Tây 17/11/2024</v>
          </cell>
          <cell r="B2994">
            <v>12000</v>
          </cell>
        </row>
        <row r="2995">
          <cell r="A2995" t="str">
            <v>Bí Ngòi Xanh 17/11/2024</v>
          </cell>
          <cell r="B2995">
            <v>10000</v>
          </cell>
        </row>
        <row r="2996">
          <cell r="A2996" t="str">
            <v>Cần Tây 17/11/2024</v>
          </cell>
          <cell r="B2996">
            <v>12000</v>
          </cell>
        </row>
        <row r="2997">
          <cell r="A2997" t="str">
            <v>Bơ Booth 17/11/2024</v>
          </cell>
          <cell r="B2997">
            <v>25000</v>
          </cell>
        </row>
        <row r="2998">
          <cell r="A2998" t="str">
            <v>Chuối Laba 17/11/2024</v>
          </cell>
          <cell r="B2998">
            <v>13000</v>
          </cell>
        </row>
        <row r="2999">
          <cell r="A2999" t="str">
            <v>Cà Tím 17/11/2024</v>
          </cell>
          <cell r="B2999">
            <v>9500</v>
          </cell>
        </row>
        <row r="3000">
          <cell r="A3000" t="str">
            <v>Bí Đao Xanh 17/11/2024</v>
          </cell>
          <cell r="B3000">
            <v>7500</v>
          </cell>
        </row>
        <row r="3001">
          <cell r="A3001" t="str">
            <v>Cà Rốt Trung 17/11/2024</v>
          </cell>
          <cell r="B3001">
            <v>12000</v>
          </cell>
        </row>
        <row r="3002">
          <cell r="A3002" t="str">
            <v>Đậu Cove Nhật 17/11/2024</v>
          </cell>
          <cell r="B3002">
            <v>6000</v>
          </cell>
        </row>
        <row r="3003">
          <cell r="A3003" t="str">
            <v>Trái Su Su 17/11/2024</v>
          </cell>
          <cell r="B3003">
            <v>7500</v>
          </cell>
        </row>
        <row r="3004">
          <cell r="A3004" t="str">
            <v>Củ Su Hào 17/11/2024</v>
          </cell>
          <cell r="B3004">
            <v>18000</v>
          </cell>
        </row>
        <row r="3005">
          <cell r="A3005" t="str">
            <v>Hành Paro 17/11/2024</v>
          </cell>
          <cell r="B3005">
            <v>38000</v>
          </cell>
        </row>
        <row r="3006">
          <cell r="A3006" t="str">
            <v>Củ Cải Trắng 17/11/2024</v>
          </cell>
          <cell r="B3006">
            <v>7000</v>
          </cell>
        </row>
        <row r="3007">
          <cell r="A3007" t="str">
            <v>Lá Mè 17/11/2024</v>
          </cell>
          <cell r="B3007">
            <v>36000</v>
          </cell>
        </row>
        <row r="3008">
          <cell r="A3008" t="str">
            <v>Chanh Dây Tím 17/11/2024</v>
          </cell>
          <cell r="B3008">
            <v>25000</v>
          </cell>
        </row>
        <row r="3009">
          <cell r="A3009" t="str">
            <v>Cà Tím 17/11/2024</v>
          </cell>
          <cell r="B3009">
            <v>9000</v>
          </cell>
        </row>
        <row r="3010">
          <cell r="A3010" t="str">
            <v>Củ Khoai Tây Vàng 17/11/2024</v>
          </cell>
          <cell r="B3010">
            <v>15000</v>
          </cell>
        </row>
        <row r="3011">
          <cell r="A3011" t="str">
            <v>Củ Khoai Tây Bi Vàng 17/11/2024</v>
          </cell>
          <cell r="B3011">
            <v>12000</v>
          </cell>
        </row>
        <row r="3012">
          <cell r="A3012" t="str">
            <v>Trái Su Su 17/11/2024</v>
          </cell>
          <cell r="B3012">
            <v>8000</v>
          </cell>
        </row>
        <row r="3013">
          <cell r="A3013" t="str">
            <v>Chuối Laba 17/11/2024</v>
          </cell>
          <cell r="B3013">
            <v>13000</v>
          </cell>
        </row>
        <row r="3014">
          <cell r="A3014" t="str">
            <v>Củ Khoai Lang Nhật 17/11/2024</v>
          </cell>
          <cell r="B3014">
            <v>18000</v>
          </cell>
        </row>
        <row r="3015">
          <cell r="A3015" t="str">
            <v>Trái Su Su 17/11/2024</v>
          </cell>
          <cell r="B3015">
            <v>7000</v>
          </cell>
        </row>
        <row r="3016">
          <cell r="A3016" t="str">
            <v>Bắp Cải Trắng 17/11/2024</v>
          </cell>
          <cell r="B3016">
            <v>11000</v>
          </cell>
        </row>
        <row r="3017">
          <cell r="A3017" t="str">
            <v>Bông Cải Trắng 17/11/2024</v>
          </cell>
          <cell r="B3017">
            <v>27000</v>
          </cell>
        </row>
        <row r="3018">
          <cell r="A3018" t="str">
            <v>Cà Chua Beef 17/11/2024</v>
          </cell>
          <cell r="B3018">
            <v>24500</v>
          </cell>
        </row>
        <row r="3019">
          <cell r="A3019" t="str">
            <v>Phí dịch vụ cung ứng lao động tháng 11/2024 18/11/2024</v>
          </cell>
          <cell r="B3019">
            <v>0</v>
          </cell>
        </row>
        <row r="3020">
          <cell r="A3020" t="str">
            <v>DO 0.05S-II 18/11/2024</v>
          </cell>
          <cell r="B3020">
            <v>17218.18</v>
          </cell>
        </row>
        <row r="3021">
          <cell r="A3021" t="str">
            <v>Dầu Do 0.001 S-V 18/11/2024</v>
          </cell>
          <cell r="B3021">
            <v>17445.45</v>
          </cell>
        </row>
        <row r="3022">
          <cell r="A3022" t="str">
            <v>DO 0.05S-II 18/11/2024</v>
          </cell>
          <cell r="B3022">
            <v>17218.18</v>
          </cell>
        </row>
        <row r="3023">
          <cell r="A3023" t="str">
            <v>Cước đường bộ xe 49C37197T đi qua trạm Xa Lộ - Hà Nội thời gian GD 01:21:39 ngày 18/11/2024 mã GD 1501759445 18/11/2024</v>
          </cell>
          <cell r="B3023">
            <v>50000</v>
          </cell>
        </row>
        <row r="3024">
          <cell r="A3024" t="str">
            <v>Cước đường bộ xe 49C37197T đi qua trạm Liên Đầm thời gian GD 20:05:35 ngày 18/11/2024 mã GD 1503018136 18/11/2024</v>
          </cell>
          <cell r="B3024">
            <v>78704</v>
          </cell>
        </row>
        <row r="3025">
          <cell r="A3025" t="str">
            <v>Dầu DO 0,05 S 18/11/2024</v>
          </cell>
          <cell r="B3025">
            <v>16881.82</v>
          </cell>
        </row>
        <row r="3026">
          <cell r="A3026" t="str">
            <v>Cước đường bộ xe 49C37197T đi qua trạm Cầu Phú Mỹ thời gian GD 06:31:02 ngày 18/11/2024 mã GD 1501914797 18/11/2024</v>
          </cell>
          <cell r="B3026">
            <v>22222</v>
          </cell>
        </row>
        <row r="3027">
          <cell r="A3027" t="str">
            <v>Dầu DO 0,05S-II 18/11/2024</v>
          </cell>
          <cell r="B3027">
            <v>17218.18</v>
          </cell>
        </row>
        <row r="3028">
          <cell r="A3028" t="str">
            <v>Cước đường bộ xe 49C37197T đi qua đoạn Long Phước - NH51 thời gian GD 06:58:55 ngày 18/11/2024 mã GD 1501934094 18/11/2024</v>
          </cell>
          <cell r="B3028">
            <v>76806</v>
          </cell>
        </row>
        <row r="3029">
          <cell r="A3029" t="str">
            <v>Cước đường bộ xe 49C37197T đi qua trạm Liên Đầm thời gian GD 12:04:17 ngày 18/11/2024 mã GD 1502371671 18/11/2024</v>
          </cell>
          <cell r="B3029">
            <v>78704</v>
          </cell>
        </row>
        <row r="3030">
          <cell r="A3030" t="str">
            <v>Dầu Do 0.001 S-V 18/11/2024</v>
          </cell>
          <cell r="B3030">
            <v>17445.45</v>
          </cell>
        </row>
        <row r="3031">
          <cell r="A3031" t="str">
            <v>Dưa Leo Baby 18/11/2024</v>
          </cell>
          <cell r="B3031">
            <v>6000</v>
          </cell>
        </row>
        <row r="3032">
          <cell r="A3032" t="str">
            <v>Dưa Leo Baby 18/11/2024</v>
          </cell>
          <cell r="B3032">
            <v>4000</v>
          </cell>
        </row>
        <row r="3033">
          <cell r="A3033" t="str">
            <v>Cà Chua Thường Trung 18/11/2024</v>
          </cell>
          <cell r="B3033">
            <v>11000</v>
          </cell>
        </row>
        <row r="3034">
          <cell r="A3034" t="str">
            <v>Bắp Cải Trái Tim 18/11/2024</v>
          </cell>
          <cell r="B3034">
            <v>12000</v>
          </cell>
        </row>
        <row r="3035">
          <cell r="A3035" t="str">
            <v>Cà Chua Socola 18/11/2024</v>
          </cell>
          <cell r="B3035">
            <v>11000</v>
          </cell>
        </row>
        <row r="3036">
          <cell r="A3036" t="str">
            <v>Cà Chua Socola 18/11/2024</v>
          </cell>
          <cell r="B3036">
            <v>12000</v>
          </cell>
        </row>
        <row r="3037">
          <cell r="A3037" t="str">
            <v>Đậu Hà Lan Trái 18/11/2024</v>
          </cell>
          <cell r="B3037">
            <v>80000</v>
          </cell>
        </row>
        <row r="3038">
          <cell r="A3038" t="str">
            <v>Rau Bầu Đất 18/11/2024</v>
          </cell>
          <cell r="B3038">
            <v>30000</v>
          </cell>
        </row>
        <row r="3039">
          <cell r="A3039" t="str">
            <v>Trái Đậu Bắp 18/11/2024</v>
          </cell>
          <cell r="B3039">
            <v>20000</v>
          </cell>
        </row>
        <row r="3040">
          <cell r="A3040" t="str">
            <v>Xà Lách Carol 18/11/2024</v>
          </cell>
          <cell r="B3040">
            <v>32000</v>
          </cell>
        </row>
        <row r="3041">
          <cell r="A3041" t="str">
            <v>Xà Lách Lolo Xanh 18/11/2024</v>
          </cell>
          <cell r="B3041">
            <v>28000</v>
          </cell>
        </row>
        <row r="3042">
          <cell r="A3042" t="str">
            <v>Xà Lách Rocket 18/11/2024</v>
          </cell>
          <cell r="B3042">
            <v>120000</v>
          </cell>
        </row>
        <row r="3043">
          <cell r="A3043" t="str">
            <v>Bí Ngòi Xanh 18/11/2024</v>
          </cell>
          <cell r="B3043">
            <v>11000</v>
          </cell>
        </row>
        <row r="3044">
          <cell r="A3044" t="str">
            <v>CT-MÍT 18/11/2024</v>
          </cell>
          <cell r="B3044">
            <v>15000</v>
          </cell>
        </row>
        <row r="3045">
          <cell r="A3045" t="str">
            <v>Bông Cải Trắng 18/11/2024</v>
          </cell>
          <cell r="B3045">
            <v>27000</v>
          </cell>
        </row>
        <row r="3046">
          <cell r="A3046" t="str">
            <v>Bông Cải Trắng 18/11/2024</v>
          </cell>
          <cell r="B3046">
            <v>32000</v>
          </cell>
        </row>
        <row r="3047">
          <cell r="A3047" t="str">
            <v>Bông Cải Trắng Cây 18/11/2024</v>
          </cell>
          <cell r="B3047">
            <v>30000</v>
          </cell>
        </row>
        <row r="3048">
          <cell r="A3048" t="str">
            <v>Dưa Leo Baby 18/11/2024</v>
          </cell>
          <cell r="B3048">
            <v>4000</v>
          </cell>
        </row>
        <row r="3049">
          <cell r="A3049" t="str">
            <v>Bông Cải Xanh 7Cm 18/11/2024</v>
          </cell>
          <cell r="B3049">
            <v>39000</v>
          </cell>
        </row>
        <row r="3050">
          <cell r="A3050" t="str">
            <v>Trái Mâm Xôi 18/11/2024</v>
          </cell>
          <cell r="B3050">
            <v>35000</v>
          </cell>
        </row>
        <row r="3051">
          <cell r="A3051" t="str">
            <v>Bông Cải Xanh 10Cm 18/11/2024</v>
          </cell>
          <cell r="B3051">
            <v>33000</v>
          </cell>
        </row>
        <row r="3052">
          <cell r="A3052" t="str">
            <v>Bông Cải Xanh 10Cm 18/11/2024</v>
          </cell>
          <cell r="B3052">
            <v>33000</v>
          </cell>
        </row>
        <row r="3053">
          <cell r="A3053" t="str">
            <v>Bông Cải Xanh 7Cm 18/11/2024</v>
          </cell>
          <cell r="B3053">
            <v>39000</v>
          </cell>
        </row>
        <row r="3054">
          <cell r="A3054" t="str">
            <v>Bông Cải Xanh 7Cm 18/11/2024</v>
          </cell>
          <cell r="B3054">
            <v>40000</v>
          </cell>
        </row>
        <row r="3055">
          <cell r="A3055" t="str">
            <v>Hành Paro 18/11/2024</v>
          </cell>
          <cell r="B3055">
            <v>36000</v>
          </cell>
        </row>
        <row r="3056">
          <cell r="A3056" t="str">
            <v>Cần Tây 18/11/2024</v>
          </cell>
          <cell r="B3056">
            <v>14000</v>
          </cell>
        </row>
        <row r="3057">
          <cell r="A3057" t="str">
            <v>Xà Lách Lolo Xanh 18/11/2024</v>
          </cell>
          <cell r="B3057">
            <v>26000</v>
          </cell>
        </row>
        <row r="3058">
          <cell r="A3058" t="str">
            <v>Bí Ngòi Xanh 18/11/2024</v>
          </cell>
          <cell r="B3058">
            <v>10000</v>
          </cell>
        </row>
        <row r="3059">
          <cell r="A3059" t="str">
            <v>Cải Bó Xôi 18/11/2024</v>
          </cell>
          <cell r="B3059">
            <v>28000</v>
          </cell>
        </row>
        <row r="3060">
          <cell r="A3060" t="str">
            <v>Cần Tây 18/11/2024</v>
          </cell>
          <cell r="B3060">
            <v>16000</v>
          </cell>
        </row>
        <row r="3061">
          <cell r="A3061" t="str">
            <v>Bắp Cải Tím 18/11/2024</v>
          </cell>
          <cell r="B3061">
            <v>30000</v>
          </cell>
        </row>
        <row r="3062">
          <cell r="A3062" t="str">
            <v>Ớt Sweet Palemo 18/11/2024</v>
          </cell>
          <cell r="B3062">
            <v>23000</v>
          </cell>
        </row>
        <row r="3063">
          <cell r="A3063" t="str">
            <v>Rau Ngò Rí 18/11/2024</v>
          </cell>
          <cell r="B3063">
            <v>35000</v>
          </cell>
        </row>
        <row r="3064">
          <cell r="A3064" t="str">
            <v>Túi đựng ngò rí 18/11/2024</v>
          </cell>
          <cell r="B3064">
            <v>65000</v>
          </cell>
        </row>
        <row r="3065">
          <cell r="A3065" t="str">
            <v>Bí Ngòi Xanh 18/11/2024</v>
          </cell>
          <cell r="B3065">
            <v>14000</v>
          </cell>
        </row>
        <row r="3066">
          <cell r="A3066" t="str">
            <v>Dưa Leo Baby 18/11/2024</v>
          </cell>
          <cell r="B3066">
            <v>6000</v>
          </cell>
        </row>
        <row r="3067">
          <cell r="A3067" t="str">
            <v>Cà Chua Beef 18/11/2024</v>
          </cell>
          <cell r="B3067">
            <v>22000</v>
          </cell>
        </row>
        <row r="3068">
          <cell r="A3068" t="str">
            <v>Cà Chua Socola 18/11/2024</v>
          </cell>
          <cell r="B3068">
            <v>8500</v>
          </cell>
        </row>
        <row r="3069">
          <cell r="A3069" t="str">
            <v>Xà Lách Lolo Xanh T.C 18/11/2024</v>
          </cell>
          <cell r="B3069">
            <v>28000</v>
          </cell>
        </row>
        <row r="3070">
          <cell r="A3070" t="str">
            <v>Cà Rốt 18/11/2024</v>
          </cell>
          <cell r="B3070">
            <v>14000</v>
          </cell>
        </row>
        <row r="3071">
          <cell r="A3071" t="str">
            <v>Lá Mè 18/11/2024</v>
          </cell>
          <cell r="B3071">
            <v>36000</v>
          </cell>
        </row>
        <row r="3072">
          <cell r="A3072" t="str">
            <v>Cải Kale 18/11/2024</v>
          </cell>
          <cell r="B3072">
            <v>27000</v>
          </cell>
        </row>
        <row r="3073">
          <cell r="A3073" t="str">
            <v>Củ Cải Trắng 18/11/2024</v>
          </cell>
          <cell r="B3073">
            <v>6500</v>
          </cell>
        </row>
        <row r="3074">
          <cell r="A3074" t="str">
            <v>Củ Khoai Lang Nhật 18/11/2024</v>
          </cell>
          <cell r="B3074">
            <v>18500</v>
          </cell>
        </row>
        <row r="3075">
          <cell r="A3075" t="str">
            <v>Xà Lách Thủy Tinh T.C Cây 18/11/2024</v>
          </cell>
          <cell r="B3075">
            <v>7500</v>
          </cell>
        </row>
        <row r="3076">
          <cell r="A3076" t="str">
            <v>Cà Rốt 18/11/2024</v>
          </cell>
          <cell r="B3076">
            <v>15000</v>
          </cell>
        </row>
        <row r="3077">
          <cell r="A3077" t="str">
            <v>Xà Lách Lolo Xanh T.C 18/11/2024</v>
          </cell>
          <cell r="B3077">
            <v>26000</v>
          </cell>
        </row>
        <row r="3078">
          <cell r="A3078" t="str">
            <v>Xà Lách Mỡ T.C 18/11/2024</v>
          </cell>
          <cell r="B3078">
            <v>26000</v>
          </cell>
        </row>
        <row r="3079">
          <cell r="A3079" t="str">
            <v>Xà Lách Thủy Tinh T.C Cây 18/11/2024</v>
          </cell>
          <cell r="B3079">
            <v>8000</v>
          </cell>
        </row>
        <row r="3080">
          <cell r="A3080" t="str">
            <v>Xà Lách Mỹ 18/11/2024</v>
          </cell>
          <cell r="B3080">
            <v>33000</v>
          </cell>
        </row>
        <row r="3081">
          <cell r="A3081" t="str">
            <v>Bơ Booth 18/11/2024</v>
          </cell>
          <cell r="B3081">
            <v>29000</v>
          </cell>
        </row>
        <row r="3082">
          <cell r="A3082" t="str">
            <v>Củ Gừng 18/11/2024</v>
          </cell>
          <cell r="B3082">
            <v>39000</v>
          </cell>
        </row>
        <row r="3083">
          <cell r="A3083" t="str">
            <v>Xà Lách Lolo Xanh T.C Cây 18/11/2024</v>
          </cell>
          <cell r="B3083">
            <v>6800</v>
          </cell>
        </row>
        <row r="3084">
          <cell r="A3084" t="str">
            <v>Xà Lách Mỡ T.C Cây 18/11/2024</v>
          </cell>
          <cell r="B3084">
            <v>6800</v>
          </cell>
        </row>
        <row r="3085">
          <cell r="A3085" t="str">
            <v>Xà Lách Mỡ T.C 18/11/2024</v>
          </cell>
          <cell r="B3085">
            <v>28000</v>
          </cell>
        </row>
        <row r="3086">
          <cell r="A3086" t="str">
            <v>Xà Lách Thủy Tinh T.C Cây 18/11/2024</v>
          </cell>
          <cell r="B3086">
            <v>6800</v>
          </cell>
        </row>
        <row r="3087">
          <cell r="A3087" t="str">
            <v>Xà Lách Thủy Tinh T.C 18/11/2024</v>
          </cell>
          <cell r="B3087">
            <v>30000</v>
          </cell>
        </row>
        <row r="3088">
          <cell r="A3088" t="str">
            <v>Hồng Giòn Đà Lạt 18/11/2024</v>
          </cell>
          <cell r="B3088">
            <v>28000</v>
          </cell>
        </row>
        <row r="3089">
          <cell r="A3089" t="str">
            <v>Măng Tây 18/11/2024</v>
          </cell>
          <cell r="B3089">
            <v>57000</v>
          </cell>
        </row>
        <row r="3090">
          <cell r="A3090" t="str">
            <v>Lá É 18/11/2024</v>
          </cell>
          <cell r="B3090">
            <v>27000</v>
          </cell>
        </row>
        <row r="3091">
          <cell r="A3091" t="str">
            <v>Củ Khoai Tây Vàng 18/11/2024</v>
          </cell>
          <cell r="B3091">
            <v>15000</v>
          </cell>
        </row>
        <row r="3092">
          <cell r="A3092" t="str">
            <v>Cà Chua Thường Trung 18/11/2024</v>
          </cell>
          <cell r="B3092">
            <v>13000</v>
          </cell>
        </row>
        <row r="3093">
          <cell r="A3093" t="str">
            <v>Xà Lách Mỡ T.C 18/11/2024</v>
          </cell>
          <cell r="B3093">
            <v>27000</v>
          </cell>
        </row>
        <row r="3094">
          <cell r="A3094" t="str">
            <v>Xà Lách Lolo Xanh T.C 18/11/2024</v>
          </cell>
          <cell r="B3094">
            <v>28000</v>
          </cell>
        </row>
        <row r="3095">
          <cell r="A3095" t="str">
            <v>Lá Nha Đam 18/11/2024</v>
          </cell>
          <cell r="B3095">
            <v>14000</v>
          </cell>
        </row>
        <row r="3096">
          <cell r="A3096" t="str">
            <v>Củ Khoai Mỡ 18/11/2024</v>
          </cell>
          <cell r="B3096">
            <v>30000</v>
          </cell>
        </row>
        <row r="3097">
          <cell r="A3097" t="str">
            <v>Bí Đỏ Hồ Lô 18/11/2024</v>
          </cell>
          <cell r="B3097">
            <v>13000</v>
          </cell>
        </row>
        <row r="3098">
          <cell r="A3098" t="str">
            <v>Chuối Laba 18/11/2024</v>
          </cell>
          <cell r="B3098">
            <v>13000</v>
          </cell>
        </row>
        <row r="3099">
          <cell r="A3099" t="str">
            <v>Gia Công Rau Củ Quả 18/11/2024</v>
          </cell>
          <cell r="B3099">
            <v>1700</v>
          </cell>
        </row>
        <row r="3100">
          <cell r="A3100" t="str">
            <v>Gia Công Rau Củ Quả 18/11/2024</v>
          </cell>
          <cell r="B3100">
            <v>1700</v>
          </cell>
        </row>
        <row r="3101">
          <cell r="A3101" t="str">
            <v>Cà Rốt 18/11/2024</v>
          </cell>
          <cell r="B3101">
            <v>15000</v>
          </cell>
        </row>
        <row r="3102">
          <cell r="A3102" t="str">
            <v>Đậu Cove Nhật 18/11/2024</v>
          </cell>
          <cell r="B3102">
            <v>6000</v>
          </cell>
        </row>
        <row r="3103">
          <cell r="A3103" t="str">
            <v>Cà Chua Thường 18/11/2024</v>
          </cell>
          <cell r="B3103">
            <v>16000</v>
          </cell>
        </row>
        <row r="3104">
          <cell r="A3104" t="str">
            <v>Dưa Leo Thường 18/11/2024</v>
          </cell>
          <cell r="B3104">
            <v>3000</v>
          </cell>
        </row>
        <row r="3105">
          <cell r="A3105" t="str">
            <v>Trái Khổ Qua 18/11/2024</v>
          </cell>
          <cell r="B3105">
            <v>15000</v>
          </cell>
        </row>
        <row r="3106">
          <cell r="A3106" t="str">
            <v>Ớt Chuông Đỏ 18/11/2024</v>
          </cell>
          <cell r="B3106">
            <v>37000</v>
          </cell>
        </row>
        <row r="3107">
          <cell r="A3107" t="str">
            <v>Ớt Chuông Vàng 18/11/2024</v>
          </cell>
          <cell r="B3107">
            <v>18000</v>
          </cell>
        </row>
        <row r="3108">
          <cell r="A3108" t="str">
            <v>Ớt Chuông Xanh 18/11/2024</v>
          </cell>
          <cell r="B3108">
            <v>27000</v>
          </cell>
        </row>
        <row r="3109">
          <cell r="A3109" t="str">
            <v>Ớt Chuông Snack 18/11/2024</v>
          </cell>
          <cell r="B3109">
            <v>49000</v>
          </cell>
        </row>
        <row r="3110">
          <cell r="A3110" t="str">
            <v>Ớt Sweet Palemo 18/11/2024</v>
          </cell>
          <cell r="B3110">
            <v>60000</v>
          </cell>
        </row>
        <row r="3111">
          <cell r="A3111" t="str">
            <v>Ớt Sweet Palemo 18/11/2024</v>
          </cell>
          <cell r="B3111">
            <v>55000</v>
          </cell>
        </row>
        <row r="3112">
          <cell r="A3112" t="str">
            <v>Bí Đao Xanh 18/11/2024</v>
          </cell>
          <cell r="B3112">
            <v>10000</v>
          </cell>
        </row>
        <row r="3113">
          <cell r="A3113" t="str">
            <v>Bí Non Nhật 18/11/2024</v>
          </cell>
          <cell r="B3113">
            <v>10000</v>
          </cell>
        </row>
        <row r="3114">
          <cell r="A3114" t="str">
            <v>Cà Chua Bi Đỏ 18/11/2024</v>
          </cell>
          <cell r="B3114">
            <v>17500</v>
          </cell>
        </row>
        <row r="3115">
          <cell r="A3115" t="str">
            <v>Cà Chua Bi Đỏ 18/11/2024</v>
          </cell>
          <cell r="B3115">
            <v>10500</v>
          </cell>
        </row>
        <row r="3116">
          <cell r="A3116" t="str">
            <v>Đậu Cove Trắng 18/11/2024</v>
          </cell>
          <cell r="B3116">
            <v>9000</v>
          </cell>
        </row>
        <row r="3117">
          <cell r="A3117" t="str">
            <v>Đậu Cove Trắng 18/11/2024</v>
          </cell>
          <cell r="B3117">
            <v>6500</v>
          </cell>
        </row>
        <row r="3118">
          <cell r="A3118" t="str">
            <v>Dưa Leo Nhật 18/11/2024</v>
          </cell>
          <cell r="B3118">
            <v>10000</v>
          </cell>
        </row>
        <row r="3119">
          <cell r="A3119" t="str">
            <v>Dưa Leo Thường 18/11/2024</v>
          </cell>
          <cell r="B3119">
            <v>6000</v>
          </cell>
        </row>
        <row r="3120">
          <cell r="A3120" t="str">
            <v>Đậu Đỏ 18/11/2024</v>
          </cell>
          <cell r="B3120">
            <v>80000</v>
          </cell>
        </row>
        <row r="3121">
          <cell r="A3121" t="str">
            <v>Đậu Ngự 18/11/2024</v>
          </cell>
          <cell r="B3121">
            <v>70000</v>
          </cell>
        </row>
        <row r="3122">
          <cell r="A3122" t="str">
            <v>Đậu Trắng 18/11/2024</v>
          </cell>
          <cell r="B3122">
            <v>70000</v>
          </cell>
        </row>
        <row r="3123">
          <cell r="A3123" t="str">
            <v>Củ Dền 18/11/2024</v>
          </cell>
          <cell r="B3123">
            <v>18000</v>
          </cell>
        </row>
        <row r="3124">
          <cell r="A3124" t="str">
            <v>Cà Chua Beef Trung 18/11/2024</v>
          </cell>
          <cell r="B3124">
            <v>17000</v>
          </cell>
        </row>
        <row r="3125">
          <cell r="A3125" t="str">
            <v>Bí Ngòi Xanh 18/11/2024</v>
          </cell>
          <cell r="B3125">
            <v>3500</v>
          </cell>
        </row>
        <row r="3126">
          <cell r="A3126" t="str">
            <v>Cà Chua Beef Trung 18/11/2024</v>
          </cell>
          <cell r="B3126">
            <v>20000</v>
          </cell>
        </row>
        <row r="3127">
          <cell r="A3127" t="str">
            <v>Ớt Sweet Palemo 18/11/2024</v>
          </cell>
          <cell r="B3127">
            <v>23000</v>
          </cell>
        </row>
        <row r="3128">
          <cell r="A3128" t="str">
            <v>Bông Cải Xanh Baby 18/11/2024</v>
          </cell>
          <cell r="B3128">
            <v>57000</v>
          </cell>
        </row>
        <row r="3129">
          <cell r="A3129" t="str">
            <v>Cà Chua Beef Trung 18/11/2024</v>
          </cell>
          <cell r="B3129">
            <v>19000</v>
          </cell>
        </row>
        <row r="3130">
          <cell r="A3130" t="str">
            <v>Củ Cải Đỏ 18/11/2024</v>
          </cell>
          <cell r="B3130">
            <v>14000</v>
          </cell>
        </row>
        <row r="3131">
          <cell r="A3131" t="str">
            <v>Lá Quế Tây 18/11/2024</v>
          </cell>
          <cell r="B3131">
            <v>100000</v>
          </cell>
        </row>
        <row r="3132">
          <cell r="A3132" t="str">
            <v>Trái Chanh Vàng 18/11/2024</v>
          </cell>
          <cell r="B3132">
            <v>60000</v>
          </cell>
        </row>
        <row r="3133">
          <cell r="A3133" t="str">
            <v>Xà Lách Lolo Xanh 18/11/2024</v>
          </cell>
          <cell r="B3133">
            <v>28000</v>
          </cell>
        </row>
        <row r="3134">
          <cell r="A3134" t="str">
            <v>Xà Lách Lolo Xanh 18/11/2024</v>
          </cell>
          <cell r="B3134">
            <v>31000</v>
          </cell>
        </row>
        <row r="3135">
          <cell r="A3135" t="str">
            <v>Cà Chua Socola 18/11/2024</v>
          </cell>
          <cell r="B3135">
            <v>14000</v>
          </cell>
        </row>
        <row r="3136">
          <cell r="A3136" t="str">
            <v>Cải Kale 18/11/2024</v>
          </cell>
          <cell r="B3136">
            <v>30000</v>
          </cell>
        </row>
        <row r="3137">
          <cell r="A3137" t="str">
            <v>Cải Kale 18/11/2024</v>
          </cell>
          <cell r="B3137">
            <v>33000</v>
          </cell>
        </row>
        <row r="3138">
          <cell r="A3138" t="str">
            <v>Cà Rốt Baby 18/11/2024</v>
          </cell>
          <cell r="B3138">
            <v>52000</v>
          </cell>
        </row>
        <row r="3139">
          <cell r="A3139" t="str">
            <v>Cải Cầu Vồng 18/11/2024</v>
          </cell>
          <cell r="B3139">
            <v>18000</v>
          </cell>
        </row>
        <row r="3140">
          <cell r="A3140" t="str">
            <v>Lá Mè 18/11/2024</v>
          </cell>
          <cell r="B3140">
            <v>40000</v>
          </cell>
        </row>
        <row r="3141">
          <cell r="A3141" t="str">
            <v>Cà Chua Socola 18/11/2024</v>
          </cell>
          <cell r="B3141">
            <v>43500</v>
          </cell>
        </row>
        <row r="3142">
          <cell r="A3142" t="str">
            <v>Cà Chua Socola 18/11/2024</v>
          </cell>
          <cell r="B3142">
            <v>54500</v>
          </cell>
        </row>
        <row r="3143">
          <cell r="A3143" t="str">
            <v>Chanh Không Hạt 18/11/2024</v>
          </cell>
          <cell r="B3143">
            <v>26000</v>
          </cell>
        </row>
        <row r="3144">
          <cell r="A3144" t="str">
            <v>Cải Kale 18/11/2024</v>
          </cell>
          <cell r="B3144">
            <v>31500</v>
          </cell>
        </row>
        <row r="3145">
          <cell r="A3145" t="str">
            <v>Cải Bó Xôi 18/11/2024</v>
          </cell>
          <cell r="B3145">
            <v>32000</v>
          </cell>
        </row>
        <row r="3146">
          <cell r="A3146" t="str">
            <v>Cải Bó Xôi 18/11/2024</v>
          </cell>
          <cell r="B3146">
            <v>35000</v>
          </cell>
        </row>
        <row r="3147">
          <cell r="A3147" t="str">
            <v>Cà Chua Beef 18/11/2024</v>
          </cell>
          <cell r="B3147">
            <v>17600</v>
          </cell>
        </row>
        <row r="3148">
          <cell r="A3148" t="str">
            <v>Cà Chua Beef Trung 18/11/2024</v>
          </cell>
          <cell r="B3148">
            <v>21000</v>
          </cell>
        </row>
        <row r="3149">
          <cell r="A3149" t="str">
            <v>Cà Chua Beef Trung 18/11/2024</v>
          </cell>
          <cell r="B3149">
            <v>19000</v>
          </cell>
        </row>
        <row r="3150">
          <cell r="A3150" t="str">
            <v>Ớt Chuông Đỏ 18/11/2024</v>
          </cell>
          <cell r="B3150">
            <v>33000</v>
          </cell>
        </row>
        <row r="3151">
          <cell r="A3151" t="str">
            <v>Ớt Chuông Vàng 18/11/2024</v>
          </cell>
          <cell r="B3151">
            <v>16000</v>
          </cell>
        </row>
        <row r="3152">
          <cell r="A3152" t="str">
            <v>Hành Paro 18/11/2024</v>
          </cell>
          <cell r="B3152">
            <v>38000</v>
          </cell>
        </row>
        <row r="3153">
          <cell r="A3153" t="str">
            <v>Cần Tây 18/11/2024</v>
          </cell>
          <cell r="B3153">
            <v>14000</v>
          </cell>
        </row>
        <row r="3154">
          <cell r="A3154" t="str">
            <v>Bông Cải Xanh Cọng 18/11/2024</v>
          </cell>
          <cell r="B3154">
            <v>30000</v>
          </cell>
        </row>
        <row r="3155">
          <cell r="A3155" t="str">
            <v>Bông Cải Xanh Cọng 18/11/2024</v>
          </cell>
          <cell r="B3155">
            <v>30000</v>
          </cell>
        </row>
        <row r="3156">
          <cell r="A3156" t="str">
            <v>Bắp Cải Trái Tim 18/11/2024</v>
          </cell>
          <cell r="B3156">
            <v>17000</v>
          </cell>
        </row>
        <row r="3157">
          <cell r="A3157" t="str">
            <v>Bí Ngòi Xanh 18/11/2024</v>
          </cell>
          <cell r="B3157">
            <v>10000</v>
          </cell>
        </row>
        <row r="3158">
          <cell r="A3158" t="str">
            <v>Bắp Cải Tím 18/11/2024</v>
          </cell>
          <cell r="B3158">
            <v>30000</v>
          </cell>
        </row>
        <row r="3159">
          <cell r="A3159" t="str">
            <v>Cần Tây 18/11/2024</v>
          </cell>
          <cell r="B3159">
            <v>14000</v>
          </cell>
        </row>
        <row r="3160">
          <cell r="A3160" t="str">
            <v>Củ Khoai Lang Nhật 18/11/2024</v>
          </cell>
          <cell r="B3160">
            <v>17000</v>
          </cell>
        </row>
        <row r="3161">
          <cell r="A3161" t="str">
            <v>Củ Cải Trắng 18/11/2024</v>
          </cell>
          <cell r="B3161">
            <v>6500</v>
          </cell>
        </row>
        <row r="3162">
          <cell r="A3162" t="str">
            <v>Bắp Cải Trắng 18/11/2024</v>
          </cell>
          <cell r="B3162">
            <v>13500</v>
          </cell>
        </row>
        <row r="3163">
          <cell r="A3163" t="str">
            <v>Chanh Dây Tím 18/11/2024</v>
          </cell>
          <cell r="B3163">
            <v>25000</v>
          </cell>
        </row>
        <row r="3164">
          <cell r="A3164" t="str">
            <v>Hồng Giòn Đà Lạt 18/11/2024</v>
          </cell>
          <cell r="B3164">
            <v>28000</v>
          </cell>
        </row>
        <row r="3165">
          <cell r="A3165" t="str">
            <v>Cà Chua Thường 18/11/2024</v>
          </cell>
          <cell r="B3165">
            <v>14000</v>
          </cell>
        </row>
        <row r="3166">
          <cell r="A3166" t="str">
            <v>Đậu Cove Trắng 18/11/2024</v>
          </cell>
          <cell r="B3166">
            <v>9000</v>
          </cell>
        </row>
        <row r="3167">
          <cell r="A3167" t="str">
            <v>Bí Đao Xanh 18/11/2024</v>
          </cell>
          <cell r="B3167">
            <v>10000</v>
          </cell>
        </row>
        <row r="3168">
          <cell r="A3168" t="str">
            <v>Bông Cải Trắng 18/11/2024</v>
          </cell>
          <cell r="B3168">
            <v>27000</v>
          </cell>
        </row>
        <row r="3169">
          <cell r="A3169" t="str">
            <v>Củ Dền 18/11/2024</v>
          </cell>
          <cell r="B3169">
            <v>18000</v>
          </cell>
        </row>
        <row r="3170">
          <cell r="A3170" t="str">
            <v>Củ Khoai Tây Vàng 18/11/2024</v>
          </cell>
          <cell r="B3170">
            <v>15000</v>
          </cell>
        </row>
        <row r="3171">
          <cell r="A3171" t="str">
            <v>Củ Su Hào 18/11/2024</v>
          </cell>
          <cell r="B3171">
            <v>18000</v>
          </cell>
        </row>
        <row r="3172">
          <cell r="A3172" t="str">
            <v>Trái Su Su 18/11/2024</v>
          </cell>
          <cell r="B3172">
            <v>11500</v>
          </cell>
        </row>
        <row r="3173">
          <cell r="A3173" t="str">
            <v>Củ Cải Trắng 18/11/2024</v>
          </cell>
          <cell r="B3173">
            <v>7000</v>
          </cell>
        </row>
        <row r="3174">
          <cell r="A3174" t="str">
            <v>Cà Chua Thường 18/11/2024</v>
          </cell>
          <cell r="B3174">
            <v>15000</v>
          </cell>
        </row>
        <row r="3175">
          <cell r="A3175" t="str">
            <v>Đậu Cove Nhật 18/11/2024</v>
          </cell>
          <cell r="B3175">
            <v>6000</v>
          </cell>
        </row>
        <row r="3176">
          <cell r="A3176" t="str">
            <v>Chuối Laba 18/11/2024</v>
          </cell>
          <cell r="B3176">
            <v>13000</v>
          </cell>
        </row>
        <row r="3177">
          <cell r="A3177" t="str">
            <v>Bơ Booth 18/11/2024</v>
          </cell>
          <cell r="B3177">
            <v>27000</v>
          </cell>
        </row>
        <row r="3178">
          <cell r="A3178" t="str">
            <v>Cải Thảo 18/11/2024</v>
          </cell>
          <cell r="B3178">
            <v>7694.66</v>
          </cell>
        </row>
        <row r="3179">
          <cell r="A3179" t="str">
            <v>Cải Thảo Kim Chi 18/11/2024</v>
          </cell>
          <cell r="B3179">
            <v>7694.66</v>
          </cell>
        </row>
        <row r="3180">
          <cell r="A3180" t="str">
            <v>DO 0.05S-II 19/11/2024</v>
          </cell>
          <cell r="B3180">
            <v>17218.18</v>
          </cell>
        </row>
        <row r="3181">
          <cell r="A3181" t="str">
            <v>Dầu Do 0.001 S-V 19/11/2024</v>
          </cell>
          <cell r="B3181">
            <v>17445.45</v>
          </cell>
        </row>
        <row r="3182">
          <cell r="A3182" t="str">
            <v>Cước đường bộ xe 49C37197T đi qua trạm Cầu Phú Mỹ thời gian GD 05:43:41 ngày 19/11/2024 mã GD 1503320492 19/11/2024</v>
          </cell>
          <cell r="B3182">
            <v>22222</v>
          </cell>
        </row>
        <row r="3183">
          <cell r="A3183" t="str">
            <v>Cước đường bộ xe 49C37197T đi qua trạm Xa Lộ - Hà Nội thời gian GD 01:11:27 ngày 19/11/2024 mã GD 1503202428 19/11/2024</v>
          </cell>
          <cell r="B3183">
            <v>50000</v>
          </cell>
        </row>
        <row r="3184">
          <cell r="A3184" t="str">
            <v>Cước đường bộ xe 49C37197T đi qua trạm Liên Đầm thời gian GD 20:57:22 ngày 19/11/2024 mã GD 1504547955 19/11/2024</v>
          </cell>
          <cell r="B3184">
            <v>78704</v>
          </cell>
        </row>
        <row r="3185">
          <cell r="A3185" t="str">
            <v>DO 0.05S-II 19/11/2024</v>
          </cell>
          <cell r="B3185">
            <v>17218.18</v>
          </cell>
        </row>
        <row r="3186">
          <cell r="A3186" t="str">
            <v>DO 0.05S-II 19/11/2024</v>
          </cell>
          <cell r="B3186">
            <v>17218.18</v>
          </cell>
        </row>
        <row r="3187">
          <cell r="A3187" t="str">
            <v>Cước đường bộ xe 49C37197T đi qua đoạn Long Phước - NH51 thời gian GD 06:15:16 ngày 19/11/2024 mã GD 1503335114 19/11/2024</v>
          </cell>
          <cell r="B3187">
            <v>76806</v>
          </cell>
        </row>
        <row r="3188">
          <cell r="A3188" t="str">
            <v>Cước đường bộ xe 49C37197T đi qua trạm Liên Đầm thời gian GD 11:19:47 ngày 19/11/2024 mã GD 1503770107 19/11/2024</v>
          </cell>
          <cell r="B3188">
            <v>78704</v>
          </cell>
        </row>
        <row r="3189">
          <cell r="A3189" t="str">
            <v>Dầu Do 0.001 S-V 19/11/2024</v>
          </cell>
          <cell r="B3189">
            <v>17445.45</v>
          </cell>
        </row>
        <row r="3190">
          <cell r="A3190" t="str">
            <v>Củ Hành Tây 19/11/2024</v>
          </cell>
          <cell r="B3190">
            <v>22000</v>
          </cell>
        </row>
        <row r="3191">
          <cell r="A3191" t="str">
            <v>Gia Công Rau Củ Quả 19/11/2024</v>
          </cell>
          <cell r="B3191">
            <v>1000</v>
          </cell>
        </row>
        <row r="3192">
          <cell r="A3192" t="str">
            <v>Gia Công Rau Củ Quả 19/11/2024</v>
          </cell>
          <cell r="B3192">
            <v>1000</v>
          </cell>
        </row>
        <row r="3193">
          <cell r="A3193" t="str">
            <v>Dưa Leo Baby 19/11/2024</v>
          </cell>
          <cell r="B3193">
            <v>6000</v>
          </cell>
        </row>
        <row r="3194">
          <cell r="A3194" t="str">
            <v>Dưa Leo Baby 19/11/2024</v>
          </cell>
          <cell r="B3194">
            <v>6000</v>
          </cell>
        </row>
        <row r="3195">
          <cell r="A3195" t="str">
            <v>Cà Chua Socola 19/11/2024</v>
          </cell>
          <cell r="B3195">
            <v>32000</v>
          </cell>
        </row>
        <row r="3196">
          <cell r="A3196" t="str">
            <v>Cà Chua Thường Trung 19/11/2024</v>
          </cell>
          <cell r="B3196">
            <v>11000</v>
          </cell>
        </row>
        <row r="3197">
          <cell r="A3197" t="str">
            <v>Củ Khoai Tây Vàng 19/11/2024</v>
          </cell>
          <cell r="B3197">
            <v>15000</v>
          </cell>
        </row>
        <row r="3198">
          <cell r="A3198" t="str">
            <v>Dưa Leo Baby 19/11/2024</v>
          </cell>
          <cell r="B3198">
            <v>4500</v>
          </cell>
        </row>
        <row r="3199">
          <cell r="A3199" t="str">
            <v>Xà Lách Mỡ T.C 19/11/2024</v>
          </cell>
          <cell r="B3199">
            <v>27000</v>
          </cell>
        </row>
        <row r="3200">
          <cell r="A3200" t="str">
            <v>Hành Paro 19/11/2024</v>
          </cell>
          <cell r="B3200">
            <v>36000</v>
          </cell>
        </row>
        <row r="3201">
          <cell r="A3201" t="str">
            <v>Bắp Cải Trái Tim 19/11/2024</v>
          </cell>
          <cell r="B3201">
            <v>17000</v>
          </cell>
        </row>
        <row r="3202">
          <cell r="A3202" t="str">
            <v>Củ Cải Trắng 19/11/2024</v>
          </cell>
          <cell r="B3202">
            <v>6000</v>
          </cell>
        </row>
        <row r="3203">
          <cell r="A3203" t="str">
            <v>Cà Tím 19/11/2024</v>
          </cell>
          <cell r="B3203">
            <v>5000</v>
          </cell>
        </row>
        <row r="3204">
          <cell r="A3204" t="str">
            <v>Bơ Booth 19/11/2024</v>
          </cell>
          <cell r="B3204">
            <v>33000</v>
          </cell>
        </row>
        <row r="3205">
          <cell r="A3205" t="str">
            <v>Xà Lách Lolo Xanh T.C 19/11/2024</v>
          </cell>
          <cell r="B3205">
            <v>26000</v>
          </cell>
        </row>
        <row r="3206">
          <cell r="A3206" t="str">
            <v>Xà Lách Mỡ T.C 19/11/2024</v>
          </cell>
          <cell r="B3206">
            <v>26000</v>
          </cell>
        </row>
        <row r="3207">
          <cell r="A3207" t="str">
            <v>Xà Lách Thủy Tinh T.C Cây 19/11/2024</v>
          </cell>
          <cell r="B3207">
            <v>8000</v>
          </cell>
        </row>
        <row r="3208">
          <cell r="A3208" t="str">
            <v>Ớt Chuông Xanh 19/11/2024</v>
          </cell>
          <cell r="B3208">
            <v>24000</v>
          </cell>
        </row>
        <row r="3209">
          <cell r="A3209" t="str">
            <v>Cà Chua Socola 19/11/2024</v>
          </cell>
          <cell r="B3209">
            <v>10000</v>
          </cell>
        </row>
        <row r="3210">
          <cell r="A3210" t="str">
            <v>Xà Lách Lolo Xanh 19/11/2024</v>
          </cell>
          <cell r="B3210">
            <v>25000</v>
          </cell>
        </row>
        <row r="3211">
          <cell r="A3211" t="str">
            <v>Ớt Sweet Palemo 19/11/2024</v>
          </cell>
          <cell r="B3211">
            <v>21000</v>
          </cell>
        </row>
        <row r="3212">
          <cell r="A3212" t="str">
            <v>Bông Cải Xanh Gốc Dài 19/11/2024</v>
          </cell>
          <cell r="B3212">
            <v>28000</v>
          </cell>
        </row>
        <row r="3213">
          <cell r="A3213" t="str">
            <v>Ớt Chuông Đỏ 19/11/2024</v>
          </cell>
          <cell r="B3213">
            <v>30000</v>
          </cell>
        </row>
        <row r="3214">
          <cell r="A3214" t="str">
            <v>Ớt Chuông Đỏ Trung 19/11/2024</v>
          </cell>
          <cell r="B3214">
            <v>25000</v>
          </cell>
        </row>
        <row r="3215">
          <cell r="A3215" t="str">
            <v>Ớt Chuông Xanh Trung 19/11/2024</v>
          </cell>
          <cell r="B3215">
            <v>21000</v>
          </cell>
        </row>
        <row r="3216">
          <cell r="A3216" t="str">
            <v>Xà Lách Mỹ 19/11/2024</v>
          </cell>
          <cell r="B3216">
            <v>33000</v>
          </cell>
        </row>
        <row r="3217">
          <cell r="A3217" t="str">
            <v>Bắp Cải Tím 19/11/2024</v>
          </cell>
          <cell r="B3217">
            <v>30000</v>
          </cell>
        </row>
        <row r="3218">
          <cell r="A3218" t="str">
            <v>Cần Tây 19/11/2024</v>
          </cell>
          <cell r="B3218">
            <v>17000</v>
          </cell>
        </row>
        <row r="3219">
          <cell r="A3219" t="str">
            <v>Bí Ngòi Xanh 19/11/2024</v>
          </cell>
          <cell r="B3219">
            <v>10000</v>
          </cell>
        </row>
        <row r="3220">
          <cell r="A3220" t="str">
            <v>Cà Chua Beef 19/11/2024</v>
          </cell>
          <cell r="B3220">
            <v>21000</v>
          </cell>
        </row>
        <row r="3221">
          <cell r="A3221" t="str">
            <v>Cần Tây 19/11/2024</v>
          </cell>
          <cell r="B3221">
            <v>14000</v>
          </cell>
        </row>
        <row r="3222">
          <cell r="A3222" t="str">
            <v>Xà Lách Thủy Tinh T.C Cây 19/11/2024</v>
          </cell>
          <cell r="B3222">
            <v>6000</v>
          </cell>
        </row>
        <row r="3223">
          <cell r="A3223" t="str">
            <v>Ớt Sweet Palemo 19/11/2024</v>
          </cell>
          <cell r="B3223">
            <v>21000</v>
          </cell>
        </row>
        <row r="3224">
          <cell r="A3224" t="str">
            <v>Cải Bó Xôi 19/11/2024</v>
          </cell>
          <cell r="B3224">
            <v>26000</v>
          </cell>
        </row>
        <row r="3225">
          <cell r="A3225" t="str">
            <v>Lá Mè 19/11/2024</v>
          </cell>
          <cell r="B3225">
            <v>38000</v>
          </cell>
        </row>
        <row r="3226">
          <cell r="A3226" t="str">
            <v>Bông Cải Xanh 7Cm 19/11/2024</v>
          </cell>
          <cell r="B3226">
            <v>39000</v>
          </cell>
        </row>
        <row r="3227">
          <cell r="A3227" t="str">
            <v>Trái Mâm Xôi 19/11/2024</v>
          </cell>
          <cell r="B3227">
            <v>35000</v>
          </cell>
        </row>
        <row r="3228">
          <cell r="A3228" t="str">
            <v>Bông Cải Xanh 7Cm 19/11/2024</v>
          </cell>
          <cell r="B3228">
            <v>39000</v>
          </cell>
        </row>
        <row r="3229">
          <cell r="A3229" t="str">
            <v>Bông Cải Xanh 7Cm 19/11/2024</v>
          </cell>
          <cell r="B3229">
            <v>39000</v>
          </cell>
        </row>
        <row r="3230">
          <cell r="A3230" t="str">
            <v>Bông Cải Xanh 10Cm 19/11/2024</v>
          </cell>
          <cell r="B3230">
            <v>33000</v>
          </cell>
        </row>
        <row r="3231">
          <cell r="A3231" t="str">
            <v>Bông Cải Xanh 7Cm 19/11/2024</v>
          </cell>
          <cell r="B3231">
            <v>38000</v>
          </cell>
        </row>
        <row r="3232">
          <cell r="A3232" t="str">
            <v>Cà Rốt 19/11/2024</v>
          </cell>
          <cell r="B3232">
            <v>14000</v>
          </cell>
        </row>
        <row r="3233">
          <cell r="A3233" t="str">
            <v>Củ Khoai Lang Nhật 19/11/2024</v>
          </cell>
          <cell r="B3233">
            <v>17000</v>
          </cell>
        </row>
        <row r="3234">
          <cell r="A3234" t="str">
            <v>Xà Lách Lolo Xanh T.C 19/11/2024</v>
          </cell>
          <cell r="B3234">
            <v>28000</v>
          </cell>
        </row>
        <row r="3235">
          <cell r="A3235" t="str">
            <v>Ớt Chuông Snack 19/11/2024</v>
          </cell>
          <cell r="B3235">
            <v>49000</v>
          </cell>
        </row>
        <row r="3236">
          <cell r="A3236" t="str">
            <v>Chuối Laba 19/11/2024</v>
          </cell>
          <cell r="B3236">
            <v>13000</v>
          </cell>
        </row>
        <row r="3237">
          <cell r="A3237" t="str">
            <v>Bắp Cải Trắng 19/11/2024</v>
          </cell>
          <cell r="B3237">
            <v>13500</v>
          </cell>
        </row>
        <row r="3238">
          <cell r="A3238" t="str">
            <v>Cà Rốt 19/11/2024</v>
          </cell>
          <cell r="B3238">
            <v>15000</v>
          </cell>
        </row>
        <row r="3239">
          <cell r="A3239" t="str">
            <v>Trái Su Su 19/11/2024</v>
          </cell>
          <cell r="B3239">
            <v>10000</v>
          </cell>
        </row>
        <row r="3240">
          <cell r="A3240" t="str">
            <v>Bí Đỏ Hồ Lô 19/11/2024</v>
          </cell>
          <cell r="B3240">
            <v>13000</v>
          </cell>
        </row>
        <row r="3241">
          <cell r="A3241" t="str">
            <v>Củ Gừng 19/11/2024</v>
          </cell>
          <cell r="B3241">
            <v>45000</v>
          </cell>
        </row>
        <row r="3242">
          <cell r="A3242" t="str">
            <v>Bí Đỏ Tròn 19/11/2024</v>
          </cell>
          <cell r="B3242">
            <v>5000</v>
          </cell>
        </row>
        <row r="3243">
          <cell r="A3243" t="str">
            <v>Lá Nha Đam 19/11/2024</v>
          </cell>
          <cell r="B3243">
            <v>13000</v>
          </cell>
        </row>
        <row r="3244">
          <cell r="A3244" t="str">
            <v>Củ Su Hào 19/11/2024</v>
          </cell>
          <cell r="B3244">
            <v>18000</v>
          </cell>
        </row>
        <row r="3245">
          <cell r="A3245" t="str">
            <v>Bí Non Nhật 19/11/2024</v>
          </cell>
          <cell r="B3245">
            <v>10000</v>
          </cell>
        </row>
        <row r="3246">
          <cell r="A3246" t="str">
            <v>Trái Su Su 19/11/2024</v>
          </cell>
          <cell r="B3246">
            <v>7000</v>
          </cell>
        </row>
        <row r="3247">
          <cell r="A3247" t="str">
            <v>Trái Khổ Qua 19/11/2024</v>
          </cell>
          <cell r="B3247">
            <v>15000</v>
          </cell>
        </row>
        <row r="3248">
          <cell r="A3248" t="str">
            <v>Cà Chua Bi Đỏ 19/11/2024</v>
          </cell>
          <cell r="B3248">
            <v>10500</v>
          </cell>
        </row>
        <row r="3249">
          <cell r="A3249" t="str">
            <v>Dưa Leo Thường 19/11/2024</v>
          </cell>
          <cell r="B3249">
            <v>6000</v>
          </cell>
        </row>
        <row r="3250">
          <cell r="A3250" t="str">
            <v>Dưa Leo Nhật 19/11/2024</v>
          </cell>
          <cell r="B3250">
            <v>10000</v>
          </cell>
        </row>
        <row r="3251">
          <cell r="A3251" t="str">
            <v>Xà Lách Lolo Xanh T.C Cây 19/11/2024</v>
          </cell>
          <cell r="B3251">
            <v>6800</v>
          </cell>
        </row>
        <row r="3252">
          <cell r="A3252" t="str">
            <v>Xà Lách Thủy Tinh T.C Cây 19/11/2024</v>
          </cell>
          <cell r="B3252">
            <v>6800</v>
          </cell>
        </row>
        <row r="3253">
          <cell r="A3253" t="str">
            <v>Xà Lách Thủy Tinh T.C 19/11/2024</v>
          </cell>
          <cell r="B3253">
            <v>30000</v>
          </cell>
        </row>
        <row r="3254">
          <cell r="A3254" t="str">
            <v>Củ Dền 19/11/2024</v>
          </cell>
          <cell r="B3254">
            <v>18000</v>
          </cell>
        </row>
        <row r="3255">
          <cell r="A3255" t="str">
            <v>Bông Cải Trắng 19/11/2024</v>
          </cell>
          <cell r="B3255">
            <v>27000</v>
          </cell>
        </row>
        <row r="3256">
          <cell r="A3256" t="str">
            <v>Củ Hành Tây 19/11/2024</v>
          </cell>
          <cell r="B3256">
            <v>6000</v>
          </cell>
        </row>
        <row r="3257">
          <cell r="A3257" t="str">
            <v>Củ Khoai Tây Vàng 19/11/2024</v>
          </cell>
          <cell r="B3257">
            <v>18000</v>
          </cell>
        </row>
        <row r="3258">
          <cell r="A3258" t="str">
            <v>Hồng Giòn Đà Lạt 19/11/2024</v>
          </cell>
          <cell r="B3258">
            <v>30000</v>
          </cell>
        </row>
        <row r="3259">
          <cell r="A3259" t="str">
            <v>Củ Cải Trắng 19/11/2024</v>
          </cell>
          <cell r="B3259">
            <v>6000</v>
          </cell>
        </row>
        <row r="3260">
          <cell r="A3260" t="str">
            <v>Củ Khoai Lang Nhật 19/11/2024</v>
          </cell>
          <cell r="B3260">
            <v>17000</v>
          </cell>
        </row>
        <row r="3261">
          <cell r="A3261" t="str">
            <v>Ớt Chuông Đỏ 19/11/2024</v>
          </cell>
          <cell r="B3261">
            <v>37000</v>
          </cell>
        </row>
        <row r="3262">
          <cell r="A3262" t="str">
            <v>Ớt Chuông Vàng 19/11/2024</v>
          </cell>
          <cell r="B3262">
            <v>18000</v>
          </cell>
        </row>
        <row r="3263">
          <cell r="A3263" t="str">
            <v>Ớt Chuông Xanh 19/11/2024</v>
          </cell>
          <cell r="B3263">
            <v>27000</v>
          </cell>
        </row>
        <row r="3264">
          <cell r="A3264" t="str">
            <v>Ớt Chuông Snack 19/11/2024</v>
          </cell>
          <cell r="B3264">
            <v>49000</v>
          </cell>
        </row>
        <row r="3265">
          <cell r="A3265" t="str">
            <v>Ớt Chuông Baby 19/11/2024</v>
          </cell>
          <cell r="B3265">
            <v>44000</v>
          </cell>
        </row>
        <row r="3266">
          <cell r="A3266" t="str">
            <v>Củ Khoai Mỡ 19/11/2024</v>
          </cell>
          <cell r="B3266">
            <v>30000</v>
          </cell>
        </row>
        <row r="3267">
          <cell r="A3267" t="str">
            <v>Lá Nha Đam 19/11/2024</v>
          </cell>
          <cell r="B3267">
            <v>13000</v>
          </cell>
        </row>
        <row r="3268">
          <cell r="A3268" t="str">
            <v>Củ Su Hào 19/11/2024</v>
          </cell>
          <cell r="B3268">
            <v>18000</v>
          </cell>
        </row>
        <row r="3269">
          <cell r="A3269" t="str">
            <v>Củ Khoai Tây Vàng 19/11/2024</v>
          </cell>
          <cell r="B3269">
            <v>15000</v>
          </cell>
        </row>
        <row r="3270">
          <cell r="A3270" t="str">
            <v>Cà Chua Bi Đỏ 19/11/2024</v>
          </cell>
          <cell r="B3270">
            <v>10500</v>
          </cell>
        </row>
        <row r="3271">
          <cell r="A3271" t="str">
            <v>Đậu Cove Trắng 19/11/2024</v>
          </cell>
          <cell r="B3271">
            <v>6000</v>
          </cell>
        </row>
        <row r="3272">
          <cell r="A3272" t="str">
            <v>Bí Non Nhật 19/11/2024</v>
          </cell>
          <cell r="B3272">
            <v>11000</v>
          </cell>
        </row>
        <row r="3273">
          <cell r="A3273" t="str">
            <v>Dưa Leo Nhật 19/11/2024</v>
          </cell>
          <cell r="B3273">
            <v>10000</v>
          </cell>
        </row>
        <row r="3274">
          <cell r="A3274" t="str">
            <v>Hành Paro 19/11/2024</v>
          </cell>
          <cell r="B3274">
            <v>36000</v>
          </cell>
        </row>
        <row r="3275">
          <cell r="A3275" t="str">
            <v>Dưa Leo Baby 19/11/2024</v>
          </cell>
          <cell r="B3275">
            <v>4500</v>
          </cell>
        </row>
        <row r="3276">
          <cell r="A3276" t="str">
            <v>Cà Chua Thường 19/11/2024</v>
          </cell>
          <cell r="B3276">
            <v>15000</v>
          </cell>
        </row>
        <row r="3277">
          <cell r="A3277" t="str">
            <v>Hạt Dẻ Ngố 19/11/2024</v>
          </cell>
          <cell r="B3277">
            <v>26400</v>
          </cell>
        </row>
        <row r="3278">
          <cell r="A3278" t="str">
            <v>Rau Ngò Rí 19/11/2024</v>
          </cell>
          <cell r="B3278">
            <v>35000</v>
          </cell>
        </row>
        <row r="3279">
          <cell r="A3279" t="str">
            <v>Củ Dền 19/11/2024</v>
          </cell>
          <cell r="B3279">
            <v>18000</v>
          </cell>
        </row>
        <row r="3280">
          <cell r="A3280" t="str">
            <v>Bắp Cải Tím 19/11/2024</v>
          </cell>
          <cell r="B3280">
            <v>30000</v>
          </cell>
        </row>
        <row r="3281">
          <cell r="A3281" t="str">
            <v>Cần Tây 19/11/2024</v>
          </cell>
          <cell r="B3281">
            <v>17000</v>
          </cell>
        </row>
        <row r="3282">
          <cell r="A3282" t="str">
            <v>Cải Bó Xôi 19/11/2024</v>
          </cell>
          <cell r="B3282">
            <v>26000</v>
          </cell>
        </row>
        <row r="3283">
          <cell r="A3283" t="str">
            <v>Bông Cải Xanh 7Cm 19/11/2024</v>
          </cell>
          <cell r="B3283">
            <v>39000</v>
          </cell>
        </row>
        <row r="3284">
          <cell r="A3284" t="str">
            <v>Xà Lách Lolo Xanh T.C Cây 19/11/2024</v>
          </cell>
          <cell r="B3284">
            <v>6800</v>
          </cell>
        </row>
        <row r="3285">
          <cell r="A3285" t="str">
            <v>Xà Lách Lolo Xanh T.C 19/11/2024</v>
          </cell>
          <cell r="B3285">
            <v>28000</v>
          </cell>
        </row>
        <row r="3286">
          <cell r="A3286" t="str">
            <v>Xà Lách Mỡ T.C Cây 19/11/2024</v>
          </cell>
          <cell r="B3286">
            <v>6800</v>
          </cell>
        </row>
        <row r="3287">
          <cell r="A3287" t="str">
            <v>Xà Lách Mỡ T.C 19/11/2024</v>
          </cell>
          <cell r="B3287">
            <v>28000</v>
          </cell>
        </row>
        <row r="3288">
          <cell r="A3288" t="str">
            <v>Xà Lách Thủy Tinh T.C Cây 19/11/2024</v>
          </cell>
          <cell r="B3288">
            <v>6800</v>
          </cell>
        </row>
        <row r="3289">
          <cell r="A3289" t="str">
            <v>Trái Su Su 19/11/2024</v>
          </cell>
          <cell r="B3289">
            <v>9500</v>
          </cell>
        </row>
        <row r="3290">
          <cell r="A3290" t="str">
            <v>Cà Chua Beef 19/11/2024</v>
          </cell>
          <cell r="B3290">
            <v>15600</v>
          </cell>
        </row>
        <row r="3291">
          <cell r="A3291" t="str">
            <v>Cải Thảo 19/11/2024</v>
          </cell>
          <cell r="B3291">
            <v>5000</v>
          </cell>
        </row>
        <row r="3292">
          <cell r="A3292" t="str">
            <v>Dưa Leo Baby 19/11/2024</v>
          </cell>
          <cell r="B3292">
            <v>6000</v>
          </cell>
        </row>
        <row r="3293">
          <cell r="A3293" t="str">
            <v>Dưa Leo Baby 19/11/2024</v>
          </cell>
          <cell r="B3293">
            <v>4000</v>
          </cell>
        </row>
        <row r="3294">
          <cell r="A3294" t="str">
            <v>Cải Bó Xôi 19/11/2024</v>
          </cell>
          <cell r="B3294">
            <v>33000</v>
          </cell>
        </row>
        <row r="3295">
          <cell r="A3295" t="str">
            <v>Cà Chua Bi Mix 19/11/2024</v>
          </cell>
          <cell r="B3295">
            <v>51500</v>
          </cell>
        </row>
        <row r="3296">
          <cell r="A3296" t="str">
            <v>Cải Kale 19/11/2024</v>
          </cell>
          <cell r="B3296">
            <v>30500</v>
          </cell>
        </row>
        <row r="3297">
          <cell r="A3297" t="str">
            <v>Chanh Không Hạt 19/11/2024</v>
          </cell>
          <cell r="B3297">
            <v>26000</v>
          </cell>
        </row>
        <row r="3298">
          <cell r="A3298" t="str">
            <v>Cà Chua Beef Trung 19/11/2024</v>
          </cell>
          <cell r="B3298">
            <v>19000</v>
          </cell>
        </row>
        <row r="3299">
          <cell r="A3299" t="str">
            <v>Decal PVC (50x30)mm x 100m 19/11/2024</v>
          </cell>
          <cell r="B3299">
            <v>240000</v>
          </cell>
        </row>
        <row r="3300">
          <cell r="A3300" t="str">
            <v>Ruy băng in mã vạch Wax Resin 110mmx300m 19/11/2024</v>
          </cell>
          <cell r="B3300">
            <v>190000</v>
          </cell>
        </row>
        <row r="3301">
          <cell r="A3301" t="str">
            <v>Cà Rốt Baby 19/11/2024</v>
          </cell>
          <cell r="B3301">
            <v>52000</v>
          </cell>
        </row>
        <row r="3302">
          <cell r="A3302" t="str">
            <v>Cải Kale 19/11/2024</v>
          </cell>
          <cell r="B3302">
            <v>30000</v>
          </cell>
        </row>
        <row r="3303">
          <cell r="A3303" t="str">
            <v>Cải Cầu Vồng 19/11/2024</v>
          </cell>
          <cell r="B3303">
            <v>18000</v>
          </cell>
        </row>
        <row r="3304">
          <cell r="A3304" t="str">
            <v>Củ Cải Đỏ 19/11/2024</v>
          </cell>
          <cell r="B3304">
            <v>14000</v>
          </cell>
        </row>
        <row r="3305">
          <cell r="A3305" t="str">
            <v>Bông Cải Xanh Baby 19/11/2024</v>
          </cell>
          <cell r="B3305">
            <v>57000</v>
          </cell>
        </row>
        <row r="3306">
          <cell r="A3306" t="str">
            <v>Cà Chua Socola 19/11/2024</v>
          </cell>
          <cell r="B3306">
            <v>11000</v>
          </cell>
        </row>
        <row r="3307">
          <cell r="A3307" t="str">
            <v>Xà Lách Lolo Xanh 19/11/2024</v>
          </cell>
          <cell r="B3307">
            <v>23000</v>
          </cell>
        </row>
        <row r="3308">
          <cell r="A3308" t="str">
            <v>Xà Lách Lolo Xanh 19/11/2024</v>
          </cell>
          <cell r="B3308">
            <v>26000</v>
          </cell>
        </row>
        <row r="3309">
          <cell r="A3309" t="str">
            <v>Lá Mè 19/11/2024</v>
          </cell>
          <cell r="B3309">
            <v>40000</v>
          </cell>
        </row>
        <row r="3310">
          <cell r="A3310" t="str">
            <v>Lá Mè 19/11/2024</v>
          </cell>
          <cell r="B3310">
            <v>40000</v>
          </cell>
        </row>
        <row r="3311">
          <cell r="A3311" t="str">
            <v>Xà Lách Lolo Xanh 19/11/2024</v>
          </cell>
          <cell r="B3311">
            <v>23000</v>
          </cell>
        </row>
        <row r="3312">
          <cell r="A3312" t="str">
            <v>Củ Cải Đỏ 19/11/2024</v>
          </cell>
          <cell r="B3312">
            <v>14000</v>
          </cell>
        </row>
        <row r="3313">
          <cell r="A3313" t="str">
            <v>Bông Cải Xanh Baby 19/11/2024</v>
          </cell>
          <cell r="B3313">
            <v>57000</v>
          </cell>
        </row>
        <row r="3314">
          <cell r="A3314" t="str">
            <v>Lá Quế Tây 19/11/2024</v>
          </cell>
          <cell r="B3314">
            <v>100000</v>
          </cell>
        </row>
        <row r="3315">
          <cell r="A3315" t="str">
            <v>Xà Lách Romaine 19/11/2024</v>
          </cell>
          <cell r="B3315">
            <v>30000</v>
          </cell>
        </row>
        <row r="3316">
          <cell r="A3316" t="str">
            <v>Ớt Sweet Palemo 19/11/2024</v>
          </cell>
          <cell r="B3316">
            <v>23000</v>
          </cell>
        </row>
        <row r="3317">
          <cell r="A3317" t="str">
            <v>Cải Kale 19/11/2024</v>
          </cell>
          <cell r="B3317">
            <v>30000</v>
          </cell>
        </row>
        <row r="3318">
          <cell r="A3318" t="str">
            <v>Cà Chua Beef 19/11/2024</v>
          </cell>
          <cell r="B3318">
            <v>21000</v>
          </cell>
        </row>
        <row r="3319">
          <cell r="A3319" t="str">
            <v>Cà Chua Beef 19/11/2024</v>
          </cell>
          <cell r="B3319">
            <v>21000</v>
          </cell>
        </row>
        <row r="3320">
          <cell r="A3320" t="str">
            <v>Bông Cải Xanh Cọng 19/11/2024</v>
          </cell>
          <cell r="B3320">
            <v>33000</v>
          </cell>
        </row>
        <row r="3321">
          <cell r="A3321" t="str">
            <v>Bắp Cải Tím 19/11/2024</v>
          </cell>
          <cell r="B3321">
            <v>30000</v>
          </cell>
        </row>
        <row r="3322">
          <cell r="A3322" t="str">
            <v>Củ Dền 19/11/2024</v>
          </cell>
          <cell r="B3322">
            <v>18000</v>
          </cell>
        </row>
        <row r="3323">
          <cell r="A3323" t="str">
            <v>Bí Ngòi Xanh 19/11/2024</v>
          </cell>
          <cell r="B3323">
            <v>10000</v>
          </cell>
        </row>
        <row r="3324">
          <cell r="A3324" t="str">
            <v>Ớt Chuông Đỏ 19/11/2024</v>
          </cell>
          <cell r="B3324">
            <v>30000</v>
          </cell>
        </row>
        <row r="3325">
          <cell r="A3325" t="str">
            <v>Ớt Chuông Xanh 19/11/2024</v>
          </cell>
          <cell r="B3325">
            <v>26000</v>
          </cell>
        </row>
        <row r="3326">
          <cell r="A3326" t="str">
            <v>Ớt Sweet Palemo 19/11/2024</v>
          </cell>
          <cell r="B3326">
            <v>21000</v>
          </cell>
        </row>
        <row r="3327">
          <cell r="A3327" t="str">
            <v>Ớt Chuông Xanh 19/11/2024</v>
          </cell>
          <cell r="B3327">
            <v>24000</v>
          </cell>
        </row>
        <row r="3328">
          <cell r="A3328" t="str">
            <v>Đậu Cove Nhật 19/11/2024</v>
          </cell>
          <cell r="B3328">
            <v>6000</v>
          </cell>
        </row>
        <row r="3329">
          <cell r="A3329" t="str">
            <v>Cà Chua Thường 19/11/2024</v>
          </cell>
          <cell r="B3329">
            <v>17000</v>
          </cell>
        </row>
        <row r="3330">
          <cell r="A3330" t="str">
            <v>Cà Rốt 19/11/2024</v>
          </cell>
          <cell r="B3330">
            <v>15000</v>
          </cell>
        </row>
        <row r="3331">
          <cell r="A3331" t="str">
            <v>Xà Lách Lolo Xanh T.C 19/11/2024</v>
          </cell>
          <cell r="B3331">
            <v>26000</v>
          </cell>
        </row>
        <row r="3332">
          <cell r="A3332" t="str">
            <v>Chanh Dây Tím 19/11/2024</v>
          </cell>
          <cell r="B3332">
            <v>25000</v>
          </cell>
        </row>
        <row r="3333">
          <cell r="A3333" t="str">
            <v>Củ Cải Trắng 19/11/2024</v>
          </cell>
          <cell r="B3333">
            <v>6500</v>
          </cell>
        </row>
        <row r="3334">
          <cell r="A3334" t="str">
            <v>Củ Cải Muối 19/11/2024</v>
          </cell>
          <cell r="B3334">
            <v>16000</v>
          </cell>
        </row>
        <row r="3335">
          <cell r="A3335" t="str">
            <v>Củ Khoai Tây Vàng 19/11/2024</v>
          </cell>
          <cell r="B3335">
            <v>15000</v>
          </cell>
        </row>
        <row r="3336">
          <cell r="A3336" t="str">
            <v>Củ Khoai Tây Bi Vàng 19/11/2024</v>
          </cell>
          <cell r="B3336">
            <v>12000</v>
          </cell>
        </row>
        <row r="3337">
          <cell r="A3337" t="str">
            <v>Bơ Booth 19/11/2024</v>
          </cell>
          <cell r="B3337">
            <v>27000</v>
          </cell>
        </row>
        <row r="3338">
          <cell r="A3338" t="str">
            <v>Hành Paro 19/11/2024</v>
          </cell>
          <cell r="B3338">
            <v>36000</v>
          </cell>
        </row>
        <row r="3339">
          <cell r="A3339" t="str">
            <v>Cà Chua Thường 19/11/2024</v>
          </cell>
          <cell r="B3339">
            <v>14000</v>
          </cell>
        </row>
        <row r="3340">
          <cell r="A3340" t="str">
            <v>Đậu Cove Trắng 19/11/2024</v>
          </cell>
          <cell r="B3340">
            <v>9000</v>
          </cell>
        </row>
        <row r="3341">
          <cell r="A3341" t="str">
            <v>Cà Chua Bi Đỏ 19/11/2024</v>
          </cell>
          <cell r="B3341">
            <v>10500</v>
          </cell>
        </row>
        <row r="3342">
          <cell r="A3342" t="str">
            <v>Bí Đao Xanh 19/11/2024</v>
          </cell>
          <cell r="B3342">
            <v>10000</v>
          </cell>
        </row>
        <row r="3343">
          <cell r="A3343" t="str">
            <v>Bông Cải Trắng 19/11/2024</v>
          </cell>
          <cell r="B3343">
            <v>27000</v>
          </cell>
        </row>
        <row r="3344">
          <cell r="A3344" t="str">
            <v>Củ Su Hào 19/11/2024</v>
          </cell>
          <cell r="B3344">
            <v>18000</v>
          </cell>
        </row>
        <row r="3345">
          <cell r="A3345" t="str">
            <v>Bí Đao Xanh 19/11/2024</v>
          </cell>
          <cell r="B3345">
            <v>7000</v>
          </cell>
        </row>
        <row r="3346">
          <cell r="A3346" t="str">
            <v>Cà Tím 19/11/2024</v>
          </cell>
          <cell r="B3346">
            <v>7500</v>
          </cell>
        </row>
        <row r="3347">
          <cell r="A3347" t="str">
            <v>Chuối Laba 19/11/2024</v>
          </cell>
          <cell r="B3347">
            <v>13000</v>
          </cell>
        </row>
        <row r="3348">
          <cell r="A3348" t="str">
            <v>Bí Đỏ Tròn 19/11/2024</v>
          </cell>
          <cell r="B3348">
            <v>5000</v>
          </cell>
        </row>
        <row r="3349">
          <cell r="A3349" t="str">
            <v>Cà Rốt 19/11/2024</v>
          </cell>
          <cell r="B3349">
            <v>15000</v>
          </cell>
        </row>
        <row r="3350">
          <cell r="A3350" t="str">
            <v>Cà Rốt 19/11/2024</v>
          </cell>
          <cell r="B3350">
            <v>14000</v>
          </cell>
        </row>
        <row r="3351">
          <cell r="A3351" t="str">
            <v>Cà Rốt Baby 19/11/2024</v>
          </cell>
          <cell r="B3351">
            <v>52000</v>
          </cell>
        </row>
        <row r="3352">
          <cell r="A3352" t="str">
            <v>Dưa Leo Baby 19/11/2024</v>
          </cell>
          <cell r="B3352">
            <v>4000</v>
          </cell>
        </row>
        <row r="3353">
          <cell r="A3353" t="str">
            <v>Lá Mè 19/11/2024</v>
          </cell>
          <cell r="B3353">
            <v>40000</v>
          </cell>
        </row>
        <row r="3354">
          <cell r="A3354" t="str">
            <v>DO 0.05S-II 20/11/2024</v>
          </cell>
          <cell r="B3354">
            <v>17218.18</v>
          </cell>
        </row>
        <row r="3355">
          <cell r="A3355" t="str">
            <v>Ghế làm việc 20/11/2024</v>
          </cell>
          <cell r="B3355">
            <v>925926</v>
          </cell>
        </row>
        <row r="3356">
          <cell r="A3356" t="str">
            <v>Ghế văn phòng 20/11/2024</v>
          </cell>
          <cell r="B3356">
            <v>2361111</v>
          </cell>
        </row>
        <row r="3357">
          <cell r="A3357" t="str">
            <v>Dầu Do 0.001 S-V 20/11/2024</v>
          </cell>
          <cell r="B3357">
            <v>17445.45</v>
          </cell>
        </row>
        <row r="3358">
          <cell r="A3358" t="str">
            <v>DO 0.05S-II 20/11/2024</v>
          </cell>
          <cell r="B3358">
            <v>17218.18</v>
          </cell>
        </row>
        <row r="3359">
          <cell r="A3359" t="str">
            <v>DO 0.05S-II 20/11/2024</v>
          </cell>
          <cell r="B3359">
            <v>17218.18</v>
          </cell>
        </row>
        <row r="3360">
          <cell r="A3360" t="str">
            <v>Cước đường bộ xe 49C37197T đi qua đoạn Long Phước - NH51 thời gian GD 06:27:36 ngày 20/11/2024 mã GD 1504829482 20/11/2024</v>
          </cell>
          <cell r="B3360">
            <v>76806</v>
          </cell>
        </row>
        <row r="3361">
          <cell r="A3361" t="str">
            <v>Cước đường bộ xe 49C37197T đi qua trạm Liên Đầm thời gian GD 12:20:16 ngày 20/11/2024 mã GD 1505326840 20/11/2024</v>
          </cell>
          <cell r="B3361">
            <v>78704</v>
          </cell>
        </row>
        <row r="3362">
          <cell r="A3362" t="str">
            <v>Cước đường bộ xe 49C37197T đi qua trạm Xa Lộ - Hà Nội thời gian GD 01:33:34 ngày 20/11/2024 mã GD 1504700413 20/11/2024</v>
          </cell>
          <cell r="B3362">
            <v>50000</v>
          </cell>
        </row>
        <row r="3363">
          <cell r="A3363" t="str">
            <v>Cước đường bộ xe 49C37197T đi qua trạm Cầu Phú Mỹ thời gian GD 05:58:39 ngày 20/11/2024 mã GD 1504816103 20/11/2024</v>
          </cell>
          <cell r="B3363">
            <v>22222</v>
          </cell>
        </row>
        <row r="3364">
          <cell r="A3364" t="str">
            <v>Dầu Do 0.001 S-V 20/11/2024</v>
          </cell>
          <cell r="B3364">
            <v>17445.45</v>
          </cell>
        </row>
        <row r="3365">
          <cell r="A3365" t="str">
            <v>Bí Đỏ Hồ Lô 20/11/2024</v>
          </cell>
          <cell r="B3365">
            <v>13000</v>
          </cell>
        </row>
        <row r="3366">
          <cell r="A3366" t="str">
            <v>Bí Đỏ Tròn 20/11/2024</v>
          </cell>
          <cell r="B3366">
            <v>5000</v>
          </cell>
        </row>
        <row r="3367">
          <cell r="A3367" t="str">
            <v>Lá Nha Đam 20/11/2024</v>
          </cell>
          <cell r="B3367">
            <v>14000</v>
          </cell>
        </row>
        <row r="3368">
          <cell r="A3368" t="str">
            <v>Củ Khoai Mỡ 20/11/2024</v>
          </cell>
          <cell r="B3368">
            <v>30000</v>
          </cell>
        </row>
        <row r="3369">
          <cell r="A3369" t="str">
            <v>Chuối Laba 20/11/2024</v>
          </cell>
          <cell r="B3369">
            <v>13000</v>
          </cell>
        </row>
        <row r="3370">
          <cell r="A3370" t="str">
            <v>Bông Cải Xanh 7Cm 20/11/2024</v>
          </cell>
          <cell r="B3370">
            <v>38000</v>
          </cell>
        </row>
        <row r="3371">
          <cell r="A3371" t="str">
            <v>Bông Cải Xanh 10Cm 20/11/2024</v>
          </cell>
          <cell r="B3371">
            <v>31000</v>
          </cell>
        </row>
        <row r="3372">
          <cell r="A3372" t="str">
            <v>Bông Cải Xanh 7Cm 20/11/2024</v>
          </cell>
          <cell r="B3372">
            <v>37000</v>
          </cell>
        </row>
        <row r="3373">
          <cell r="A3373" t="str">
            <v>Bông Cải Xanh 7Cm 20/11/2024</v>
          </cell>
          <cell r="B3373">
            <v>36000</v>
          </cell>
        </row>
        <row r="3374">
          <cell r="A3374" t="str">
            <v>Bông Cải Xanh 7Cm 20/11/2024</v>
          </cell>
          <cell r="B3374">
            <v>37000</v>
          </cell>
        </row>
        <row r="3375">
          <cell r="A3375" t="str">
            <v>Cà Rốt 20/11/2024</v>
          </cell>
          <cell r="B3375">
            <v>14000</v>
          </cell>
        </row>
        <row r="3376">
          <cell r="A3376" t="str">
            <v>Cà Tím 20/11/2024</v>
          </cell>
          <cell r="B3376">
            <v>7000</v>
          </cell>
        </row>
        <row r="3377">
          <cell r="A3377" t="str">
            <v>Cà Tím 20/11/2024</v>
          </cell>
          <cell r="B3377">
            <v>4500</v>
          </cell>
        </row>
        <row r="3378">
          <cell r="A3378" t="str">
            <v>Đậu Cove Nhật 20/11/2024</v>
          </cell>
          <cell r="B3378">
            <v>6000</v>
          </cell>
        </row>
        <row r="3379">
          <cell r="A3379" t="str">
            <v>Cà Rốt 20/11/2024</v>
          </cell>
          <cell r="B3379">
            <v>14000</v>
          </cell>
        </row>
        <row r="3380">
          <cell r="A3380" t="str">
            <v>Củ Khoai Lang Nhật 20/11/2024</v>
          </cell>
          <cell r="B3380">
            <v>17000</v>
          </cell>
        </row>
        <row r="3381">
          <cell r="A3381" t="str">
            <v>Xà Lách Lolo Xanh T.C 20/11/2024</v>
          </cell>
          <cell r="B3381">
            <v>28000</v>
          </cell>
        </row>
        <row r="3382">
          <cell r="A3382" t="str">
            <v>Dưa Leo Baby 20/11/2024</v>
          </cell>
          <cell r="B3382">
            <v>6000</v>
          </cell>
        </row>
        <row r="3383">
          <cell r="A3383" t="str">
            <v>Dưa Leo Baby 20/11/2024</v>
          </cell>
          <cell r="B3383">
            <v>4000</v>
          </cell>
        </row>
        <row r="3384">
          <cell r="A3384" t="str">
            <v>Bí Non Nhật 20/11/2024</v>
          </cell>
          <cell r="B3384">
            <v>9500</v>
          </cell>
        </row>
        <row r="3385">
          <cell r="A3385" t="str">
            <v>Bơ Booth 20/11/2024</v>
          </cell>
          <cell r="B3385">
            <v>35000</v>
          </cell>
        </row>
        <row r="3386">
          <cell r="A3386" t="str">
            <v>Củ Gừng 20/11/2024</v>
          </cell>
          <cell r="B3386">
            <v>39000</v>
          </cell>
        </row>
        <row r="3387">
          <cell r="A3387" t="str">
            <v>Bí Non Nhật 20/11/2024</v>
          </cell>
          <cell r="B3387">
            <v>10000</v>
          </cell>
        </row>
        <row r="3388">
          <cell r="A3388" t="str">
            <v>Trái Khổ Qua 20/11/2024</v>
          </cell>
          <cell r="B3388">
            <v>15000</v>
          </cell>
        </row>
        <row r="3389">
          <cell r="A3389" t="str">
            <v>Xà Lách Lolo Xanh T.C 20/11/2024</v>
          </cell>
          <cell r="B3389">
            <v>26000</v>
          </cell>
        </row>
        <row r="3390">
          <cell r="A3390" t="str">
            <v>Xà Lách Thủy Tinh T.C Cây 20/11/2024</v>
          </cell>
          <cell r="B3390">
            <v>8000</v>
          </cell>
        </row>
        <row r="3391">
          <cell r="A3391" t="str">
            <v>Bông Cải Xanh Cây 20/11/2024</v>
          </cell>
          <cell r="B3391">
            <v>10000</v>
          </cell>
        </row>
        <row r="3392">
          <cell r="A3392" t="str">
            <v>Xà Lách Mỡ T.C Cây 20/11/2024</v>
          </cell>
          <cell r="B3392">
            <v>6800</v>
          </cell>
        </row>
        <row r="3393">
          <cell r="A3393" t="str">
            <v>Xà Lách Thủy Tinh T.C Cây 20/11/2024</v>
          </cell>
          <cell r="B3393">
            <v>6800</v>
          </cell>
        </row>
        <row r="3394">
          <cell r="A3394" t="str">
            <v>Xà Lách Thủy Tinh T.C 20/11/2024</v>
          </cell>
          <cell r="B3394">
            <v>30000</v>
          </cell>
        </row>
        <row r="3395">
          <cell r="A3395" t="str">
            <v>Đậu Đỏ 20/11/2024</v>
          </cell>
          <cell r="B3395">
            <v>80000</v>
          </cell>
        </row>
        <row r="3396">
          <cell r="A3396" t="str">
            <v>Đậu Ngự 20/11/2024</v>
          </cell>
          <cell r="B3396">
            <v>70000</v>
          </cell>
        </row>
        <row r="3397">
          <cell r="A3397" t="str">
            <v>Đậu Trắng 20/11/2024</v>
          </cell>
          <cell r="B3397">
            <v>70000</v>
          </cell>
        </row>
        <row r="3398">
          <cell r="A3398" t="str">
            <v>Củ Dền 20/11/2024</v>
          </cell>
          <cell r="B3398">
            <v>18000</v>
          </cell>
        </row>
        <row r="3399">
          <cell r="A3399" t="str">
            <v>Cải Bó Xôi 20/11/2024</v>
          </cell>
          <cell r="B3399">
            <v>25000</v>
          </cell>
        </row>
        <row r="3400">
          <cell r="A3400" t="str">
            <v>Ớt Sweet Palemo 20/11/2024</v>
          </cell>
          <cell r="B3400">
            <v>21000</v>
          </cell>
        </row>
        <row r="3401">
          <cell r="A3401" t="str">
            <v>Hành Paro 20/11/2024</v>
          </cell>
          <cell r="B3401">
            <v>36000</v>
          </cell>
        </row>
        <row r="3402">
          <cell r="A3402" t="str">
            <v>Cần Tây 20/11/2024</v>
          </cell>
          <cell r="B3402">
            <v>14000</v>
          </cell>
        </row>
        <row r="3403">
          <cell r="A3403" t="str">
            <v>Dưa Leo Baby 20/11/2024</v>
          </cell>
          <cell r="B3403">
            <v>4000</v>
          </cell>
        </row>
        <row r="3404">
          <cell r="A3404" t="str">
            <v>Dưa Leo Baby 20/11/2024</v>
          </cell>
          <cell r="B3404">
            <v>4000</v>
          </cell>
        </row>
        <row r="3405">
          <cell r="A3405" t="str">
            <v>Cần Tây 20/11/2024</v>
          </cell>
          <cell r="B3405">
            <v>17000</v>
          </cell>
        </row>
        <row r="3406">
          <cell r="A3406" t="str">
            <v>Cà Chua Beef 20/11/2024</v>
          </cell>
          <cell r="B3406">
            <v>24000</v>
          </cell>
        </row>
        <row r="3407">
          <cell r="A3407" t="str">
            <v>Cà Chua Socola 20/11/2024</v>
          </cell>
          <cell r="B3407">
            <v>9000</v>
          </cell>
        </row>
        <row r="3408">
          <cell r="A3408" t="str">
            <v>Đậu Hà Lan Trái 20/11/2024</v>
          </cell>
          <cell r="B3408">
            <v>80000</v>
          </cell>
        </row>
        <row r="3409">
          <cell r="A3409" t="str">
            <v>Xà Lách Rocket 20/11/2024</v>
          </cell>
          <cell r="B3409">
            <v>120000</v>
          </cell>
        </row>
        <row r="3410">
          <cell r="A3410" t="str">
            <v>Bí Ngòi Vàng 20/11/2024</v>
          </cell>
          <cell r="B3410">
            <v>45000</v>
          </cell>
        </row>
        <row r="3411">
          <cell r="A3411" t="str">
            <v>Cà Chua Thường 20/11/2024</v>
          </cell>
          <cell r="B3411">
            <v>14000</v>
          </cell>
        </row>
        <row r="3412">
          <cell r="A3412" t="str">
            <v>Đậu Cove Trắng 20/11/2024</v>
          </cell>
          <cell r="B3412">
            <v>11000</v>
          </cell>
        </row>
        <row r="3413">
          <cell r="A3413" t="str">
            <v>Dưa Leo Nhật 20/11/2024</v>
          </cell>
          <cell r="B3413">
            <v>10000</v>
          </cell>
        </row>
        <row r="3414">
          <cell r="A3414" t="str">
            <v>Dưa Leo Thường 20/11/2024</v>
          </cell>
          <cell r="B3414">
            <v>6000</v>
          </cell>
        </row>
        <row r="3415">
          <cell r="A3415" t="str">
            <v>Cà Chua Thường 20/11/2024</v>
          </cell>
          <cell r="B3415">
            <v>17000</v>
          </cell>
        </row>
        <row r="3416">
          <cell r="A3416" t="str">
            <v>Củ Cải Trắng 20/11/2024</v>
          </cell>
          <cell r="B3416">
            <v>6000</v>
          </cell>
        </row>
        <row r="3417">
          <cell r="A3417" t="str">
            <v>Cà Chua Bi Đỏ 20/11/2024</v>
          </cell>
          <cell r="B3417">
            <v>10500</v>
          </cell>
        </row>
        <row r="3418">
          <cell r="A3418" t="str">
            <v>Ớt Chuông Baby 20/11/2024</v>
          </cell>
          <cell r="B3418">
            <v>44000</v>
          </cell>
        </row>
        <row r="3419">
          <cell r="A3419" t="str">
            <v>Bắp Cải Trắng 20/11/2024</v>
          </cell>
          <cell r="B3419">
            <v>13500</v>
          </cell>
        </row>
        <row r="3420">
          <cell r="A3420" t="str">
            <v>Củ Khoai Tây Vàng 20/11/2024</v>
          </cell>
          <cell r="B3420">
            <v>15000</v>
          </cell>
        </row>
        <row r="3421">
          <cell r="A3421" t="str">
            <v>Xà Lách Mỡ T.C 20/11/2024</v>
          </cell>
          <cell r="B3421">
            <v>27000</v>
          </cell>
        </row>
        <row r="3422">
          <cell r="A3422" t="str">
            <v>Xà Lách Lolo Xanh T.C 20/11/2024</v>
          </cell>
          <cell r="B3422">
            <v>28000</v>
          </cell>
        </row>
        <row r="3423">
          <cell r="A3423" t="str">
            <v>Củ Su Hào 20/11/2024</v>
          </cell>
          <cell r="B3423">
            <v>18000</v>
          </cell>
        </row>
        <row r="3424">
          <cell r="A3424" t="str">
            <v>Ớt Sweet Palemo 20/11/2024</v>
          </cell>
          <cell r="B3424">
            <v>20000</v>
          </cell>
        </row>
        <row r="3425">
          <cell r="A3425" t="str">
            <v>Bí Ngòi Xanh 20/11/2024</v>
          </cell>
          <cell r="B3425">
            <v>10000</v>
          </cell>
        </row>
        <row r="3426">
          <cell r="A3426" t="str">
            <v>Củ Khoai Lang Mật Size 23 20/11/2024</v>
          </cell>
          <cell r="B3426">
            <v>26000</v>
          </cell>
        </row>
        <row r="3427">
          <cell r="A3427" t="str">
            <v>Củ Khoai Tây Vàng 20/11/2024</v>
          </cell>
          <cell r="B3427">
            <v>18000</v>
          </cell>
        </row>
        <row r="3428">
          <cell r="A3428" t="str">
            <v>Cà Chua Thường 20/11/2024</v>
          </cell>
          <cell r="B3428">
            <v>14000</v>
          </cell>
        </row>
        <row r="3429">
          <cell r="A3429" t="str">
            <v>Củ Khoai Mỡ 20/11/2024</v>
          </cell>
          <cell r="B3429">
            <v>30000</v>
          </cell>
        </row>
        <row r="3430">
          <cell r="A3430" t="str">
            <v>Bí Đao Xanh 20/11/2024</v>
          </cell>
          <cell r="B3430">
            <v>7000</v>
          </cell>
        </row>
        <row r="3431">
          <cell r="A3431" t="str">
            <v>Bí Đỏ Tròn 20/11/2024</v>
          </cell>
          <cell r="B3431">
            <v>5000</v>
          </cell>
        </row>
        <row r="3432">
          <cell r="A3432" t="str">
            <v>Củ Khoai Lang Nhật 20/11/2024</v>
          </cell>
          <cell r="B3432">
            <v>17000</v>
          </cell>
        </row>
        <row r="3433">
          <cell r="A3433" t="str">
            <v>Bí Ngô Mini 20/11/2024</v>
          </cell>
          <cell r="B3433">
            <v>48000</v>
          </cell>
        </row>
        <row r="3434">
          <cell r="A3434" t="str">
            <v>Lá Mè 20/11/2024</v>
          </cell>
          <cell r="B3434">
            <v>36000</v>
          </cell>
        </row>
        <row r="3435">
          <cell r="A3435" t="str">
            <v>Củ Hành Tây Tím 20/11/2024</v>
          </cell>
          <cell r="B3435">
            <v>20000</v>
          </cell>
        </row>
        <row r="3436">
          <cell r="A3436" t="str">
            <v>Cải Bó Xôi 20/11/2024</v>
          </cell>
          <cell r="B3436">
            <v>25000</v>
          </cell>
        </row>
        <row r="3437">
          <cell r="A3437" t="str">
            <v>Bắp Cải Tím 20/11/2024</v>
          </cell>
          <cell r="B3437">
            <v>30000</v>
          </cell>
        </row>
        <row r="3438">
          <cell r="A3438" t="str">
            <v>Cần Tây 20/11/2024</v>
          </cell>
          <cell r="B3438">
            <v>20000</v>
          </cell>
        </row>
        <row r="3439">
          <cell r="A3439" t="str">
            <v>Cà Chua Beef 20/11/2024</v>
          </cell>
          <cell r="B3439">
            <v>20000</v>
          </cell>
        </row>
        <row r="3440">
          <cell r="A3440" t="str">
            <v>Xà Lách Mỹ 20/11/2024</v>
          </cell>
          <cell r="B3440">
            <v>33000</v>
          </cell>
        </row>
        <row r="3441">
          <cell r="A3441" t="str">
            <v>Trái Mít Thái 20/11/2024</v>
          </cell>
          <cell r="B3441">
            <v>19533</v>
          </cell>
        </row>
        <row r="3442">
          <cell r="A3442" t="str">
            <v>Măng Tây 20/11/2024</v>
          </cell>
          <cell r="B3442">
            <v>57000</v>
          </cell>
        </row>
        <row r="3443">
          <cell r="A3443" t="str">
            <v>Măng Tây 20/11/2024</v>
          </cell>
          <cell r="B3443">
            <v>45000</v>
          </cell>
        </row>
        <row r="3444">
          <cell r="A3444" t="str">
            <v>Lá É 20/11/2024</v>
          </cell>
          <cell r="B3444">
            <v>28000</v>
          </cell>
        </row>
        <row r="3445">
          <cell r="A3445" t="str">
            <v>Xà Lách Mỡ T.C 20/11/2024</v>
          </cell>
          <cell r="B3445">
            <v>28000</v>
          </cell>
        </row>
        <row r="3446">
          <cell r="A3446" t="str">
            <v>Xà Lách Lolo Xanh T.C 20/11/2024</v>
          </cell>
          <cell r="B3446">
            <v>28000</v>
          </cell>
        </row>
        <row r="3447">
          <cell r="A3447" t="str">
            <v>Xà Lách Lolo Xanh T.C Cây 20/11/2024</v>
          </cell>
          <cell r="B3447">
            <v>6800</v>
          </cell>
        </row>
        <row r="3448">
          <cell r="A3448" t="str">
            <v>Xà Lách Thủy Tinh T.C Cây 20/11/2024</v>
          </cell>
          <cell r="B3448">
            <v>6800</v>
          </cell>
        </row>
        <row r="3449">
          <cell r="A3449" t="str">
            <v>Rau Ngò Rí 20/11/2024</v>
          </cell>
          <cell r="B3449">
            <v>35000</v>
          </cell>
        </row>
        <row r="3450">
          <cell r="A3450" t="str">
            <v>Bí Non Nhật 20/11/2024</v>
          </cell>
          <cell r="B3450">
            <v>10000</v>
          </cell>
        </row>
        <row r="3451">
          <cell r="A3451" t="str">
            <v>Dưa Leo Nhật 20/11/2024</v>
          </cell>
          <cell r="B3451">
            <v>10000</v>
          </cell>
        </row>
        <row r="3452">
          <cell r="A3452" t="str">
            <v>Đậu Cove Trắng 20/11/2024</v>
          </cell>
          <cell r="B3452">
            <v>8000</v>
          </cell>
        </row>
        <row r="3453">
          <cell r="A3453" t="str">
            <v>Củ Cải Trắng 20/11/2024</v>
          </cell>
          <cell r="B3453">
            <v>6000</v>
          </cell>
        </row>
        <row r="3454">
          <cell r="A3454" t="str">
            <v>Cà Chua Bi Đỏ 20/11/2024</v>
          </cell>
          <cell r="B3454">
            <v>10500</v>
          </cell>
        </row>
        <row r="3455">
          <cell r="A3455" t="str">
            <v>Ớt Chuông Snack 20/11/2024</v>
          </cell>
          <cell r="B3455">
            <v>49000</v>
          </cell>
        </row>
        <row r="3456">
          <cell r="A3456" t="str">
            <v>Ớt Chuông Baby 20/11/2024</v>
          </cell>
          <cell r="B3456">
            <v>44000</v>
          </cell>
        </row>
        <row r="3457">
          <cell r="A3457" t="str">
            <v>Củ Su Hào 20/11/2024</v>
          </cell>
          <cell r="B3457">
            <v>18000</v>
          </cell>
        </row>
        <row r="3458">
          <cell r="A3458" t="str">
            <v>Bí Ngòi Xanh 20/11/2024</v>
          </cell>
          <cell r="B3458">
            <v>10000</v>
          </cell>
        </row>
        <row r="3459">
          <cell r="A3459" t="str">
            <v>Chanh Không Hạt 20/11/2024</v>
          </cell>
          <cell r="B3459">
            <v>26000</v>
          </cell>
        </row>
        <row r="3460">
          <cell r="A3460" t="str">
            <v>Cà Chua Socola 20/11/2024</v>
          </cell>
          <cell r="B3460">
            <v>41500</v>
          </cell>
        </row>
        <row r="3461">
          <cell r="A3461" t="str">
            <v>Cải Kale 20/11/2024</v>
          </cell>
          <cell r="B3461">
            <v>30500</v>
          </cell>
        </row>
        <row r="3462">
          <cell r="A3462" t="str">
            <v>Cà Chua Beef Trung 20/11/2024</v>
          </cell>
          <cell r="B3462">
            <v>17000</v>
          </cell>
        </row>
        <row r="3463">
          <cell r="A3463" t="str">
            <v>Cà Chua Beef Trung 20/11/2024</v>
          </cell>
          <cell r="B3463">
            <v>19000</v>
          </cell>
        </row>
        <row r="3464">
          <cell r="A3464" t="str">
            <v>Cà Chua Beef 20/11/2024</v>
          </cell>
          <cell r="B3464">
            <v>15600</v>
          </cell>
        </row>
        <row r="3465">
          <cell r="A3465" t="str">
            <v>Cà Chua Thường 20/11/2024</v>
          </cell>
          <cell r="B3465">
            <v>12000</v>
          </cell>
        </row>
        <row r="3466">
          <cell r="A3466" t="str">
            <v>Cà Chua Thường Trung 20/11/2024</v>
          </cell>
          <cell r="B3466">
            <v>9000</v>
          </cell>
        </row>
        <row r="3467">
          <cell r="A3467" t="str">
            <v>Cải Bó Xôi 20/11/2024</v>
          </cell>
          <cell r="B3467">
            <v>30000</v>
          </cell>
        </row>
        <row r="3468">
          <cell r="A3468" t="str">
            <v>Cà Chua Socola 20/11/2024</v>
          </cell>
          <cell r="B3468">
            <v>41000</v>
          </cell>
        </row>
        <row r="3469">
          <cell r="A3469" t="str">
            <v>Cà Chua Bi Mix 20/11/2024</v>
          </cell>
          <cell r="B3469">
            <v>50000</v>
          </cell>
        </row>
        <row r="3470">
          <cell r="A3470" t="str">
            <v>Cải Kale 20/11/2024</v>
          </cell>
          <cell r="B3470">
            <v>29000</v>
          </cell>
        </row>
        <row r="3471">
          <cell r="A3471" t="str">
            <v>Cải Kale 20/11/2024</v>
          </cell>
          <cell r="B3471">
            <v>30500</v>
          </cell>
        </row>
        <row r="3472">
          <cell r="A3472" t="str">
            <v>Lá Mè 20/11/2024</v>
          </cell>
          <cell r="B3472">
            <v>40000</v>
          </cell>
        </row>
        <row r="3473">
          <cell r="A3473" t="str">
            <v>Dưa Leo Baby 20/11/2024</v>
          </cell>
          <cell r="B3473">
            <v>4000</v>
          </cell>
        </row>
        <row r="3474">
          <cell r="A3474" t="str">
            <v>Cải Kale 20/11/2024</v>
          </cell>
          <cell r="B3474">
            <v>33000</v>
          </cell>
        </row>
        <row r="3475">
          <cell r="A3475" t="str">
            <v>Cà Rốt Baby 20/11/2024</v>
          </cell>
          <cell r="B3475">
            <v>52000</v>
          </cell>
        </row>
        <row r="3476">
          <cell r="A3476" t="str">
            <v>Củ Cải Đỏ 20/11/2024</v>
          </cell>
          <cell r="B3476">
            <v>14000</v>
          </cell>
        </row>
        <row r="3477">
          <cell r="A3477" t="str">
            <v>Ớt Sweet Palemo 20/11/2024</v>
          </cell>
          <cell r="B3477">
            <v>23000</v>
          </cell>
        </row>
        <row r="3478">
          <cell r="A3478" t="str">
            <v>Bông Cải Xanh Baby 20/11/2024</v>
          </cell>
          <cell r="B3478">
            <v>57000</v>
          </cell>
        </row>
        <row r="3479">
          <cell r="A3479" t="str">
            <v>Cà Chua Beef Trung 20/11/2024</v>
          </cell>
          <cell r="B3479">
            <v>19000</v>
          </cell>
        </row>
        <row r="3480">
          <cell r="A3480" t="str">
            <v>Lá Quế Tây 20/11/2024</v>
          </cell>
          <cell r="B3480">
            <v>100000</v>
          </cell>
        </row>
        <row r="3481">
          <cell r="A3481" t="str">
            <v>Bông Cải Xanh Baby 20/11/2024</v>
          </cell>
          <cell r="B3481">
            <v>57000</v>
          </cell>
        </row>
        <row r="3482">
          <cell r="A3482" t="str">
            <v>Củ Cải Đỏ 20/11/2024</v>
          </cell>
          <cell r="B3482">
            <v>14000</v>
          </cell>
        </row>
        <row r="3483">
          <cell r="A3483" t="str">
            <v>Xà Lách Romaine 20/11/2024</v>
          </cell>
          <cell r="B3483">
            <v>30000</v>
          </cell>
        </row>
        <row r="3484">
          <cell r="A3484" t="str">
            <v>Tem dán KQ F40MM 20/11/2024</v>
          </cell>
          <cell r="B3484">
            <v>40</v>
          </cell>
        </row>
        <row r="3485">
          <cell r="A3485" t="str">
            <v>Cải Thảo Hỏa Tiễn 20/11/2024</v>
          </cell>
          <cell r="B3485">
            <v>16000</v>
          </cell>
        </row>
        <row r="3486">
          <cell r="A3486" t="str">
            <v>Cà Chua Beef 20/11/2024</v>
          </cell>
          <cell r="B3486">
            <v>21000</v>
          </cell>
        </row>
        <row r="3487">
          <cell r="A3487" t="str">
            <v>Bông Cải Xanh Cọng 20/11/2024</v>
          </cell>
          <cell r="B3487">
            <v>33000</v>
          </cell>
        </row>
        <row r="3488">
          <cell r="A3488" t="str">
            <v>Cà Chua Beef 20/11/2024</v>
          </cell>
          <cell r="B3488">
            <v>20000</v>
          </cell>
        </row>
        <row r="3489">
          <cell r="A3489" t="str">
            <v>Dưa Leo Baby 20/11/2024</v>
          </cell>
          <cell r="B3489">
            <v>4000</v>
          </cell>
        </row>
        <row r="3490">
          <cell r="A3490" t="str">
            <v>Cần Tây 20/11/2024</v>
          </cell>
          <cell r="B3490">
            <v>14000</v>
          </cell>
        </row>
        <row r="3491">
          <cell r="A3491" t="str">
            <v>Bắp Cải Tím 20/11/2024</v>
          </cell>
          <cell r="B3491">
            <v>30000</v>
          </cell>
        </row>
        <row r="3492">
          <cell r="A3492" t="str">
            <v>Bí Ngòi Xanh 20/11/2024</v>
          </cell>
          <cell r="B3492">
            <v>10000</v>
          </cell>
        </row>
        <row r="3493">
          <cell r="A3493" t="str">
            <v>Hành Paro 20/11/2024</v>
          </cell>
          <cell r="B3493">
            <v>34000</v>
          </cell>
        </row>
        <row r="3494">
          <cell r="A3494" t="str">
            <v>Cà Chua Beef 20/11/2024</v>
          </cell>
          <cell r="B3494">
            <v>19000</v>
          </cell>
        </row>
        <row r="3495">
          <cell r="A3495" t="str">
            <v>Xà Lách Lolo Xanh T.C 20/11/2024</v>
          </cell>
          <cell r="B3495">
            <v>26000</v>
          </cell>
        </row>
        <row r="3496">
          <cell r="A3496" t="str">
            <v>Bí Đao Xanh 20/11/2024</v>
          </cell>
          <cell r="B3496">
            <v>10000</v>
          </cell>
        </row>
        <row r="3497">
          <cell r="A3497" t="str">
            <v>Chanh Dây Tím 20/11/2024</v>
          </cell>
          <cell r="B3497">
            <v>25000</v>
          </cell>
        </row>
        <row r="3498">
          <cell r="A3498" t="str">
            <v>Củ Khoai Lang Nhật 20/11/2024</v>
          </cell>
          <cell r="B3498">
            <v>17000</v>
          </cell>
        </row>
        <row r="3499">
          <cell r="A3499" t="str">
            <v>Đậu Cove Nhật 20/11/2024</v>
          </cell>
          <cell r="B3499">
            <v>6000</v>
          </cell>
        </row>
        <row r="3500">
          <cell r="A3500" t="str">
            <v>Cà Rốt 20/11/2024</v>
          </cell>
          <cell r="B3500">
            <v>14500</v>
          </cell>
        </row>
        <row r="3501">
          <cell r="A3501" t="str">
            <v>Cà Rốt 20/11/2024</v>
          </cell>
          <cell r="B3501">
            <v>15000</v>
          </cell>
        </row>
        <row r="3502">
          <cell r="A3502" t="str">
            <v>Bông Cải Xanh Cọng 20/11/2024</v>
          </cell>
          <cell r="B3502">
            <v>28000</v>
          </cell>
        </row>
        <row r="3503">
          <cell r="A3503" t="str">
            <v>Bí Đao Xanh 20/11/2024</v>
          </cell>
          <cell r="B3503">
            <v>7000</v>
          </cell>
        </row>
        <row r="3504">
          <cell r="A3504" t="str">
            <v>Cà Tím 20/11/2024</v>
          </cell>
          <cell r="B3504">
            <v>7000</v>
          </cell>
        </row>
        <row r="3505">
          <cell r="A3505" t="str">
            <v>Bí Đỏ Tròn 20/11/2024</v>
          </cell>
          <cell r="B3505">
            <v>5000</v>
          </cell>
        </row>
        <row r="3506">
          <cell r="A3506" t="str">
            <v>Trái Su Su 20/11/2024</v>
          </cell>
          <cell r="B3506">
            <v>9500</v>
          </cell>
        </row>
        <row r="3507">
          <cell r="A3507" t="str">
            <v>Trái Su Su 20/11/2024</v>
          </cell>
          <cell r="B3507">
            <v>11000</v>
          </cell>
        </row>
        <row r="3508">
          <cell r="A3508" t="str">
            <v>Cải Thảo Kim Chi 20/11/2024</v>
          </cell>
          <cell r="B3508">
            <v>4500</v>
          </cell>
        </row>
        <row r="3509">
          <cell r="A3509" t="str">
            <v>Cà Chua Thường 20/11/2024</v>
          </cell>
          <cell r="B3509">
            <v>14000</v>
          </cell>
        </row>
        <row r="3510">
          <cell r="A3510" t="str">
            <v>Củ Su Hào 20/11/2024</v>
          </cell>
          <cell r="B3510">
            <v>18000</v>
          </cell>
        </row>
        <row r="3511">
          <cell r="A3511" t="str">
            <v>Củ Cải Trắng 20/11/2024</v>
          </cell>
          <cell r="B3511">
            <v>6500</v>
          </cell>
        </row>
        <row r="3512">
          <cell r="A3512" t="str">
            <v>Củ Khoai Tây Vàng 20/11/2024</v>
          </cell>
          <cell r="B3512">
            <v>15000</v>
          </cell>
        </row>
        <row r="3513">
          <cell r="A3513" t="str">
            <v>Củ Khoai Tây Bi Vàng 20/11/2024</v>
          </cell>
          <cell r="B3513">
            <v>12000</v>
          </cell>
        </row>
        <row r="3514">
          <cell r="A3514" t="str">
            <v>Bắp Cải Trắng 20/11/2024</v>
          </cell>
          <cell r="B3514">
            <v>13500</v>
          </cell>
        </row>
        <row r="3515">
          <cell r="A3515" t="str">
            <v>Bơ Booth 20/11/2024</v>
          </cell>
          <cell r="B3515">
            <v>27000</v>
          </cell>
        </row>
        <row r="3516">
          <cell r="A3516" t="str">
            <v>Chuối Laba 20/11/2024</v>
          </cell>
          <cell r="B3516">
            <v>13000</v>
          </cell>
        </row>
        <row r="3517">
          <cell r="A3517" t="str">
            <v>Cà Chua Thường 20/11/2024</v>
          </cell>
          <cell r="B3517">
            <v>18000</v>
          </cell>
        </row>
        <row r="3518">
          <cell r="A3518" t="str">
            <v>Đậu Cove Trắng 20/11/2024</v>
          </cell>
          <cell r="B3518">
            <v>11000</v>
          </cell>
        </row>
        <row r="3519">
          <cell r="A3519" t="str">
            <v>Bông Cải Trắng 20/11/2024</v>
          </cell>
          <cell r="B3519">
            <v>27000</v>
          </cell>
        </row>
        <row r="3520">
          <cell r="A3520" t="str">
            <v>Hồng Giòn Đà Lạt 20/11/2024</v>
          </cell>
          <cell r="B3520">
            <v>30000</v>
          </cell>
        </row>
        <row r="3521">
          <cell r="A3521" t="str">
            <v>Củ Dền 20/11/2024</v>
          </cell>
          <cell r="B3521">
            <v>18000</v>
          </cell>
        </row>
        <row r="3522">
          <cell r="A3522" t="str">
            <v>Củ Hành Tây 20/11/2024</v>
          </cell>
          <cell r="B3522">
            <v>6000</v>
          </cell>
        </row>
        <row r="3523">
          <cell r="A3523" t="str">
            <v>Cải Thảo 20/11/2024</v>
          </cell>
          <cell r="B3523">
            <v>7500</v>
          </cell>
        </row>
        <row r="3524">
          <cell r="A3524" t="str">
            <v>Cà Chua Beef 20/11/2024</v>
          </cell>
          <cell r="B3524">
            <v>18000</v>
          </cell>
        </row>
        <row r="3525">
          <cell r="A3525" t="str">
            <v>DO 0.05S-II 21/11/2024</v>
          </cell>
          <cell r="B3525">
            <v>17218.18</v>
          </cell>
        </row>
        <row r="3526">
          <cell r="A3526" t="str">
            <v>DO 0.05S-II 21/11/2024</v>
          </cell>
          <cell r="B3526">
            <v>17218.18</v>
          </cell>
        </row>
        <row r="3527">
          <cell r="A3527" t="str">
            <v>DO 0.05S-II 21/11/2024</v>
          </cell>
          <cell r="B3527">
            <v>17218.18</v>
          </cell>
        </row>
        <row r="3528">
          <cell r="A3528" t="str">
            <v>Phí hoàn vé HAN-DLI-HAN (ngày 20/11/2024 - 22/11/2024) 21/11/2024</v>
          </cell>
          <cell r="B3528">
            <v>700000</v>
          </cell>
        </row>
        <row r="3529">
          <cell r="A3529" t="str">
            <v>Bí Ngòi Xanh 21/11/2024</v>
          </cell>
          <cell r="B3529">
            <v>10000</v>
          </cell>
        </row>
        <row r="3530">
          <cell r="A3530" t="str">
            <v>Cà Chua Beef 21/11/2024</v>
          </cell>
          <cell r="B3530">
            <v>19000</v>
          </cell>
        </row>
        <row r="3531">
          <cell r="A3531" t="str">
            <v>Củ Khoai Tây Vàng 21/11/2024</v>
          </cell>
          <cell r="B3531">
            <v>18000</v>
          </cell>
        </row>
        <row r="3532">
          <cell r="A3532" t="str">
            <v>Cà Chua Bi Đỏ 21/11/2024</v>
          </cell>
          <cell r="B3532">
            <v>10500</v>
          </cell>
        </row>
        <row r="3533">
          <cell r="A3533" t="str">
            <v>Cà Chua Bi Đỏ 21/11/2024</v>
          </cell>
          <cell r="B3533">
            <v>17500</v>
          </cell>
        </row>
        <row r="3534">
          <cell r="A3534" t="str">
            <v>Ớt Chuông Đỏ 21/11/2024</v>
          </cell>
          <cell r="B3534">
            <v>35000</v>
          </cell>
        </row>
        <row r="3535">
          <cell r="A3535" t="str">
            <v>Ớt Chuông Vàng 21/11/2024</v>
          </cell>
          <cell r="B3535">
            <v>18000</v>
          </cell>
        </row>
        <row r="3536">
          <cell r="A3536" t="str">
            <v>Ớt Chuông Xanh 21/11/2024</v>
          </cell>
          <cell r="B3536">
            <v>28000</v>
          </cell>
        </row>
        <row r="3537">
          <cell r="A3537" t="str">
            <v>Ớt Chuông Snack 21/11/2024</v>
          </cell>
          <cell r="B3537">
            <v>49000</v>
          </cell>
        </row>
        <row r="3538">
          <cell r="A3538" t="str">
            <v>Củ Dền 21/11/2024</v>
          </cell>
          <cell r="B3538">
            <v>18000</v>
          </cell>
        </row>
        <row r="3539">
          <cell r="A3539" t="str">
            <v>Cà Rốt 21/11/2024</v>
          </cell>
          <cell r="B3539">
            <v>15000</v>
          </cell>
        </row>
        <row r="3540">
          <cell r="A3540" t="str">
            <v>Đậu Cove Nhật 21/11/2024</v>
          </cell>
          <cell r="B3540">
            <v>6000</v>
          </cell>
        </row>
        <row r="3541">
          <cell r="A3541" t="str">
            <v>Cà Chua Thường 21/11/2024</v>
          </cell>
          <cell r="B3541">
            <v>17000</v>
          </cell>
        </row>
        <row r="3542">
          <cell r="A3542" t="str">
            <v>Hồng Treo Gió 21/11/2024</v>
          </cell>
          <cell r="B3542">
            <v>200000</v>
          </cell>
        </row>
        <row r="3543">
          <cell r="A3543" t="str">
            <v>Củ Khoai Lang Nhật 21/11/2024</v>
          </cell>
          <cell r="B3543">
            <v>17000</v>
          </cell>
        </row>
        <row r="3544">
          <cell r="A3544" t="str">
            <v>Bắp Cải Trái Tim 21/11/2024</v>
          </cell>
          <cell r="B3544">
            <v>17000</v>
          </cell>
        </row>
        <row r="3545">
          <cell r="A3545" t="str">
            <v>Hồng Treo Gió 21/11/2024</v>
          </cell>
          <cell r="B3545">
            <v>200000</v>
          </cell>
        </row>
        <row r="3546">
          <cell r="A3546" t="str">
            <v>Ớt Sweet Palemo 21/11/2024</v>
          </cell>
          <cell r="B3546">
            <v>60000</v>
          </cell>
        </row>
        <row r="3547">
          <cell r="A3547" t="str">
            <v>Đậu Cove Trắng 21/11/2024</v>
          </cell>
          <cell r="B3547">
            <v>11000</v>
          </cell>
        </row>
        <row r="3548">
          <cell r="A3548" t="str">
            <v>Trái Mít Thái 21/11/2024</v>
          </cell>
          <cell r="B3548">
            <v>19547</v>
          </cell>
        </row>
        <row r="3549">
          <cell r="A3549" t="str">
            <v>Củ Dền 21/11/2024</v>
          </cell>
          <cell r="B3549">
            <v>18000</v>
          </cell>
        </row>
        <row r="3550">
          <cell r="A3550" t="str">
            <v>Củ Cải Trắng 21/11/2024</v>
          </cell>
          <cell r="B3550">
            <v>6500</v>
          </cell>
        </row>
        <row r="3551">
          <cell r="A3551" t="str">
            <v>Xà Lách Thủy Tinh T.C Cây 21/11/2024</v>
          </cell>
          <cell r="B3551">
            <v>6500</v>
          </cell>
        </row>
        <row r="3552">
          <cell r="A3552" t="str">
            <v>Bí Đao Xanh 21/11/2024</v>
          </cell>
          <cell r="B3552">
            <v>7500</v>
          </cell>
        </row>
        <row r="3553">
          <cell r="A3553" t="str">
            <v>Lá Nha Đam 21/11/2024</v>
          </cell>
          <cell r="B3553">
            <v>14000</v>
          </cell>
        </row>
        <row r="3554">
          <cell r="A3554" t="str">
            <v>Củ Khoai Lang Nhật 21/11/2024</v>
          </cell>
          <cell r="B3554">
            <v>17500</v>
          </cell>
        </row>
        <row r="3555">
          <cell r="A3555" t="str">
            <v>Đậu Cove Nhật 21/11/2024</v>
          </cell>
          <cell r="B3555">
            <v>6000</v>
          </cell>
        </row>
        <row r="3556">
          <cell r="A3556" t="str">
            <v>Bắp Cải Trắng 21/11/2024</v>
          </cell>
          <cell r="B3556">
            <v>13000</v>
          </cell>
        </row>
        <row r="3557">
          <cell r="A3557" t="str">
            <v>Cà Chua Thường 21/11/2024</v>
          </cell>
          <cell r="B3557">
            <v>17000</v>
          </cell>
        </row>
        <row r="3558">
          <cell r="A3558" t="str">
            <v>Cần Tây 21/11/2024</v>
          </cell>
          <cell r="B3558">
            <v>20000</v>
          </cell>
        </row>
        <row r="3559">
          <cell r="A3559" t="str">
            <v>Củ Cải Trắng 21/11/2024</v>
          </cell>
          <cell r="B3559">
            <v>6000</v>
          </cell>
        </row>
        <row r="3560">
          <cell r="A3560" t="str">
            <v>Cà Rốt 21/11/2024</v>
          </cell>
          <cell r="B3560">
            <v>14000</v>
          </cell>
        </row>
        <row r="3561">
          <cell r="A3561" t="str">
            <v>Măng Tây 21/11/2024</v>
          </cell>
          <cell r="B3561">
            <v>62000</v>
          </cell>
        </row>
        <row r="3562">
          <cell r="A3562" t="str">
            <v>Măng Tây 21/11/2024</v>
          </cell>
          <cell r="B3562">
            <v>52000</v>
          </cell>
        </row>
        <row r="3563">
          <cell r="A3563" t="str">
            <v>Lá É 21/11/2024</v>
          </cell>
          <cell r="B3563">
            <v>26000</v>
          </cell>
        </row>
        <row r="3564">
          <cell r="A3564" t="str">
            <v>Cà Chua Bi Đỏ 21/11/2024</v>
          </cell>
          <cell r="B3564">
            <v>17500</v>
          </cell>
        </row>
        <row r="3565">
          <cell r="A3565" t="str">
            <v>Cà Chua Bi Đỏ 21/11/2024</v>
          </cell>
          <cell r="B3565">
            <v>10500</v>
          </cell>
        </row>
        <row r="3566">
          <cell r="A3566" t="str">
            <v>Xà Lách Mỡ T.C 21/11/2024</v>
          </cell>
          <cell r="B3566">
            <v>27000</v>
          </cell>
        </row>
        <row r="3567">
          <cell r="A3567" t="str">
            <v>Xà Lách Lolo Xanh T.C 21/11/2024</v>
          </cell>
          <cell r="B3567">
            <v>28000</v>
          </cell>
        </row>
        <row r="3568">
          <cell r="A3568" t="str">
            <v>Xà Lách Thủy Tinh T.C Cây 21/11/2024</v>
          </cell>
          <cell r="B3568">
            <v>8000</v>
          </cell>
        </row>
        <row r="3569">
          <cell r="A3569" t="str">
            <v>Cải Kale 21/11/2024</v>
          </cell>
          <cell r="B3569">
            <v>29000</v>
          </cell>
        </row>
        <row r="3570">
          <cell r="A3570" t="str">
            <v>Cà Chua Bi Mix 21/11/2024</v>
          </cell>
          <cell r="B3570">
            <v>51500</v>
          </cell>
        </row>
        <row r="3571">
          <cell r="A3571" t="str">
            <v>Cà Chua Socola 21/11/2024</v>
          </cell>
          <cell r="B3571">
            <v>41500</v>
          </cell>
        </row>
        <row r="3572">
          <cell r="A3572" t="str">
            <v>Chanh Không Hạt 21/11/2024</v>
          </cell>
          <cell r="B3572">
            <v>26000</v>
          </cell>
        </row>
        <row r="3573">
          <cell r="A3573" t="str">
            <v>Cà Chua Beef 21/11/2024</v>
          </cell>
          <cell r="B3573">
            <v>19000</v>
          </cell>
        </row>
        <row r="3574">
          <cell r="A3574" t="str">
            <v>Cà Chua Thường 21/11/2024</v>
          </cell>
          <cell r="B3574">
            <v>17000</v>
          </cell>
        </row>
        <row r="3575">
          <cell r="A3575" t="str">
            <v>Cà Chua Thường Trung 21/11/2024</v>
          </cell>
          <cell r="B3575">
            <v>15000</v>
          </cell>
        </row>
        <row r="3576">
          <cell r="A3576" t="str">
            <v>Củ Su Hào 21/11/2024</v>
          </cell>
          <cell r="B3576">
            <v>17000</v>
          </cell>
        </row>
        <row r="3577">
          <cell r="A3577" t="str">
            <v>Lá Mè 21/11/2024</v>
          </cell>
          <cell r="B3577">
            <v>38000</v>
          </cell>
        </row>
        <row r="3578">
          <cell r="A3578" t="str">
            <v>Cải Kale 21/11/2024</v>
          </cell>
          <cell r="B3578">
            <v>26000</v>
          </cell>
        </row>
        <row r="3579">
          <cell r="A3579" t="str">
            <v>Chuối Laba 21/11/2024</v>
          </cell>
          <cell r="B3579">
            <v>13000</v>
          </cell>
        </row>
        <row r="3580">
          <cell r="A3580" t="str">
            <v>Lá Nha Đam 21/11/2024</v>
          </cell>
          <cell r="B3580">
            <v>14000</v>
          </cell>
        </row>
        <row r="3581">
          <cell r="A3581" t="str">
            <v>Trái Su Su 21/11/2024</v>
          </cell>
          <cell r="B3581">
            <v>9500</v>
          </cell>
        </row>
        <row r="3582">
          <cell r="A3582" t="str">
            <v>Bắp Cải Trắng 21/11/2024</v>
          </cell>
          <cell r="B3582">
            <v>13000</v>
          </cell>
        </row>
        <row r="3583">
          <cell r="A3583" t="str">
            <v>Bơ Booth 21/11/2024</v>
          </cell>
          <cell r="B3583">
            <v>30000</v>
          </cell>
        </row>
        <row r="3584">
          <cell r="A3584" t="str">
            <v>Xà Lách Lolo Xanh T.C Cây 21/11/2024</v>
          </cell>
          <cell r="B3584">
            <v>6800</v>
          </cell>
        </row>
        <row r="3585">
          <cell r="A3585" t="str">
            <v>Xà Lách Lolo Xanh T.C 21/11/2024</v>
          </cell>
          <cell r="B3585">
            <v>28000</v>
          </cell>
        </row>
        <row r="3586">
          <cell r="A3586" t="str">
            <v>Xà Lách Mỡ T.C Cây 21/11/2024</v>
          </cell>
          <cell r="B3586">
            <v>6800</v>
          </cell>
        </row>
        <row r="3587">
          <cell r="A3587" t="str">
            <v>Xà Lách Mỡ T.C 21/11/2024</v>
          </cell>
          <cell r="B3587">
            <v>28000</v>
          </cell>
        </row>
        <row r="3588">
          <cell r="A3588" t="str">
            <v>Xà Lách Thủy Tinh T.C Cây 21/11/2024</v>
          </cell>
          <cell r="B3588">
            <v>6800</v>
          </cell>
        </row>
        <row r="3589">
          <cell r="A3589" t="str">
            <v>Cà Chua Beef 21/11/2024</v>
          </cell>
          <cell r="B3589">
            <v>20000</v>
          </cell>
        </row>
        <row r="3590">
          <cell r="A3590" t="str">
            <v>Bí Ngòi Xanh 21/11/2024</v>
          </cell>
          <cell r="B3590">
            <v>10000</v>
          </cell>
        </row>
        <row r="3591">
          <cell r="A3591" t="str">
            <v>Cà Chua Socola 21/11/2024</v>
          </cell>
          <cell r="B3591">
            <v>8000</v>
          </cell>
        </row>
        <row r="3592">
          <cell r="A3592" t="str">
            <v>Rau Bầu Đất 21/11/2024</v>
          </cell>
          <cell r="B3592">
            <v>30000</v>
          </cell>
        </row>
        <row r="3593">
          <cell r="A3593" t="str">
            <v>Lá Tía Tô 21/11/2024</v>
          </cell>
          <cell r="B3593">
            <v>32000</v>
          </cell>
        </row>
        <row r="3594">
          <cell r="A3594" t="str">
            <v>Cà Tím 21/11/2024</v>
          </cell>
          <cell r="B3594">
            <v>7000</v>
          </cell>
        </row>
        <row r="3595">
          <cell r="A3595" t="str">
            <v>Cà Tím 21/11/2024</v>
          </cell>
          <cell r="B3595">
            <v>4500</v>
          </cell>
        </row>
        <row r="3596">
          <cell r="A3596" t="str">
            <v>Dưa Leo Baby 21/11/2024</v>
          </cell>
          <cell r="B3596">
            <v>4000</v>
          </cell>
        </row>
        <row r="3597">
          <cell r="A3597" t="str">
            <v>Dưa Leo Baby 21/11/2024</v>
          </cell>
          <cell r="B3597">
            <v>6000</v>
          </cell>
        </row>
        <row r="3598">
          <cell r="A3598" t="str">
            <v>Bông Cải Xanh 7Cm 21/11/2024</v>
          </cell>
          <cell r="B3598">
            <v>26000</v>
          </cell>
        </row>
        <row r="3599">
          <cell r="A3599" t="str">
            <v>Củ Khoai Mỡ 21/11/2024</v>
          </cell>
          <cell r="B3599">
            <v>25000</v>
          </cell>
        </row>
        <row r="3600">
          <cell r="A3600" t="str">
            <v>Củ Gừng 21/11/2024</v>
          </cell>
          <cell r="B3600">
            <v>39000</v>
          </cell>
        </row>
        <row r="3601">
          <cell r="A3601" t="str">
            <v>Bơ Booth 21/11/2024</v>
          </cell>
          <cell r="B3601">
            <v>31000</v>
          </cell>
        </row>
        <row r="3602">
          <cell r="A3602" t="str">
            <v>Bơ Booth 21/11/2024</v>
          </cell>
          <cell r="B3602">
            <v>39000</v>
          </cell>
        </row>
        <row r="3603">
          <cell r="A3603" t="str">
            <v>Trái Su Su 21/11/2024</v>
          </cell>
          <cell r="B3603">
            <v>9000</v>
          </cell>
        </row>
        <row r="3604">
          <cell r="A3604" t="str">
            <v>Dưa Leo Thường 21/11/2024</v>
          </cell>
          <cell r="B3604">
            <v>3000</v>
          </cell>
        </row>
        <row r="3605">
          <cell r="A3605" t="str">
            <v>Trái Khổ Qua 21/11/2024</v>
          </cell>
          <cell r="B3605">
            <v>11000</v>
          </cell>
        </row>
        <row r="3606">
          <cell r="A3606" t="str">
            <v>Xà Lách Thủy Tinh T.C Cây 21/11/2024</v>
          </cell>
          <cell r="B3606">
            <v>8000</v>
          </cell>
        </row>
        <row r="3607">
          <cell r="A3607" t="str">
            <v>Cà Chua Thường 21/11/2024</v>
          </cell>
          <cell r="B3607">
            <v>17000</v>
          </cell>
        </row>
        <row r="3608">
          <cell r="A3608" t="str">
            <v>Cà Chua Socola 21/11/2024</v>
          </cell>
          <cell r="B3608">
            <v>28000</v>
          </cell>
        </row>
        <row r="3609">
          <cell r="A3609" t="str">
            <v>Gia Công Rau Củ Quả 21/11/2024</v>
          </cell>
          <cell r="B3609">
            <v>1000</v>
          </cell>
        </row>
        <row r="3610">
          <cell r="A3610" t="str">
            <v>Bí Ngòi Xanh 21/11/2024</v>
          </cell>
          <cell r="B3610">
            <v>10000</v>
          </cell>
        </row>
        <row r="3611">
          <cell r="A3611" t="str">
            <v>Dưa Leo Baby 21/11/2024</v>
          </cell>
          <cell r="B3611">
            <v>6000</v>
          </cell>
        </row>
        <row r="3612">
          <cell r="A3612" t="str">
            <v>Ớt Sweet Palemo 21/11/2024</v>
          </cell>
          <cell r="B3612">
            <v>20000</v>
          </cell>
        </row>
        <row r="3613">
          <cell r="A3613" t="str">
            <v>Rau Ngò Rí 21/11/2024</v>
          </cell>
          <cell r="B3613">
            <v>35000</v>
          </cell>
        </row>
        <row r="3614">
          <cell r="A3614" t="str">
            <v>Bông Cải Xanh Gốc Dài 21/11/2024</v>
          </cell>
          <cell r="B3614">
            <v>30000</v>
          </cell>
        </row>
        <row r="3615">
          <cell r="A3615" t="str">
            <v>Ớt Chuông Baby 21/11/2024</v>
          </cell>
          <cell r="B3615">
            <v>50000</v>
          </cell>
        </row>
        <row r="3616">
          <cell r="A3616" t="str">
            <v>Bông Cải Xanh 10Cm 21/11/2024</v>
          </cell>
          <cell r="B3616">
            <v>31000</v>
          </cell>
        </row>
        <row r="3617">
          <cell r="A3617" t="str">
            <v>Ớt Chuông Đỏ Trung 21/11/2024</v>
          </cell>
          <cell r="B3617">
            <v>25000</v>
          </cell>
        </row>
        <row r="3618">
          <cell r="A3618" t="str">
            <v>Ớt Chuông Vàng Trung 21/11/2024</v>
          </cell>
          <cell r="B3618">
            <v>13000</v>
          </cell>
        </row>
        <row r="3619">
          <cell r="A3619" t="str">
            <v>Ớt Chuông Xanh Trung 21/11/2024</v>
          </cell>
          <cell r="B3619">
            <v>26000</v>
          </cell>
        </row>
        <row r="3620">
          <cell r="A3620" t="str">
            <v>Cà Chua Beef 21/11/2024</v>
          </cell>
          <cell r="B3620">
            <v>22000</v>
          </cell>
        </row>
        <row r="3621">
          <cell r="A3621" t="str">
            <v>Cà Chua Socola 21/11/2024</v>
          </cell>
          <cell r="B3621">
            <v>8500</v>
          </cell>
        </row>
        <row r="3622">
          <cell r="A3622" t="str">
            <v>Cần Tây 21/11/2024</v>
          </cell>
          <cell r="B3622">
            <v>20000</v>
          </cell>
        </row>
        <row r="3623">
          <cell r="A3623" t="str">
            <v>Cần Tây 21/11/2024</v>
          </cell>
          <cell r="B3623">
            <v>17000</v>
          </cell>
        </row>
        <row r="3624">
          <cell r="A3624" t="str">
            <v>Bông Cải Trắng 21/11/2024</v>
          </cell>
          <cell r="B3624">
            <v>27000</v>
          </cell>
        </row>
        <row r="3625">
          <cell r="A3625" t="str">
            <v>Cải Bó Xôi 21/11/2024</v>
          </cell>
          <cell r="B3625">
            <v>24000</v>
          </cell>
        </row>
        <row r="3626">
          <cell r="A3626" t="str">
            <v>Dưa Leo Baby 21/11/2024</v>
          </cell>
          <cell r="B3626">
            <v>4000</v>
          </cell>
        </row>
        <row r="3627">
          <cell r="A3627" t="str">
            <v>Cà Chua Beef Chùm 21/11/2024</v>
          </cell>
          <cell r="B3627">
            <v>23000</v>
          </cell>
        </row>
        <row r="3628">
          <cell r="A3628" t="str">
            <v>Cà Chua Beef 21/11/2024</v>
          </cell>
          <cell r="B3628">
            <v>21000</v>
          </cell>
        </row>
        <row r="3629">
          <cell r="A3629" t="str">
            <v>Cà Chua Beef Trung 21/11/2024</v>
          </cell>
          <cell r="B3629">
            <v>15000</v>
          </cell>
        </row>
        <row r="3630">
          <cell r="A3630" t="str">
            <v>Bông Cải Xanh 7Cm 21/11/2024</v>
          </cell>
          <cell r="B3630">
            <v>37000</v>
          </cell>
        </row>
        <row r="3631">
          <cell r="A3631" t="str">
            <v>Ớt Sweet Palemo 21/11/2024</v>
          </cell>
          <cell r="B3631">
            <v>21000</v>
          </cell>
        </row>
        <row r="3632">
          <cell r="A3632" t="str">
            <v>Bí Ngòi Xanh 21/11/2024</v>
          </cell>
          <cell r="B3632">
            <v>11500</v>
          </cell>
        </row>
        <row r="3633">
          <cell r="A3633" t="str">
            <v>Bí Ngòi Xanh 21/11/2024</v>
          </cell>
          <cell r="B3633">
            <v>10000</v>
          </cell>
        </row>
        <row r="3634">
          <cell r="A3634" t="str">
            <v>Hành Paro 21/11/2024</v>
          </cell>
          <cell r="B3634">
            <v>32000</v>
          </cell>
        </row>
        <row r="3635">
          <cell r="A3635" t="str">
            <v>Xà Lách Mỹ 21/11/2024</v>
          </cell>
          <cell r="B3635">
            <v>33000</v>
          </cell>
        </row>
        <row r="3636">
          <cell r="A3636" t="str">
            <v>Cà Rốt Baby 21/11/2024</v>
          </cell>
          <cell r="B3636">
            <v>48000</v>
          </cell>
        </row>
        <row r="3637">
          <cell r="A3637" t="str">
            <v>Cải Kale 21/11/2024</v>
          </cell>
          <cell r="B3637">
            <v>30000</v>
          </cell>
        </row>
        <row r="3638">
          <cell r="A3638" t="str">
            <v>Bông Cải Xanh 7Cm 21/11/2024</v>
          </cell>
          <cell r="B3638">
            <v>36000</v>
          </cell>
        </row>
        <row r="3639">
          <cell r="A3639" t="str">
            <v>Bông Cải Xanh 7Cm 21/11/2024</v>
          </cell>
          <cell r="B3639">
            <v>37000</v>
          </cell>
        </row>
        <row r="3640">
          <cell r="A3640" t="str">
            <v>Bông Cải Xanh Baby 21/11/2024</v>
          </cell>
          <cell r="B3640">
            <v>56000</v>
          </cell>
        </row>
        <row r="3641">
          <cell r="A3641" t="str">
            <v>Lá Hương Thảo 21/11/2024</v>
          </cell>
          <cell r="B3641">
            <v>100000</v>
          </cell>
        </row>
        <row r="3642">
          <cell r="A3642" t="str">
            <v>Xà Lách Lolo Tím 21/11/2024</v>
          </cell>
          <cell r="B3642">
            <v>40000</v>
          </cell>
        </row>
        <row r="3643">
          <cell r="A3643" t="str">
            <v>Củ Cải Đỏ 21/11/2024</v>
          </cell>
          <cell r="B3643">
            <v>13000</v>
          </cell>
        </row>
        <row r="3644">
          <cell r="A3644" t="str">
            <v>Lá Mè 21/11/2024</v>
          </cell>
          <cell r="B3644">
            <v>40000</v>
          </cell>
        </row>
        <row r="3645">
          <cell r="A3645" t="str">
            <v>Lá Mè 21/11/2024</v>
          </cell>
          <cell r="B3645">
            <v>40000</v>
          </cell>
        </row>
        <row r="3646">
          <cell r="A3646" t="str">
            <v>Cải Kale 21/11/2024</v>
          </cell>
          <cell r="B3646">
            <v>29000</v>
          </cell>
        </row>
        <row r="3647">
          <cell r="A3647" t="str">
            <v>Cải Kale 21/11/2024</v>
          </cell>
          <cell r="B3647">
            <v>30500</v>
          </cell>
        </row>
        <row r="3648">
          <cell r="A3648" t="str">
            <v>Cà Chua Bi Mix 21/11/2024</v>
          </cell>
          <cell r="B3648">
            <v>51500</v>
          </cell>
        </row>
        <row r="3649">
          <cell r="A3649" t="str">
            <v>Cà Chua Beef 21/11/2024</v>
          </cell>
          <cell r="B3649">
            <v>18000</v>
          </cell>
        </row>
        <row r="3650">
          <cell r="A3650" t="str">
            <v>Cà Chua Beef 21/11/2024</v>
          </cell>
          <cell r="B3650">
            <v>15600</v>
          </cell>
        </row>
        <row r="3651">
          <cell r="A3651" t="str">
            <v>Cải Bó Xôi 21/11/2024</v>
          </cell>
          <cell r="B3651">
            <v>29000</v>
          </cell>
        </row>
        <row r="3652">
          <cell r="A3652" t="str">
            <v>Cà Chua Beef Trung 21/11/2024</v>
          </cell>
          <cell r="B3652">
            <v>19000</v>
          </cell>
        </row>
        <row r="3653">
          <cell r="A3653" t="str">
            <v>Củ Cải Đỏ 21/11/2024</v>
          </cell>
          <cell r="B3653">
            <v>13000</v>
          </cell>
        </row>
        <row r="3654">
          <cell r="A3654" t="str">
            <v>Ớt Sweet Palemo 21/11/2024</v>
          </cell>
          <cell r="B3654">
            <v>22000</v>
          </cell>
        </row>
        <row r="3655">
          <cell r="A3655" t="str">
            <v>Xà Lách Lolo Xanh 21/11/2024</v>
          </cell>
          <cell r="B3655">
            <v>14000</v>
          </cell>
        </row>
        <row r="3656">
          <cell r="A3656" t="str">
            <v>Xà Lách Lolo Xanh 21/11/2024</v>
          </cell>
          <cell r="B3656">
            <v>17000</v>
          </cell>
        </row>
        <row r="3657">
          <cell r="A3657" t="str">
            <v>Bông Cải Xanh Baby 21/11/2024</v>
          </cell>
          <cell r="B3657">
            <v>56000</v>
          </cell>
        </row>
        <row r="3658">
          <cell r="A3658" t="str">
            <v>Cà Chua Socola 21/11/2024</v>
          </cell>
          <cell r="B3658">
            <v>10000</v>
          </cell>
        </row>
        <row r="3659">
          <cell r="A3659" t="str">
            <v>Cà Rốt Baby 21/11/2024</v>
          </cell>
          <cell r="B3659">
            <v>48000</v>
          </cell>
        </row>
        <row r="3660">
          <cell r="A3660" t="str">
            <v>Cải Cầu Vồng 21/11/2024</v>
          </cell>
          <cell r="B3660">
            <v>18000</v>
          </cell>
        </row>
        <row r="3661">
          <cell r="A3661" t="str">
            <v>Bí Ngòi Xanh 21/11/2024</v>
          </cell>
          <cell r="B3661">
            <v>11000</v>
          </cell>
        </row>
        <row r="3662">
          <cell r="A3662" t="str">
            <v>Xà Lách Lolo Xanh T.C Cây 21/11/2024</v>
          </cell>
          <cell r="B3662">
            <v>6800</v>
          </cell>
        </row>
        <row r="3663">
          <cell r="A3663" t="str">
            <v>Xà Lách Thủy Tinh T.C Cây 21/11/2024</v>
          </cell>
          <cell r="B3663">
            <v>6800</v>
          </cell>
        </row>
        <row r="3664">
          <cell r="A3664" t="str">
            <v>Xà Lách Thủy Tinh T.C 21/11/2024</v>
          </cell>
          <cell r="B3664">
            <v>30000</v>
          </cell>
        </row>
        <row r="3665">
          <cell r="A3665" t="str">
            <v>Củ Khoai Tây Vàng 21/11/2024</v>
          </cell>
          <cell r="B3665">
            <v>18000</v>
          </cell>
        </row>
        <row r="3666">
          <cell r="A3666" t="str">
            <v>Hạt Dẻ Ngố 21/11/2024</v>
          </cell>
          <cell r="B3666">
            <v>27600</v>
          </cell>
        </row>
        <row r="3667">
          <cell r="A3667" t="str">
            <v>Củ Cải Trắng 21/11/2024</v>
          </cell>
          <cell r="B3667">
            <v>6000</v>
          </cell>
        </row>
        <row r="3668">
          <cell r="A3668" t="str">
            <v>Túi OPP (20x65) 21/11/2024</v>
          </cell>
          <cell r="B3668">
            <v>55000</v>
          </cell>
        </row>
        <row r="3669">
          <cell r="A3669" t="str">
            <v>Găng tay y tế 21/11/2024</v>
          </cell>
          <cell r="B3669">
            <v>1100</v>
          </cell>
        </row>
        <row r="3670">
          <cell r="A3670" t="str">
            <v>Dây rút nhựa 3x100 21/11/2024</v>
          </cell>
          <cell r="B3670">
            <v>35000</v>
          </cell>
        </row>
        <row r="3671">
          <cell r="A3671" t="str">
            <v>Túi lưới nhựa 21/11/2024</v>
          </cell>
          <cell r="B3671">
            <v>62000</v>
          </cell>
        </row>
        <row r="3672">
          <cell r="A3672" t="str">
            <v>Củ Khoai Lang Nhật 21/11/2024</v>
          </cell>
          <cell r="B3672">
            <v>17000</v>
          </cell>
        </row>
        <row r="3673">
          <cell r="A3673" t="str">
            <v>Đậu Cove Nhật 21/11/2024</v>
          </cell>
          <cell r="B3673">
            <v>6000</v>
          </cell>
        </row>
        <row r="3674">
          <cell r="A3674" t="str">
            <v>Cà Chua Thường 21/11/2024</v>
          </cell>
          <cell r="B3674">
            <v>14000</v>
          </cell>
        </row>
        <row r="3675">
          <cell r="A3675" t="str">
            <v>Bắp Cải Trắng 21/11/2024</v>
          </cell>
          <cell r="B3675">
            <v>12000</v>
          </cell>
        </row>
        <row r="3676">
          <cell r="A3676" t="str">
            <v>Chuối Laba 21/11/2024</v>
          </cell>
          <cell r="B3676">
            <v>13000</v>
          </cell>
        </row>
        <row r="3677">
          <cell r="A3677" t="str">
            <v>Bí Ngòi Vàng 21/11/2024</v>
          </cell>
          <cell r="B3677">
            <v>45000</v>
          </cell>
        </row>
        <row r="3678">
          <cell r="A3678" t="str">
            <v>Hành Paro 21/11/2024</v>
          </cell>
          <cell r="B3678">
            <v>36000</v>
          </cell>
        </row>
        <row r="3679">
          <cell r="A3679" t="str">
            <v>Cà Chua Beef 21/11/2024</v>
          </cell>
          <cell r="B3679">
            <v>19000</v>
          </cell>
        </row>
        <row r="3680">
          <cell r="A3680" t="str">
            <v>Bí Ngòi Xanh 21/11/2024</v>
          </cell>
          <cell r="B3680">
            <v>10000</v>
          </cell>
        </row>
        <row r="3681">
          <cell r="A3681" t="str">
            <v>Bông Cải Xanh Cọng 21/11/2024</v>
          </cell>
          <cell r="B3681">
            <v>33000</v>
          </cell>
        </row>
        <row r="3682">
          <cell r="A3682" t="str">
            <v>Cà Chua Beef 21/11/2024</v>
          </cell>
          <cell r="B3682">
            <v>19000</v>
          </cell>
        </row>
        <row r="3683">
          <cell r="A3683" t="str">
            <v>Cà Chua Beef 21/11/2024</v>
          </cell>
          <cell r="B3683">
            <v>19000</v>
          </cell>
        </row>
        <row r="3684">
          <cell r="A3684" t="str">
            <v>Cải Thảo Hỏa Tiễn 21/11/2024</v>
          </cell>
          <cell r="B3684">
            <v>16000</v>
          </cell>
        </row>
        <row r="3685">
          <cell r="A3685" t="str">
            <v>Bông Cải Trắng 21/11/2024</v>
          </cell>
          <cell r="B3685">
            <v>27000</v>
          </cell>
        </row>
        <row r="3686">
          <cell r="A3686" t="str">
            <v>Cần Tây 21/11/2024</v>
          </cell>
          <cell r="B3686">
            <v>16000</v>
          </cell>
        </row>
        <row r="3687">
          <cell r="A3687" t="str">
            <v>Bắp Cải Tím 21/11/2024</v>
          </cell>
          <cell r="B3687">
            <v>30000</v>
          </cell>
        </row>
        <row r="3688">
          <cell r="A3688" t="str">
            <v>Cải Thảo 21/11/2024</v>
          </cell>
          <cell r="B3688">
            <v>7000</v>
          </cell>
        </row>
        <row r="3689">
          <cell r="A3689" t="str">
            <v>Cải Thảo 21/11/2024</v>
          </cell>
          <cell r="B3689">
            <v>6000</v>
          </cell>
        </row>
        <row r="3690">
          <cell r="A3690" t="str">
            <v>Cải Thảo Kim Chi 21/11/2024</v>
          </cell>
          <cell r="B3690">
            <v>5000</v>
          </cell>
        </row>
        <row r="3691">
          <cell r="A3691" t="str">
            <v>Bông Cải Xanh Cọng 21/11/2024</v>
          </cell>
          <cell r="B3691">
            <v>28000</v>
          </cell>
        </row>
        <row r="3692">
          <cell r="A3692" t="str">
            <v>Cà Rốt 21/11/2024</v>
          </cell>
          <cell r="B3692">
            <v>14500</v>
          </cell>
        </row>
        <row r="3693">
          <cell r="A3693" t="str">
            <v>Xà Lách Lolo Xanh T.C 21/11/2024</v>
          </cell>
          <cell r="B3693">
            <v>26000</v>
          </cell>
        </row>
        <row r="3694">
          <cell r="A3694" t="str">
            <v>Bí Đao Xanh 21/11/2024</v>
          </cell>
          <cell r="B3694">
            <v>10000</v>
          </cell>
        </row>
        <row r="3695">
          <cell r="A3695" t="str">
            <v>Trái Su Su 21/11/2024</v>
          </cell>
          <cell r="B3695">
            <v>7000</v>
          </cell>
        </row>
        <row r="3696">
          <cell r="A3696" t="str">
            <v>Bí Non Nhật 21/11/2024</v>
          </cell>
          <cell r="B3696">
            <v>10000</v>
          </cell>
        </row>
        <row r="3697">
          <cell r="A3697" t="str">
            <v>Chanh Dây Tím 21/11/2024</v>
          </cell>
          <cell r="B3697">
            <v>25000</v>
          </cell>
        </row>
        <row r="3698">
          <cell r="A3698" t="str">
            <v>Cải Thảo Kim Chi 21/11/2024</v>
          </cell>
          <cell r="B3698">
            <v>4500</v>
          </cell>
        </row>
        <row r="3699">
          <cell r="A3699" t="str">
            <v>Bí Đao Xanh 21/11/2024</v>
          </cell>
          <cell r="B3699">
            <v>7500</v>
          </cell>
        </row>
        <row r="3700">
          <cell r="A3700" t="str">
            <v>Cà Tím 21/11/2024</v>
          </cell>
          <cell r="B3700">
            <v>7000</v>
          </cell>
        </row>
        <row r="3701">
          <cell r="A3701" t="str">
            <v>Củ Cải Trắng 21/11/2024</v>
          </cell>
          <cell r="B3701">
            <v>6500</v>
          </cell>
        </row>
        <row r="3702">
          <cell r="A3702" t="str">
            <v>Củ Su Hào 21/11/2024</v>
          </cell>
          <cell r="B3702">
            <v>17000</v>
          </cell>
        </row>
        <row r="3703">
          <cell r="A3703" t="str">
            <v>Củ Khoai Tây Vàng 21/11/2024</v>
          </cell>
          <cell r="B3703">
            <v>18000</v>
          </cell>
        </row>
        <row r="3704">
          <cell r="A3704" t="str">
            <v>Cà Rốt 21/11/2024</v>
          </cell>
          <cell r="B3704">
            <v>15000</v>
          </cell>
        </row>
        <row r="3705">
          <cell r="A3705" t="str">
            <v>Đậu Cove Trắng 21/11/2024</v>
          </cell>
          <cell r="B3705">
            <v>11000</v>
          </cell>
        </row>
        <row r="3706">
          <cell r="A3706" t="str">
            <v>Dưa Leo Baby 21/11/2024</v>
          </cell>
          <cell r="B3706">
            <v>5000</v>
          </cell>
        </row>
        <row r="3707">
          <cell r="A3707" t="str">
            <v>Cước đường bộ xe 49C37197T đi qua trạm Liên Đầm thời gian GD 23:17:58 ngày 22/11/2024 mã GD 1509128224 22/11/2024</v>
          </cell>
          <cell r="B3707">
            <v>78704</v>
          </cell>
        </row>
        <row r="3708">
          <cell r="A3708" t="str">
            <v>DO 0.05S-II 22/11/2024</v>
          </cell>
          <cell r="B3708">
            <v>17154.55</v>
          </cell>
        </row>
        <row r="3709">
          <cell r="A3709" t="str">
            <v>Dầu DO 0,05S-II 22/11/2024</v>
          </cell>
          <cell r="B3709">
            <v>17154.55</v>
          </cell>
        </row>
        <row r="3710">
          <cell r="A3710" t="str">
            <v>DO 0.05S-II 22/11/2024</v>
          </cell>
          <cell r="B3710">
            <v>17154.55</v>
          </cell>
        </row>
        <row r="3711">
          <cell r="A3711" t="str">
            <v>Phòng lưu trú 402 22/11/2024</v>
          </cell>
          <cell r="B3711">
            <v>509259</v>
          </cell>
        </row>
        <row r="3712">
          <cell r="A3712" t="str">
            <v>Phụ thu ăn sáng phòng lưu trú 402 22/11/2024</v>
          </cell>
          <cell r="B3712">
            <v>46296</v>
          </cell>
        </row>
        <row r="3713">
          <cell r="A3713" t="str">
            <v>Củ Dền 22/11/2024</v>
          </cell>
          <cell r="B3713">
            <v>18000</v>
          </cell>
        </row>
        <row r="3714">
          <cell r="A3714" t="str">
            <v>Hồng Treo Gió 22/11/2024</v>
          </cell>
          <cell r="B3714">
            <v>200000</v>
          </cell>
        </row>
        <row r="3715">
          <cell r="A3715" t="str">
            <v>Rau Ngò Rí 22/11/2024</v>
          </cell>
          <cell r="B3715">
            <v>35000</v>
          </cell>
        </row>
        <row r="3716">
          <cell r="A3716" t="str">
            <v>Cà Rốt 22/11/2024</v>
          </cell>
          <cell r="B3716">
            <v>14000</v>
          </cell>
        </row>
        <row r="3717">
          <cell r="A3717" t="str">
            <v>Bí Đao Xanh 22/11/2024</v>
          </cell>
          <cell r="B3717">
            <v>8000</v>
          </cell>
        </row>
        <row r="3718">
          <cell r="A3718" t="str">
            <v>Lá Nha Đam 22/11/2024</v>
          </cell>
          <cell r="B3718">
            <v>14000</v>
          </cell>
        </row>
        <row r="3719">
          <cell r="A3719" t="str">
            <v>Măng Tây 22/11/2024</v>
          </cell>
          <cell r="B3719">
            <v>63000</v>
          </cell>
        </row>
        <row r="3720">
          <cell r="A3720" t="str">
            <v>Măng Tây 22/11/2024</v>
          </cell>
          <cell r="B3720">
            <v>53000</v>
          </cell>
        </row>
        <row r="3721">
          <cell r="A3721" t="str">
            <v>Lá É 22/11/2024</v>
          </cell>
          <cell r="B3721">
            <v>25000</v>
          </cell>
        </row>
        <row r="3722">
          <cell r="A3722" t="str">
            <v>Xà Lách Rocket 22/11/2024</v>
          </cell>
          <cell r="B3722">
            <v>120000</v>
          </cell>
        </row>
        <row r="3723">
          <cell r="A3723" t="str">
            <v>Củ Khoai Tây Vàng 22/11/2024</v>
          </cell>
          <cell r="B3723">
            <v>15000</v>
          </cell>
        </row>
        <row r="3724">
          <cell r="A3724" t="str">
            <v>Cà Chua Thường 22/11/2024</v>
          </cell>
          <cell r="B3724">
            <v>17000</v>
          </cell>
        </row>
        <row r="3725">
          <cell r="A3725" t="str">
            <v>Củ Cải Trắng 22/11/2024</v>
          </cell>
          <cell r="B3725">
            <v>6000</v>
          </cell>
        </row>
        <row r="3726">
          <cell r="A3726" t="str">
            <v>Củ Khoai Lang Nhật 22/11/2024</v>
          </cell>
          <cell r="B3726">
            <v>17000</v>
          </cell>
        </row>
        <row r="3727">
          <cell r="A3727" t="str">
            <v>Bí Ngòi Xanh 22/11/2024</v>
          </cell>
          <cell r="B3727">
            <v>11000</v>
          </cell>
        </row>
        <row r="3728">
          <cell r="A3728" t="str">
            <v>Đậu Cove Nhật 22/11/2024</v>
          </cell>
          <cell r="B3728">
            <v>6000</v>
          </cell>
        </row>
        <row r="3729">
          <cell r="A3729" t="str">
            <v>Dưa Leo Thường 22/11/2024</v>
          </cell>
          <cell r="B3729">
            <v>3000</v>
          </cell>
        </row>
        <row r="3730">
          <cell r="A3730" t="str">
            <v>Xà Lách Mỹ 22/11/2024</v>
          </cell>
          <cell r="B3730">
            <v>33000</v>
          </cell>
        </row>
        <row r="3731">
          <cell r="A3731" t="str">
            <v>Trái Mít Thái 22/11/2024</v>
          </cell>
          <cell r="B3731">
            <v>19493</v>
          </cell>
        </row>
        <row r="3732">
          <cell r="A3732" t="str">
            <v>Cà Chua Beef 22/11/2024</v>
          </cell>
          <cell r="B3732">
            <v>18000</v>
          </cell>
        </row>
        <row r="3733">
          <cell r="A3733" t="str">
            <v>Cần Tây 22/11/2024</v>
          </cell>
          <cell r="B3733">
            <v>17000</v>
          </cell>
        </row>
        <row r="3734">
          <cell r="A3734" t="str">
            <v>Xà Lách Mỡ T.C Cây 22/11/2024</v>
          </cell>
          <cell r="B3734">
            <v>6800</v>
          </cell>
        </row>
        <row r="3735">
          <cell r="A3735" t="str">
            <v>Xà Lách Mỡ T.C 22/11/2024</v>
          </cell>
          <cell r="B3735">
            <v>28000</v>
          </cell>
        </row>
        <row r="3736">
          <cell r="A3736" t="str">
            <v>Cà Chua Socola 22/11/2024</v>
          </cell>
          <cell r="B3736">
            <v>9000</v>
          </cell>
        </row>
        <row r="3737">
          <cell r="A3737" t="str">
            <v>Đậu Hà Lan Trái 22/11/2024</v>
          </cell>
          <cell r="B3737">
            <v>80000</v>
          </cell>
        </row>
        <row r="3738">
          <cell r="A3738" t="str">
            <v>Rau Bầu Đất 22/11/2024</v>
          </cell>
          <cell r="B3738">
            <v>30000</v>
          </cell>
        </row>
        <row r="3739">
          <cell r="A3739" t="str">
            <v>Xà Lách Carol 22/11/2024</v>
          </cell>
          <cell r="B3739">
            <v>32000</v>
          </cell>
        </row>
        <row r="3740">
          <cell r="A3740" t="str">
            <v>Xà Lách Rocket 22/11/2024</v>
          </cell>
          <cell r="B3740">
            <v>120000</v>
          </cell>
        </row>
        <row r="3741">
          <cell r="A3741" t="str">
            <v>Hồng Giòn Đà Lạt 22/11/2024</v>
          </cell>
          <cell r="B3741">
            <v>30000</v>
          </cell>
        </row>
        <row r="3742">
          <cell r="A3742" t="str">
            <v>Cà Chua Thường 22/11/2024</v>
          </cell>
          <cell r="B3742">
            <v>17000</v>
          </cell>
        </row>
        <row r="3743">
          <cell r="A3743" t="str">
            <v>Xà Lách Thủy Tinh T.C Cây 22/11/2024</v>
          </cell>
          <cell r="B3743">
            <v>8000</v>
          </cell>
        </row>
        <row r="3744">
          <cell r="A3744" t="str">
            <v>Củ Cải Trắng 22/11/2024</v>
          </cell>
          <cell r="B3744">
            <v>6000</v>
          </cell>
        </row>
        <row r="3745">
          <cell r="A3745" t="str">
            <v>Cà Rốt 22/11/2024</v>
          </cell>
          <cell r="B3745">
            <v>14000</v>
          </cell>
        </row>
        <row r="3746">
          <cell r="A3746" t="str">
            <v>Cải Bó Xôi 22/11/2024</v>
          </cell>
          <cell r="B3746">
            <v>22000</v>
          </cell>
        </row>
        <row r="3747">
          <cell r="A3747" t="str">
            <v>Hành Paro 22/11/2024</v>
          </cell>
          <cell r="B3747">
            <v>32000</v>
          </cell>
        </row>
        <row r="3748">
          <cell r="A3748" t="str">
            <v>Đậu Cove Nhật 22/11/2024</v>
          </cell>
          <cell r="B3748">
            <v>6000</v>
          </cell>
        </row>
        <row r="3749">
          <cell r="A3749" t="str">
            <v>Cà Tím 22/11/2024</v>
          </cell>
          <cell r="B3749">
            <v>6500</v>
          </cell>
        </row>
        <row r="3750">
          <cell r="A3750" t="str">
            <v>Cà Tím 22/11/2024</v>
          </cell>
          <cell r="B3750">
            <v>4000</v>
          </cell>
        </row>
        <row r="3751">
          <cell r="A3751" t="str">
            <v>Trái Khổ Qua 22/11/2024</v>
          </cell>
          <cell r="B3751">
            <v>11000</v>
          </cell>
        </row>
        <row r="3752">
          <cell r="A3752" t="str">
            <v>Xà Lách Thủy Tinh T.C Cây 22/11/2024</v>
          </cell>
          <cell r="B3752">
            <v>6500</v>
          </cell>
        </row>
        <row r="3753">
          <cell r="A3753" t="str">
            <v>Củ Khoai Lang Nhật 22/11/2024</v>
          </cell>
          <cell r="B3753">
            <v>17500</v>
          </cell>
        </row>
        <row r="3754">
          <cell r="A3754" t="str">
            <v>Dưa Leo Baby 22/11/2024</v>
          </cell>
          <cell r="B3754">
            <v>6000</v>
          </cell>
        </row>
        <row r="3755">
          <cell r="A3755" t="str">
            <v>Gia Công Rau Củ Quả 22/11/2024</v>
          </cell>
          <cell r="B3755">
            <v>1700</v>
          </cell>
        </row>
        <row r="3756">
          <cell r="A3756" t="str">
            <v>Gia Công Rau Củ Quả 22/11/2024</v>
          </cell>
          <cell r="B3756">
            <v>1700</v>
          </cell>
        </row>
        <row r="3757">
          <cell r="A3757" t="str">
            <v>Gia Công Rau Củ Quả 22/11/2024</v>
          </cell>
          <cell r="B3757">
            <v>700</v>
          </cell>
        </row>
        <row r="3758">
          <cell r="A3758" t="str">
            <v>Bông Cải Xanh 7Cm 22/11/2024</v>
          </cell>
          <cell r="B3758">
            <v>37000</v>
          </cell>
        </row>
        <row r="3759">
          <cell r="A3759" t="str">
            <v>Bông Cải Xanh 10Cm 22/11/2024</v>
          </cell>
          <cell r="B3759">
            <v>31000</v>
          </cell>
        </row>
        <row r="3760">
          <cell r="A3760" t="str">
            <v>Ớt Sweet Palemo 22/11/2024</v>
          </cell>
          <cell r="B3760">
            <v>20500</v>
          </cell>
        </row>
        <row r="3761">
          <cell r="A3761" t="str">
            <v>Bông Cải Xanh 10Cm 22/11/2024</v>
          </cell>
          <cell r="B3761">
            <v>31000</v>
          </cell>
        </row>
        <row r="3762">
          <cell r="A3762" t="str">
            <v>Bông Cải Xanh 7Cm 22/11/2024</v>
          </cell>
          <cell r="B3762">
            <v>37000</v>
          </cell>
        </row>
        <row r="3763">
          <cell r="A3763" t="str">
            <v>Bông Cải Xanh 7Cm 22/11/2024</v>
          </cell>
          <cell r="B3763">
            <v>37000</v>
          </cell>
        </row>
        <row r="3764">
          <cell r="A3764" t="str">
            <v>Bông Cải Xanh 10Cm 22/11/2024</v>
          </cell>
          <cell r="B3764">
            <v>31000</v>
          </cell>
        </row>
        <row r="3765">
          <cell r="A3765" t="str">
            <v>Bông Cải Xanh 7Cm 22/11/2024</v>
          </cell>
          <cell r="B3765">
            <v>36000</v>
          </cell>
        </row>
        <row r="3766">
          <cell r="A3766" t="str">
            <v>Bông Cải Trắng 22/11/2024</v>
          </cell>
          <cell r="B3766">
            <v>27000</v>
          </cell>
        </row>
        <row r="3767">
          <cell r="A3767" t="str">
            <v>Trái Cam Canh 22/11/2024</v>
          </cell>
          <cell r="B3767">
            <v>34000</v>
          </cell>
        </row>
        <row r="3768">
          <cell r="A3768" t="str">
            <v>Trái Cam Canh 22/11/2024</v>
          </cell>
          <cell r="B3768">
            <v>42000</v>
          </cell>
        </row>
        <row r="3769">
          <cell r="A3769" t="str">
            <v>Dưa Leo Baby 22/11/2024</v>
          </cell>
          <cell r="B3769">
            <v>4000</v>
          </cell>
        </row>
        <row r="3770">
          <cell r="A3770" t="str">
            <v>Bắp Cải Tím 22/11/2024</v>
          </cell>
          <cell r="B3770">
            <v>30000</v>
          </cell>
        </row>
        <row r="3771">
          <cell r="A3771" t="str">
            <v>Cà Chua Beef 22/11/2024</v>
          </cell>
          <cell r="B3771">
            <v>18000</v>
          </cell>
        </row>
        <row r="3772">
          <cell r="A3772" t="str">
            <v>Cải Thảo Hỏa Tiễn 22/11/2024</v>
          </cell>
          <cell r="B3772">
            <v>16000</v>
          </cell>
        </row>
        <row r="3773">
          <cell r="A3773" t="str">
            <v>Củ Khoai Lang Mật Size 23 22/11/2024</v>
          </cell>
          <cell r="B3773">
            <v>23000</v>
          </cell>
        </row>
        <row r="3774">
          <cell r="A3774" t="str">
            <v>Củ Khoai Lang Mật Size 46 22/11/2024</v>
          </cell>
          <cell r="B3774">
            <v>23000</v>
          </cell>
        </row>
        <row r="3775">
          <cell r="A3775" t="str">
            <v>Cà Chua Beef 22/11/2024</v>
          </cell>
          <cell r="B3775">
            <v>18000</v>
          </cell>
        </row>
        <row r="3776">
          <cell r="A3776" t="str">
            <v>Cà Chua Beef Chùm 22/11/2024</v>
          </cell>
          <cell r="B3776">
            <v>19000</v>
          </cell>
        </row>
        <row r="3777">
          <cell r="A3777" t="str">
            <v>Trái Mâm Xôi 22/11/2024</v>
          </cell>
          <cell r="B3777">
            <v>35000</v>
          </cell>
        </row>
        <row r="3778">
          <cell r="A3778" t="str">
            <v>Ớt Sweet Palemo 22/11/2024</v>
          </cell>
          <cell r="B3778">
            <v>20000</v>
          </cell>
        </row>
        <row r="3779">
          <cell r="A3779" t="str">
            <v>Bắp Cải Trái Tim 22/11/2024</v>
          </cell>
          <cell r="B3779">
            <v>17000</v>
          </cell>
        </row>
        <row r="3780">
          <cell r="A3780" t="str">
            <v>Cà Rốt 22/11/2024</v>
          </cell>
          <cell r="B3780">
            <v>14000</v>
          </cell>
        </row>
        <row r="3781">
          <cell r="A3781" t="str">
            <v>Bí Đỏ Hồ Lô 22/11/2024</v>
          </cell>
          <cell r="B3781">
            <v>13000</v>
          </cell>
        </row>
        <row r="3782">
          <cell r="A3782" t="str">
            <v>Chuối Laba 22/11/2024</v>
          </cell>
          <cell r="B3782">
            <v>13000</v>
          </cell>
        </row>
        <row r="3783">
          <cell r="A3783" t="str">
            <v>Lá Nha Đam 22/11/2024</v>
          </cell>
          <cell r="B3783">
            <v>14000</v>
          </cell>
        </row>
        <row r="3784">
          <cell r="A3784" t="str">
            <v>Trái Su Su 22/11/2024</v>
          </cell>
          <cell r="B3784">
            <v>8500</v>
          </cell>
        </row>
        <row r="3785">
          <cell r="A3785" t="str">
            <v>Bí Đỏ Tròn 22/11/2024</v>
          </cell>
          <cell r="B3785">
            <v>5000</v>
          </cell>
        </row>
        <row r="3786">
          <cell r="A3786" t="str">
            <v>Củ Su Hào 22/11/2024</v>
          </cell>
          <cell r="B3786">
            <v>17000</v>
          </cell>
        </row>
        <row r="3787">
          <cell r="A3787" t="str">
            <v>Xà Lách Mỡ T.C 22/11/2024</v>
          </cell>
          <cell r="B3787">
            <v>27000</v>
          </cell>
        </row>
        <row r="3788">
          <cell r="A3788" t="str">
            <v>Xà Lách Thủy Tinh T.C 22/11/2024</v>
          </cell>
          <cell r="B3788">
            <v>28000</v>
          </cell>
        </row>
        <row r="3789">
          <cell r="A3789" t="str">
            <v>Cà Chua Thường 22/11/2024</v>
          </cell>
          <cell r="B3789">
            <v>17000</v>
          </cell>
        </row>
        <row r="3790">
          <cell r="A3790" t="str">
            <v>Cà Chua Thường Trung 22/11/2024</v>
          </cell>
          <cell r="B3790">
            <v>15000</v>
          </cell>
        </row>
        <row r="3791">
          <cell r="A3791" t="str">
            <v>Củ Khoai Tây Vàng 22/11/2024</v>
          </cell>
          <cell r="B3791">
            <v>15000</v>
          </cell>
        </row>
        <row r="3792">
          <cell r="A3792" t="str">
            <v>Củ Cải Trắng 22/11/2024</v>
          </cell>
          <cell r="B3792">
            <v>6500</v>
          </cell>
        </row>
        <row r="3793">
          <cell r="A3793" t="str">
            <v>Đậu Đỏ 22/11/2024</v>
          </cell>
          <cell r="B3793">
            <v>80000</v>
          </cell>
        </row>
        <row r="3794">
          <cell r="A3794" t="str">
            <v>Đậu Ngự 22/11/2024</v>
          </cell>
          <cell r="B3794">
            <v>70000</v>
          </cell>
        </row>
        <row r="3795">
          <cell r="A3795" t="str">
            <v>Đậu Trắng 22/11/2024</v>
          </cell>
          <cell r="B3795">
            <v>70000</v>
          </cell>
        </row>
        <row r="3796">
          <cell r="A3796" t="str">
            <v>Củ Dền 22/11/2024</v>
          </cell>
          <cell r="B3796">
            <v>18000</v>
          </cell>
        </row>
        <row r="3797">
          <cell r="A3797" t="str">
            <v>Bí Ngòi Xanh 22/11/2024</v>
          </cell>
          <cell r="B3797">
            <v>10000</v>
          </cell>
        </row>
        <row r="3798">
          <cell r="A3798" t="str">
            <v>Bí Ngòi Xanh 22/11/2024</v>
          </cell>
          <cell r="B3798">
            <v>10000</v>
          </cell>
        </row>
        <row r="3799">
          <cell r="A3799" t="str">
            <v>Củ Khoai Tây Vàng 22/11/2024</v>
          </cell>
          <cell r="B3799">
            <v>18000</v>
          </cell>
        </row>
        <row r="3800">
          <cell r="A3800" t="str">
            <v>Xà Lách Thủy Tinh T.C Cây 22/11/2024</v>
          </cell>
          <cell r="B3800">
            <v>6800</v>
          </cell>
        </row>
        <row r="3801">
          <cell r="A3801" t="str">
            <v>Xà Lách Thủy Tinh T.C 22/11/2024</v>
          </cell>
          <cell r="B3801">
            <v>30000</v>
          </cell>
        </row>
        <row r="3802">
          <cell r="A3802" t="str">
            <v>Cà Chua Bi Mix 22/11/2024</v>
          </cell>
          <cell r="B3802">
            <v>46000</v>
          </cell>
        </row>
        <row r="3803">
          <cell r="A3803" t="str">
            <v>Cà Chua Bi Mix 22/11/2024</v>
          </cell>
          <cell r="B3803">
            <v>47500</v>
          </cell>
        </row>
        <row r="3804">
          <cell r="A3804" t="str">
            <v>Cải Kale 22/11/2024</v>
          </cell>
          <cell r="B3804">
            <v>30500</v>
          </cell>
        </row>
        <row r="3805">
          <cell r="A3805" t="str">
            <v>Cải Bó Xôi 22/11/2024</v>
          </cell>
          <cell r="B3805">
            <v>26000</v>
          </cell>
        </row>
        <row r="3806">
          <cell r="A3806" t="str">
            <v>Cà Chua Beef 22/11/2024</v>
          </cell>
          <cell r="B3806">
            <v>15000</v>
          </cell>
        </row>
        <row r="3807">
          <cell r="A3807" t="str">
            <v>Bông Cải Xanh 7Cm 22/11/2024</v>
          </cell>
          <cell r="B3807">
            <v>26000</v>
          </cell>
        </row>
        <row r="3808">
          <cell r="A3808" t="str">
            <v>Bí Non Nhật 22/11/2024</v>
          </cell>
          <cell r="B3808">
            <v>9500</v>
          </cell>
        </row>
        <row r="3809">
          <cell r="A3809" t="str">
            <v>Dưa Leo Baby 22/11/2024</v>
          </cell>
          <cell r="B3809">
            <v>6000</v>
          </cell>
        </row>
        <row r="3810">
          <cell r="A3810" t="str">
            <v>Dưa Leo Baby 22/11/2024</v>
          </cell>
          <cell r="B3810">
            <v>4000</v>
          </cell>
        </row>
        <row r="3811">
          <cell r="A3811" t="str">
            <v>Bơ Booth 22/11/2024</v>
          </cell>
          <cell r="B3811">
            <v>39000</v>
          </cell>
        </row>
        <row r="3812">
          <cell r="A3812" t="str">
            <v>Củ Gừng 22/11/2024</v>
          </cell>
          <cell r="B3812">
            <v>39000</v>
          </cell>
        </row>
        <row r="3813">
          <cell r="A3813" t="str">
            <v>Củ Khoai Mỡ 22/11/2024</v>
          </cell>
          <cell r="B3813">
            <v>25000</v>
          </cell>
        </row>
        <row r="3814">
          <cell r="A3814" t="str">
            <v>Bơ Booth 22/11/2024</v>
          </cell>
          <cell r="B3814">
            <v>31000</v>
          </cell>
        </row>
        <row r="3815">
          <cell r="A3815" t="str">
            <v>Bơ Booth 22/11/2024</v>
          </cell>
          <cell r="B3815">
            <v>35000</v>
          </cell>
        </row>
        <row r="3816">
          <cell r="A3816" t="str">
            <v>Đậu Cove Trắng 22/11/2024</v>
          </cell>
          <cell r="B3816">
            <v>11000</v>
          </cell>
        </row>
        <row r="3817">
          <cell r="A3817" t="str">
            <v>Bí Non Nhật 22/11/2024</v>
          </cell>
          <cell r="B3817">
            <v>10000</v>
          </cell>
        </row>
        <row r="3818">
          <cell r="A3818" t="str">
            <v>Dưa Leo Thường 22/11/2024</v>
          </cell>
          <cell r="B3818">
            <v>6000</v>
          </cell>
        </row>
        <row r="3819">
          <cell r="A3819" t="str">
            <v>Dưa Leo Nhật 22/11/2024</v>
          </cell>
          <cell r="B3819">
            <v>10000</v>
          </cell>
        </row>
        <row r="3820">
          <cell r="A3820" t="str">
            <v>Cà Chua Thường 22/11/2024</v>
          </cell>
          <cell r="B3820">
            <v>14000</v>
          </cell>
        </row>
        <row r="3821">
          <cell r="A3821" t="str">
            <v>Bí Non Nhật 22/11/2024</v>
          </cell>
          <cell r="B3821">
            <v>10000</v>
          </cell>
        </row>
        <row r="3822">
          <cell r="A3822" t="str">
            <v>Trái Su Su 22/11/2024</v>
          </cell>
          <cell r="B3822">
            <v>7000</v>
          </cell>
        </row>
        <row r="3823">
          <cell r="A3823" t="str">
            <v>Ớt Chuông Đỏ 22/11/2024</v>
          </cell>
          <cell r="B3823">
            <v>35000</v>
          </cell>
        </row>
        <row r="3824">
          <cell r="A3824" t="str">
            <v>Ớt Chuông Vàng 22/11/2024</v>
          </cell>
          <cell r="B3824">
            <v>18000</v>
          </cell>
        </row>
        <row r="3825">
          <cell r="A3825" t="str">
            <v>Ớt Chuông Xanh 22/11/2024</v>
          </cell>
          <cell r="B3825">
            <v>28000</v>
          </cell>
        </row>
        <row r="3826">
          <cell r="A3826" t="str">
            <v>Ớt Sweet Palemo 22/11/2024</v>
          </cell>
          <cell r="B3826">
            <v>60000</v>
          </cell>
        </row>
        <row r="3827">
          <cell r="A3827" t="str">
            <v>Ớt Sweet Palemo 22/11/2024</v>
          </cell>
          <cell r="B3827">
            <v>55000</v>
          </cell>
        </row>
        <row r="3828">
          <cell r="A3828" t="str">
            <v>Ớt Chuông Baby 22/11/2024</v>
          </cell>
          <cell r="B3828">
            <v>44000</v>
          </cell>
        </row>
        <row r="3829">
          <cell r="A3829" t="str">
            <v>Lá Mè 22/11/2024</v>
          </cell>
          <cell r="B3829">
            <v>40000</v>
          </cell>
        </row>
        <row r="3830">
          <cell r="A3830" t="str">
            <v>Cà Chua Bi Đỏ 22/11/2024</v>
          </cell>
          <cell r="B3830">
            <v>17500</v>
          </cell>
        </row>
        <row r="3831">
          <cell r="A3831" t="str">
            <v>Cà Chua Bi Đỏ 22/11/2024</v>
          </cell>
          <cell r="B3831">
            <v>10500</v>
          </cell>
        </row>
        <row r="3832">
          <cell r="A3832" t="str">
            <v>Cà Rốt Baby 22/11/2024</v>
          </cell>
          <cell r="B3832">
            <v>48000</v>
          </cell>
        </row>
        <row r="3833">
          <cell r="A3833" t="str">
            <v>Cải Cầu Vồng 22/11/2024</v>
          </cell>
          <cell r="B3833">
            <v>18000</v>
          </cell>
        </row>
        <row r="3834">
          <cell r="A3834" t="str">
            <v>Bông Cải Xanh Baby 22/11/2024</v>
          </cell>
          <cell r="B3834">
            <v>55000</v>
          </cell>
        </row>
        <row r="3835">
          <cell r="A3835" t="str">
            <v>Ớt Sweet Palemo 22/11/2024</v>
          </cell>
          <cell r="B3835">
            <v>22000</v>
          </cell>
        </row>
        <row r="3836">
          <cell r="A3836" t="str">
            <v>Xà Lách Lolo Xanh 22/11/2024</v>
          </cell>
          <cell r="B3836">
            <v>14000</v>
          </cell>
        </row>
        <row r="3837">
          <cell r="A3837" t="str">
            <v>Xà Lách Romaine 22/11/2024</v>
          </cell>
          <cell r="B3837">
            <v>30000</v>
          </cell>
        </row>
        <row r="3838">
          <cell r="A3838" t="str">
            <v>Ớt Chuông Đỏ 22/11/2024</v>
          </cell>
          <cell r="B3838">
            <v>35000</v>
          </cell>
        </row>
        <row r="3839">
          <cell r="A3839" t="str">
            <v>Ớt Chuông Vàng 22/11/2024</v>
          </cell>
          <cell r="B3839">
            <v>18000</v>
          </cell>
        </row>
        <row r="3840">
          <cell r="A3840" t="str">
            <v>Ớt Chuông Xanh 22/11/2024</v>
          </cell>
          <cell r="B3840">
            <v>28000</v>
          </cell>
        </row>
        <row r="3841">
          <cell r="A3841" t="str">
            <v>Ớt Chuông Baby 22/11/2024</v>
          </cell>
          <cell r="B3841">
            <v>44000</v>
          </cell>
        </row>
        <row r="3842">
          <cell r="A3842" t="str">
            <v>Đậu Cove Trắng 22/11/2024</v>
          </cell>
          <cell r="B3842">
            <v>8000</v>
          </cell>
        </row>
        <row r="3843">
          <cell r="A3843" t="str">
            <v>Cà Chua Bi Đỏ 22/11/2024</v>
          </cell>
          <cell r="B3843">
            <v>17500</v>
          </cell>
        </row>
        <row r="3844">
          <cell r="A3844" t="str">
            <v>Cà Chua Bi Đỏ 22/11/2024</v>
          </cell>
          <cell r="B3844">
            <v>10500</v>
          </cell>
        </row>
        <row r="3845">
          <cell r="A3845" t="str">
            <v>Cà Chua Beef Trung 22/11/2024</v>
          </cell>
          <cell r="B3845">
            <v>19000</v>
          </cell>
        </row>
        <row r="3846">
          <cell r="A3846" t="str">
            <v>Cà Rốt Baby 22/11/2024</v>
          </cell>
          <cell r="B3846">
            <v>48000</v>
          </cell>
        </row>
        <row r="3847">
          <cell r="A3847" t="str">
            <v>Cải Kale 22/11/2024</v>
          </cell>
          <cell r="B3847">
            <v>28000</v>
          </cell>
        </row>
        <row r="3848">
          <cell r="A3848" t="str">
            <v>Cà Chua Bi Mix 22/11/2024</v>
          </cell>
          <cell r="B3848">
            <v>47500</v>
          </cell>
        </row>
        <row r="3849">
          <cell r="A3849" t="str">
            <v>Chanh Không Hạt 22/11/2024</v>
          </cell>
          <cell r="B3849">
            <v>26000</v>
          </cell>
        </row>
        <row r="3850">
          <cell r="A3850" t="str">
            <v>Bơ Booth 22/11/2024</v>
          </cell>
          <cell r="B3850">
            <v>39000</v>
          </cell>
        </row>
        <row r="3851">
          <cell r="A3851" t="str">
            <v>Củ Khoai Mỡ 22/11/2024</v>
          </cell>
          <cell r="B3851">
            <v>25000</v>
          </cell>
        </row>
        <row r="3852">
          <cell r="A3852" t="str">
            <v>Cà Chua Beef 22/11/2024</v>
          </cell>
          <cell r="B3852">
            <v>18000</v>
          </cell>
        </row>
        <row r="3853">
          <cell r="A3853" t="str">
            <v>Cà Chua Beef Trung 22/11/2024</v>
          </cell>
          <cell r="B3853">
            <v>15000</v>
          </cell>
        </row>
        <row r="3854">
          <cell r="A3854" t="str">
            <v>Hạt Dẻ Ngố 22/11/2024</v>
          </cell>
          <cell r="B3854">
            <v>27600</v>
          </cell>
        </row>
        <row r="3855">
          <cell r="A3855" t="str">
            <v>Hạt Dẻ Ngố 22/11/2024</v>
          </cell>
          <cell r="B3855">
            <v>24900</v>
          </cell>
        </row>
        <row r="3856">
          <cell r="A3856" t="str">
            <v>Cước Vận Chuyển Hàng Hóa 22/11/2024</v>
          </cell>
          <cell r="B3856">
            <v>1410000</v>
          </cell>
        </row>
        <row r="3857">
          <cell r="A3857" t="str">
            <v>Túi lưới nhựa (Nâu) 22/11/2024</v>
          </cell>
          <cell r="B3857">
            <v>55000</v>
          </cell>
        </row>
        <row r="3858">
          <cell r="A3858" t="str">
            <v>Túi lưới nhựa (Vàng) 22/11/2024</v>
          </cell>
          <cell r="B3858">
            <v>53000</v>
          </cell>
        </row>
        <row r="3859">
          <cell r="A3859" t="str">
            <v>Cải Thảo Hỏa Tiễn 22/11/2024</v>
          </cell>
          <cell r="B3859">
            <v>16000</v>
          </cell>
        </row>
        <row r="3860">
          <cell r="A3860" t="str">
            <v>Bắp Cải Tím 22/11/2024</v>
          </cell>
          <cell r="B3860">
            <v>30000</v>
          </cell>
        </row>
        <row r="3861">
          <cell r="A3861" t="str">
            <v>Cần Tây 22/11/2024</v>
          </cell>
          <cell r="B3861">
            <v>16000</v>
          </cell>
        </row>
        <row r="3862">
          <cell r="A3862" t="str">
            <v>Chuối Laba 22/11/2024</v>
          </cell>
          <cell r="B3862">
            <v>13000</v>
          </cell>
        </row>
        <row r="3863">
          <cell r="A3863" t="str">
            <v>Củ Khoai Lang Nhật 22/11/2024</v>
          </cell>
          <cell r="B3863">
            <v>17000</v>
          </cell>
        </row>
        <row r="3864">
          <cell r="A3864" t="str">
            <v>Xà Lách Mỡ T.C 22/11/2024</v>
          </cell>
          <cell r="B3864">
            <v>26000</v>
          </cell>
        </row>
        <row r="3865">
          <cell r="A3865" t="str">
            <v>Cà Chua Thường 22/11/2024</v>
          </cell>
          <cell r="B3865">
            <v>17000</v>
          </cell>
        </row>
        <row r="3866">
          <cell r="A3866" t="str">
            <v>Hồng Giòn Đà Lạt 22/11/2024</v>
          </cell>
          <cell r="B3866">
            <v>30000</v>
          </cell>
        </row>
        <row r="3867">
          <cell r="A3867" t="str">
            <v>Ớt Chuông Đỏ 22/11/2024</v>
          </cell>
          <cell r="B3867">
            <v>30000</v>
          </cell>
        </row>
        <row r="3868">
          <cell r="A3868" t="str">
            <v>Ớt Chuông Vàng 22/11/2024</v>
          </cell>
          <cell r="B3868">
            <v>18000</v>
          </cell>
        </row>
        <row r="3869">
          <cell r="A3869" t="str">
            <v>Củ Dền 22/11/2024</v>
          </cell>
          <cell r="B3869">
            <v>18000</v>
          </cell>
        </row>
        <row r="3870">
          <cell r="A3870" t="str">
            <v>Bông Cải Xanh Cọng 22/11/2024</v>
          </cell>
          <cell r="B3870">
            <v>31000</v>
          </cell>
        </row>
        <row r="3871">
          <cell r="A3871" t="str">
            <v>Bông Cải Xanh Cây 22/11/2024</v>
          </cell>
          <cell r="B3871">
            <v>7500</v>
          </cell>
        </row>
        <row r="3872">
          <cell r="A3872" t="str">
            <v>Cải Thảo 22/11/2024</v>
          </cell>
          <cell r="B3872">
            <v>7000</v>
          </cell>
        </row>
        <row r="3873">
          <cell r="A3873" t="str">
            <v>Cải Thảo 22/11/2024</v>
          </cell>
          <cell r="B3873">
            <v>6000</v>
          </cell>
        </row>
        <row r="3874">
          <cell r="A3874" t="str">
            <v>Cải Thảo Kim Chi 22/11/2024</v>
          </cell>
          <cell r="B3874">
            <v>5000</v>
          </cell>
        </row>
        <row r="3875">
          <cell r="A3875" t="str">
            <v>Củ Khoai Lang Nhật 22/11/2024</v>
          </cell>
          <cell r="B3875">
            <v>17500</v>
          </cell>
        </row>
        <row r="3876">
          <cell r="A3876" t="str">
            <v>Dưa Leo Baby 22/11/2024</v>
          </cell>
          <cell r="B3876">
            <v>5000</v>
          </cell>
        </row>
        <row r="3877">
          <cell r="A3877" t="str">
            <v>Hành Paro 22/11/2024</v>
          </cell>
          <cell r="B3877">
            <v>35000</v>
          </cell>
        </row>
        <row r="3878">
          <cell r="A3878" t="str">
            <v>Củ Cải Trắng 22/11/2024</v>
          </cell>
          <cell r="B3878">
            <v>6500</v>
          </cell>
        </row>
        <row r="3879">
          <cell r="A3879" t="str">
            <v>Xà Lách Lolo Xanh T.C Cây 22/11/2024</v>
          </cell>
          <cell r="B3879">
            <v>6000</v>
          </cell>
        </row>
        <row r="3880">
          <cell r="A3880" t="str">
            <v>Xà Lách Thủy Tinh T.C Cây 22/11/2024</v>
          </cell>
          <cell r="B3880">
            <v>8000</v>
          </cell>
        </row>
        <row r="3881">
          <cell r="A3881" t="str">
            <v>Củ Su Hào 22/11/2024</v>
          </cell>
          <cell r="B3881">
            <v>17000</v>
          </cell>
        </row>
        <row r="3882">
          <cell r="A3882" t="str">
            <v>Bơ Booth 22/11/2024</v>
          </cell>
          <cell r="B3882">
            <v>30000</v>
          </cell>
        </row>
        <row r="3883">
          <cell r="A3883" t="str">
            <v>Bắp Cải Trắng 22/11/2024</v>
          </cell>
          <cell r="B3883">
            <v>13000</v>
          </cell>
        </row>
        <row r="3884">
          <cell r="A3884" t="str">
            <v>Cà Tím 22/11/2024</v>
          </cell>
          <cell r="B3884">
            <v>7000</v>
          </cell>
        </row>
        <row r="3885">
          <cell r="A3885" t="str">
            <v>Bí Đao Xanh 22/11/2024</v>
          </cell>
          <cell r="B3885">
            <v>8000</v>
          </cell>
        </row>
        <row r="3886">
          <cell r="A3886" t="str">
            <v>Bắp Cải Trắng 22/11/2024</v>
          </cell>
          <cell r="B3886">
            <v>12000</v>
          </cell>
        </row>
        <row r="3887">
          <cell r="A3887" t="str">
            <v>Bông Cải Trắng 22/11/2024</v>
          </cell>
          <cell r="B3887">
            <v>27000</v>
          </cell>
        </row>
        <row r="3888">
          <cell r="A3888" t="str">
            <v>Đậu Cove Trắng 22/11/2024</v>
          </cell>
          <cell r="B3888">
            <v>11000</v>
          </cell>
        </row>
        <row r="3889">
          <cell r="A3889" t="str">
            <v>Cà Rốt 22/11/2024</v>
          </cell>
          <cell r="B3889">
            <v>15000</v>
          </cell>
        </row>
        <row r="3890">
          <cell r="A3890" t="str">
            <v>Cà Rốt 22/11/2024</v>
          </cell>
          <cell r="B3890">
            <v>15000</v>
          </cell>
        </row>
        <row r="3891">
          <cell r="A3891" t="str">
            <v>Bí Đao Xanh 22/11/2024</v>
          </cell>
          <cell r="B3891">
            <v>10000</v>
          </cell>
        </row>
        <row r="3892">
          <cell r="A3892" t="str">
            <v>Bí Ngòi Xanh 22/11/2024</v>
          </cell>
          <cell r="B3892">
            <v>10000</v>
          </cell>
        </row>
        <row r="3893">
          <cell r="A3893" t="str">
            <v>Cải Thảo Kim Chi 22/11/2024</v>
          </cell>
          <cell r="B3893">
            <v>4500</v>
          </cell>
        </row>
        <row r="3894">
          <cell r="A3894" t="str">
            <v>Chanh Dây Tím 22/11/2024</v>
          </cell>
          <cell r="B3894">
            <v>28000</v>
          </cell>
        </row>
        <row r="3895">
          <cell r="A3895" t="str">
            <v>DO 0.05S-II 23/11/2024</v>
          </cell>
          <cell r="B3895">
            <v>17154.55</v>
          </cell>
        </row>
        <row r="3896">
          <cell r="A3896" t="str">
            <v>Dầu Do 0.001 S-V 23/11/2024</v>
          </cell>
          <cell r="B3896">
            <v>17381.82</v>
          </cell>
        </row>
        <row r="3897">
          <cell r="A3897" t="str">
            <v>Cước đường bộ xe 49C37197T đi qua trạm Liên Đầm thời gian GD 22:16:07 ngày 23/11/2024 mã GD 1510684899 23/11/2024</v>
          </cell>
          <cell r="B3897">
            <v>78704</v>
          </cell>
        </row>
        <row r="3898">
          <cell r="A3898" t="str">
            <v>Dầu Do 0.001 S-V 23/11/2024</v>
          </cell>
          <cell r="B3898">
            <v>17381.82</v>
          </cell>
        </row>
        <row r="3899">
          <cell r="A3899" t="str">
            <v>DO 0.05S-II 23/11/2024</v>
          </cell>
          <cell r="B3899">
            <v>17154.55</v>
          </cell>
        </row>
        <row r="3900">
          <cell r="A3900" t="str">
            <v>DO 0.05S-II 23/11/2024</v>
          </cell>
          <cell r="B3900">
            <v>17154.55</v>
          </cell>
        </row>
        <row r="3901">
          <cell r="A3901" t="str">
            <v>Cước đường bộ xe 49C37197T đi qua trạm Liên Đầm thời gian GD 13:32:32 ngày 23/11/2024 mã GD 1509961969 23/11/2024</v>
          </cell>
          <cell r="B3901">
            <v>78704</v>
          </cell>
        </row>
        <row r="3902">
          <cell r="A3902" t="str">
            <v>Cước đường bộ xe 49C37197T đi qua trạm Cầu Phú Mỹ thời gian GD 07:07:19 ngày 23/11/2024 mã GD 1509383440 23/11/2024</v>
          </cell>
          <cell r="B3902">
            <v>22222</v>
          </cell>
        </row>
        <row r="3903">
          <cell r="A3903" t="str">
            <v>Cước đường bộ xe 49C37197T đi qua đoạn Long Phước - NH51 thời gian GD 08:09:03 ngày 23/11/2024 mã GD 1509445869 23/11/2024</v>
          </cell>
          <cell r="B3903">
            <v>76806</v>
          </cell>
        </row>
        <row r="3904">
          <cell r="A3904" t="str">
            <v>Cước đường bộ xe 49C37197T đi qua trạm Xa Lộ - Hà Nội thời gian GD 03:50:44 ngày 23/11/2024 mã GD 1509238351 23/11/2024</v>
          </cell>
          <cell r="B3904">
            <v>50000</v>
          </cell>
        </row>
        <row r="3905">
          <cell r="A3905" t="str">
            <v>Rau Ngò Rí 23/11/2024</v>
          </cell>
          <cell r="B3905">
            <v>35000</v>
          </cell>
        </row>
        <row r="3906">
          <cell r="A3906" t="str">
            <v>Củ Dền 23/11/2024</v>
          </cell>
          <cell r="B3906">
            <v>18000</v>
          </cell>
        </row>
        <row r="3907">
          <cell r="A3907" t="str">
            <v>Hành Paro 23/11/2024</v>
          </cell>
          <cell r="B3907">
            <v>30000</v>
          </cell>
        </row>
        <row r="3908">
          <cell r="A3908" t="str">
            <v>Củ Khoai Tây Vàng 23/11/2024</v>
          </cell>
          <cell r="B3908">
            <v>15000</v>
          </cell>
        </row>
        <row r="3909">
          <cell r="A3909" t="str">
            <v>Bí Đao Xanh 23/11/2024</v>
          </cell>
          <cell r="B3909">
            <v>8000</v>
          </cell>
        </row>
        <row r="3910">
          <cell r="A3910" t="str">
            <v>Măng Tây 23/11/2024</v>
          </cell>
          <cell r="B3910">
            <v>62000</v>
          </cell>
        </row>
        <row r="3911">
          <cell r="A3911" t="str">
            <v>Măng Tây 23/11/2024</v>
          </cell>
          <cell r="B3911">
            <v>53000</v>
          </cell>
        </row>
        <row r="3912">
          <cell r="A3912" t="str">
            <v>Lá É 23/11/2024</v>
          </cell>
          <cell r="B3912">
            <v>25000</v>
          </cell>
        </row>
        <row r="3913">
          <cell r="A3913" t="str">
            <v>Bí Ngòi Xanh 23/11/2024</v>
          </cell>
          <cell r="B3913">
            <v>11000</v>
          </cell>
        </row>
        <row r="3914">
          <cell r="A3914" t="str">
            <v>Đậu Cove Nhật 23/11/2024</v>
          </cell>
          <cell r="B3914">
            <v>6000</v>
          </cell>
        </row>
        <row r="3915">
          <cell r="A3915" t="str">
            <v>Củ Cải Trắng 23/11/2024</v>
          </cell>
          <cell r="B3915">
            <v>5000</v>
          </cell>
        </row>
        <row r="3916">
          <cell r="A3916" t="str">
            <v>Củ Khoai Lang Nhật 23/11/2024</v>
          </cell>
          <cell r="B3916">
            <v>17000</v>
          </cell>
        </row>
        <row r="3917">
          <cell r="A3917" t="str">
            <v>Hồng Treo Gió 23/11/2024</v>
          </cell>
          <cell r="B3917">
            <v>200000</v>
          </cell>
        </row>
        <row r="3918">
          <cell r="A3918" t="str">
            <v>Đậu Đỏ 23/11/2024</v>
          </cell>
          <cell r="B3918">
            <v>80000</v>
          </cell>
        </row>
        <row r="3919">
          <cell r="A3919" t="str">
            <v>Củ Hành Tây 23/11/2024</v>
          </cell>
          <cell r="B3919">
            <v>28000</v>
          </cell>
        </row>
        <row r="3920">
          <cell r="A3920" t="str">
            <v>Cải Bó Xôi 23/11/2024</v>
          </cell>
          <cell r="B3920">
            <v>20000</v>
          </cell>
        </row>
        <row r="3921">
          <cell r="A3921" t="str">
            <v>Ớt Chuông Đỏ 23/11/2024</v>
          </cell>
          <cell r="B3921">
            <v>35000</v>
          </cell>
        </row>
        <row r="3922">
          <cell r="A3922" t="str">
            <v>Ớt Chuông Vàng 23/11/2024</v>
          </cell>
          <cell r="B3922">
            <v>18000</v>
          </cell>
        </row>
        <row r="3923">
          <cell r="A3923" t="str">
            <v>Ớt Chuông Xanh 23/11/2024</v>
          </cell>
          <cell r="B3923">
            <v>28000</v>
          </cell>
        </row>
        <row r="3924">
          <cell r="A3924" t="str">
            <v>Ớt Chuông Baby 23/11/2024</v>
          </cell>
          <cell r="B3924">
            <v>44000</v>
          </cell>
        </row>
        <row r="3925">
          <cell r="A3925" t="str">
            <v>Cà Rốt 23/11/2024</v>
          </cell>
          <cell r="B3925">
            <v>14000</v>
          </cell>
        </row>
        <row r="3926">
          <cell r="A3926" t="str">
            <v>Củ Khoai Mỡ 23/11/2024</v>
          </cell>
          <cell r="B3926">
            <v>25000</v>
          </cell>
        </row>
        <row r="3927">
          <cell r="A3927" t="str">
            <v>Chanh Không Hạt 23/11/2024</v>
          </cell>
          <cell r="B3927">
            <v>26000</v>
          </cell>
        </row>
        <row r="3928">
          <cell r="A3928" t="str">
            <v>Bí Non Nhật 23/11/2024</v>
          </cell>
          <cell r="B3928">
            <v>9500</v>
          </cell>
        </row>
        <row r="3929">
          <cell r="A3929" t="str">
            <v>Dưa Leo Baby 23/11/2024</v>
          </cell>
          <cell r="B3929">
            <v>6000</v>
          </cell>
        </row>
        <row r="3930">
          <cell r="A3930" t="str">
            <v>Dưa Leo Nhật 23/11/2024</v>
          </cell>
          <cell r="B3930">
            <v>10000</v>
          </cell>
        </row>
        <row r="3931">
          <cell r="A3931" t="str">
            <v>Cà Chua Beef 23/11/2024</v>
          </cell>
          <cell r="B3931">
            <v>18000</v>
          </cell>
        </row>
        <row r="3932">
          <cell r="A3932" t="str">
            <v>Cà Chua Beef Chùm 23/11/2024</v>
          </cell>
          <cell r="B3932">
            <v>19000</v>
          </cell>
        </row>
        <row r="3933">
          <cell r="A3933" t="str">
            <v>Cà Chua Beef 23/11/2024</v>
          </cell>
          <cell r="B3933">
            <v>15000</v>
          </cell>
        </row>
        <row r="3934">
          <cell r="A3934" t="str">
            <v>Xà Lách Lolo Xanh T.C Cây 23/11/2024</v>
          </cell>
          <cell r="B3934">
            <v>6800</v>
          </cell>
        </row>
        <row r="3935">
          <cell r="A3935" t="str">
            <v>Xà Lách Lolo Xanh T.C 23/11/2024</v>
          </cell>
          <cell r="B3935">
            <v>28000</v>
          </cell>
        </row>
        <row r="3936">
          <cell r="A3936" t="str">
            <v>Xà Lách Mỡ T.C 23/11/2024</v>
          </cell>
          <cell r="B3936">
            <v>28000</v>
          </cell>
        </row>
        <row r="3937">
          <cell r="A3937" t="str">
            <v>Xà Lách Thủy Tinh T.C Cây 23/11/2024</v>
          </cell>
          <cell r="B3937">
            <v>6800</v>
          </cell>
        </row>
        <row r="3938">
          <cell r="A3938" t="str">
            <v>Ớt Sweet Palemo 23/11/2024</v>
          </cell>
          <cell r="B3938">
            <v>22000</v>
          </cell>
        </row>
        <row r="3939">
          <cell r="A3939" t="str">
            <v>Lá Mè 23/11/2024</v>
          </cell>
          <cell r="B3939">
            <v>40000</v>
          </cell>
        </row>
        <row r="3940">
          <cell r="A3940" t="str">
            <v>Xà Lách Lolo Xanh 23/11/2024</v>
          </cell>
          <cell r="B3940">
            <v>14000</v>
          </cell>
        </row>
        <row r="3941">
          <cell r="A3941" t="str">
            <v>Xà Lách Romaine 23/11/2024</v>
          </cell>
          <cell r="B3941">
            <v>33000</v>
          </cell>
        </row>
        <row r="3942">
          <cell r="A3942" t="str">
            <v>Cà Rốt Baby 23/11/2024</v>
          </cell>
          <cell r="B3942">
            <v>48000</v>
          </cell>
        </row>
        <row r="3943">
          <cell r="A3943" t="str">
            <v>Cải Kale 23/11/2024</v>
          </cell>
          <cell r="B3943">
            <v>28000</v>
          </cell>
        </row>
        <row r="3944">
          <cell r="A3944" t="str">
            <v>Cải Kale 23/11/2024</v>
          </cell>
          <cell r="B3944">
            <v>31000</v>
          </cell>
        </row>
        <row r="3945">
          <cell r="A3945" t="str">
            <v>Cà Chua Socola 23/11/2024</v>
          </cell>
          <cell r="B3945">
            <v>8000</v>
          </cell>
        </row>
        <row r="3946">
          <cell r="A3946" t="str">
            <v>Rau Bầu Đất 23/11/2024</v>
          </cell>
          <cell r="B3946">
            <v>30000</v>
          </cell>
        </row>
        <row r="3947">
          <cell r="A3947" t="str">
            <v>Bắp Cải Trái Tim 23/11/2024</v>
          </cell>
          <cell r="B3947">
            <v>14000</v>
          </cell>
        </row>
        <row r="3948">
          <cell r="A3948" t="str">
            <v>Cà Chua Beef 23/11/2024</v>
          </cell>
          <cell r="B3948">
            <v>18000</v>
          </cell>
        </row>
        <row r="3949">
          <cell r="A3949" t="str">
            <v>Ớt Chuông Đỏ 23/11/2024</v>
          </cell>
          <cell r="B3949">
            <v>35000</v>
          </cell>
        </row>
        <row r="3950">
          <cell r="A3950" t="str">
            <v>Ớt Chuông Vàng 23/11/2024</v>
          </cell>
          <cell r="B3950">
            <v>18000</v>
          </cell>
        </row>
        <row r="3951">
          <cell r="A3951" t="str">
            <v>Ớt Chuông Xanh 23/11/2024</v>
          </cell>
          <cell r="B3951">
            <v>28000</v>
          </cell>
        </row>
        <row r="3952">
          <cell r="A3952" t="str">
            <v>Ớt Chuông Baby 23/11/2024</v>
          </cell>
          <cell r="B3952">
            <v>44000</v>
          </cell>
        </row>
        <row r="3953">
          <cell r="A3953" t="str">
            <v>Cà Rốt 23/11/2024</v>
          </cell>
          <cell r="B3953">
            <v>14000</v>
          </cell>
        </row>
        <row r="3954">
          <cell r="A3954" t="str">
            <v>Cà Chua Thường Trung 23/11/2024</v>
          </cell>
          <cell r="B3954">
            <v>15000</v>
          </cell>
        </row>
        <row r="3955">
          <cell r="A3955" t="str">
            <v>Trái Mâm Xôi 23/11/2024</v>
          </cell>
          <cell r="B3955">
            <v>35000</v>
          </cell>
        </row>
        <row r="3956">
          <cell r="A3956" t="str">
            <v>Bông Cải Xanh Baby 23/11/2024</v>
          </cell>
          <cell r="B3956">
            <v>55000</v>
          </cell>
        </row>
        <row r="3957">
          <cell r="A3957" t="str">
            <v>Xà Lách Lolo Xanh 23/11/2024</v>
          </cell>
          <cell r="B3957">
            <v>17000</v>
          </cell>
        </row>
        <row r="3958">
          <cell r="A3958" t="str">
            <v>Cà Chua Beef Trung 23/11/2024</v>
          </cell>
          <cell r="B3958">
            <v>19000</v>
          </cell>
        </row>
        <row r="3959">
          <cell r="A3959" t="str">
            <v>Dưa Leo Baby 23/11/2024</v>
          </cell>
          <cell r="B3959">
            <v>6000</v>
          </cell>
        </row>
        <row r="3960">
          <cell r="A3960" t="str">
            <v>Dưa Leo Baby 23/11/2024</v>
          </cell>
          <cell r="B3960">
            <v>4000</v>
          </cell>
        </row>
        <row r="3961">
          <cell r="A3961" t="str">
            <v>Bông Cải Xanh 7Cm 23/11/2024</v>
          </cell>
          <cell r="B3961">
            <v>26000</v>
          </cell>
        </row>
        <row r="3962">
          <cell r="A3962" t="str">
            <v>Trái Su Su 23/11/2024</v>
          </cell>
          <cell r="B3962">
            <v>7000</v>
          </cell>
        </row>
        <row r="3963">
          <cell r="A3963" t="str">
            <v>Bí Non Nhật 23/11/2024</v>
          </cell>
          <cell r="B3963">
            <v>10000</v>
          </cell>
        </row>
        <row r="3964">
          <cell r="A3964" t="str">
            <v>Đậu Cove Trắng 23/11/2024</v>
          </cell>
          <cell r="B3964">
            <v>10000</v>
          </cell>
        </row>
        <row r="3965">
          <cell r="A3965" t="str">
            <v>Dưa Leo Thường 23/11/2024</v>
          </cell>
          <cell r="B3965">
            <v>6000</v>
          </cell>
        </row>
        <row r="3966">
          <cell r="A3966" t="str">
            <v>Dưa Leo Nhật 23/11/2024</v>
          </cell>
          <cell r="B3966">
            <v>10000</v>
          </cell>
        </row>
        <row r="3967">
          <cell r="A3967" t="str">
            <v>Bí Non Nhật 23/11/2024</v>
          </cell>
          <cell r="B3967">
            <v>10000</v>
          </cell>
        </row>
        <row r="3968">
          <cell r="A3968" t="str">
            <v>Củ Khoai Lang Mật Size 23 23/11/2024</v>
          </cell>
          <cell r="B3968">
            <v>26000</v>
          </cell>
        </row>
        <row r="3969">
          <cell r="A3969" t="str">
            <v>Củ Khoai Lang Mật Size 46 23/11/2024</v>
          </cell>
          <cell r="B3969">
            <v>26000</v>
          </cell>
        </row>
        <row r="3970">
          <cell r="A3970" t="str">
            <v>Lá Mè 23/11/2024</v>
          </cell>
          <cell r="B3970">
            <v>36000</v>
          </cell>
        </row>
        <row r="3971">
          <cell r="A3971" t="str">
            <v>Cà Tím 23/11/2024</v>
          </cell>
          <cell r="B3971">
            <v>6000</v>
          </cell>
        </row>
        <row r="3972">
          <cell r="A3972" t="str">
            <v>Cà Tím 23/11/2024</v>
          </cell>
          <cell r="B3972">
            <v>4000</v>
          </cell>
        </row>
        <row r="3973">
          <cell r="A3973" t="str">
            <v>Dưa Leo Thường 23/11/2024</v>
          </cell>
          <cell r="B3973">
            <v>3000</v>
          </cell>
        </row>
        <row r="3974">
          <cell r="A3974" t="str">
            <v>Trái Khổ Qua 23/11/2024</v>
          </cell>
          <cell r="B3974">
            <v>11000</v>
          </cell>
        </row>
        <row r="3975">
          <cell r="A3975" t="str">
            <v>Xà Lách Thủy Tinh T.C Cây 23/11/2024</v>
          </cell>
          <cell r="B3975">
            <v>6500</v>
          </cell>
        </row>
        <row r="3976">
          <cell r="A3976" t="str">
            <v>Xà Lách Mỹ 23/11/2024</v>
          </cell>
          <cell r="B3976">
            <v>33000</v>
          </cell>
        </row>
        <row r="3977">
          <cell r="A3977" t="str">
            <v>Đậu Cove Nhật 23/11/2024</v>
          </cell>
          <cell r="B3977">
            <v>6000</v>
          </cell>
        </row>
        <row r="3978">
          <cell r="A3978" t="str">
            <v>Củ Cải Trắng 23/11/2024</v>
          </cell>
          <cell r="B3978">
            <v>5000</v>
          </cell>
        </row>
        <row r="3979">
          <cell r="A3979" t="str">
            <v>Cà Rốt 23/11/2024</v>
          </cell>
          <cell r="B3979">
            <v>14000</v>
          </cell>
        </row>
        <row r="3980">
          <cell r="A3980" t="str">
            <v>Xà Lách Lolo Xanh T.C 23/11/2024</v>
          </cell>
          <cell r="B3980">
            <v>28000</v>
          </cell>
        </row>
        <row r="3981">
          <cell r="A3981" t="str">
            <v>Cà Chua Socola 23/11/2024</v>
          </cell>
          <cell r="B3981">
            <v>26000</v>
          </cell>
        </row>
        <row r="3982">
          <cell r="A3982" t="str">
            <v>Dưa Leo Baby 23/11/2024</v>
          </cell>
          <cell r="B3982">
            <v>6000</v>
          </cell>
        </row>
        <row r="3983">
          <cell r="A3983" t="str">
            <v>Trái Su Su 23/11/2024</v>
          </cell>
          <cell r="B3983">
            <v>9000</v>
          </cell>
        </row>
        <row r="3984">
          <cell r="A3984" t="str">
            <v>Gia Công Rau Củ Quả 23/11/2024</v>
          </cell>
          <cell r="B3984">
            <v>1700</v>
          </cell>
        </row>
        <row r="3985">
          <cell r="A3985" t="str">
            <v>Gia Công Rau Củ Quả 23/11/2024</v>
          </cell>
          <cell r="B3985">
            <v>1700</v>
          </cell>
        </row>
        <row r="3986">
          <cell r="A3986" t="str">
            <v>Gia Công Rau Củ Quả 23/11/2024</v>
          </cell>
          <cell r="B3986">
            <v>700</v>
          </cell>
        </row>
        <row r="3987">
          <cell r="A3987" t="str">
            <v>Gia Công Rau Củ Quả 23/11/2024</v>
          </cell>
          <cell r="B3987">
            <v>700</v>
          </cell>
        </row>
        <row r="3988">
          <cell r="A3988" t="str">
            <v>Bông Cải Xanh Cây 23/11/2024</v>
          </cell>
          <cell r="B3988">
            <v>7500</v>
          </cell>
        </row>
        <row r="3989">
          <cell r="A3989" t="str">
            <v>Hồng Treo Gió 23/11/2024</v>
          </cell>
          <cell r="B3989">
            <v>200000</v>
          </cell>
        </row>
        <row r="3990">
          <cell r="A3990" t="str">
            <v>Củ Dền 23/11/2024</v>
          </cell>
          <cell r="B3990">
            <v>18000</v>
          </cell>
        </row>
        <row r="3991">
          <cell r="A3991" t="str">
            <v>Hành Paro 23/11/2024</v>
          </cell>
          <cell r="B3991">
            <v>30000</v>
          </cell>
        </row>
        <row r="3992">
          <cell r="A3992" t="str">
            <v>Củ Hành Tây 23/11/2024</v>
          </cell>
          <cell r="B3992">
            <v>28000</v>
          </cell>
        </row>
        <row r="3993">
          <cell r="A3993" t="str">
            <v>Bắp Cải Trái Tim 23/11/2024</v>
          </cell>
          <cell r="B3993">
            <v>16000</v>
          </cell>
        </row>
        <row r="3994">
          <cell r="A3994" t="str">
            <v>Cải Bó Xôi 23/11/2024</v>
          </cell>
          <cell r="B3994">
            <v>20000</v>
          </cell>
        </row>
        <row r="3995">
          <cell r="A3995" t="str">
            <v>Cần Tây 23/11/2024</v>
          </cell>
          <cell r="B3995">
            <v>17000</v>
          </cell>
        </row>
        <row r="3996">
          <cell r="A3996" t="str">
            <v>Bông Cải Xanh 10Cm 23/11/2024</v>
          </cell>
          <cell r="B3996">
            <v>31000</v>
          </cell>
        </row>
        <row r="3997">
          <cell r="A3997" t="str">
            <v>Bông Cải Xanh 7Cm 23/11/2024</v>
          </cell>
          <cell r="B3997">
            <v>37000</v>
          </cell>
        </row>
        <row r="3998">
          <cell r="A3998" t="str">
            <v>Bông Cải Xanh 10Cm 23/11/2024</v>
          </cell>
          <cell r="B3998">
            <v>31000</v>
          </cell>
        </row>
        <row r="3999">
          <cell r="A3999" t="str">
            <v>Bông Cải Xanh 7Cm 23/11/2024</v>
          </cell>
          <cell r="B3999">
            <v>37000</v>
          </cell>
        </row>
        <row r="4000">
          <cell r="A4000" t="str">
            <v>Bông Cải Xanh 7Cm 23/11/2024</v>
          </cell>
          <cell r="B4000">
            <v>37000</v>
          </cell>
        </row>
        <row r="4001">
          <cell r="A4001" t="str">
            <v>Bông Cải Xanh 10Cm 23/11/2024</v>
          </cell>
          <cell r="B4001">
            <v>31000</v>
          </cell>
        </row>
        <row r="4002">
          <cell r="A4002" t="str">
            <v>Bông Cải Xanh 10Cm 23/11/2024</v>
          </cell>
          <cell r="B4002">
            <v>31000</v>
          </cell>
        </row>
        <row r="4003">
          <cell r="A4003" t="str">
            <v>Dưa Leo Baby 23/11/2024</v>
          </cell>
          <cell r="B4003">
            <v>4000</v>
          </cell>
        </row>
        <row r="4004">
          <cell r="A4004" t="str">
            <v>Bắp Cải Tím 23/11/2024</v>
          </cell>
          <cell r="B4004">
            <v>30000</v>
          </cell>
        </row>
        <row r="4005">
          <cell r="A4005" t="str">
            <v>Cải Thảo Hỏa Tiễn 23/11/2024</v>
          </cell>
          <cell r="B4005">
            <v>16000</v>
          </cell>
        </row>
        <row r="4006">
          <cell r="A4006" t="str">
            <v>Cà Chua Beef 23/11/2024</v>
          </cell>
          <cell r="B4006">
            <v>18000</v>
          </cell>
        </row>
        <row r="4007">
          <cell r="A4007" t="str">
            <v>Bông Cải Trắng 23/11/2024</v>
          </cell>
          <cell r="B4007">
            <v>27000</v>
          </cell>
        </row>
        <row r="4008">
          <cell r="A4008" t="str">
            <v>Ớt Sweet Palemo 23/11/2024</v>
          </cell>
          <cell r="B4008">
            <v>20500</v>
          </cell>
        </row>
        <row r="4009">
          <cell r="A4009" t="str">
            <v>Bí Ngòi Xanh 23/11/2024</v>
          </cell>
          <cell r="B4009">
            <v>10000</v>
          </cell>
        </row>
        <row r="4010">
          <cell r="A4010" t="str">
            <v>Cà Chua Bi Đỏ 23/11/2024</v>
          </cell>
          <cell r="B4010">
            <v>10500</v>
          </cell>
        </row>
        <row r="4011">
          <cell r="A4011" t="str">
            <v>Cà Chua Bi Đỏ 23/11/2024</v>
          </cell>
          <cell r="B4011">
            <v>17500</v>
          </cell>
        </row>
        <row r="4012">
          <cell r="A4012" t="str">
            <v>Trái Cam Canh 23/11/2024</v>
          </cell>
          <cell r="B4012">
            <v>38000</v>
          </cell>
        </row>
        <row r="4013">
          <cell r="A4013" t="str">
            <v>Trái Cam Canh 23/11/2024</v>
          </cell>
          <cell r="B4013">
            <v>41000</v>
          </cell>
        </row>
        <row r="4014">
          <cell r="A4014" t="str">
            <v>Bí Đỏ Tròn 23/11/2024</v>
          </cell>
          <cell r="B4014">
            <v>4300</v>
          </cell>
        </row>
        <row r="4015">
          <cell r="A4015" t="str">
            <v>Xà Lách Lolo Xanh T.C 23/11/2024</v>
          </cell>
          <cell r="B4015">
            <v>26000</v>
          </cell>
        </row>
        <row r="4016">
          <cell r="A4016" t="str">
            <v>Xà Lách Thủy Tinh T.C Cây 23/11/2024</v>
          </cell>
          <cell r="B4016">
            <v>8000</v>
          </cell>
        </row>
        <row r="4017">
          <cell r="A4017" t="str">
            <v>Cà Chua Thường 23/11/2024</v>
          </cell>
          <cell r="B4017">
            <v>18000</v>
          </cell>
        </row>
        <row r="4018">
          <cell r="A4018" t="str">
            <v>Xà Lách Lolo Xanh T.C Cây 23/11/2024</v>
          </cell>
          <cell r="B4018">
            <v>6800</v>
          </cell>
        </row>
        <row r="4019">
          <cell r="A4019" t="str">
            <v>Xà Lách Thủy Tinh T.C Cây 23/11/2024</v>
          </cell>
          <cell r="B4019">
            <v>6800</v>
          </cell>
        </row>
        <row r="4020">
          <cell r="A4020" t="str">
            <v>Củ Khoai Tây Vàng 23/11/2024</v>
          </cell>
          <cell r="B4020">
            <v>15000</v>
          </cell>
        </row>
        <row r="4021">
          <cell r="A4021" t="str">
            <v>Củ Cải Trắng 23/11/2024</v>
          </cell>
          <cell r="B4021">
            <v>6500</v>
          </cell>
        </row>
        <row r="4022">
          <cell r="A4022" t="str">
            <v>Xà Lách Mỡ T.C 23/11/2024</v>
          </cell>
          <cell r="B4022">
            <v>27000</v>
          </cell>
        </row>
        <row r="4023">
          <cell r="A4023" t="str">
            <v>Xà Lách Lolo Xanh T.C 23/11/2024</v>
          </cell>
          <cell r="B4023">
            <v>28000</v>
          </cell>
        </row>
        <row r="4024">
          <cell r="A4024" t="str">
            <v>Củ Su Hào 23/11/2024</v>
          </cell>
          <cell r="B4024">
            <v>17000</v>
          </cell>
        </row>
        <row r="4025">
          <cell r="A4025" t="str">
            <v>Bắp Cải Trắng 23/11/2024</v>
          </cell>
          <cell r="B4025">
            <v>13000</v>
          </cell>
        </row>
        <row r="4026">
          <cell r="A4026" t="str">
            <v>Trái Su Su 23/11/2024</v>
          </cell>
          <cell r="B4026">
            <v>8000</v>
          </cell>
        </row>
        <row r="4027">
          <cell r="A4027" t="str">
            <v>Lá Nha Đam 23/11/2024</v>
          </cell>
          <cell r="B4027">
            <v>14000</v>
          </cell>
        </row>
        <row r="4028">
          <cell r="A4028" t="str">
            <v>Bí Đỏ Hồ Lô 23/11/2024</v>
          </cell>
          <cell r="B4028">
            <v>13000</v>
          </cell>
        </row>
        <row r="4029">
          <cell r="A4029" t="str">
            <v>Chuối Laba 23/11/2024</v>
          </cell>
          <cell r="B4029">
            <v>13000</v>
          </cell>
        </row>
        <row r="4030">
          <cell r="A4030" t="str">
            <v>Lá Mè 23/11/2024</v>
          </cell>
          <cell r="B4030">
            <v>40000</v>
          </cell>
        </row>
        <row r="4031">
          <cell r="A4031" t="str">
            <v>Dưa Leo Baby 23/11/2024</v>
          </cell>
          <cell r="B4031">
            <v>4000</v>
          </cell>
        </row>
        <row r="4032">
          <cell r="A4032" t="str">
            <v>Đậu Đỏ 23/11/2024</v>
          </cell>
          <cell r="B4032">
            <v>80000</v>
          </cell>
        </row>
        <row r="4033">
          <cell r="A4033" t="str">
            <v>Đậu Trắng 23/11/2024</v>
          </cell>
          <cell r="B4033">
            <v>70000</v>
          </cell>
        </row>
        <row r="4034">
          <cell r="A4034" t="str">
            <v>Hồng Giòn Đà Lạt 23/11/2024</v>
          </cell>
          <cell r="B4034">
            <v>30000</v>
          </cell>
        </row>
        <row r="4035">
          <cell r="A4035" t="str">
            <v>Cà Rốt Baby 23/11/2024</v>
          </cell>
          <cell r="B4035">
            <v>48000</v>
          </cell>
        </row>
        <row r="4036">
          <cell r="A4036" t="str">
            <v>Cải Cầu Vồng 23/11/2024</v>
          </cell>
          <cell r="B4036">
            <v>18000</v>
          </cell>
        </row>
        <row r="4037">
          <cell r="A4037" t="str">
            <v>Củ Khoai Mỡ 23/11/2024</v>
          </cell>
          <cell r="B4037">
            <v>25000</v>
          </cell>
        </row>
        <row r="4038">
          <cell r="A4038" t="str">
            <v>Bơ Booth 23/11/2024</v>
          </cell>
          <cell r="B4038">
            <v>39000</v>
          </cell>
        </row>
        <row r="4039">
          <cell r="A4039" t="str">
            <v>Bơ Booth 23/11/2024</v>
          </cell>
          <cell r="B4039">
            <v>31000</v>
          </cell>
        </row>
        <row r="4040">
          <cell r="A4040" t="str">
            <v>Ớt Sweet Palemo 23/11/2024</v>
          </cell>
          <cell r="B4040">
            <v>20000</v>
          </cell>
        </row>
        <row r="4041">
          <cell r="A4041" t="str">
            <v>Cà Chua Bi Mix 23/11/2024</v>
          </cell>
          <cell r="B4041">
            <v>47500</v>
          </cell>
        </row>
        <row r="4042">
          <cell r="A4042" t="str">
            <v>Cải Kale 23/11/2024</v>
          </cell>
          <cell r="B4042">
            <v>26500</v>
          </cell>
        </row>
        <row r="4043">
          <cell r="A4043" t="str">
            <v>Cải Bó Xôi 23/11/2024</v>
          </cell>
          <cell r="B4043">
            <v>26000</v>
          </cell>
        </row>
        <row r="4044">
          <cell r="A4044" t="str">
            <v>Cà Chua Beef 23/11/2024</v>
          </cell>
          <cell r="B4044">
            <v>15000</v>
          </cell>
        </row>
        <row r="4045">
          <cell r="A4045" t="str">
            <v>Cà Chua Thường 23/11/2024</v>
          </cell>
          <cell r="B4045">
            <v>12000</v>
          </cell>
        </row>
        <row r="4046">
          <cell r="A4046" t="str">
            <v>Cà Chua Thường Trung 23/11/2024</v>
          </cell>
          <cell r="B4046">
            <v>8000</v>
          </cell>
        </row>
        <row r="4047">
          <cell r="A4047" t="str">
            <v>Cước Vận Chuyển Hàng Hóa 23/11/2024</v>
          </cell>
          <cell r="B4047">
            <v>1750000</v>
          </cell>
        </row>
        <row r="4048">
          <cell r="A4048" t="str">
            <v>Túi Xốp /  Túi lưới bọc trái cây 23/11/2024</v>
          </cell>
          <cell r="B4048">
            <v>60000</v>
          </cell>
        </row>
        <row r="4049">
          <cell r="A4049" t="str">
            <v>Cải Thảo 23/11/2024</v>
          </cell>
          <cell r="B4049">
            <v>7000</v>
          </cell>
        </row>
        <row r="4050">
          <cell r="A4050" t="str">
            <v>Bông Cải Trắng 23/11/2024</v>
          </cell>
          <cell r="B4050">
            <v>27000</v>
          </cell>
        </row>
        <row r="4051">
          <cell r="A4051" t="str">
            <v>Cà Chua Beef 23/11/2024</v>
          </cell>
          <cell r="B4051">
            <v>18000</v>
          </cell>
        </row>
        <row r="4052">
          <cell r="A4052" t="str">
            <v>Cà Chua Beef 23/11/2024</v>
          </cell>
          <cell r="B4052">
            <v>18000</v>
          </cell>
        </row>
        <row r="4053">
          <cell r="A4053" t="str">
            <v>Cải Thảo Hỏa Tiễn 23/11/2024</v>
          </cell>
          <cell r="B4053">
            <v>16000</v>
          </cell>
        </row>
        <row r="4054">
          <cell r="A4054" t="str">
            <v>Bắp Cải Tím 23/11/2024</v>
          </cell>
          <cell r="B4054">
            <v>30000</v>
          </cell>
        </row>
        <row r="4055">
          <cell r="A4055" t="str">
            <v>Cần Tây 23/11/2024</v>
          </cell>
          <cell r="B4055">
            <v>16000</v>
          </cell>
        </row>
        <row r="4056">
          <cell r="A4056" t="str">
            <v>Bông Cải Xanh Cọng 23/11/2024</v>
          </cell>
          <cell r="B4056">
            <v>31000</v>
          </cell>
        </row>
        <row r="4057">
          <cell r="A4057" t="str">
            <v>Củ Hành Tây 23/11/2024</v>
          </cell>
          <cell r="B4057">
            <v>21000</v>
          </cell>
        </row>
        <row r="4058">
          <cell r="A4058" t="str">
            <v>Dưa Leo Baby 23/11/2024</v>
          </cell>
          <cell r="B4058">
            <v>5000</v>
          </cell>
        </row>
        <row r="4059">
          <cell r="A4059" t="str">
            <v>Bắp Cải Trái Tim 23/11/2024</v>
          </cell>
          <cell r="B4059">
            <v>16000</v>
          </cell>
        </row>
        <row r="4060">
          <cell r="A4060" t="str">
            <v>Hồng Treo Gió 23/11/2024</v>
          </cell>
          <cell r="B4060">
            <v>200000</v>
          </cell>
        </row>
        <row r="4061">
          <cell r="A4061" t="str">
            <v>Chuối Laba 23/11/2024</v>
          </cell>
          <cell r="B4061">
            <v>13000</v>
          </cell>
        </row>
        <row r="4062">
          <cell r="A4062" t="str">
            <v>Đậu Cove Nhật 23/11/2024</v>
          </cell>
          <cell r="B4062">
            <v>6000</v>
          </cell>
        </row>
        <row r="4063">
          <cell r="A4063" t="str">
            <v>Củ Khoai Lang Nhật 23/11/2024</v>
          </cell>
          <cell r="B4063">
            <v>17500</v>
          </cell>
        </row>
        <row r="4064">
          <cell r="A4064" t="str">
            <v>Xà Lách Thủy Tinh T.C Cây 23/11/2024</v>
          </cell>
          <cell r="B4064">
            <v>6500</v>
          </cell>
        </row>
        <row r="4065">
          <cell r="A4065" t="str">
            <v>Cà Rốt 23/11/2024</v>
          </cell>
          <cell r="B4065">
            <v>15000</v>
          </cell>
        </row>
        <row r="4066">
          <cell r="A4066" t="str">
            <v>Cà Rốt 23/11/2024</v>
          </cell>
          <cell r="B4066">
            <v>15000</v>
          </cell>
        </row>
        <row r="4067">
          <cell r="A4067" t="str">
            <v>Hành Paro 23/11/2024</v>
          </cell>
          <cell r="B4067">
            <v>35000</v>
          </cell>
        </row>
        <row r="4068">
          <cell r="A4068" t="str">
            <v>Bí Ngòi Xanh 23/11/2024</v>
          </cell>
          <cell r="B4068">
            <v>10000</v>
          </cell>
        </row>
        <row r="4069">
          <cell r="A4069" t="str">
            <v>Ớt Chuông Đỏ 23/11/2024</v>
          </cell>
          <cell r="B4069">
            <v>30000</v>
          </cell>
        </row>
        <row r="4070">
          <cell r="A4070" t="str">
            <v>Ớt Chuông Vàng 23/11/2024</v>
          </cell>
          <cell r="B4070">
            <v>15000</v>
          </cell>
        </row>
        <row r="4071">
          <cell r="A4071" t="str">
            <v>Ớt Chuông Xanh 23/11/2024</v>
          </cell>
          <cell r="B4071">
            <v>30000</v>
          </cell>
        </row>
        <row r="4072">
          <cell r="A4072" t="str">
            <v>Bí Đao Xanh 23/11/2024</v>
          </cell>
          <cell r="B4072">
            <v>8000</v>
          </cell>
        </row>
        <row r="4073">
          <cell r="A4073" t="str">
            <v>Cà Tím 23/11/2024</v>
          </cell>
          <cell r="B4073">
            <v>7000</v>
          </cell>
        </row>
        <row r="4074">
          <cell r="A4074" t="str">
            <v>Trái Su Su 23/11/2024</v>
          </cell>
          <cell r="B4074">
            <v>8000</v>
          </cell>
        </row>
        <row r="4075">
          <cell r="A4075" t="str">
            <v>Bơ Booth 23/11/2024</v>
          </cell>
          <cell r="B4075">
            <v>30000</v>
          </cell>
        </row>
        <row r="4076">
          <cell r="A4076" t="str">
            <v>Xà Lách Lolo Xanh T.C Cây 23/11/2024</v>
          </cell>
          <cell r="B4076">
            <v>6000</v>
          </cell>
        </row>
        <row r="4077">
          <cell r="A4077" t="str">
            <v>Củ Cải Trắng 23/11/2024</v>
          </cell>
          <cell r="B4077">
            <v>6500</v>
          </cell>
        </row>
        <row r="4078">
          <cell r="A4078" t="str">
            <v>Củ Khoai Tây Vàng 23/11/2024</v>
          </cell>
          <cell r="B4078">
            <v>15000</v>
          </cell>
        </row>
        <row r="4079">
          <cell r="A4079" t="str">
            <v>Bắp Cải Trắng 23/11/2024</v>
          </cell>
          <cell r="B4079">
            <v>12000</v>
          </cell>
        </row>
        <row r="4080">
          <cell r="A4080" t="str">
            <v>Bắp Cải Trắng 23/11/2024</v>
          </cell>
          <cell r="B4080">
            <v>13500</v>
          </cell>
        </row>
        <row r="4081">
          <cell r="A4081" t="str">
            <v>Hồng Giòn Đà Lạt 23/11/2024</v>
          </cell>
          <cell r="B4081">
            <v>30000</v>
          </cell>
        </row>
        <row r="4082">
          <cell r="A4082" t="str">
            <v>Cà Chua Thường 23/11/2024</v>
          </cell>
          <cell r="B4082">
            <v>18000</v>
          </cell>
        </row>
        <row r="4083">
          <cell r="A4083" t="str">
            <v>Bí Đao Xanh 23/11/2024</v>
          </cell>
          <cell r="B4083">
            <v>10000</v>
          </cell>
        </row>
        <row r="4084">
          <cell r="A4084" t="str">
            <v>Bí Đỏ Tròn 23/11/2024</v>
          </cell>
          <cell r="B4084">
            <v>4300</v>
          </cell>
        </row>
        <row r="4085">
          <cell r="A4085" t="str">
            <v>Chanh Dây Tím 23/11/2024</v>
          </cell>
          <cell r="B4085">
            <v>28000</v>
          </cell>
        </row>
        <row r="4086">
          <cell r="A4086" t="str">
            <v>Xà Lách Mỡ T.C 23/11/2024</v>
          </cell>
          <cell r="B4086">
            <v>26000</v>
          </cell>
        </row>
        <row r="4087">
          <cell r="A4087" t="str">
            <v>Đậu Cove Trắng 23/11/2024</v>
          </cell>
          <cell r="B4087">
            <v>10000</v>
          </cell>
        </row>
        <row r="4088">
          <cell r="A4088" t="str">
            <v>Củ Su Hào 23/11/2024</v>
          </cell>
          <cell r="B4088">
            <v>17000</v>
          </cell>
        </row>
        <row r="4089">
          <cell r="A4089" t="str">
            <v>Túi Xốp /  Túi lưới bọc trái cây 23/11/2024</v>
          </cell>
          <cell r="B4089">
            <v>60000</v>
          </cell>
        </row>
        <row r="4090">
          <cell r="A4090" t="str">
            <v>DO 0.05S-II 24/11/2024</v>
          </cell>
          <cell r="B4090">
            <v>17154.55</v>
          </cell>
        </row>
        <row r="4091">
          <cell r="A4091" t="str">
            <v>DO 0.05S-II 24/11/2024</v>
          </cell>
          <cell r="B4091">
            <v>17154.55</v>
          </cell>
        </row>
        <row r="4092">
          <cell r="A4092" t="str">
            <v>Dầu DO 0.05S-II 24/11/2024</v>
          </cell>
          <cell r="B4092">
            <v>16818.18</v>
          </cell>
        </row>
        <row r="4093">
          <cell r="A4093" t="str">
            <v>Cước đường bộ xe 49C37197T đi qua trạm Xa Lộ - Hà Nội thời gian GD 02:53:20 ngày 24/11/2024 mã GD 1510797830 24/11/2024</v>
          </cell>
          <cell r="B4093">
            <v>50000</v>
          </cell>
        </row>
        <row r="4094">
          <cell r="A4094" t="str">
            <v>Cước đường bộ xe 49C37197T đi qua đoạn Long Phước - NH51 thời gian GD 07:30:18 ngày 24/11/2024 mã GD 1510954975 24/11/2024</v>
          </cell>
          <cell r="B4094">
            <v>76806</v>
          </cell>
        </row>
        <row r="4095">
          <cell r="A4095" t="str">
            <v>Cước đường bộ xe 49C37197T đi qua trạm Liên Đầm thời gian GD 13:06:11 ngày 24/11/2024 mã GD 1511418339 24/11/2024</v>
          </cell>
          <cell r="B4095">
            <v>78704</v>
          </cell>
        </row>
        <row r="4096">
          <cell r="A4096" t="str">
            <v>Cước đường bộ xe 49C37197T đi qua trạm Liên Đầm thời gian GD 22:32:08 ngày 24/11/2024 mã GD 1512219204 24/11/2024</v>
          </cell>
          <cell r="B4096">
            <v>78704</v>
          </cell>
        </row>
        <row r="4097">
          <cell r="A4097" t="str">
            <v>Cước đường bộ xe 49C37197T đi qua trạm Cầu Phú Mỹ thời gian GD 07:02:09 ngày 24/11/2024 mã GD 1510939096 24/11/2024</v>
          </cell>
          <cell r="B4097">
            <v>22222</v>
          </cell>
        </row>
        <row r="4098">
          <cell r="A4098" t="str">
            <v>Ớt Chuông Xanh 24/11/2024</v>
          </cell>
          <cell r="B4098">
            <v>30000</v>
          </cell>
        </row>
        <row r="4099">
          <cell r="A4099" t="str">
            <v>Xà Lách Lolo Xanh T.C Cây 24/11/2024</v>
          </cell>
          <cell r="B4099">
            <v>6800</v>
          </cell>
        </row>
        <row r="4100">
          <cell r="A4100" t="str">
            <v>Xà Lách Mỡ T.C 24/11/2024</v>
          </cell>
          <cell r="B4100">
            <v>28000</v>
          </cell>
        </row>
        <row r="4101">
          <cell r="A4101" t="str">
            <v>Xà Lách Thủy Tinh T.C Cây 24/11/2024</v>
          </cell>
          <cell r="B4101">
            <v>6800</v>
          </cell>
        </row>
        <row r="4102">
          <cell r="A4102" t="str">
            <v>Dưa Leo Nhật 24/11/2024</v>
          </cell>
          <cell r="B4102">
            <v>10000</v>
          </cell>
        </row>
        <row r="4103">
          <cell r="A4103" t="str">
            <v>Cà Chua Thường 24/11/2024</v>
          </cell>
          <cell r="B4103">
            <v>14000</v>
          </cell>
        </row>
        <row r="4104">
          <cell r="A4104" t="str">
            <v>Cà Chua Beef Trung 24/11/2024</v>
          </cell>
          <cell r="B4104">
            <v>15000</v>
          </cell>
        </row>
        <row r="4105">
          <cell r="A4105" t="str">
            <v>Cà Chua Bi Mix 24/11/2024</v>
          </cell>
          <cell r="B4105">
            <v>47500</v>
          </cell>
        </row>
        <row r="4106">
          <cell r="A4106" t="str">
            <v>Cà Chua Socola 24/11/2024</v>
          </cell>
          <cell r="B4106">
            <v>38500</v>
          </cell>
        </row>
        <row r="4107">
          <cell r="A4107" t="str">
            <v>Củ Khoai Lang Nhật 24/11/2024</v>
          </cell>
          <cell r="B4107">
            <v>17000</v>
          </cell>
        </row>
        <row r="4108">
          <cell r="A4108" t="str">
            <v>Củ Khoai Mỡ 24/11/2024</v>
          </cell>
          <cell r="B4108">
            <v>30000</v>
          </cell>
        </row>
        <row r="4109">
          <cell r="A4109" t="str">
            <v>Cải Kale 24/11/2024</v>
          </cell>
          <cell r="B4109">
            <v>23000</v>
          </cell>
        </row>
        <row r="4110">
          <cell r="A4110" t="str">
            <v>Lá Mè 24/11/2024</v>
          </cell>
          <cell r="B4110">
            <v>36000</v>
          </cell>
        </row>
        <row r="4111">
          <cell r="A4111" t="str">
            <v>Bí Ngòi Xanh 24/11/2024</v>
          </cell>
          <cell r="B4111">
            <v>10000</v>
          </cell>
        </row>
        <row r="4112">
          <cell r="A4112" t="str">
            <v>Măng Tây 24/11/2024</v>
          </cell>
          <cell r="B4112">
            <v>62000</v>
          </cell>
        </row>
        <row r="4113">
          <cell r="A4113" t="str">
            <v>Măng Tây 24/11/2024</v>
          </cell>
          <cell r="B4113">
            <v>52000</v>
          </cell>
        </row>
        <row r="4114">
          <cell r="A4114" t="str">
            <v>Lá É 24/11/2024</v>
          </cell>
          <cell r="B4114">
            <v>27000</v>
          </cell>
        </row>
        <row r="4115">
          <cell r="A4115" t="str">
            <v>Rau Ngò Rí 24/11/2024</v>
          </cell>
          <cell r="B4115">
            <v>35000</v>
          </cell>
        </row>
        <row r="4116">
          <cell r="A4116" t="str">
            <v>Dưa Leo Thường 24/11/2024</v>
          </cell>
          <cell r="B4116">
            <v>3000</v>
          </cell>
        </row>
        <row r="4117">
          <cell r="A4117" t="str">
            <v>Cải Bó Xôi 24/11/2024</v>
          </cell>
          <cell r="B4117">
            <v>20000</v>
          </cell>
        </row>
        <row r="4118">
          <cell r="A4118" t="str">
            <v>Cần Tây 24/11/2024</v>
          </cell>
          <cell r="B4118">
            <v>20000</v>
          </cell>
        </row>
        <row r="4119">
          <cell r="A4119" t="str">
            <v>Xà Lách Lolo Xanh T.C 24/11/2024</v>
          </cell>
          <cell r="B4119">
            <v>28000</v>
          </cell>
        </row>
        <row r="4120">
          <cell r="A4120" t="str">
            <v>Củ Khoai Tây Vàng 24/11/2024</v>
          </cell>
          <cell r="B4120">
            <v>15000</v>
          </cell>
        </row>
        <row r="4121">
          <cell r="A4121" t="str">
            <v>Cà Chua Bi Đỏ 24/11/2024</v>
          </cell>
          <cell r="B4121">
            <v>10500</v>
          </cell>
        </row>
        <row r="4122">
          <cell r="A4122" t="str">
            <v>Ớt Chuông Đỏ 24/11/2024</v>
          </cell>
          <cell r="B4122">
            <v>35000</v>
          </cell>
        </row>
        <row r="4123">
          <cell r="A4123" t="str">
            <v>Ớt Chuông Baby 24/11/2024</v>
          </cell>
          <cell r="B4123">
            <v>44000</v>
          </cell>
        </row>
        <row r="4124">
          <cell r="A4124" t="str">
            <v>Ớt Sweet Palemo 24/11/2024</v>
          </cell>
          <cell r="B4124">
            <v>55000</v>
          </cell>
        </row>
        <row r="4125">
          <cell r="A4125" t="str">
            <v>Ớt Sweet Palemo 24/11/2024</v>
          </cell>
          <cell r="B4125">
            <v>60000</v>
          </cell>
        </row>
        <row r="4126">
          <cell r="A4126" t="str">
            <v>Dưa Leo Baby 24/11/2024</v>
          </cell>
          <cell r="B4126">
            <v>6000</v>
          </cell>
        </row>
        <row r="4127">
          <cell r="A4127" t="str">
            <v>Bí Ngòi Xanh 24/11/2024</v>
          </cell>
          <cell r="B4127">
            <v>10000</v>
          </cell>
        </row>
        <row r="4128">
          <cell r="A4128" t="str">
            <v>Xà Lách Rocket 24/11/2024</v>
          </cell>
          <cell r="B4128">
            <v>120000</v>
          </cell>
        </row>
        <row r="4129">
          <cell r="A4129" t="str">
            <v>Rau Bầu Đất 24/11/2024</v>
          </cell>
          <cell r="B4129">
            <v>30000</v>
          </cell>
        </row>
        <row r="4130">
          <cell r="A4130" t="str">
            <v>Bông Cải Xanh Gốc Dài 24/11/2024</v>
          </cell>
          <cell r="B4130">
            <v>25000</v>
          </cell>
        </row>
        <row r="4131">
          <cell r="A4131" t="str">
            <v>Bông Cải Trắng 24/11/2024</v>
          </cell>
          <cell r="B4131">
            <v>26000</v>
          </cell>
        </row>
        <row r="4132">
          <cell r="A4132" t="str">
            <v>Bông Cải Trắng Cây 24/11/2024</v>
          </cell>
          <cell r="B4132">
            <v>30000</v>
          </cell>
        </row>
        <row r="4133">
          <cell r="A4133" t="str">
            <v>Gia Công Rau Củ Quả 24/11/2024</v>
          </cell>
          <cell r="B4133">
            <v>1700</v>
          </cell>
        </row>
        <row r="4134">
          <cell r="A4134" t="str">
            <v>Gia Công Rau Củ Quả 24/11/2024</v>
          </cell>
          <cell r="B4134">
            <v>1700</v>
          </cell>
        </row>
        <row r="4135">
          <cell r="A4135" t="str">
            <v>Gia Công Rau Củ Quả 24/11/2024</v>
          </cell>
          <cell r="B4135">
            <v>1700</v>
          </cell>
        </row>
        <row r="4136">
          <cell r="A4136" t="str">
            <v>Dưa Leo Baby 24/11/2024</v>
          </cell>
          <cell r="B4136">
            <v>6000</v>
          </cell>
        </row>
        <row r="4137">
          <cell r="A4137" t="str">
            <v>Bí Ngòi Xanh 24/11/2024</v>
          </cell>
          <cell r="B4137">
            <v>10000</v>
          </cell>
        </row>
        <row r="4138">
          <cell r="A4138" t="str">
            <v>Cà Chua Socola 24/11/2024</v>
          </cell>
          <cell r="B4138">
            <v>26000</v>
          </cell>
        </row>
        <row r="4139">
          <cell r="A4139" t="str">
            <v>Xà Lách Lolo Xanh T.C Cây 24/11/2024</v>
          </cell>
          <cell r="B4139">
            <v>6800</v>
          </cell>
        </row>
        <row r="4140">
          <cell r="A4140" t="str">
            <v>Xà Lách Mỡ T.C Cây 24/11/2024</v>
          </cell>
          <cell r="B4140">
            <v>6800</v>
          </cell>
        </row>
        <row r="4141">
          <cell r="A4141" t="str">
            <v>Xà Lách Thủy Tinh T.C Cây 24/11/2024</v>
          </cell>
          <cell r="B4141">
            <v>6800</v>
          </cell>
        </row>
        <row r="4142">
          <cell r="A4142" t="str">
            <v>Bí Ngòi Xanh 24/11/2024</v>
          </cell>
          <cell r="B4142">
            <v>11000</v>
          </cell>
        </row>
        <row r="4143">
          <cell r="A4143" t="str">
            <v>Củ Cải Trắng 24/11/2024</v>
          </cell>
          <cell r="B4143">
            <v>5500</v>
          </cell>
        </row>
        <row r="4144">
          <cell r="A4144" t="str">
            <v>Cà Rốt 24/11/2024</v>
          </cell>
          <cell r="B4144">
            <v>12500</v>
          </cell>
        </row>
        <row r="4145">
          <cell r="A4145" t="str">
            <v>Chuối Laba 24/11/2024</v>
          </cell>
          <cell r="B4145">
            <v>13000</v>
          </cell>
        </row>
        <row r="4146">
          <cell r="A4146" t="str">
            <v>Lá Nha Đam 24/11/2024</v>
          </cell>
          <cell r="B4146">
            <v>14000</v>
          </cell>
        </row>
        <row r="4147">
          <cell r="A4147" t="str">
            <v>Bí Đỏ Hồ Lô 24/11/2024</v>
          </cell>
          <cell r="B4147">
            <v>13000</v>
          </cell>
        </row>
        <row r="4148">
          <cell r="A4148" t="str">
            <v>Trái Su Su 24/11/2024</v>
          </cell>
          <cell r="B4148">
            <v>8000</v>
          </cell>
        </row>
        <row r="4149">
          <cell r="A4149" t="str">
            <v>Củ Su Hào 24/11/2024</v>
          </cell>
          <cell r="B4149">
            <v>17000</v>
          </cell>
        </row>
        <row r="4150">
          <cell r="A4150" t="str">
            <v>Trái Su Su 24/11/2024</v>
          </cell>
          <cell r="B4150">
            <v>8000</v>
          </cell>
        </row>
        <row r="4151">
          <cell r="A4151" t="str">
            <v>Đậu Cove Trắng 24/11/2024</v>
          </cell>
          <cell r="B4151">
            <v>9000</v>
          </cell>
        </row>
        <row r="4152">
          <cell r="A4152" t="str">
            <v>Dưa Leo Thường 24/11/2024</v>
          </cell>
          <cell r="B4152">
            <v>6000</v>
          </cell>
        </row>
        <row r="4153">
          <cell r="A4153" t="str">
            <v>Bắp Cải Trắng 24/11/2024</v>
          </cell>
          <cell r="B4153">
            <v>12000</v>
          </cell>
        </row>
        <row r="4154">
          <cell r="A4154" t="str">
            <v>Bắp Cải Trắng 24/11/2024</v>
          </cell>
          <cell r="B4154">
            <v>11000</v>
          </cell>
        </row>
        <row r="4155">
          <cell r="A4155" t="str">
            <v>Cà Chua Thường 24/11/2024</v>
          </cell>
          <cell r="B4155">
            <v>14000</v>
          </cell>
        </row>
        <row r="4156">
          <cell r="A4156" t="str">
            <v>Cà Chua Thường Trung 24/11/2024</v>
          </cell>
          <cell r="B4156">
            <v>11000</v>
          </cell>
        </row>
        <row r="4157">
          <cell r="A4157" t="str">
            <v>Bắp Cải Trắng 24/11/2024</v>
          </cell>
          <cell r="B4157">
            <v>11000</v>
          </cell>
        </row>
        <row r="4158">
          <cell r="A4158" t="str">
            <v>Bắp Cải Trái Tim 24/11/2024</v>
          </cell>
          <cell r="B4158">
            <v>10000</v>
          </cell>
        </row>
        <row r="4159">
          <cell r="A4159" t="str">
            <v>Dưa Leo Baby 24/11/2024</v>
          </cell>
          <cell r="B4159">
            <v>4000</v>
          </cell>
        </row>
        <row r="4160">
          <cell r="A4160" t="str">
            <v>Bông Cải Xanh 7Cm 24/11/2024</v>
          </cell>
          <cell r="B4160">
            <v>26000</v>
          </cell>
        </row>
        <row r="4161">
          <cell r="A4161" t="str">
            <v>Củ Hành Tây 24/11/2024</v>
          </cell>
          <cell r="B4161">
            <v>20000</v>
          </cell>
        </row>
        <row r="4162">
          <cell r="A4162" t="str">
            <v>Bí Non Nhật 24/11/2024</v>
          </cell>
          <cell r="B4162">
            <v>10000</v>
          </cell>
        </row>
        <row r="4163">
          <cell r="A4163" t="str">
            <v>Cà Rốt 24/11/2024</v>
          </cell>
          <cell r="B4163">
            <v>12000</v>
          </cell>
        </row>
        <row r="4164">
          <cell r="A4164" t="str">
            <v>Đậu Cove Nhật 24/11/2024</v>
          </cell>
          <cell r="B4164">
            <v>6000</v>
          </cell>
        </row>
        <row r="4165">
          <cell r="A4165" t="str">
            <v>Cà Chua Bi Đỏ 24/11/2024</v>
          </cell>
          <cell r="B4165">
            <v>17500</v>
          </cell>
        </row>
        <row r="4166">
          <cell r="A4166" t="str">
            <v>Củ Khoai Tây Vàng 24/11/2024</v>
          </cell>
          <cell r="B4166">
            <v>15000</v>
          </cell>
        </row>
        <row r="4167">
          <cell r="A4167" t="str">
            <v>Cà Tím 24/11/2024</v>
          </cell>
          <cell r="B4167">
            <v>3000</v>
          </cell>
        </row>
        <row r="4168">
          <cell r="A4168" t="str">
            <v>Bơ Booth 24/11/2024</v>
          </cell>
          <cell r="B4168">
            <v>39000</v>
          </cell>
        </row>
        <row r="4169">
          <cell r="A4169" t="str">
            <v>Củ Gừng 24/11/2024</v>
          </cell>
          <cell r="B4169">
            <v>39000</v>
          </cell>
        </row>
        <row r="4170">
          <cell r="A4170" t="str">
            <v>Củ Khoai Lang Mật Size 23 24/11/2024</v>
          </cell>
          <cell r="B4170">
            <v>24500</v>
          </cell>
        </row>
        <row r="4171">
          <cell r="A4171" t="str">
            <v>Củ Khoai Lang Mật Size 46 24/11/2024</v>
          </cell>
          <cell r="B4171">
            <v>24500</v>
          </cell>
        </row>
        <row r="4172">
          <cell r="A4172" t="str">
            <v>Củ Khoai Lang Mật Size 46 24/11/2024</v>
          </cell>
          <cell r="B4172">
            <v>26000</v>
          </cell>
        </row>
        <row r="4173">
          <cell r="A4173" t="str">
            <v>Củ Hành Tây 24/11/2024</v>
          </cell>
          <cell r="B4173">
            <v>21000</v>
          </cell>
        </row>
        <row r="4174">
          <cell r="A4174" t="str">
            <v>Ớt Sweet Palemo 24/11/2024</v>
          </cell>
          <cell r="B4174">
            <v>20000</v>
          </cell>
        </row>
        <row r="4175">
          <cell r="A4175" t="str">
            <v>Củ Dền 24/11/2024</v>
          </cell>
          <cell r="B4175">
            <v>18000</v>
          </cell>
        </row>
        <row r="4176">
          <cell r="A4176" t="str">
            <v>Trái Khổ Qua 24/11/2024</v>
          </cell>
          <cell r="B4176">
            <v>11000</v>
          </cell>
        </row>
        <row r="4177">
          <cell r="A4177" t="str">
            <v>Xà Lách Lolo Xanh T.C 24/11/2024</v>
          </cell>
          <cell r="B4177">
            <v>26000</v>
          </cell>
        </row>
        <row r="4178">
          <cell r="A4178" t="str">
            <v>Xà Lách Mỡ T.C 24/11/2024</v>
          </cell>
          <cell r="B4178">
            <v>26000</v>
          </cell>
        </row>
        <row r="4179">
          <cell r="A4179" t="str">
            <v>Xà Lách Thủy Tinh T.C 24/11/2024</v>
          </cell>
          <cell r="B4179">
            <v>26000</v>
          </cell>
        </row>
        <row r="4180">
          <cell r="A4180" t="str">
            <v>Củ Khoai Lang Nhật 24/11/2024</v>
          </cell>
          <cell r="B4180">
            <v>17500</v>
          </cell>
        </row>
        <row r="4181">
          <cell r="A4181" t="str">
            <v>Cà Chua Beef 24/11/2024</v>
          </cell>
          <cell r="B4181">
            <v>17000</v>
          </cell>
        </row>
        <row r="4182">
          <cell r="A4182" t="str">
            <v>Cà Chua Beef Chùm 24/11/2024</v>
          </cell>
          <cell r="B4182">
            <v>22000</v>
          </cell>
        </row>
        <row r="4183">
          <cell r="A4183" t="str">
            <v>Cà Chua Beef 24/11/2024</v>
          </cell>
          <cell r="B4183">
            <v>20000</v>
          </cell>
        </row>
        <row r="4184">
          <cell r="A4184" t="str">
            <v>Cà Chua Beef Trung 24/11/2024</v>
          </cell>
          <cell r="B4184">
            <v>14000</v>
          </cell>
        </row>
        <row r="4185">
          <cell r="A4185" t="str">
            <v>Trái Mâm Xôi 24/11/2024</v>
          </cell>
          <cell r="B4185">
            <v>35000</v>
          </cell>
        </row>
        <row r="4186">
          <cell r="A4186" t="str">
            <v>Ớt Chuông Đỏ 24/11/2024</v>
          </cell>
          <cell r="B4186">
            <v>30000</v>
          </cell>
        </row>
        <row r="4187">
          <cell r="A4187" t="str">
            <v>Ớt Chuông Xanh 24/11/2024</v>
          </cell>
          <cell r="B4187">
            <v>30000</v>
          </cell>
        </row>
        <row r="4188">
          <cell r="A4188" t="str">
            <v>Ớt Chuông Đỏ Trung 24/11/2024</v>
          </cell>
          <cell r="B4188">
            <v>25000</v>
          </cell>
        </row>
        <row r="4189">
          <cell r="A4189" t="str">
            <v>Ớt Chuông Xanh Trung 24/11/2024</v>
          </cell>
          <cell r="B4189">
            <v>25000</v>
          </cell>
        </row>
        <row r="4190">
          <cell r="A4190" t="str">
            <v>Hành Paro 24/11/2024</v>
          </cell>
          <cell r="B4190">
            <v>30000</v>
          </cell>
        </row>
        <row r="4191">
          <cell r="A4191" t="str">
            <v>Cần Tây 24/11/2024</v>
          </cell>
          <cell r="B4191">
            <v>17000</v>
          </cell>
        </row>
        <row r="4192">
          <cell r="A4192" t="str">
            <v>Bông Cải Xanh 7Cm 24/11/2024</v>
          </cell>
          <cell r="B4192">
            <v>37000</v>
          </cell>
        </row>
        <row r="4193">
          <cell r="A4193" t="str">
            <v>Bông Cải Xanh 7Cm 24/11/2024</v>
          </cell>
          <cell r="B4193">
            <v>37000</v>
          </cell>
        </row>
        <row r="4194">
          <cell r="A4194" t="str">
            <v>Trái Cam Canh 24/11/2024</v>
          </cell>
          <cell r="B4194">
            <v>41000</v>
          </cell>
        </row>
        <row r="4195">
          <cell r="A4195" t="str">
            <v>Trái Cam Canh 24/11/2024</v>
          </cell>
          <cell r="B4195">
            <v>35000</v>
          </cell>
        </row>
        <row r="4196">
          <cell r="A4196" t="str">
            <v>Dưa Leo Baby 24/11/2024</v>
          </cell>
          <cell r="B4196">
            <v>4000</v>
          </cell>
        </row>
        <row r="4197">
          <cell r="A4197" t="str">
            <v>Xà Lách Mỹ 24/11/2024</v>
          </cell>
          <cell r="B4197">
            <v>33000</v>
          </cell>
        </row>
        <row r="4198">
          <cell r="A4198" t="str">
            <v>Ớt Sweet Palemo 24/11/2024</v>
          </cell>
          <cell r="B4198">
            <v>20000</v>
          </cell>
        </row>
        <row r="4199">
          <cell r="A4199" t="str">
            <v>Cà Rốt Baby 24/11/2024</v>
          </cell>
          <cell r="B4199">
            <v>42000</v>
          </cell>
        </row>
        <row r="4200">
          <cell r="A4200" t="str">
            <v>Củ Cải Đỏ 24/11/2024</v>
          </cell>
          <cell r="B4200">
            <v>11000</v>
          </cell>
        </row>
        <row r="4201">
          <cell r="A4201" t="str">
            <v>Xà Lách Lolo Xanh 24/11/2024</v>
          </cell>
          <cell r="B4201">
            <v>17000</v>
          </cell>
        </row>
        <row r="4202">
          <cell r="A4202" t="str">
            <v>Lá Mè 24/11/2024</v>
          </cell>
          <cell r="B4202">
            <v>38000</v>
          </cell>
        </row>
        <row r="4203">
          <cell r="A4203" t="str">
            <v>Xà Lách Lolo Xanh 24/11/2024</v>
          </cell>
          <cell r="B4203">
            <v>14000</v>
          </cell>
        </row>
        <row r="4204">
          <cell r="A4204" t="str">
            <v>Củ Cải Đỏ 24/11/2024</v>
          </cell>
          <cell r="B4204">
            <v>11000</v>
          </cell>
        </row>
        <row r="4205">
          <cell r="A4205" t="str">
            <v>Bông Cải Xanh Baby 24/11/2024</v>
          </cell>
          <cell r="B4205">
            <v>53000</v>
          </cell>
        </row>
        <row r="4206">
          <cell r="A4206" t="str">
            <v>Xà Lách Romaine 24/11/2024</v>
          </cell>
          <cell r="B4206">
            <v>30000</v>
          </cell>
        </row>
        <row r="4207">
          <cell r="A4207" t="str">
            <v>Xà Lách Lolo Tím 24/11/2024</v>
          </cell>
          <cell r="B4207">
            <v>35000</v>
          </cell>
        </row>
        <row r="4208">
          <cell r="A4208" t="str">
            <v>Ớt Sweet Palemo 24/11/2024</v>
          </cell>
          <cell r="B4208">
            <v>20000</v>
          </cell>
        </row>
        <row r="4209">
          <cell r="A4209" t="str">
            <v>Cà Chua Beef Trung 24/11/2024</v>
          </cell>
          <cell r="B4209">
            <v>18000</v>
          </cell>
        </row>
        <row r="4210">
          <cell r="A4210" t="str">
            <v>Cà Rốt Baby 24/11/2024</v>
          </cell>
          <cell r="B4210">
            <v>42000</v>
          </cell>
        </row>
        <row r="4211">
          <cell r="A4211" t="str">
            <v>Cải Kale 24/11/2024</v>
          </cell>
          <cell r="B4211">
            <v>28000</v>
          </cell>
        </row>
        <row r="4212">
          <cell r="A4212" t="str">
            <v>Cải Kale 24/11/2024</v>
          </cell>
          <cell r="B4212">
            <v>31000</v>
          </cell>
        </row>
        <row r="4213">
          <cell r="A4213" t="str">
            <v>Lá Mè 24/11/2024</v>
          </cell>
          <cell r="B4213">
            <v>38000</v>
          </cell>
        </row>
        <row r="4214">
          <cell r="A4214" t="str">
            <v>Dưa Leo Baby 24/11/2024</v>
          </cell>
          <cell r="B4214">
            <v>4000</v>
          </cell>
        </row>
        <row r="4215">
          <cell r="A4215" t="str">
            <v>Cà Chua Beef 24/11/2024</v>
          </cell>
          <cell r="B4215">
            <v>16000</v>
          </cell>
        </row>
        <row r="4216">
          <cell r="A4216" t="str">
            <v>Cà Chua Beef 24/11/2024</v>
          </cell>
          <cell r="B4216">
            <v>15000</v>
          </cell>
        </row>
        <row r="4217">
          <cell r="A4217" t="str">
            <v>Cà Chua Beef Trung 24/11/2024</v>
          </cell>
          <cell r="B4217">
            <v>13000</v>
          </cell>
        </row>
        <row r="4218">
          <cell r="A4218" t="str">
            <v>Cải Bó Xôi 24/11/2024</v>
          </cell>
          <cell r="B4218">
            <v>21000</v>
          </cell>
        </row>
        <row r="4219">
          <cell r="A4219" t="str">
            <v>Cải Kale 24/11/2024</v>
          </cell>
          <cell r="B4219">
            <v>25500</v>
          </cell>
        </row>
        <row r="4220">
          <cell r="A4220" t="str">
            <v>Cước Vận Chuyển Hàng Hóa 24/11/2024</v>
          </cell>
          <cell r="B4220">
            <v>1750000</v>
          </cell>
        </row>
        <row r="4221">
          <cell r="A4221" t="str">
            <v>Hạt Dẻ Ngố 24/11/2024</v>
          </cell>
          <cell r="B4221">
            <v>25400</v>
          </cell>
        </row>
        <row r="4222">
          <cell r="A4222" t="str">
            <v>Bắp Cải Tím 24/11/2024</v>
          </cell>
          <cell r="B4222">
            <v>30000</v>
          </cell>
        </row>
        <row r="4223">
          <cell r="A4223" t="str">
            <v>Cà Chua Beef 24/11/2024</v>
          </cell>
          <cell r="B4223">
            <v>17000</v>
          </cell>
        </row>
        <row r="4224">
          <cell r="A4224" t="str">
            <v>Cà Chua Beef Chùm 24/11/2024</v>
          </cell>
          <cell r="B4224">
            <v>18000</v>
          </cell>
        </row>
        <row r="4225">
          <cell r="A4225" t="str">
            <v>Cải Thảo Hỏa Tiễn 24/11/2024</v>
          </cell>
          <cell r="B4225">
            <v>16000</v>
          </cell>
        </row>
        <row r="4226">
          <cell r="A4226" t="str">
            <v>Cà Chua Beef 24/11/2024</v>
          </cell>
          <cell r="B4226">
            <v>17000</v>
          </cell>
        </row>
        <row r="4227">
          <cell r="A4227" t="str">
            <v>Bông Cải Xanh Cọng 24/11/2024</v>
          </cell>
          <cell r="B4227">
            <v>31000</v>
          </cell>
        </row>
        <row r="4228">
          <cell r="A4228" t="str">
            <v>Bông Cải Xanh Cọng 24/11/2024</v>
          </cell>
          <cell r="B4228">
            <v>28000</v>
          </cell>
        </row>
        <row r="4229">
          <cell r="A4229" t="str">
            <v>Bông Cải Xanh Cọng 24/11/2024</v>
          </cell>
          <cell r="B4229">
            <v>28000</v>
          </cell>
        </row>
        <row r="4230">
          <cell r="A4230" t="str">
            <v>Hành Paro 24/11/2024</v>
          </cell>
          <cell r="B4230">
            <v>32000</v>
          </cell>
        </row>
        <row r="4231">
          <cell r="A4231" t="str">
            <v>Xà Lách Thủy Tinh T.C Cây 24/11/2024</v>
          </cell>
          <cell r="B4231">
            <v>6500</v>
          </cell>
        </row>
        <row r="4232">
          <cell r="A4232" t="str">
            <v>Củ Dền 24/11/2024</v>
          </cell>
          <cell r="B4232">
            <v>18000</v>
          </cell>
        </row>
        <row r="4233">
          <cell r="A4233" t="str">
            <v>Dưa Leo Baby 24/11/2024</v>
          </cell>
          <cell r="B4233">
            <v>5000</v>
          </cell>
        </row>
        <row r="4234">
          <cell r="A4234" t="str">
            <v>Cải Thảo 24/11/2024</v>
          </cell>
          <cell r="B4234">
            <v>7000</v>
          </cell>
        </row>
        <row r="4235">
          <cell r="A4235" t="str">
            <v>Cải Thảo Kim Chi 24/11/2024</v>
          </cell>
          <cell r="B4235">
            <v>5000</v>
          </cell>
        </row>
        <row r="4236">
          <cell r="A4236" t="str">
            <v>Củ Cải Trắng 24/11/2024</v>
          </cell>
          <cell r="B4236">
            <v>5500</v>
          </cell>
        </row>
        <row r="4237">
          <cell r="A4237" t="str">
            <v>Chanh Dây Tím 24/11/2024</v>
          </cell>
          <cell r="B4237">
            <v>28000</v>
          </cell>
        </row>
        <row r="4238">
          <cell r="A4238" t="str">
            <v>Bắp Cải Trái Tim 24/11/2024</v>
          </cell>
          <cell r="B4238">
            <v>10000</v>
          </cell>
        </row>
        <row r="4239">
          <cell r="A4239" t="str">
            <v>Cà Chua Bi Đỏ 24/11/2024</v>
          </cell>
          <cell r="B4239">
            <v>10500</v>
          </cell>
        </row>
        <row r="4240">
          <cell r="A4240" t="str">
            <v>Củ Khoai Tây Vàng 24/11/2024</v>
          </cell>
          <cell r="B4240">
            <v>15000</v>
          </cell>
        </row>
        <row r="4241">
          <cell r="A4241" t="str">
            <v>Đậu Cove Nhật 24/11/2024</v>
          </cell>
          <cell r="B4241">
            <v>6000</v>
          </cell>
        </row>
        <row r="4242">
          <cell r="A4242" t="str">
            <v>Củ Cải Trắng 24/11/2024</v>
          </cell>
          <cell r="B4242">
            <v>6500</v>
          </cell>
        </row>
        <row r="4243">
          <cell r="A4243" t="str">
            <v>Bơ Booth 24/11/2024</v>
          </cell>
          <cell r="B4243">
            <v>30000</v>
          </cell>
        </row>
        <row r="4244">
          <cell r="A4244" t="str">
            <v>Cà Rốt 24/11/2024</v>
          </cell>
          <cell r="B4244">
            <v>12000</v>
          </cell>
        </row>
        <row r="4245">
          <cell r="A4245" t="str">
            <v>Đậu Cove Trắng 24/11/2024</v>
          </cell>
          <cell r="B4245">
            <v>9000</v>
          </cell>
        </row>
        <row r="4246">
          <cell r="A4246" t="str">
            <v>Chuối Laba 24/11/2024</v>
          </cell>
          <cell r="B4246">
            <v>13000</v>
          </cell>
        </row>
        <row r="4247">
          <cell r="A4247" t="str">
            <v>Ớt Chuông Đỏ 24/11/2024</v>
          </cell>
          <cell r="B4247">
            <v>30000</v>
          </cell>
        </row>
        <row r="4248">
          <cell r="A4248" t="str">
            <v>Ớt Chuông Xanh 24/11/2024</v>
          </cell>
          <cell r="B4248">
            <v>30000</v>
          </cell>
        </row>
        <row r="4249">
          <cell r="A4249" t="str">
            <v>Cà Chua Thường 24/11/2024</v>
          </cell>
          <cell r="B4249">
            <v>18000</v>
          </cell>
        </row>
        <row r="4250">
          <cell r="A4250" t="str">
            <v>Xà Lách Lolo Xanh T.C Cây 24/11/2024</v>
          </cell>
          <cell r="B4250">
            <v>6000</v>
          </cell>
        </row>
        <row r="4251">
          <cell r="A4251" t="str">
            <v>Xà Lách Mỡ T.C Cây 24/11/2024</v>
          </cell>
          <cell r="B4251">
            <v>6000</v>
          </cell>
        </row>
        <row r="4252">
          <cell r="A4252" t="str">
            <v>Củ Su Hào 24/11/2024</v>
          </cell>
          <cell r="B4252">
            <v>17000</v>
          </cell>
        </row>
        <row r="4253">
          <cell r="A4253" t="str">
            <v>Bí Đao Xanh 24/11/2024</v>
          </cell>
          <cell r="B4253">
            <v>8000</v>
          </cell>
        </row>
        <row r="4254">
          <cell r="A4254" t="str">
            <v>Cà Tím 24/11/2024</v>
          </cell>
          <cell r="B4254">
            <v>5000</v>
          </cell>
        </row>
        <row r="4255">
          <cell r="A4255" t="str">
            <v>Trái Su Su 24/11/2024</v>
          </cell>
          <cell r="B4255">
            <v>8000</v>
          </cell>
        </row>
        <row r="4256">
          <cell r="A4256" t="str">
            <v>Củ Khoai Lang Nhật 24/11/2024</v>
          </cell>
          <cell r="B4256">
            <v>17000</v>
          </cell>
        </row>
        <row r="4257">
          <cell r="A4257" t="str">
            <v>Cà Rốt 24/11/2024</v>
          </cell>
          <cell r="B4257">
            <v>12500</v>
          </cell>
        </row>
        <row r="4258">
          <cell r="A4258" t="str">
            <v>Cà Chua Thường 24/11/2024</v>
          </cell>
          <cell r="B4258">
            <v>18000</v>
          </cell>
        </row>
        <row r="4259">
          <cell r="A4259" t="str">
            <v>Cải Thảo Kim Chi 24/11/2024</v>
          </cell>
          <cell r="B4259">
            <v>4000</v>
          </cell>
        </row>
        <row r="4260">
          <cell r="A4260" t="str">
            <v>Trái Su Su 24/11/2024</v>
          </cell>
          <cell r="B4260">
            <v>7000</v>
          </cell>
        </row>
        <row r="4261">
          <cell r="A4261" t="str">
            <v>Bí Đao Xanh 24/11/2024</v>
          </cell>
          <cell r="B4261">
            <v>10000</v>
          </cell>
        </row>
        <row r="4262">
          <cell r="A4262" t="str">
            <v>Chứng thư số gói ONECA1Y6M ( Gia hạn) 25/11/2024</v>
          </cell>
          <cell r="B4262">
            <v>113636</v>
          </cell>
        </row>
        <row r="4263">
          <cell r="A4263" t="str">
            <v>Phần mềm token manager ONECA1Y6M 25/11/2024</v>
          </cell>
          <cell r="B4263">
            <v>975000</v>
          </cell>
        </row>
        <row r="4264">
          <cell r="A4264" t="str">
            <v>Dầu Do 0.001 S-V 25/11/2024</v>
          </cell>
          <cell r="B4264">
            <v>17381.82</v>
          </cell>
        </row>
        <row r="4265">
          <cell r="A4265" t="str">
            <v>DO 0.05S-II 25/11/2024</v>
          </cell>
          <cell r="B4265">
            <v>17154.55</v>
          </cell>
        </row>
        <row r="4266">
          <cell r="A4266" t="str">
            <v>Phí thuê xe tháng 11/2024 25/11/2024</v>
          </cell>
          <cell r="B4266">
            <v>6900000</v>
          </cell>
        </row>
        <row r="4267">
          <cell r="A4267" t="str">
            <v>Cước đường bộ xe 49C37197T đi qua trạm Xa Lộ - Hà Nội thời gian GD 03:08:45 ngày 25/11/2024 mã GD 1512323127 25/11/2024</v>
          </cell>
          <cell r="B4267">
            <v>50000</v>
          </cell>
        </row>
        <row r="4268">
          <cell r="A4268" t="str">
            <v>DO 0.05S-II 25/11/2024</v>
          </cell>
          <cell r="B4268">
            <v>17154.55</v>
          </cell>
        </row>
        <row r="4269">
          <cell r="A4269" t="str">
            <v>DO 0.05S-II 25/11/2024</v>
          </cell>
          <cell r="B4269">
            <v>17154.55</v>
          </cell>
        </row>
        <row r="4270">
          <cell r="A4270" t="str">
            <v>Cước đường bộ xe 49C37197T đi qua trạm Cầu Phú Mỹ thời gian GD 07:18:52 ngày 25/11/2024 mã GD 1512502953 25/11/2024</v>
          </cell>
          <cell r="B4270">
            <v>22222</v>
          </cell>
        </row>
        <row r="4271">
          <cell r="A4271" t="str">
            <v>Cước đường bộ xe 49C37197T đi qua đoạn Long Phước - NH51 thời gian GD 07:59:56 ngày 25/11/2024 mã GD 1512541468 25/11/2024</v>
          </cell>
          <cell r="B4271">
            <v>76806</v>
          </cell>
        </row>
        <row r="4272">
          <cell r="A4272" t="str">
            <v>Dầu Do 0.001 S-V 25/11/2024</v>
          </cell>
          <cell r="B4272">
            <v>17381.82</v>
          </cell>
        </row>
        <row r="4273">
          <cell r="A4273" t="str">
            <v>Cước đường bộ xe 49C37197T đi qua trạm Liên Đầm thời gian GD 13:23:34 ngày 25/11/2024 mã GD 1513006247 25/11/2024</v>
          </cell>
          <cell r="B4273">
            <v>78704</v>
          </cell>
        </row>
        <row r="4274">
          <cell r="A4274" t="str">
            <v>Cước Vận Chuyển Hàng Hóa 25/11/2024</v>
          </cell>
          <cell r="B4274">
            <v>1250000</v>
          </cell>
        </row>
        <row r="4275">
          <cell r="A4275" t="str">
            <v>Củ Khoai Tây Vàng 25/11/2024</v>
          </cell>
          <cell r="B4275">
            <v>15000</v>
          </cell>
        </row>
        <row r="4276">
          <cell r="A4276" t="str">
            <v>Đậu Cove Nhật 25/11/2024</v>
          </cell>
          <cell r="B4276">
            <v>6000</v>
          </cell>
        </row>
        <row r="4277">
          <cell r="A4277" t="str">
            <v>Cà Rốt 25/11/2024</v>
          </cell>
          <cell r="B4277">
            <v>12500</v>
          </cell>
        </row>
        <row r="4278">
          <cell r="A4278" t="str">
            <v>Xà Lách Lolo Xanh T.C 25/11/2024</v>
          </cell>
          <cell r="B4278">
            <v>28000</v>
          </cell>
        </row>
        <row r="4279">
          <cell r="A4279" t="str">
            <v>Bí Ngòi Xanh 25/11/2024</v>
          </cell>
          <cell r="B4279">
            <v>10000</v>
          </cell>
        </row>
        <row r="4280">
          <cell r="A4280" t="str">
            <v>Dưa Leo Thường 25/11/2024</v>
          </cell>
          <cell r="B4280">
            <v>3000</v>
          </cell>
        </row>
        <row r="4281">
          <cell r="A4281" t="str">
            <v>Xà Lách Lolo Xanh 25/11/2024</v>
          </cell>
          <cell r="B4281">
            <v>14000</v>
          </cell>
        </row>
        <row r="4282">
          <cell r="A4282" t="str">
            <v>Trái Cam Canh 25/11/2024</v>
          </cell>
          <cell r="B4282">
            <v>41000</v>
          </cell>
        </row>
        <row r="4283">
          <cell r="A4283" t="str">
            <v>Cần Tây 25/11/2024</v>
          </cell>
          <cell r="B4283">
            <v>20000</v>
          </cell>
        </row>
        <row r="4284">
          <cell r="A4284" t="str">
            <v>Bắp Cải Tím 25/11/2024</v>
          </cell>
          <cell r="B4284">
            <v>30000</v>
          </cell>
        </row>
        <row r="4285">
          <cell r="A4285" t="str">
            <v>Cải Bó Xôi 25/11/2024</v>
          </cell>
          <cell r="B4285">
            <v>17000</v>
          </cell>
        </row>
        <row r="4286">
          <cell r="A4286" t="str">
            <v>Hành Paro 25/11/2024</v>
          </cell>
          <cell r="B4286">
            <v>30000</v>
          </cell>
        </row>
        <row r="4287">
          <cell r="A4287" t="str">
            <v>Cà Chua Bi Đỏ 25/11/2024</v>
          </cell>
          <cell r="B4287">
            <v>8700</v>
          </cell>
        </row>
        <row r="4288">
          <cell r="A4288" t="str">
            <v>Ớt Chuông Đỏ 25/11/2024</v>
          </cell>
          <cell r="B4288">
            <v>35000</v>
          </cell>
        </row>
        <row r="4289">
          <cell r="A4289" t="str">
            <v>Ớt Chuông Vàng 25/11/2024</v>
          </cell>
          <cell r="B4289">
            <v>18000</v>
          </cell>
        </row>
        <row r="4290">
          <cell r="A4290" t="str">
            <v>Ớt Chuông Baby 25/11/2024</v>
          </cell>
          <cell r="B4290">
            <v>44000</v>
          </cell>
        </row>
        <row r="4291">
          <cell r="A4291" t="str">
            <v>Ớt Sweet Palemo 25/11/2024</v>
          </cell>
          <cell r="B4291">
            <v>55000</v>
          </cell>
        </row>
        <row r="4292">
          <cell r="A4292" t="str">
            <v>Ớt Sweet Palemo 25/11/2024</v>
          </cell>
          <cell r="B4292">
            <v>60000</v>
          </cell>
        </row>
        <row r="4293">
          <cell r="A4293" t="str">
            <v>Đậu Cove Trắng 25/11/2024</v>
          </cell>
          <cell r="B4293">
            <v>6500</v>
          </cell>
        </row>
        <row r="4294">
          <cell r="A4294" t="str">
            <v>Bí Non Nhật 25/11/2024</v>
          </cell>
          <cell r="B4294">
            <v>10000</v>
          </cell>
        </row>
        <row r="4295">
          <cell r="A4295" t="str">
            <v>Dưa Leo Nhật 25/11/2024</v>
          </cell>
          <cell r="B4295">
            <v>10000</v>
          </cell>
        </row>
        <row r="4296">
          <cell r="A4296" t="str">
            <v>Bí Đao Xanh 25/11/2024</v>
          </cell>
          <cell r="B4296">
            <v>8000</v>
          </cell>
        </row>
        <row r="4297">
          <cell r="A4297" t="str">
            <v>Măng Tây 25/11/2024</v>
          </cell>
          <cell r="B4297">
            <v>62000</v>
          </cell>
        </row>
        <row r="4298">
          <cell r="A4298" t="str">
            <v>Măng Tây 25/11/2024</v>
          </cell>
          <cell r="B4298">
            <v>51000</v>
          </cell>
        </row>
        <row r="4299">
          <cell r="A4299" t="str">
            <v>Lá É 25/11/2024</v>
          </cell>
          <cell r="B4299">
            <v>27000</v>
          </cell>
        </row>
        <row r="4300">
          <cell r="A4300" t="str">
            <v>Xà Lách Lolo Xanh T.C Cây 25/11/2024</v>
          </cell>
          <cell r="B4300">
            <v>6800</v>
          </cell>
        </row>
        <row r="4301">
          <cell r="A4301" t="str">
            <v>Xà Lách Mỡ T.C 25/11/2024</v>
          </cell>
          <cell r="B4301">
            <v>28000</v>
          </cell>
        </row>
        <row r="4302">
          <cell r="A4302" t="str">
            <v>Xà Lách Thủy Tinh T.C Cây 25/11/2024</v>
          </cell>
          <cell r="B4302">
            <v>6800</v>
          </cell>
        </row>
        <row r="4303">
          <cell r="A4303" t="str">
            <v>Cà Rốt Baby 25/11/2024</v>
          </cell>
          <cell r="B4303">
            <v>42000</v>
          </cell>
        </row>
        <row r="4304">
          <cell r="A4304" t="str">
            <v>Cải Kale 25/11/2024</v>
          </cell>
          <cell r="B4304">
            <v>31000</v>
          </cell>
        </row>
        <row r="4305">
          <cell r="A4305" t="str">
            <v>Bông Cải Xanh Baby 25/11/2024</v>
          </cell>
          <cell r="B4305">
            <v>53000</v>
          </cell>
        </row>
        <row r="4306">
          <cell r="A4306" t="str">
            <v>Xà Lách Lolo Tím 25/11/2024</v>
          </cell>
          <cell r="B4306">
            <v>35000</v>
          </cell>
        </row>
        <row r="4307">
          <cell r="A4307" t="str">
            <v>Cà Chua Beef Trung 25/11/2024</v>
          </cell>
          <cell r="B4307">
            <v>18000</v>
          </cell>
        </row>
        <row r="4308">
          <cell r="A4308" t="str">
            <v>Ớt Sweet Palemo 25/11/2024</v>
          </cell>
          <cell r="B4308">
            <v>20000</v>
          </cell>
        </row>
        <row r="4309">
          <cell r="A4309" t="str">
            <v>Cà Chua Beef Trung 25/11/2024</v>
          </cell>
          <cell r="B4309">
            <v>15000</v>
          </cell>
        </row>
        <row r="4310">
          <cell r="A4310" t="str">
            <v>Dưa Leo Baby 25/11/2024</v>
          </cell>
          <cell r="B4310">
            <v>4000</v>
          </cell>
        </row>
        <row r="4311">
          <cell r="A4311" t="str">
            <v>Cà Chua Bi Mix 25/11/2024</v>
          </cell>
          <cell r="B4311">
            <v>47000</v>
          </cell>
        </row>
        <row r="4312">
          <cell r="A4312" t="str">
            <v>Cà Chua Socola 25/11/2024</v>
          </cell>
          <cell r="B4312">
            <v>38500</v>
          </cell>
        </row>
        <row r="4313">
          <cell r="A4313" t="str">
            <v>Cải Kale 25/11/2024</v>
          </cell>
          <cell r="B4313">
            <v>25500</v>
          </cell>
        </row>
        <row r="4314">
          <cell r="A4314" t="str">
            <v>Xà Lách Lolo Xanh 25/11/2024</v>
          </cell>
          <cell r="B4314">
            <v>17000</v>
          </cell>
        </row>
        <row r="4315">
          <cell r="A4315" t="str">
            <v>Cà Rốt Baby 25/11/2024</v>
          </cell>
          <cell r="B4315">
            <v>42000</v>
          </cell>
        </row>
        <row r="4316">
          <cell r="A4316" t="str">
            <v>Cải Cầu Vồng 25/11/2024</v>
          </cell>
          <cell r="B4316">
            <v>18000</v>
          </cell>
        </row>
        <row r="4317">
          <cell r="A4317" t="str">
            <v>Hồng Treo Gió 25/11/2024</v>
          </cell>
          <cell r="B4317">
            <v>200000</v>
          </cell>
        </row>
        <row r="4318">
          <cell r="A4318" t="str">
            <v>Ớt Chuông Vàng 25/11/2024</v>
          </cell>
          <cell r="B4318">
            <v>15000</v>
          </cell>
        </row>
        <row r="4319">
          <cell r="A4319" t="str">
            <v>Ớt Chuông Đỏ Trung 25/11/2024</v>
          </cell>
          <cell r="B4319">
            <v>25000</v>
          </cell>
        </row>
        <row r="4320">
          <cell r="A4320" t="str">
            <v>Ớt Chuông Vàng Trung 25/11/2024</v>
          </cell>
          <cell r="B4320">
            <v>10000</v>
          </cell>
        </row>
        <row r="4321">
          <cell r="A4321" t="str">
            <v>Xà Lách Thủy Tinh T.C 25/11/2024</v>
          </cell>
          <cell r="B4321">
            <v>26000</v>
          </cell>
        </row>
        <row r="4322">
          <cell r="A4322" t="str">
            <v>Xà Lách Mỡ T.C 25/11/2024</v>
          </cell>
          <cell r="B4322">
            <v>26000</v>
          </cell>
        </row>
        <row r="4323">
          <cell r="A4323" t="str">
            <v>Bơ Booth 25/11/2024</v>
          </cell>
          <cell r="B4323">
            <v>41000</v>
          </cell>
        </row>
        <row r="4324">
          <cell r="A4324" t="str">
            <v>Củ Gừng 25/11/2024</v>
          </cell>
          <cell r="B4324">
            <v>39000</v>
          </cell>
        </row>
        <row r="4325">
          <cell r="A4325" t="str">
            <v>Củ Khoai Mỡ 25/11/2024</v>
          </cell>
          <cell r="B4325">
            <v>25000</v>
          </cell>
        </row>
        <row r="4326">
          <cell r="A4326" t="str">
            <v>Dưa Leo Baby 25/11/2024</v>
          </cell>
          <cell r="B4326">
            <v>4000</v>
          </cell>
        </row>
        <row r="4327">
          <cell r="A4327" t="str">
            <v>Bắp Cải Trái Tim 25/11/2024</v>
          </cell>
          <cell r="B4327">
            <v>10000</v>
          </cell>
        </row>
        <row r="4328">
          <cell r="A4328" t="str">
            <v>Củ Dền 25/11/2024</v>
          </cell>
          <cell r="B4328">
            <v>18000</v>
          </cell>
        </row>
        <row r="4329">
          <cell r="A4329" t="str">
            <v>Củ Khoai Lang Nhật 25/11/2024</v>
          </cell>
          <cell r="B4329">
            <v>17500</v>
          </cell>
        </row>
        <row r="4330">
          <cell r="A4330" t="str">
            <v>Cà Rốt 25/11/2024</v>
          </cell>
          <cell r="B4330">
            <v>12500</v>
          </cell>
        </row>
        <row r="4331">
          <cell r="A4331" t="str">
            <v>Củ Cải Trắng 25/11/2024</v>
          </cell>
          <cell r="B4331">
            <v>5500</v>
          </cell>
        </row>
        <row r="4332">
          <cell r="A4332" t="str">
            <v>Đậu Cove Nhật 25/11/2024</v>
          </cell>
          <cell r="B4332">
            <v>6000</v>
          </cell>
        </row>
        <row r="4333">
          <cell r="A4333" t="str">
            <v>Trái Su Su 25/11/2024</v>
          </cell>
          <cell r="B4333">
            <v>8000</v>
          </cell>
        </row>
        <row r="4334">
          <cell r="A4334" t="str">
            <v>Xà Lách Mỡ T.C 25/11/2024</v>
          </cell>
          <cell r="B4334">
            <v>27000</v>
          </cell>
        </row>
        <row r="4335">
          <cell r="A4335" t="str">
            <v>Xà Lách Lolo Xanh T.C Cây 25/11/2024</v>
          </cell>
          <cell r="B4335">
            <v>6000</v>
          </cell>
        </row>
        <row r="4336">
          <cell r="A4336" t="str">
            <v>Củ Su Hào 25/11/2024</v>
          </cell>
          <cell r="B4336">
            <v>17000</v>
          </cell>
        </row>
        <row r="4337">
          <cell r="A4337" t="str">
            <v>Cải Bó Xôi 25/11/2024</v>
          </cell>
          <cell r="B4337">
            <v>17000</v>
          </cell>
        </row>
        <row r="4338">
          <cell r="A4338" t="str">
            <v>Cần Tây 25/11/2024</v>
          </cell>
          <cell r="B4338">
            <v>16000</v>
          </cell>
        </row>
        <row r="4339">
          <cell r="A4339" t="str">
            <v>Ớt Sweet Palemo 25/11/2024</v>
          </cell>
          <cell r="B4339">
            <v>20000</v>
          </cell>
        </row>
        <row r="4340">
          <cell r="A4340" t="str">
            <v>Bông Cải Trắng 25/11/2024</v>
          </cell>
          <cell r="B4340">
            <v>26000</v>
          </cell>
        </row>
        <row r="4341">
          <cell r="A4341" t="str">
            <v>Trái Cam Canh 25/11/2024</v>
          </cell>
          <cell r="B4341">
            <v>41000</v>
          </cell>
        </row>
        <row r="4342">
          <cell r="A4342" t="str">
            <v>Bông Cải Xanh 7Cm 25/11/2024</v>
          </cell>
          <cell r="B4342">
            <v>36000</v>
          </cell>
        </row>
        <row r="4343">
          <cell r="A4343" t="str">
            <v>Bông Cải Xanh 7Cm 25/11/2024</v>
          </cell>
          <cell r="B4343">
            <v>32000</v>
          </cell>
        </row>
        <row r="4344">
          <cell r="A4344" t="str">
            <v>Bông Cải Xanh 7Cm 25/11/2024</v>
          </cell>
          <cell r="B4344">
            <v>32000</v>
          </cell>
        </row>
        <row r="4345">
          <cell r="A4345" t="str">
            <v>Bông Cải Xanh 7Cm 25/11/2024</v>
          </cell>
          <cell r="B4345">
            <v>32000</v>
          </cell>
        </row>
        <row r="4346">
          <cell r="A4346" t="str">
            <v>Dưa Leo Baby 25/11/2024</v>
          </cell>
          <cell r="B4346">
            <v>4000</v>
          </cell>
        </row>
        <row r="4347">
          <cell r="A4347" t="str">
            <v>Bông Cải Xanh 7Cm 25/11/2024</v>
          </cell>
          <cell r="B4347">
            <v>32000</v>
          </cell>
        </row>
        <row r="4348">
          <cell r="A4348" t="str">
            <v>Trái Mít Thái 25/11/2024</v>
          </cell>
          <cell r="B4348">
            <v>19473</v>
          </cell>
        </row>
        <row r="4349">
          <cell r="A4349" t="str">
            <v>Cà Chua Beef 25/11/2024</v>
          </cell>
          <cell r="B4349">
            <v>17000</v>
          </cell>
        </row>
        <row r="4350">
          <cell r="A4350" t="str">
            <v>Trái Khổ Qua 25/11/2024</v>
          </cell>
          <cell r="B4350">
            <v>11000</v>
          </cell>
        </row>
        <row r="4351">
          <cell r="A4351" t="str">
            <v>Trái Bầu 25/11/2024</v>
          </cell>
          <cell r="B4351">
            <v>10000</v>
          </cell>
        </row>
        <row r="4352">
          <cell r="A4352" t="str">
            <v>Cà Tím 25/11/2024</v>
          </cell>
          <cell r="B4352">
            <v>5500</v>
          </cell>
        </row>
        <row r="4353">
          <cell r="A4353" t="str">
            <v>Cà Tím 25/11/2024</v>
          </cell>
          <cell r="B4353">
            <v>3500</v>
          </cell>
        </row>
        <row r="4354">
          <cell r="A4354" t="str">
            <v>Đậu Đỏ 25/11/2024</v>
          </cell>
          <cell r="B4354">
            <v>80000</v>
          </cell>
        </row>
        <row r="4355">
          <cell r="A4355" t="str">
            <v>Đậu Ngự 25/11/2024</v>
          </cell>
          <cell r="B4355">
            <v>70000</v>
          </cell>
        </row>
        <row r="4356">
          <cell r="A4356" t="str">
            <v>Đậu Trắng 25/11/2024</v>
          </cell>
          <cell r="B4356">
            <v>70000</v>
          </cell>
        </row>
        <row r="4357">
          <cell r="A4357" t="str">
            <v>Củ Hành Tây Tím 25/11/2024</v>
          </cell>
          <cell r="B4357">
            <v>20000</v>
          </cell>
        </row>
        <row r="4358">
          <cell r="A4358" t="str">
            <v>Cà Chua Socola 25/11/2024</v>
          </cell>
          <cell r="B4358">
            <v>26000</v>
          </cell>
        </row>
        <row r="4359">
          <cell r="A4359" t="str">
            <v>Dưa Leo Baby 25/11/2024</v>
          </cell>
          <cell r="B4359">
            <v>6000</v>
          </cell>
        </row>
        <row r="4360">
          <cell r="A4360" t="str">
            <v>Trái Su Su 25/11/2024</v>
          </cell>
          <cell r="B4360">
            <v>8000</v>
          </cell>
        </row>
        <row r="4361">
          <cell r="A4361" t="str">
            <v>Bông Cải Xanh Cây 25/11/2024</v>
          </cell>
          <cell r="B4361">
            <v>7500</v>
          </cell>
        </row>
        <row r="4362">
          <cell r="A4362" t="str">
            <v>Gia Công Rau Củ Quả 25/11/2024</v>
          </cell>
          <cell r="B4362">
            <v>700</v>
          </cell>
        </row>
        <row r="4363">
          <cell r="A4363" t="str">
            <v>Gia Công Rau Củ Quả 25/11/2024</v>
          </cell>
          <cell r="B4363">
            <v>1700</v>
          </cell>
        </row>
        <row r="4364">
          <cell r="A4364" t="str">
            <v>Gia Công Rau Củ Quả 25/11/2024</v>
          </cell>
          <cell r="B4364">
            <v>1700</v>
          </cell>
        </row>
        <row r="4365">
          <cell r="A4365" t="str">
            <v>Gia Công Rau Củ Quả 25/11/2024</v>
          </cell>
          <cell r="B4365">
            <v>700</v>
          </cell>
        </row>
        <row r="4366">
          <cell r="A4366" t="str">
            <v>Gia Công Rau Củ Quả 25/11/2024</v>
          </cell>
          <cell r="B4366">
            <v>700</v>
          </cell>
        </row>
        <row r="4367">
          <cell r="A4367" t="str">
            <v>Gia Công Rau Củ Quả 25/11/2024</v>
          </cell>
          <cell r="B4367">
            <v>1700</v>
          </cell>
        </row>
        <row r="4368">
          <cell r="A4368" t="str">
            <v>Lá Mè 25/11/2024</v>
          </cell>
          <cell r="B4368">
            <v>36000</v>
          </cell>
        </row>
        <row r="4369">
          <cell r="A4369" t="str">
            <v>Cải Kale 25/11/2024</v>
          </cell>
          <cell r="B4369">
            <v>23000</v>
          </cell>
        </row>
        <row r="4370">
          <cell r="A4370" t="str">
            <v>Bí Ngòi Xanh 25/11/2024</v>
          </cell>
          <cell r="B4370">
            <v>11000</v>
          </cell>
        </row>
        <row r="4371">
          <cell r="A4371" t="str">
            <v>Bí Ngòi Vàng 25/11/2024</v>
          </cell>
          <cell r="B4371">
            <v>55000</v>
          </cell>
        </row>
        <row r="4372">
          <cell r="A4372" t="str">
            <v>Đậu Hà Lan Trái 25/11/2024</v>
          </cell>
          <cell r="B4372">
            <v>70000</v>
          </cell>
        </row>
        <row r="4373">
          <cell r="A4373" t="str">
            <v>Rau Bầu Đất 25/11/2024</v>
          </cell>
          <cell r="B4373">
            <v>30000</v>
          </cell>
        </row>
        <row r="4374">
          <cell r="A4374" t="str">
            <v>Xà Lách Carol 25/11/2024</v>
          </cell>
          <cell r="B4374">
            <v>32000</v>
          </cell>
        </row>
        <row r="4375">
          <cell r="A4375" t="str">
            <v>Bí Ngòi Xanh 25/11/2024</v>
          </cell>
          <cell r="B4375">
            <v>10000</v>
          </cell>
        </row>
        <row r="4376">
          <cell r="A4376" t="str">
            <v>Xà Lách Rocket 25/11/2024</v>
          </cell>
          <cell r="B4376">
            <v>120000</v>
          </cell>
        </row>
        <row r="4377">
          <cell r="A4377" t="str">
            <v>Bí Đỏ Hồ Lô 25/11/2024</v>
          </cell>
          <cell r="B4377">
            <v>12000</v>
          </cell>
        </row>
        <row r="4378">
          <cell r="A4378" t="str">
            <v>Lá Nha Đam 25/11/2024</v>
          </cell>
          <cell r="B4378">
            <v>14000</v>
          </cell>
        </row>
        <row r="4379">
          <cell r="A4379" t="str">
            <v>Chuối Laba 25/11/2024</v>
          </cell>
          <cell r="B4379">
            <v>14000</v>
          </cell>
        </row>
        <row r="4380">
          <cell r="A4380" t="str">
            <v>Trái Su Su 25/11/2024</v>
          </cell>
          <cell r="B4380">
            <v>7500</v>
          </cell>
        </row>
        <row r="4381">
          <cell r="A4381" t="str">
            <v>Bắp Cải Trắng 25/11/2024</v>
          </cell>
          <cell r="B4381">
            <v>11000</v>
          </cell>
        </row>
        <row r="4382">
          <cell r="A4382" t="str">
            <v>Củ Khoai Tây Vàng 25/11/2024</v>
          </cell>
          <cell r="B4382">
            <v>15000</v>
          </cell>
        </row>
        <row r="4383">
          <cell r="A4383" t="str">
            <v>Ớt Sweet Palemo 25/11/2024</v>
          </cell>
          <cell r="B4383">
            <v>20000</v>
          </cell>
        </row>
        <row r="4384">
          <cell r="A4384" t="str">
            <v>Hành Paro 25/11/2024</v>
          </cell>
          <cell r="B4384">
            <v>30000</v>
          </cell>
        </row>
        <row r="4385">
          <cell r="A4385" t="str">
            <v>Cà Chua Bi Đỏ 25/11/2024</v>
          </cell>
          <cell r="B4385">
            <v>14500</v>
          </cell>
        </row>
        <row r="4386">
          <cell r="A4386" t="str">
            <v>Cà Chua Bi Đỏ 25/11/2024</v>
          </cell>
          <cell r="B4386">
            <v>8700</v>
          </cell>
        </row>
        <row r="4387">
          <cell r="A4387" t="str">
            <v>Ớt Chuông Vàng 25/11/2024</v>
          </cell>
          <cell r="B4387">
            <v>18000</v>
          </cell>
        </row>
        <row r="4388">
          <cell r="A4388" t="str">
            <v>Ớt Chuông Xanh 25/11/2024</v>
          </cell>
          <cell r="B4388">
            <v>28000</v>
          </cell>
        </row>
        <row r="4389">
          <cell r="A4389" t="str">
            <v>Ớt Chuông Baby 25/11/2024</v>
          </cell>
          <cell r="B4389">
            <v>44000</v>
          </cell>
        </row>
        <row r="4390">
          <cell r="A4390" t="str">
            <v>Đậu Cove Trắng 25/11/2024</v>
          </cell>
          <cell r="B4390">
            <v>9000</v>
          </cell>
        </row>
        <row r="4391">
          <cell r="A4391" t="str">
            <v>Dưa Leo Thường 25/11/2024</v>
          </cell>
          <cell r="B4391">
            <v>6000</v>
          </cell>
        </row>
        <row r="4392">
          <cell r="A4392" t="str">
            <v>Cà Chua Thường 25/11/2024</v>
          </cell>
          <cell r="B4392">
            <v>14000</v>
          </cell>
        </row>
        <row r="4393">
          <cell r="A4393" t="str">
            <v>Cà Chua Thường Trung 25/11/2024</v>
          </cell>
          <cell r="B4393">
            <v>11000</v>
          </cell>
        </row>
        <row r="4394">
          <cell r="A4394" t="str">
            <v>Củ Hành Tây 25/11/2024</v>
          </cell>
          <cell r="B4394">
            <v>21000</v>
          </cell>
        </row>
        <row r="4395">
          <cell r="A4395" t="str">
            <v>Xà Lách Thủy Tinh T.C Cây 25/11/2024</v>
          </cell>
          <cell r="B4395">
            <v>6800</v>
          </cell>
        </row>
        <row r="4396">
          <cell r="A4396" t="str">
            <v>Cà Chua Beef 25/11/2024</v>
          </cell>
          <cell r="B4396">
            <v>23000</v>
          </cell>
        </row>
        <row r="4397">
          <cell r="A4397" t="str">
            <v>Cà Chua Beef Trung 25/11/2024</v>
          </cell>
          <cell r="B4397">
            <v>15000</v>
          </cell>
        </row>
        <row r="4398">
          <cell r="A4398" t="str">
            <v>Cà Chua Beef Trung 25/11/2024</v>
          </cell>
          <cell r="B4398">
            <v>13000</v>
          </cell>
        </row>
        <row r="4399">
          <cell r="A4399" t="str">
            <v>Cà Chua Bi Mix 25/11/2024</v>
          </cell>
          <cell r="B4399">
            <v>46000</v>
          </cell>
        </row>
        <row r="4400">
          <cell r="A4400" t="str">
            <v>Cà Chua Bi Mix 25/11/2024</v>
          </cell>
          <cell r="B4400">
            <v>47000</v>
          </cell>
        </row>
        <row r="4401">
          <cell r="A4401" t="str">
            <v>Cải Bó Xôi 25/11/2024</v>
          </cell>
          <cell r="B4401">
            <v>21000</v>
          </cell>
        </row>
        <row r="4402">
          <cell r="A4402" t="str">
            <v>LƯỚI ĐÓNG GÓI NÔNG SẢN (VÀNG) 25/11/2024</v>
          </cell>
          <cell r="B4402">
            <v>1650</v>
          </cell>
        </row>
        <row r="4403">
          <cell r="A4403" t="str">
            <v>KIM MÁY ĐÓNG TÚI LƯỚI 25/11/2024</v>
          </cell>
          <cell r="B4403">
            <v>560000</v>
          </cell>
        </row>
        <row r="4404">
          <cell r="A4404" t="str">
            <v>Hạt Dẻ Ngố 25/11/2024</v>
          </cell>
          <cell r="B4404">
            <v>27600</v>
          </cell>
        </row>
        <row r="4405">
          <cell r="A4405" t="str">
            <v>Củ Dền 25/11/2024</v>
          </cell>
          <cell r="B4405">
            <v>18000</v>
          </cell>
        </row>
        <row r="4406">
          <cell r="A4406" t="str">
            <v>Cà Rốt 25/11/2024</v>
          </cell>
          <cell r="B4406">
            <v>12500</v>
          </cell>
        </row>
        <row r="4407">
          <cell r="A4407" t="str">
            <v>Bắp Cải Trắng 25/11/2024</v>
          </cell>
          <cell r="B4407">
            <v>10000</v>
          </cell>
        </row>
        <row r="4408">
          <cell r="A4408" t="str">
            <v>Chuối Laba 25/11/2024</v>
          </cell>
          <cell r="B4408">
            <v>13000</v>
          </cell>
        </row>
        <row r="4409">
          <cell r="A4409" t="str">
            <v>Củ Khoai Lang Nhật 25/11/2024</v>
          </cell>
          <cell r="B4409">
            <v>17000</v>
          </cell>
        </row>
        <row r="4410">
          <cell r="A4410" t="str">
            <v>Củ Cải Trắng 25/11/2024</v>
          </cell>
          <cell r="B4410">
            <v>5500</v>
          </cell>
        </row>
        <row r="4411">
          <cell r="A4411" t="str">
            <v>Xà Lách Thủy Tinh T.C Cây 25/11/2024</v>
          </cell>
          <cell r="B4411">
            <v>6500</v>
          </cell>
        </row>
        <row r="4412">
          <cell r="A4412" t="str">
            <v>Bông Cải Trắng 25/11/2024</v>
          </cell>
          <cell r="B4412">
            <v>26000</v>
          </cell>
        </row>
        <row r="4413">
          <cell r="A4413" t="str">
            <v>Dưa Leo Baby 25/11/2024</v>
          </cell>
          <cell r="B4413">
            <v>6000</v>
          </cell>
        </row>
        <row r="4414">
          <cell r="A4414" t="str">
            <v>Củ Cải Trắng 25/11/2024</v>
          </cell>
          <cell r="B4414">
            <v>6500</v>
          </cell>
        </row>
        <row r="4415">
          <cell r="A4415" t="str">
            <v>Củ Su Hào 25/11/2024</v>
          </cell>
          <cell r="B4415">
            <v>17000</v>
          </cell>
        </row>
        <row r="4416">
          <cell r="A4416" t="str">
            <v>Cần Tây 25/11/2024</v>
          </cell>
          <cell r="B4416">
            <v>16000</v>
          </cell>
        </row>
        <row r="4417">
          <cell r="A4417" t="str">
            <v>Bắp Cải Tím 25/11/2024</v>
          </cell>
          <cell r="B4417">
            <v>30000</v>
          </cell>
        </row>
        <row r="4418">
          <cell r="A4418" t="str">
            <v>Cải Thảo Hỏa Tiễn 25/11/2024</v>
          </cell>
          <cell r="B4418">
            <v>16000</v>
          </cell>
        </row>
        <row r="4419">
          <cell r="A4419" t="str">
            <v>Cà Chua Beef 25/11/2024</v>
          </cell>
          <cell r="B4419">
            <v>17000</v>
          </cell>
        </row>
        <row r="4420">
          <cell r="A4420" t="str">
            <v>Bông Cải Xanh Cọng 25/11/2024</v>
          </cell>
          <cell r="B4420">
            <v>23000</v>
          </cell>
        </row>
        <row r="4421">
          <cell r="A4421" t="str">
            <v>Bông Cải Xanh Cọng 25/11/2024</v>
          </cell>
          <cell r="B4421">
            <v>26000</v>
          </cell>
        </row>
        <row r="4422">
          <cell r="A4422" t="str">
            <v>Bông Cải Xanh Cọng 25/11/2024</v>
          </cell>
          <cell r="B4422">
            <v>23000</v>
          </cell>
        </row>
        <row r="4423">
          <cell r="A4423" t="str">
            <v>Cà Chua Beef 25/11/2024</v>
          </cell>
          <cell r="B4423">
            <v>17000</v>
          </cell>
        </row>
        <row r="4424">
          <cell r="A4424" t="str">
            <v>Cải Thảo 25/11/2024</v>
          </cell>
          <cell r="B4424">
            <v>7000</v>
          </cell>
        </row>
        <row r="4425">
          <cell r="A4425" t="str">
            <v>Cải Thảo Kim Chi 25/11/2024</v>
          </cell>
          <cell r="B4425">
            <v>5000</v>
          </cell>
        </row>
        <row r="4426">
          <cell r="A4426" t="str">
            <v>Cà Rốt 25/11/2024</v>
          </cell>
          <cell r="B4426">
            <v>13500</v>
          </cell>
        </row>
        <row r="4427">
          <cell r="A4427" t="str">
            <v>Cà Chua Thường 25/11/2024</v>
          </cell>
          <cell r="B4427">
            <v>20000</v>
          </cell>
        </row>
        <row r="4428">
          <cell r="A4428" t="str">
            <v>Hành Paro 25/11/2024</v>
          </cell>
          <cell r="B4428">
            <v>32000</v>
          </cell>
        </row>
        <row r="4429">
          <cell r="A4429" t="str">
            <v>Bí Ngòi Vàng 25/11/2024</v>
          </cell>
          <cell r="B4429">
            <v>55000</v>
          </cell>
        </row>
        <row r="4430">
          <cell r="A4430" t="str">
            <v>Cà Tím 25/11/2024</v>
          </cell>
          <cell r="B4430">
            <v>5000</v>
          </cell>
        </row>
        <row r="4431">
          <cell r="A4431" t="str">
            <v>Bắp Cải Trắng 25/11/2024</v>
          </cell>
          <cell r="B4431">
            <v>11000</v>
          </cell>
        </row>
        <row r="4432">
          <cell r="A4432" t="str">
            <v>Củ Khoai Tây Vàng 25/11/2024</v>
          </cell>
          <cell r="B4432">
            <v>15000</v>
          </cell>
        </row>
        <row r="4433">
          <cell r="A4433" t="str">
            <v>Ớt Chuông Xanh 25/11/2024</v>
          </cell>
          <cell r="B4433">
            <v>28000</v>
          </cell>
        </row>
        <row r="4434">
          <cell r="A4434" t="str">
            <v>Đậu Cove Trắng 25/11/2024</v>
          </cell>
          <cell r="B4434">
            <v>9000</v>
          </cell>
        </row>
        <row r="4435">
          <cell r="A4435" t="str">
            <v>Bí Non Nhật 25/11/2024</v>
          </cell>
          <cell r="B4435">
            <v>10000</v>
          </cell>
        </row>
        <row r="4436">
          <cell r="A4436" t="str">
            <v>Xà Lách Lolo Xanh T.C Cây 25/11/2024</v>
          </cell>
          <cell r="B4436">
            <v>6800</v>
          </cell>
        </row>
        <row r="4437">
          <cell r="A4437" t="str">
            <v>Dưa Leo Baby 25/11/2024</v>
          </cell>
          <cell r="B4437">
            <v>5000</v>
          </cell>
        </row>
        <row r="4438">
          <cell r="A4438" t="str">
            <v>Trái Su Su 25/11/2024</v>
          </cell>
          <cell r="B4438">
            <v>7000</v>
          </cell>
        </row>
        <row r="4439">
          <cell r="A4439" t="str">
            <v>Chanh Dây Tím 25/11/2024</v>
          </cell>
          <cell r="B4439">
            <v>28000</v>
          </cell>
        </row>
        <row r="4440">
          <cell r="A4440" t="str">
            <v>Bắp Cải Trái Tim 25/11/2024</v>
          </cell>
          <cell r="B4440">
            <v>10000</v>
          </cell>
        </row>
        <row r="4441">
          <cell r="A4441" t="str">
            <v>Ớt Chuông Đỏ 25/11/2024</v>
          </cell>
          <cell r="B4441">
            <v>30000</v>
          </cell>
        </row>
        <row r="4442">
          <cell r="A4442" t="str">
            <v>Ớt Chuông Vàng 25/11/2024</v>
          </cell>
          <cell r="B4442">
            <v>15000</v>
          </cell>
        </row>
        <row r="4443">
          <cell r="A4443" t="str">
            <v>DO 0.05S-II 26/11/2024</v>
          </cell>
          <cell r="B4443">
            <v>17154.55</v>
          </cell>
        </row>
        <row r="4444">
          <cell r="A4444" t="str">
            <v>Dầu Do 0.001 S-V 26/11/2024</v>
          </cell>
          <cell r="B4444">
            <v>17381.82</v>
          </cell>
        </row>
        <row r="4445">
          <cell r="A4445" t="str">
            <v>Kiểm soát chuột + côn trùng tháng 11/2024 26/11/2024</v>
          </cell>
          <cell r="B4445">
            <v>1500000</v>
          </cell>
        </row>
        <row r="4446">
          <cell r="A4446" t="str">
            <v>Cước đường bộ xe 49C37197T đi qua trạm Liên Đầm thời gian GD 21:19:58 ngày 26/11/2024 mã GD 1515104970 26/11/2024</v>
          </cell>
          <cell r="B4446">
            <v>78704</v>
          </cell>
        </row>
        <row r="4447">
          <cell r="A4447" t="str">
            <v>DO 0.05S-II 26/11/2024</v>
          </cell>
          <cell r="B4447">
            <v>17154.55</v>
          </cell>
        </row>
        <row r="4448">
          <cell r="A4448" t="str">
            <v>Dầu Do 0.001 S-V 26/11/2024</v>
          </cell>
          <cell r="B4448">
            <v>17381.82</v>
          </cell>
        </row>
        <row r="4449">
          <cell r="A4449" t="str">
            <v>Bông Cải Xanh 7Cm 26/11/2024</v>
          </cell>
          <cell r="B4449">
            <v>32000</v>
          </cell>
        </row>
        <row r="4450">
          <cell r="A4450" t="str">
            <v>Cần Tây 26/11/2024</v>
          </cell>
          <cell r="B4450">
            <v>16000</v>
          </cell>
        </row>
        <row r="4451">
          <cell r="A4451" t="str">
            <v>Cần Tây 26/11/2024</v>
          </cell>
          <cell r="B4451">
            <v>20000</v>
          </cell>
        </row>
        <row r="4452">
          <cell r="A4452" t="str">
            <v>Cải Bó Xôi 26/11/2024</v>
          </cell>
          <cell r="B4452">
            <v>17000</v>
          </cell>
        </row>
        <row r="4453">
          <cell r="A4453" t="str">
            <v>Cà Chua Beef 26/11/2024</v>
          </cell>
          <cell r="B4453">
            <v>16000</v>
          </cell>
        </row>
        <row r="4454">
          <cell r="A4454" t="str">
            <v>Xà Lách Mỹ 26/11/2024</v>
          </cell>
          <cell r="B4454">
            <v>33000</v>
          </cell>
        </row>
        <row r="4455">
          <cell r="A4455" t="str">
            <v>Củ Hành Tây Tím 26/11/2024</v>
          </cell>
          <cell r="B4455">
            <v>20000</v>
          </cell>
        </row>
        <row r="4456">
          <cell r="A4456" t="str">
            <v>Ớt Chuông Đỏ 26/11/2024</v>
          </cell>
          <cell r="B4456">
            <v>30000</v>
          </cell>
        </row>
        <row r="4457">
          <cell r="A4457" t="str">
            <v>Lá Mè 26/11/2024</v>
          </cell>
          <cell r="B4457">
            <v>36000</v>
          </cell>
        </row>
        <row r="4458">
          <cell r="A4458" t="str">
            <v>Cải Kale 26/11/2024</v>
          </cell>
          <cell r="B4458">
            <v>23000</v>
          </cell>
        </row>
        <row r="4459">
          <cell r="A4459" t="str">
            <v>Dưa Leo Baby 26/11/2024</v>
          </cell>
          <cell r="B4459">
            <v>5000</v>
          </cell>
        </row>
        <row r="4460">
          <cell r="A4460" t="str">
            <v>Đậu Cove Nhật 26/11/2024</v>
          </cell>
          <cell r="B4460">
            <v>6000</v>
          </cell>
        </row>
        <row r="4461">
          <cell r="A4461" t="str">
            <v>Cà Rốt 26/11/2024</v>
          </cell>
          <cell r="B4461">
            <v>13500</v>
          </cell>
        </row>
        <row r="4462">
          <cell r="A4462" t="str">
            <v>Cà Rốt Trung 26/11/2024</v>
          </cell>
          <cell r="B4462">
            <v>11000</v>
          </cell>
        </row>
        <row r="4463">
          <cell r="A4463" t="str">
            <v>Bí Ngòi Xanh 26/11/2024</v>
          </cell>
          <cell r="B4463">
            <v>10000</v>
          </cell>
        </row>
        <row r="4464">
          <cell r="A4464" t="str">
            <v>Lá Nha Đam 26/11/2024</v>
          </cell>
          <cell r="B4464">
            <v>14000</v>
          </cell>
        </row>
        <row r="4465">
          <cell r="A4465" t="str">
            <v>Bí Ngòi Xanh 26/11/2024</v>
          </cell>
          <cell r="B4465">
            <v>10000</v>
          </cell>
        </row>
        <row r="4466">
          <cell r="A4466" t="str">
            <v>Cải Bó Xôi 26/11/2024</v>
          </cell>
          <cell r="B4466">
            <v>14000</v>
          </cell>
        </row>
        <row r="4467">
          <cell r="A4467" t="str">
            <v>Bí Non Nhật 26/11/2024</v>
          </cell>
          <cell r="B4467">
            <v>10000</v>
          </cell>
        </row>
        <row r="4468">
          <cell r="A4468" t="str">
            <v>Dưa Leo Nhật 26/11/2024</v>
          </cell>
          <cell r="B4468">
            <v>10000</v>
          </cell>
        </row>
        <row r="4469">
          <cell r="A4469" t="str">
            <v>Đậu Cove Trắng 26/11/2024</v>
          </cell>
          <cell r="B4469">
            <v>6500</v>
          </cell>
        </row>
        <row r="4470">
          <cell r="A4470" t="str">
            <v>Xà Lách Mỡ T.C 26/11/2024</v>
          </cell>
          <cell r="B4470">
            <v>26000</v>
          </cell>
        </row>
        <row r="4471">
          <cell r="A4471" t="str">
            <v>Cà Chua Bi Mix 26/11/2024</v>
          </cell>
          <cell r="B4471">
            <v>47500</v>
          </cell>
        </row>
        <row r="4472">
          <cell r="A4472" t="str">
            <v>Cải Kale 26/11/2024</v>
          </cell>
          <cell r="B4472">
            <v>25500</v>
          </cell>
        </row>
        <row r="4473">
          <cell r="A4473" t="str">
            <v>Chanh Không Hạt 26/11/2024</v>
          </cell>
          <cell r="B4473">
            <v>26000</v>
          </cell>
        </row>
        <row r="4474">
          <cell r="A4474" t="str">
            <v>Xà Lách Lolo Xanh T.C Cây 26/11/2024</v>
          </cell>
          <cell r="B4474">
            <v>6800</v>
          </cell>
        </row>
        <row r="4475">
          <cell r="A4475" t="str">
            <v>Xà Lách Mỡ T.C Cây 26/11/2024</v>
          </cell>
          <cell r="B4475">
            <v>6800</v>
          </cell>
        </row>
        <row r="4476">
          <cell r="A4476" t="str">
            <v>Xà Lách Mỡ T.C 26/11/2024</v>
          </cell>
          <cell r="B4476">
            <v>28000</v>
          </cell>
        </row>
        <row r="4477">
          <cell r="A4477" t="str">
            <v>Xà Lách Thủy Tinh T.C Cây 26/11/2024</v>
          </cell>
          <cell r="B4477">
            <v>6800</v>
          </cell>
        </row>
        <row r="4478">
          <cell r="A4478" t="str">
            <v>Ớt Chuông Vàng 26/11/2024</v>
          </cell>
          <cell r="B4478">
            <v>18000</v>
          </cell>
        </row>
        <row r="4479">
          <cell r="A4479" t="str">
            <v>Ớt Chuông Baby 26/11/2024</v>
          </cell>
          <cell r="B4479">
            <v>44000</v>
          </cell>
        </row>
        <row r="4480">
          <cell r="A4480" t="str">
            <v>Cà Chua Bi Đỏ 26/11/2024</v>
          </cell>
          <cell r="B4480">
            <v>8700</v>
          </cell>
        </row>
        <row r="4481">
          <cell r="A4481" t="str">
            <v>Trái Mít Thái 26/11/2024</v>
          </cell>
          <cell r="B4481">
            <v>19481</v>
          </cell>
        </row>
        <row r="4482">
          <cell r="A4482" t="str">
            <v>Măng Tây 26/11/2024</v>
          </cell>
          <cell r="B4482">
            <v>63000</v>
          </cell>
        </row>
        <row r="4483">
          <cell r="A4483" t="str">
            <v>Măng Tây 26/11/2024</v>
          </cell>
          <cell r="B4483">
            <v>50000</v>
          </cell>
        </row>
        <row r="4484">
          <cell r="A4484" t="str">
            <v>Rau Ngò Rí 26/11/2024</v>
          </cell>
          <cell r="B4484">
            <v>35000</v>
          </cell>
        </row>
        <row r="4485">
          <cell r="A4485" t="str">
            <v>Ớt Chuông Snack 26/11/2024</v>
          </cell>
          <cell r="B4485">
            <v>58000</v>
          </cell>
        </row>
        <row r="4486">
          <cell r="A4486" t="str">
            <v>Bí Đao Xanh 26/11/2024</v>
          </cell>
          <cell r="B4486">
            <v>9000</v>
          </cell>
        </row>
        <row r="4487">
          <cell r="A4487" t="str">
            <v>Dưa Leo Thường 26/11/2024</v>
          </cell>
          <cell r="B4487">
            <v>3000</v>
          </cell>
        </row>
        <row r="4488">
          <cell r="A4488" t="str">
            <v>Cà Chua Thường 26/11/2024</v>
          </cell>
          <cell r="B4488">
            <v>21000</v>
          </cell>
        </row>
        <row r="4489">
          <cell r="A4489" t="str">
            <v>Xà Lách Rocket 26/11/2024</v>
          </cell>
          <cell r="B4489">
            <v>120000</v>
          </cell>
        </row>
        <row r="4490">
          <cell r="A4490" t="str">
            <v>Bí Ngòi Xanh 26/11/2024</v>
          </cell>
          <cell r="B4490">
            <v>10000</v>
          </cell>
        </row>
        <row r="4491">
          <cell r="A4491" t="str">
            <v>Bông Cải Xanh Cây 26/11/2024</v>
          </cell>
          <cell r="B4491">
            <v>5500</v>
          </cell>
        </row>
        <row r="4492">
          <cell r="A4492" t="str">
            <v>Gia Công Rau Củ Quả 26/11/2024</v>
          </cell>
          <cell r="B4492">
            <v>1700</v>
          </cell>
        </row>
        <row r="4493">
          <cell r="A4493" t="str">
            <v>Gia Công Rau Củ Quả 26/11/2024</v>
          </cell>
          <cell r="B4493">
            <v>1700</v>
          </cell>
        </row>
        <row r="4494">
          <cell r="A4494" t="str">
            <v>Gia Công Rau Củ Quả 26/11/2024</v>
          </cell>
          <cell r="B4494">
            <v>700</v>
          </cell>
        </row>
        <row r="4495">
          <cell r="A4495" t="str">
            <v>Cà Chua Socola 26/11/2024</v>
          </cell>
          <cell r="B4495">
            <v>38000</v>
          </cell>
        </row>
        <row r="4496">
          <cell r="A4496" t="str">
            <v>Bí Non Nhật 26/11/2024</v>
          </cell>
          <cell r="B4496">
            <v>10000</v>
          </cell>
        </row>
        <row r="4497">
          <cell r="A4497" t="str">
            <v>Củ Khoai Mỡ 26/11/2024</v>
          </cell>
          <cell r="B4497">
            <v>25000</v>
          </cell>
        </row>
        <row r="4498">
          <cell r="A4498" t="str">
            <v>Củ Gừng 26/11/2024</v>
          </cell>
          <cell r="B4498">
            <v>39000</v>
          </cell>
        </row>
        <row r="4499">
          <cell r="A4499" t="str">
            <v>Bơ Booth 26/11/2024</v>
          </cell>
          <cell r="B4499">
            <v>41000</v>
          </cell>
        </row>
        <row r="4500">
          <cell r="A4500" t="str">
            <v>Bơ Booth 26/11/2024</v>
          </cell>
          <cell r="B4500">
            <v>36000</v>
          </cell>
        </row>
        <row r="4501">
          <cell r="A4501" t="str">
            <v>Bơ Booth 26/11/2024</v>
          </cell>
          <cell r="B4501">
            <v>30000</v>
          </cell>
        </row>
        <row r="4502">
          <cell r="A4502" t="str">
            <v>Dưa Leo Baby 26/11/2024</v>
          </cell>
          <cell r="B4502">
            <v>6000</v>
          </cell>
        </row>
        <row r="4503">
          <cell r="A4503" t="str">
            <v>Bắp Cải Trái Tim 26/11/2024</v>
          </cell>
          <cell r="B4503">
            <v>10000</v>
          </cell>
        </row>
        <row r="4504">
          <cell r="A4504" t="str">
            <v>Ớt Chuông Baby 26/11/2024</v>
          </cell>
          <cell r="B4504">
            <v>44000</v>
          </cell>
        </row>
        <row r="4505">
          <cell r="A4505" t="str">
            <v>Ớt Chuông Đỏ 26/11/2024</v>
          </cell>
          <cell r="B4505">
            <v>35000</v>
          </cell>
        </row>
        <row r="4506">
          <cell r="A4506" t="str">
            <v>Ớt Chuông Vàng 26/11/2024</v>
          </cell>
          <cell r="B4506">
            <v>18000</v>
          </cell>
        </row>
        <row r="4507">
          <cell r="A4507" t="str">
            <v>Ớt Chuông Xanh 26/11/2024</v>
          </cell>
          <cell r="B4507">
            <v>28000</v>
          </cell>
        </row>
        <row r="4508">
          <cell r="A4508" t="str">
            <v>Ớt Chuông Đỏ Trung 26/11/2024</v>
          </cell>
          <cell r="B4508">
            <v>30000</v>
          </cell>
        </row>
        <row r="4509">
          <cell r="A4509" t="str">
            <v>Ớt Chuông Vàng Trung 26/11/2024</v>
          </cell>
          <cell r="B4509">
            <v>13000</v>
          </cell>
        </row>
        <row r="4510">
          <cell r="A4510" t="str">
            <v>Cà Chua Bi Đỏ 26/11/2024</v>
          </cell>
          <cell r="B4510">
            <v>14500</v>
          </cell>
        </row>
        <row r="4511">
          <cell r="A4511" t="str">
            <v>Cà Chua Bi Đỏ 26/11/2024</v>
          </cell>
          <cell r="B4511">
            <v>8700</v>
          </cell>
        </row>
        <row r="4512">
          <cell r="A4512" t="str">
            <v>Ớt Chuông Xanh 26/11/2024</v>
          </cell>
          <cell r="B4512">
            <v>28000</v>
          </cell>
        </row>
        <row r="4513">
          <cell r="A4513" t="str">
            <v>Ớt Sweet Palemo 26/11/2024</v>
          </cell>
          <cell r="B4513">
            <v>20000</v>
          </cell>
        </row>
        <row r="4514">
          <cell r="A4514" t="str">
            <v>Củ Khoai Tây Vàng 26/11/2024</v>
          </cell>
          <cell r="B4514">
            <v>15000</v>
          </cell>
        </row>
        <row r="4515">
          <cell r="A4515" t="str">
            <v>Cà Chua Thường 26/11/2024</v>
          </cell>
          <cell r="B4515">
            <v>21000</v>
          </cell>
        </row>
        <row r="4516">
          <cell r="A4516" t="str">
            <v>Bí Đỏ Tròn 26/11/2024</v>
          </cell>
          <cell r="B4516">
            <v>5300</v>
          </cell>
        </row>
        <row r="4517">
          <cell r="A4517" t="str">
            <v>Trái Khổ Qua 26/11/2024</v>
          </cell>
          <cell r="B4517">
            <v>11000</v>
          </cell>
        </row>
        <row r="4518">
          <cell r="A4518" t="str">
            <v>Trái Bầu 26/11/2024</v>
          </cell>
          <cell r="B4518">
            <v>10000</v>
          </cell>
        </row>
        <row r="4519">
          <cell r="A4519" t="str">
            <v>Cần Tây 26/11/2024</v>
          </cell>
          <cell r="B4519">
            <v>20000</v>
          </cell>
        </row>
        <row r="4520">
          <cell r="A4520" t="str">
            <v>Cà Chua Beef 26/11/2024</v>
          </cell>
          <cell r="B4520">
            <v>16000</v>
          </cell>
        </row>
        <row r="4521">
          <cell r="A4521" t="str">
            <v>Chuối Laba 26/11/2024</v>
          </cell>
          <cell r="B4521">
            <v>14000</v>
          </cell>
        </row>
        <row r="4522">
          <cell r="A4522" t="str">
            <v>Lá Nha Đam 26/11/2024</v>
          </cell>
          <cell r="B4522">
            <v>14000</v>
          </cell>
        </row>
        <row r="4523">
          <cell r="A4523" t="str">
            <v>Bí Đỏ Hồ Lô 26/11/2024</v>
          </cell>
          <cell r="B4523">
            <v>12000</v>
          </cell>
        </row>
        <row r="4524">
          <cell r="A4524" t="str">
            <v>Cà Tím 26/11/2024</v>
          </cell>
          <cell r="B4524">
            <v>5000</v>
          </cell>
        </row>
        <row r="4525">
          <cell r="A4525" t="str">
            <v>Cà Tím 26/11/2024</v>
          </cell>
          <cell r="B4525">
            <v>5500</v>
          </cell>
        </row>
        <row r="4526">
          <cell r="A4526" t="str">
            <v>Cà Tím 26/11/2024</v>
          </cell>
          <cell r="B4526">
            <v>3500</v>
          </cell>
        </row>
        <row r="4527">
          <cell r="A4527" t="str">
            <v>Cà Rốt 26/11/2024</v>
          </cell>
          <cell r="B4527">
            <v>13500</v>
          </cell>
        </row>
        <row r="4528">
          <cell r="A4528" t="str">
            <v>Đậu Cove Nhật 26/11/2024</v>
          </cell>
          <cell r="B4528">
            <v>6000</v>
          </cell>
        </row>
        <row r="4529">
          <cell r="A4529" t="str">
            <v>Củ Cải Trắng 26/11/2024</v>
          </cell>
          <cell r="B4529">
            <v>5500</v>
          </cell>
        </row>
        <row r="4530">
          <cell r="A4530" t="str">
            <v>Cà Rốt 26/11/2024</v>
          </cell>
          <cell r="B4530">
            <v>12500</v>
          </cell>
        </row>
        <row r="4531">
          <cell r="A4531" t="str">
            <v>Bắp Cải Trắng 26/11/2024</v>
          </cell>
          <cell r="B4531">
            <v>11000</v>
          </cell>
        </row>
        <row r="4532">
          <cell r="A4532" t="str">
            <v>Củ Su Hào 26/11/2024</v>
          </cell>
          <cell r="B4532">
            <v>13000</v>
          </cell>
        </row>
        <row r="4533">
          <cell r="A4533" t="str">
            <v>Xà Lách Mỡ T.C 26/11/2024</v>
          </cell>
          <cell r="B4533">
            <v>27000</v>
          </cell>
        </row>
        <row r="4534">
          <cell r="A4534" t="str">
            <v>Cà Chua Thường 26/11/2024</v>
          </cell>
          <cell r="B4534">
            <v>19000</v>
          </cell>
        </row>
        <row r="4535">
          <cell r="A4535" t="str">
            <v>Cà Chua Thường Trung 26/11/2024</v>
          </cell>
          <cell r="B4535">
            <v>17000</v>
          </cell>
        </row>
        <row r="4536">
          <cell r="A4536" t="str">
            <v>Ớt Sweet Palemo 26/11/2024</v>
          </cell>
          <cell r="B4536">
            <v>20000</v>
          </cell>
        </row>
        <row r="4537">
          <cell r="A4537" t="str">
            <v>Túi đựng ngò rí 26/11/2024</v>
          </cell>
          <cell r="B4537">
            <v>75000</v>
          </cell>
        </row>
        <row r="4538">
          <cell r="A4538" t="str">
            <v>Hành Paro 26/11/2024</v>
          </cell>
          <cell r="B4538">
            <v>30000</v>
          </cell>
        </row>
        <row r="4539">
          <cell r="A4539" t="str">
            <v>Cà Chua Beef 26/11/2024</v>
          </cell>
          <cell r="B4539">
            <v>16000</v>
          </cell>
        </row>
        <row r="4540">
          <cell r="A4540" t="str">
            <v>Dưa Leo Baby 26/11/2024</v>
          </cell>
          <cell r="B4540">
            <v>4000</v>
          </cell>
        </row>
        <row r="4541">
          <cell r="A4541" t="str">
            <v>Cà Chua Beef Chùm 26/11/2024</v>
          </cell>
          <cell r="B4541">
            <v>17000</v>
          </cell>
        </row>
        <row r="4542">
          <cell r="A4542" t="str">
            <v>Bí Ngòi Xanh 26/11/2024</v>
          </cell>
          <cell r="B4542">
            <v>10000</v>
          </cell>
        </row>
        <row r="4543">
          <cell r="A4543" t="str">
            <v>Cà Chua Socola 26/11/2024</v>
          </cell>
          <cell r="B4543">
            <v>26000</v>
          </cell>
        </row>
        <row r="4544">
          <cell r="A4544" t="str">
            <v>Bông Cải Xanh 7Cm 26/11/2024</v>
          </cell>
          <cell r="B4544">
            <v>32000</v>
          </cell>
        </row>
        <row r="4545">
          <cell r="A4545" t="str">
            <v>Bông Cải Xanh Gốc Dài 26/11/2024</v>
          </cell>
          <cell r="B4545">
            <v>20000</v>
          </cell>
        </row>
        <row r="4546">
          <cell r="A4546" t="str">
            <v>Bông Cải Xanh 7Cm 26/11/2024</v>
          </cell>
          <cell r="B4546">
            <v>30000</v>
          </cell>
        </row>
        <row r="4547">
          <cell r="A4547" t="str">
            <v>Bông Cải Xanh 7Cm 26/11/2024</v>
          </cell>
          <cell r="B4547">
            <v>30000</v>
          </cell>
        </row>
        <row r="4548">
          <cell r="A4548" t="str">
            <v>Bông Cải Xanh 7Cm 26/11/2024</v>
          </cell>
          <cell r="B4548">
            <v>35000</v>
          </cell>
        </row>
        <row r="4549">
          <cell r="A4549" t="str">
            <v>Cà Chua Socola 26/11/2024</v>
          </cell>
          <cell r="B4549">
            <v>8000</v>
          </cell>
        </row>
        <row r="4550">
          <cell r="A4550" t="str">
            <v>Rau Bầu Đất 26/11/2024</v>
          </cell>
          <cell r="B4550">
            <v>30000</v>
          </cell>
        </row>
        <row r="4551">
          <cell r="A4551" t="str">
            <v>Bông Cải Trắng Cây 26/11/2024</v>
          </cell>
          <cell r="B4551">
            <v>30000</v>
          </cell>
        </row>
        <row r="4552">
          <cell r="A4552" t="str">
            <v>Xà Lách Thủy Tinh T.C Cây 26/11/2024</v>
          </cell>
          <cell r="B4552">
            <v>8000</v>
          </cell>
        </row>
        <row r="4553">
          <cell r="A4553" t="str">
            <v>Củ Khoai Lang Nhật 26/11/2024</v>
          </cell>
          <cell r="B4553">
            <v>16000</v>
          </cell>
        </row>
        <row r="4554">
          <cell r="A4554" t="str">
            <v>Đậu Cove Trắng 26/11/2024</v>
          </cell>
          <cell r="B4554">
            <v>9000</v>
          </cell>
        </row>
        <row r="4555">
          <cell r="A4555" t="str">
            <v>Dưa Leo Nhật 26/11/2024</v>
          </cell>
          <cell r="B4555">
            <v>10000</v>
          </cell>
        </row>
        <row r="4556">
          <cell r="A4556" t="str">
            <v>Dưa Leo Thường 26/11/2024</v>
          </cell>
          <cell r="B4556">
            <v>6000</v>
          </cell>
        </row>
        <row r="4557">
          <cell r="A4557" t="str">
            <v>Cải Bó Xôi 26/11/2024</v>
          </cell>
          <cell r="B4557">
            <v>21000</v>
          </cell>
        </row>
        <row r="4558">
          <cell r="A4558" t="str">
            <v>Cà Chua Beef 26/11/2024</v>
          </cell>
          <cell r="B4558">
            <v>15000</v>
          </cell>
        </row>
        <row r="4559">
          <cell r="A4559" t="str">
            <v>Xà Lách Mỡ T.C Cây 26/11/2024</v>
          </cell>
          <cell r="B4559">
            <v>6800</v>
          </cell>
        </row>
        <row r="4560">
          <cell r="A4560" t="str">
            <v>Xà Lách Thủy Tinh T.C Cây 26/11/2024</v>
          </cell>
          <cell r="B4560">
            <v>6800</v>
          </cell>
        </row>
        <row r="4561">
          <cell r="A4561" t="str">
            <v>Xà Lách Thủy Tinh T.C 26/11/2024</v>
          </cell>
          <cell r="B4561">
            <v>30000</v>
          </cell>
        </row>
        <row r="4562">
          <cell r="A4562" t="str">
            <v>Khay M12 26/11/2024</v>
          </cell>
          <cell r="B4562">
            <v>300</v>
          </cell>
        </row>
        <row r="4563">
          <cell r="A4563" t="str">
            <v>Hộp nhựa - P250A 26/11/2024</v>
          </cell>
          <cell r="B4563">
            <v>771.25</v>
          </cell>
        </row>
        <row r="4564">
          <cell r="A4564" t="str">
            <v>Bông Cải Xanh Baby 26/11/2024</v>
          </cell>
          <cell r="B4564">
            <v>47000</v>
          </cell>
        </row>
        <row r="4565">
          <cell r="A4565" t="str">
            <v>Củ Cải Đỏ 26/11/2024</v>
          </cell>
          <cell r="B4565">
            <v>10000</v>
          </cell>
        </row>
        <row r="4566">
          <cell r="A4566" t="str">
            <v>Ớt Sweet Palemo 26/11/2024</v>
          </cell>
          <cell r="B4566">
            <v>20000</v>
          </cell>
        </row>
        <row r="4567">
          <cell r="A4567" t="str">
            <v>Xà Lách Lolo Tím 26/11/2024</v>
          </cell>
          <cell r="B4567">
            <v>35000</v>
          </cell>
        </row>
        <row r="4568">
          <cell r="A4568" t="str">
            <v>Cà Chua Beef Trung 26/11/2024</v>
          </cell>
          <cell r="B4568">
            <v>16000</v>
          </cell>
        </row>
        <row r="4569">
          <cell r="A4569" t="str">
            <v>Cà Rốt Baby 26/11/2024</v>
          </cell>
          <cell r="B4569">
            <v>40000</v>
          </cell>
        </row>
        <row r="4570">
          <cell r="A4570" t="str">
            <v>Lá Mè 26/11/2024</v>
          </cell>
          <cell r="B4570">
            <v>38000</v>
          </cell>
        </row>
        <row r="4571">
          <cell r="A4571" t="str">
            <v>Dưa Leo Baby 26/11/2024</v>
          </cell>
          <cell r="B4571">
            <v>4000</v>
          </cell>
        </row>
        <row r="4572">
          <cell r="A4572" t="str">
            <v>Bông Cải Xanh Baby 26/11/2024</v>
          </cell>
          <cell r="B4572">
            <v>47000</v>
          </cell>
        </row>
        <row r="4573">
          <cell r="A4573" t="str">
            <v>Xà Lách Romaine 26/11/2024</v>
          </cell>
          <cell r="B4573">
            <v>25000</v>
          </cell>
        </row>
        <row r="4574">
          <cell r="A4574" t="str">
            <v>Cà Chua Beef Trung 26/11/2024</v>
          </cell>
          <cell r="B4574">
            <v>15000</v>
          </cell>
        </row>
        <row r="4575">
          <cell r="A4575" t="str">
            <v>Lá Mè 26/11/2024</v>
          </cell>
          <cell r="B4575">
            <v>38000</v>
          </cell>
        </row>
        <row r="4576">
          <cell r="A4576" t="str">
            <v>Cà Rốt Baby 26/11/2024</v>
          </cell>
          <cell r="B4576">
            <v>40000</v>
          </cell>
        </row>
        <row r="4577">
          <cell r="A4577" t="str">
            <v>Củ Dền 26/11/2024</v>
          </cell>
          <cell r="B4577">
            <v>18000</v>
          </cell>
        </row>
        <row r="4578">
          <cell r="A4578" t="str">
            <v>Bông Cải Trắng 26/11/2024</v>
          </cell>
          <cell r="B4578">
            <v>26000</v>
          </cell>
        </row>
        <row r="4579">
          <cell r="A4579" t="str">
            <v>Cải Thảo Hỏa Tiễn 26/11/2024</v>
          </cell>
          <cell r="B4579">
            <v>16000</v>
          </cell>
        </row>
        <row r="4580">
          <cell r="A4580" t="str">
            <v>Bông Cải Xanh Cọng 26/11/2024</v>
          </cell>
          <cell r="B4580">
            <v>26000</v>
          </cell>
        </row>
        <row r="4581">
          <cell r="A4581" t="str">
            <v>Ớt Chuông Đỏ 26/11/2024</v>
          </cell>
          <cell r="B4581">
            <v>30000</v>
          </cell>
        </row>
        <row r="4582">
          <cell r="A4582" t="str">
            <v>Ớt Chuông Vàng 26/11/2024</v>
          </cell>
          <cell r="B4582">
            <v>15000</v>
          </cell>
        </row>
        <row r="4583">
          <cell r="A4583" t="str">
            <v>Ớt Chuông Xanh 26/11/2024</v>
          </cell>
          <cell r="B4583">
            <v>28000</v>
          </cell>
        </row>
        <row r="4584">
          <cell r="A4584" t="str">
            <v>Cần Tây 26/11/2024</v>
          </cell>
          <cell r="B4584">
            <v>18000</v>
          </cell>
        </row>
        <row r="4585">
          <cell r="A4585" t="str">
            <v>Cà Chua Beef 26/11/2024</v>
          </cell>
          <cell r="B4585">
            <v>16000</v>
          </cell>
        </row>
        <row r="4586">
          <cell r="A4586" t="str">
            <v>Xà Lách Mỡ T.C Cây 26/11/2024</v>
          </cell>
          <cell r="B4586">
            <v>6000</v>
          </cell>
        </row>
        <row r="4587">
          <cell r="A4587" t="str">
            <v>Dưa Leo Baby 26/11/2024</v>
          </cell>
          <cell r="B4587">
            <v>5000</v>
          </cell>
        </row>
        <row r="4588">
          <cell r="A4588" t="str">
            <v>Củ Su Hào 26/11/2024</v>
          </cell>
          <cell r="B4588">
            <v>13000</v>
          </cell>
        </row>
        <row r="4589">
          <cell r="A4589" t="str">
            <v>Bắp Cải Trắng 26/11/2024</v>
          </cell>
          <cell r="B4589">
            <v>11000</v>
          </cell>
        </row>
        <row r="4590">
          <cell r="A4590" t="str">
            <v>Bơ Booth 26/11/2024</v>
          </cell>
          <cell r="B4590">
            <v>30000</v>
          </cell>
        </row>
        <row r="4591">
          <cell r="A4591" t="str">
            <v>Đậu Cove Nhật 26/11/2024</v>
          </cell>
          <cell r="B4591">
            <v>6000</v>
          </cell>
        </row>
        <row r="4592">
          <cell r="A4592" t="str">
            <v>Xà Lách Thủy Tinh T.C Cây 26/11/2024</v>
          </cell>
          <cell r="B4592">
            <v>6500</v>
          </cell>
        </row>
        <row r="4593">
          <cell r="A4593" t="str">
            <v>Hành Paro 26/11/2024</v>
          </cell>
          <cell r="B4593">
            <v>32000</v>
          </cell>
        </row>
        <row r="4594">
          <cell r="A4594" t="str">
            <v>Trái Su Su 26/11/2024</v>
          </cell>
          <cell r="B4594">
            <v>7500</v>
          </cell>
        </row>
        <row r="4595">
          <cell r="A4595" t="str">
            <v>Bí Đao Xanh 26/11/2024</v>
          </cell>
          <cell r="B4595">
            <v>8000</v>
          </cell>
        </row>
        <row r="4596">
          <cell r="A4596" t="str">
            <v>Cà Chua Thường 26/11/2024</v>
          </cell>
          <cell r="B4596">
            <v>21000</v>
          </cell>
        </row>
        <row r="4597">
          <cell r="A4597" t="str">
            <v>Chuối Laba 26/11/2024</v>
          </cell>
          <cell r="B4597">
            <v>13000</v>
          </cell>
        </row>
        <row r="4598">
          <cell r="A4598" t="str">
            <v>Bắp Cải Trắng 26/11/2024</v>
          </cell>
          <cell r="B4598">
            <v>10000</v>
          </cell>
        </row>
        <row r="4599">
          <cell r="A4599" t="str">
            <v>Cà Rốt 26/11/2024</v>
          </cell>
          <cell r="B4599">
            <v>12500</v>
          </cell>
        </row>
        <row r="4600">
          <cell r="A4600" t="str">
            <v>Củ Cải Trắng 26/11/2024</v>
          </cell>
          <cell r="B4600">
            <v>6000</v>
          </cell>
        </row>
        <row r="4601">
          <cell r="A4601" t="str">
            <v>Củ Khoai Tây Vàng 26/11/2024</v>
          </cell>
          <cell r="B4601">
            <v>15000</v>
          </cell>
        </row>
        <row r="4602">
          <cell r="A4602" t="str">
            <v>Hồng Treo Gió 26/11/2024</v>
          </cell>
          <cell r="B4602">
            <v>200000</v>
          </cell>
        </row>
        <row r="4603">
          <cell r="A4603" t="str">
            <v>Bí Ngòi Vàng 26/11/2024</v>
          </cell>
          <cell r="B4603">
            <v>55000</v>
          </cell>
        </row>
        <row r="4604">
          <cell r="A4604" t="str">
            <v>Bí Ngòi Xanh 26/11/2024</v>
          </cell>
          <cell r="B4604">
            <v>10000</v>
          </cell>
        </row>
        <row r="4605">
          <cell r="A4605" t="str">
            <v>Củ Dền 26/11/2024</v>
          </cell>
          <cell r="B4605">
            <v>18000</v>
          </cell>
        </row>
        <row r="4606">
          <cell r="A4606" t="str">
            <v>Bông Cải Xanh Cọng 26/11/2024</v>
          </cell>
          <cell r="B4606">
            <v>23000</v>
          </cell>
        </row>
        <row r="4607">
          <cell r="A4607" t="str">
            <v>Trái Su Su 26/11/2024</v>
          </cell>
          <cell r="B4607">
            <v>7000</v>
          </cell>
        </row>
        <row r="4608">
          <cell r="A4608" t="str">
            <v>Bí Đao Xanh 26/11/2024</v>
          </cell>
          <cell r="B4608">
            <v>10000</v>
          </cell>
        </row>
        <row r="4609">
          <cell r="A4609" t="str">
            <v>Chanh Dây Tím 26/11/2024</v>
          </cell>
          <cell r="B4609">
            <v>28000</v>
          </cell>
        </row>
        <row r="4610">
          <cell r="A4610" t="str">
            <v>Bắp Cải Trái Tim 26/11/2024</v>
          </cell>
          <cell r="B4610">
            <v>10000</v>
          </cell>
        </row>
        <row r="4611">
          <cell r="A4611" t="str">
            <v>Cà Chua Thường 26/11/2024</v>
          </cell>
          <cell r="B4611">
            <v>14000</v>
          </cell>
        </row>
        <row r="4612">
          <cell r="A4612" t="str">
            <v>Cà Chua Thường Trung 26/11/2024</v>
          </cell>
          <cell r="B4612">
            <v>11000</v>
          </cell>
        </row>
        <row r="4613">
          <cell r="A4613" t="str">
            <v>Củ Khoai Lang Nhật 26/11/2024</v>
          </cell>
          <cell r="B4613">
            <v>16000</v>
          </cell>
        </row>
        <row r="4614">
          <cell r="A4614" t="str">
            <v>Đậu Cove Trắng 26/11/2024</v>
          </cell>
          <cell r="B4614">
            <v>9000</v>
          </cell>
        </row>
        <row r="4615">
          <cell r="A4615" t="str">
            <v>Cải Thảo 26/11/2024</v>
          </cell>
          <cell r="B4615">
            <v>7000</v>
          </cell>
        </row>
        <row r="4616">
          <cell r="A4616" t="str">
            <v>Cải Thảo Kim Chi 26/11/2024</v>
          </cell>
          <cell r="B4616">
            <v>5000</v>
          </cell>
        </row>
        <row r="4617">
          <cell r="A4617" t="str">
            <v>Khay M12 26/11/2024</v>
          </cell>
          <cell r="B4617">
            <v>300</v>
          </cell>
        </row>
        <row r="4618">
          <cell r="A4618" t="str">
            <v>Hộp nhựa - P250A 26/11/2024</v>
          </cell>
          <cell r="B4618">
            <v>771.25</v>
          </cell>
        </row>
        <row r="4619">
          <cell r="A4619" t="str">
            <v>DO 0.05S-II 27/11/2024</v>
          </cell>
          <cell r="B4619">
            <v>17154.55</v>
          </cell>
        </row>
        <row r="4620">
          <cell r="A4620" t="str">
            <v>Cước đường bộ xe 49C37197T đi qua trạm Xa Lộ - Hà Nội thời gian GD 02:00:00 ngày 27/11/2024 mã GD 1515246471 27/11/2024</v>
          </cell>
          <cell r="B4620">
            <v>50000</v>
          </cell>
        </row>
        <row r="4621">
          <cell r="A4621" t="str">
            <v>Cước đường bộ xe 49C37197T đi qua trạm Cầu Phú Mỹ thời gian GD 06:37:57 ngày 27/11/2024 mã GD 1515387638 27/11/2024</v>
          </cell>
          <cell r="B4621">
            <v>22222</v>
          </cell>
        </row>
        <row r="4622">
          <cell r="A4622" t="str">
            <v>DO 0.05S-II 27/11/2024</v>
          </cell>
          <cell r="B4622">
            <v>17154.55</v>
          </cell>
        </row>
        <row r="4623">
          <cell r="A4623" t="str">
            <v>DO 0.05S-II 27/11/2024</v>
          </cell>
          <cell r="B4623">
            <v>17154.55</v>
          </cell>
        </row>
        <row r="4624">
          <cell r="A4624" t="str">
            <v>Cước đường bộ xe 49C37197T đi qua đoạn Long Phước - NH51 thời gian GD 07:09:14 ngày 27/11/2024 mã GD 1515405926 27/11/2024</v>
          </cell>
          <cell r="B4624">
            <v>76806</v>
          </cell>
        </row>
        <row r="4625">
          <cell r="A4625" t="str">
            <v>Cước đường bộ xe 49C37197T đi qua trạm Liên Đầm thời gian GD 12:32:04 ngày 27/11/2024 mã GD 1515865987 27/11/2024</v>
          </cell>
          <cell r="B4625">
            <v>78704</v>
          </cell>
        </row>
        <row r="4626">
          <cell r="A4626" t="str">
            <v>Cước đường bộ xe 49C37197T đi qua trạm Liên Đầm thời gian GD 21:28:10 ngày 27/11/2024 mã GD 1516551292 27/11/2024</v>
          </cell>
          <cell r="B4626">
            <v>78704</v>
          </cell>
        </row>
        <row r="4627">
          <cell r="A4627" t="str">
            <v>Vé máy bay HAN-DLI (ngày 26/11/2024) 27/11/2024</v>
          </cell>
          <cell r="B4627">
            <v>1291667</v>
          </cell>
        </row>
        <row r="4628">
          <cell r="A4628" t="str">
            <v>Các khoản thu hộ nhà chức trách 27/11/2024</v>
          </cell>
          <cell r="B4628">
            <v>569000</v>
          </cell>
        </row>
        <row r="4629">
          <cell r="A4629" t="str">
            <v>Hộc di động 27/11/2024</v>
          </cell>
          <cell r="B4629">
            <v>520000</v>
          </cell>
        </row>
        <row r="4630">
          <cell r="A4630" t="str">
            <v>Găng tay y tế Duy Hàng chưa tiệt trùng (cổ tay ngắn) 27/11/2024</v>
          </cell>
          <cell r="B4630">
            <v>62857.14</v>
          </cell>
        </row>
        <row r="4631">
          <cell r="A4631" t="str">
            <v>Màn bọc thực phẩm PVC 30cm 27/11/2024</v>
          </cell>
          <cell r="B4631">
            <v>720000</v>
          </cell>
        </row>
        <row r="4632">
          <cell r="A4632" t="str">
            <v>Củ Cải Trắng 27/11/2024</v>
          </cell>
          <cell r="B4632">
            <v>5500</v>
          </cell>
        </row>
        <row r="4633">
          <cell r="A4633" t="str">
            <v>Củ Khoai Lang Nhật 27/11/2024</v>
          </cell>
          <cell r="B4633">
            <v>16000</v>
          </cell>
        </row>
        <row r="4634">
          <cell r="A4634" t="str">
            <v>Măng Tây 27/11/2024</v>
          </cell>
          <cell r="B4634">
            <v>62000</v>
          </cell>
        </row>
        <row r="4635">
          <cell r="A4635" t="str">
            <v>Măng Tây 27/11/2024</v>
          </cell>
          <cell r="B4635">
            <v>52000</v>
          </cell>
        </row>
        <row r="4636">
          <cell r="A4636" t="str">
            <v>Rau Ngò Rí 27/11/2024</v>
          </cell>
          <cell r="B4636">
            <v>35000</v>
          </cell>
        </row>
        <row r="4637">
          <cell r="A4637" t="str">
            <v>Củ Dền 27/11/2024</v>
          </cell>
          <cell r="B4637">
            <v>18000</v>
          </cell>
        </row>
        <row r="4638">
          <cell r="A4638" t="str">
            <v>Ớt Chuông Xanh 27/11/2024</v>
          </cell>
          <cell r="B4638">
            <v>27000</v>
          </cell>
        </row>
        <row r="4639">
          <cell r="A4639" t="str">
            <v>Bí Đao Xanh 27/11/2024</v>
          </cell>
          <cell r="B4639">
            <v>7500</v>
          </cell>
        </row>
        <row r="4640">
          <cell r="A4640" t="str">
            <v>Củ Khoai Mỡ 27/11/2024</v>
          </cell>
          <cell r="B4640">
            <v>35000</v>
          </cell>
        </row>
        <row r="4641">
          <cell r="A4641" t="str">
            <v>CT-MÍT 27/11/2024</v>
          </cell>
          <cell r="B4641">
            <v>14300</v>
          </cell>
        </row>
        <row r="4642">
          <cell r="A4642" t="str">
            <v>CT-MÍT 27/11/2024</v>
          </cell>
          <cell r="B4642">
            <v>14539</v>
          </cell>
        </row>
        <row r="4643">
          <cell r="A4643" t="str">
            <v>Cà Chua Bi Đỏ 27/11/2024</v>
          </cell>
          <cell r="B4643">
            <v>8700</v>
          </cell>
        </row>
        <row r="4644">
          <cell r="A4644" t="str">
            <v>Ớt Sweet Palemo 27/11/2024</v>
          </cell>
          <cell r="B4644">
            <v>55000</v>
          </cell>
        </row>
        <row r="4645">
          <cell r="A4645" t="str">
            <v>Ớt Sweet Palemo 27/11/2024</v>
          </cell>
          <cell r="B4645">
            <v>60000</v>
          </cell>
        </row>
        <row r="4646">
          <cell r="A4646" t="str">
            <v>Ớt Chuông Đỏ 27/11/2024</v>
          </cell>
          <cell r="B4646">
            <v>32000</v>
          </cell>
        </row>
        <row r="4647">
          <cell r="A4647" t="str">
            <v>Ớt Chuông Vàng 27/11/2024</v>
          </cell>
          <cell r="B4647">
            <v>17000</v>
          </cell>
        </row>
        <row r="4648">
          <cell r="A4648" t="str">
            <v>Ớt Chuông Baby 27/11/2024</v>
          </cell>
          <cell r="B4648">
            <v>44000</v>
          </cell>
        </row>
        <row r="4649">
          <cell r="A4649" t="str">
            <v>Ớt Chuông Snack 27/11/2024</v>
          </cell>
          <cell r="B4649">
            <v>49000</v>
          </cell>
        </row>
        <row r="4650">
          <cell r="A4650" t="str">
            <v>Dưa Leo Baby 27/11/2024</v>
          </cell>
          <cell r="B4650">
            <v>6000</v>
          </cell>
        </row>
        <row r="4651">
          <cell r="A4651" t="str">
            <v>Bắp Cải Trái Tim 27/11/2024</v>
          </cell>
          <cell r="B4651">
            <v>10000</v>
          </cell>
        </row>
        <row r="4652">
          <cell r="A4652" t="str">
            <v>Cà Chua Beef Trung 27/11/2024</v>
          </cell>
          <cell r="B4652">
            <v>15000</v>
          </cell>
        </row>
        <row r="4653">
          <cell r="A4653" t="str">
            <v>Cần Tây 27/11/2024</v>
          </cell>
          <cell r="B4653">
            <v>20000</v>
          </cell>
        </row>
        <row r="4654">
          <cell r="A4654" t="str">
            <v>Bắp Cải Tím 27/11/2024</v>
          </cell>
          <cell r="B4654">
            <v>30000</v>
          </cell>
        </row>
        <row r="4655">
          <cell r="A4655" t="str">
            <v>Bí Non Nhật 27/11/2024</v>
          </cell>
          <cell r="B4655">
            <v>10000</v>
          </cell>
        </row>
        <row r="4656">
          <cell r="A4656" t="str">
            <v>Đậu Cove Trắng 27/11/2024</v>
          </cell>
          <cell r="B4656">
            <v>6500</v>
          </cell>
        </row>
        <row r="4657">
          <cell r="A4657" t="str">
            <v>Dưa Leo Nhật 27/11/2024</v>
          </cell>
          <cell r="B4657">
            <v>9000</v>
          </cell>
        </row>
        <row r="4658">
          <cell r="A4658" t="str">
            <v>Cà Chua Thường 27/11/2024</v>
          </cell>
          <cell r="B4658">
            <v>17000</v>
          </cell>
        </row>
        <row r="4659">
          <cell r="A4659" t="str">
            <v>Cải Bó Xôi 27/11/2024</v>
          </cell>
          <cell r="B4659">
            <v>16000</v>
          </cell>
        </row>
        <row r="4660">
          <cell r="A4660" t="str">
            <v>Cà Chua Beef 27/11/2024</v>
          </cell>
          <cell r="B4660">
            <v>16000</v>
          </cell>
        </row>
        <row r="4661">
          <cell r="A4661" t="str">
            <v>Hành Paro 27/11/2024</v>
          </cell>
          <cell r="B4661">
            <v>30000</v>
          </cell>
        </row>
        <row r="4662">
          <cell r="A4662" t="str">
            <v>Xà Lách Lolo Xanh 27/11/2024</v>
          </cell>
          <cell r="B4662">
            <v>14000</v>
          </cell>
        </row>
        <row r="4663">
          <cell r="A4663" t="str">
            <v>Đậu Đỏ 27/11/2024</v>
          </cell>
          <cell r="B4663">
            <v>80000</v>
          </cell>
        </row>
        <row r="4664">
          <cell r="A4664" t="str">
            <v>Cà Rốt 27/11/2024</v>
          </cell>
          <cell r="B4664">
            <v>14000</v>
          </cell>
        </row>
        <row r="4665">
          <cell r="A4665" t="str">
            <v>Bơ Booth 27/11/2024</v>
          </cell>
          <cell r="B4665">
            <v>41000</v>
          </cell>
        </row>
        <row r="4666">
          <cell r="A4666" t="str">
            <v>Dưa Leo Thường 27/11/2024</v>
          </cell>
          <cell r="B4666">
            <v>4000</v>
          </cell>
        </row>
        <row r="4667">
          <cell r="A4667" t="str">
            <v>Trái Mít Thái 27/11/2024</v>
          </cell>
          <cell r="B4667">
            <v>19601</v>
          </cell>
        </row>
        <row r="4668">
          <cell r="A4668" t="str">
            <v>Cải Kale 27/11/2024</v>
          </cell>
          <cell r="B4668">
            <v>23000</v>
          </cell>
        </row>
        <row r="4669">
          <cell r="A4669" t="str">
            <v>Lá Mè 27/11/2024</v>
          </cell>
          <cell r="B4669">
            <v>36000</v>
          </cell>
        </row>
        <row r="4670">
          <cell r="A4670" t="str">
            <v>Cà Chua Beef 27/11/2024</v>
          </cell>
          <cell r="B4670">
            <v>16000</v>
          </cell>
        </row>
        <row r="4671">
          <cell r="A4671" t="str">
            <v>Dưa Leo Baby 27/11/2024</v>
          </cell>
          <cell r="B4671">
            <v>4000</v>
          </cell>
        </row>
        <row r="4672">
          <cell r="A4672" t="str">
            <v>Bông Cải Xanh 7Cm 27/11/2024</v>
          </cell>
          <cell r="B4672">
            <v>32000</v>
          </cell>
        </row>
        <row r="4673">
          <cell r="A4673" t="str">
            <v>Bí Ngòi Xanh 27/11/2024</v>
          </cell>
          <cell r="B4673">
            <v>9000</v>
          </cell>
        </row>
        <row r="4674">
          <cell r="A4674" t="str">
            <v>Xà Lách Mỹ 27/11/2024</v>
          </cell>
          <cell r="B4674">
            <v>33000</v>
          </cell>
        </row>
        <row r="4675">
          <cell r="A4675" t="str">
            <v>Cà Chua Beef 27/11/2024</v>
          </cell>
          <cell r="B4675">
            <v>16000</v>
          </cell>
        </row>
        <row r="4676">
          <cell r="A4676" t="str">
            <v>Cải Kale 27/11/2024</v>
          </cell>
          <cell r="B4676">
            <v>25500</v>
          </cell>
        </row>
        <row r="4677">
          <cell r="A4677" t="str">
            <v>Chanh Không Hạt 27/11/2024</v>
          </cell>
          <cell r="B4677">
            <v>26000</v>
          </cell>
        </row>
        <row r="4678">
          <cell r="A4678" t="str">
            <v>Cà Chua Socola 27/11/2024</v>
          </cell>
          <cell r="B4678">
            <v>41500</v>
          </cell>
        </row>
        <row r="4679">
          <cell r="A4679" t="str">
            <v>Xà Lách Lolo Xanh T.C Cây 27/11/2024</v>
          </cell>
          <cell r="B4679">
            <v>6800</v>
          </cell>
        </row>
        <row r="4680">
          <cell r="A4680" t="str">
            <v>Xà Lách Mỡ T.C Cây 27/11/2024</v>
          </cell>
          <cell r="B4680">
            <v>6800</v>
          </cell>
        </row>
        <row r="4681">
          <cell r="A4681" t="str">
            <v>Xà Lách Mỡ T.C 27/11/2024</v>
          </cell>
          <cell r="B4681">
            <v>28000</v>
          </cell>
        </row>
        <row r="4682">
          <cell r="A4682" t="str">
            <v>Xà Lách Thủy Tinh T.C Cây 27/11/2024</v>
          </cell>
          <cell r="B4682">
            <v>6800</v>
          </cell>
        </row>
        <row r="4683">
          <cell r="A4683" t="str">
            <v>Trái Su Su 27/11/2024</v>
          </cell>
          <cell r="B4683">
            <v>7000</v>
          </cell>
        </row>
        <row r="4684">
          <cell r="A4684" t="str">
            <v>Đậu Cove Nhật 27/11/2024</v>
          </cell>
          <cell r="B4684">
            <v>6000</v>
          </cell>
        </row>
        <row r="4685">
          <cell r="A4685" t="str">
            <v>Cà Tím 27/11/2024</v>
          </cell>
          <cell r="B4685">
            <v>3500</v>
          </cell>
        </row>
        <row r="4686">
          <cell r="A4686" t="str">
            <v>Củ Gừng 27/11/2024</v>
          </cell>
          <cell r="B4686">
            <v>39000</v>
          </cell>
        </row>
        <row r="4687">
          <cell r="A4687" t="str">
            <v>Củ Khoai Mỡ 27/11/2024</v>
          </cell>
          <cell r="B4687">
            <v>25000</v>
          </cell>
        </row>
        <row r="4688">
          <cell r="A4688" t="str">
            <v>Bơ Booth 27/11/2024</v>
          </cell>
          <cell r="B4688">
            <v>41000</v>
          </cell>
        </row>
        <row r="4689">
          <cell r="A4689" t="str">
            <v>Trái Su Su 27/11/2024</v>
          </cell>
          <cell r="B4689">
            <v>7000</v>
          </cell>
        </row>
        <row r="4690">
          <cell r="A4690" t="str">
            <v>Bí Đao Xanh 27/11/2024</v>
          </cell>
          <cell r="B4690">
            <v>10000</v>
          </cell>
        </row>
        <row r="4691">
          <cell r="A4691" t="str">
            <v>Bí Non Nhật 27/11/2024</v>
          </cell>
          <cell r="B4691">
            <v>10000</v>
          </cell>
        </row>
        <row r="4692">
          <cell r="A4692" t="str">
            <v>Trái Khổ Qua 27/11/2024</v>
          </cell>
          <cell r="B4692">
            <v>10000</v>
          </cell>
        </row>
        <row r="4693">
          <cell r="A4693" t="str">
            <v>Xà Lách Thủy Tinh T.C Cây 27/11/2024</v>
          </cell>
          <cell r="B4693">
            <v>8000</v>
          </cell>
        </row>
        <row r="4694">
          <cell r="A4694" t="str">
            <v>Xà Lách Mỡ T.C 27/11/2024</v>
          </cell>
          <cell r="B4694">
            <v>26000</v>
          </cell>
        </row>
        <row r="4695">
          <cell r="A4695" t="str">
            <v>Xà Lách Lolo Xanh T.C 27/11/2024</v>
          </cell>
          <cell r="B4695">
            <v>26000</v>
          </cell>
        </row>
        <row r="4696">
          <cell r="A4696" t="str">
            <v>Cải Thảo 27/11/2024</v>
          </cell>
          <cell r="B4696">
            <v>7000</v>
          </cell>
        </row>
        <row r="4697">
          <cell r="A4697" t="str">
            <v>Cà Chua Socola 27/11/2024</v>
          </cell>
          <cell r="B4697">
            <v>8000</v>
          </cell>
        </row>
        <row r="4698">
          <cell r="A4698" t="str">
            <v>Xà Lách Rocket 27/11/2024</v>
          </cell>
          <cell r="B4698">
            <v>120000</v>
          </cell>
        </row>
        <row r="4699">
          <cell r="A4699" t="str">
            <v>Rau Bầu Đất 27/11/2024</v>
          </cell>
          <cell r="B4699">
            <v>30000</v>
          </cell>
        </row>
        <row r="4700">
          <cell r="A4700" t="str">
            <v>Ớt Sweet Palemo 27/11/2024</v>
          </cell>
          <cell r="B4700">
            <v>20000</v>
          </cell>
        </row>
        <row r="4701">
          <cell r="A4701" t="str">
            <v>Ớt Chuông Baby 27/11/2024</v>
          </cell>
          <cell r="B4701">
            <v>50000</v>
          </cell>
        </row>
        <row r="4702">
          <cell r="A4702" t="str">
            <v>Bông Cải Xanh Gốc Dài 27/11/2024</v>
          </cell>
          <cell r="B4702">
            <v>20000</v>
          </cell>
        </row>
        <row r="4703">
          <cell r="A4703" t="str">
            <v>Ớt Sweet Palemo 27/11/2024</v>
          </cell>
          <cell r="B4703">
            <v>20000</v>
          </cell>
        </row>
        <row r="4704">
          <cell r="A4704" t="str">
            <v>Trái Cam Canh 27/11/2024</v>
          </cell>
          <cell r="B4704">
            <v>41000</v>
          </cell>
        </row>
        <row r="4705">
          <cell r="A4705" t="str">
            <v>Cà Chua Socola 27/11/2024</v>
          </cell>
          <cell r="B4705">
            <v>26000</v>
          </cell>
        </row>
        <row r="4706">
          <cell r="A4706" t="str">
            <v>Cà Chua Bi Cam Sữa 27/11/2024</v>
          </cell>
          <cell r="B4706">
            <v>26000</v>
          </cell>
        </row>
        <row r="4707">
          <cell r="A4707" t="str">
            <v>Gia Công Rau Củ Quả 27/11/2024</v>
          </cell>
          <cell r="B4707">
            <v>1700</v>
          </cell>
        </row>
        <row r="4708">
          <cell r="A4708" t="str">
            <v>Gia Công Rau Củ Quả 27/11/2024</v>
          </cell>
          <cell r="B4708">
            <v>1700</v>
          </cell>
        </row>
        <row r="4709">
          <cell r="A4709" t="str">
            <v>Gia Công Rau Củ Quả 27/11/2024</v>
          </cell>
          <cell r="B4709">
            <v>700</v>
          </cell>
        </row>
        <row r="4710">
          <cell r="A4710" t="str">
            <v>Gia Công Rau Củ Quả 27/11/2024</v>
          </cell>
          <cell r="B4710">
            <v>700</v>
          </cell>
        </row>
        <row r="4711">
          <cell r="A4711" t="str">
            <v>Gia Công Rau Củ Quả 27/11/2024</v>
          </cell>
          <cell r="B4711">
            <v>700</v>
          </cell>
        </row>
        <row r="4712">
          <cell r="A4712" t="str">
            <v>Dưa Leo Baby 27/11/2024</v>
          </cell>
          <cell r="B4712">
            <v>6000</v>
          </cell>
        </row>
        <row r="4713">
          <cell r="A4713" t="str">
            <v>Bông Cải Xanh 7Cm 27/11/2024</v>
          </cell>
          <cell r="B4713">
            <v>32000</v>
          </cell>
        </row>
        <row r="4714">
          <cell r="A4714" t="str">
            <v>Cà Chua Beef 27/11/2024</v>
          </cell>
          <cell r="B4714">
            <v>14000</v>
          </cell>
        </row>
        <row r="4715">
          <cell r="A4715" t="str">
            <v>Bông Cải Xanh 10Cm 27/11/2024</v>
          </cell>
          <cell r="B4715">
            <v>26000</v>
          </cell>
        </row>
        <row r="4716">
          <cell r="A4716" t="str">
            <v>Cà Chua Beef Chùm 27/11/2024</v>
          </cell>
          <cell r="B4716">
            <v>17000</v>
          </cell>
        </row>
        <row r="4717">
          <cell r="A4717" t="str">
            <v>Bông Cải Xanh 10Cm 27/11/2024</v>
          </cell>
          <cell r="B4717">
            <v>30000</v>
          </cell>
        </row>
        <row r="4718">
          <cell r="A4718" t="str">
            <v>Cần Tây 27/11/2024</v>
          </cell>
          <cell r="B4718">
            <v>18000</v>
          </cell>
        </row>
        <row r="4719">
          <cell r="A4719" t="str">
            <v>Cải Thảo Hỏa Tiễn 27/11/2024</v>
          </cell>
          <cell r="B4719">
            <v>16000</v>
          </cell>
        </row>
        <row r="4720">
          <cell r="A4720" t="str">
            <v>Ớt Chuông Đỏ Trung 27/11/2024</v>
          </cell>
          <cell r="B4720">
            <v>25000</v>
          </cell>
        </row>
        <row r="4721">
          <cell r="A4721" t="str">
            <v>Ớt Chuông Vàng Trung 27/11/2024</v>
          </cell>
          <cell r="B4721">
            <v>10000</v>
          </cell>
        </row>
        <row r="4722">
          <cell r="A4722" t="str">
            <v>Cà Tím 27/11/2024</v>
          </cell>
          <cell r="B4722">
            <v>5000</v>
          </cell>
        </row>
        <row r="4723">
          <cell r="A4723" t="str">
            <v>Bí Đỏ Hồ Lô 27/11/2024</v>
          </cell>
          <cell r="B4723">
            <v>12000</v>
          </cell>
        </row>
        <row r="4724">
          <cell r="A4724" t="str">
            <v>Chuối Laba 27/11/2024</v>
          </cell>
          <cell r="B4724">
            <v>14000</v>
          </cell>
        </row>
        <row r="4725">
          <cell r="A4725" t="str">
            <v>Bắp Cải Tím 27/11/2024</v>
          </cell>
          <cell r="B4725">
            <v>30000</v>
          </cell>
        </row>
        <row r="4726">
          <cell r="A4726" t="str">
            <v>Đậu Cove Trắng 27/11/2024</v>
          </cell>
          <cell r="B4726">
            <v>9000</v>
          </cell>
        </row>
        <row r="4727">
          <cell r="A4727" t="str">
            <v>Dưa Leo Nhật 27/11/2024</v>
          </cell>
          <cell r="B4727">
            <v>6000</v>
          </cell>
        </row>
        <row r="4728">
          <cell r="A4728" t="str">
            <v>Dưa Leo Thường 27/11/2024</v>
          </cell>
          <cell r="B4728">
            <v>6000</v>
          </cell>
        </row>
        <row r="4729">
          <cell r="A4729" t="str">
            <v>Cà Chua Bi Mix 27/11/2024</v>
          </cell>
          <cell r="B4729">
            <v>51500</v>
          </cell>
        </row>
        <row r="4730">
          <cell r="A4730" t="str">
            <v>Cà Chua Bi Mix 27/11/2024</v>
          </cell>
          <cell r="B4730">
            <v>50000</v>
          </cell>
        </row>
        <row r="4731">
          <cell r="A4731" t="str">
            <v>Cà Chua Bi Đỏ 27/11/2024</v>
          </cell>
          <cell r="B4731">
            <v>14500</v>
          </cell>
        </row>
        <row r="4732">
          <cell r="A4732" t="str">
            <v>Cà Chua Bi Đỏ 27/11/2024</v>
          </cell>
          <cell r="B4732">
            <v>8700</v>
          </cell>
        </row>
        <row r="4733">
          <cell r="A4733" t="str">
            <v>Bắp Cải Trái Tim 27/11/2024</v>
          </cell>
          <cell r="B4733">
            <v>10000</v>
          </cell>
        </row>
        <row r="4734">
          <cell r="A4734" t="str">
            <v>Củ Khoai Tây Vàng 27/11/2024</v>
          </cell>
          <cell r="B4734">
            <v>15000</v>
          </cell>
        </row>
        <row r="4735">
          <cell r="A4735" t="str">
            <v>Cà Chua Thường 27/11/2024</v>
          </cell>
          <cell r="B4735">
            <v>22000</v>
          </cell>
        </row>
        <row r="4736">
          <cell r="A4736" t="str">
            <v>Xà Lách Mỡ T.C 27/11/2024</v>
          </cell>
          <cell r="B4736">
            <v>27000</v>
          </cell>
        </row>
        <row r="4737">
          <cell r="A4737" t="str">
            <v>Xà Lách Thủy Tinh T.C 27/11/2024</v>
          </cell>
          <cell r="B4737">
            <v>28000</v>
          </cell>
        </row>
        <row r="4738">
          <cell r="A4738" t="str">
            <v>Củ Su Hào 27/11/2024</v>
          </cell>
          <cell r="B4738">
            <v>13000</v>
          </cell>
        </row>
        <row r="4739">
          <cell r="A4739" t="str">
            <v>Bắp Cải Trắng 27/11/2024</v>
          </cell>
          <cell r="B4739">
            <v>11000</v>
          </cell>
        </row>
        <row r="4740">
          <cell r="A4740" t="str">
            <v>Đậu Đỏ 27/11/2024</v>
          </cell>
          <cell r="B4740">
            <v>80000</v>
          </cell>
        </row>
        <row r="4741">
          <cell r="A4741" t="str">
            <v>Đậu Ngự 27/11/2024</v>
          </cell>
          <cell r="B4741">
            <v>70000</v>
          </cell>
        </row>
        <row r="4742">
          <cell r="A4742" t="str">
            <v>Đậu Trắng 27/11/2024</v>
          </cell>
          <cell r="B4742">
            <v>70000</v>
          </cell>
        </row>
        <row r="4743">
          <cell r="A4743" t="str">
            <v>Hành Paro 27/11/2024</v>
          </cell>
          <cell r="B4743">
            <v>30000</v>
          </cell>
        </row>
        <row r="4744">
          <cell r="A4744" t="str">
            <v>Bông Cải Trắng 27/11/2024</v>
          </cell>
          <cell r="B4744">
            <v>26000</v>
          </cell>
        </row>
        <row r="4745">
          <cell r="A4745" t="str">
            <v>Củ Dền 27/11/2024</v>
          </cell>
          <cell r="B4745">
            <v>18000</v>
          </cell>
        </row>
        <row r="4746">
          <cell r="A4746" t="str">
            <v>Bí Ngòi Xanh 27/11/2024</v>
          </cell>
          <cell r="B4746">
            <v>9000</v>
          </cell>
        </row>
        <row r="4747">
          <cell r="A4747" t="str">
            <v>Củ Cải Trắng 27/11/2024</v>
          </cell>
          <cell r="B4747">
            <v>5500</v>
          </cell>
        </row>
        <row r="4748">
          <cell r="A4748" t="str">
            <v>Cà Rốt 27/11/2024</v>
          </cell>
          <cell r="B4748">
            <v>13000</v>
          </cell>
        </row>
        <row r="4749">
          <cell r="A4749" t="str">
            <v>Cải Kale 27/11/2024</v>
          </cell>
          <cell r="B4749">
            <v>23000</v>
          </cell>
        </row>
        <row r="4750">
          <cell r="A4750" t="str">
            <v>Cải Cầu Vồng 27/11/2024</v>
          </cell>
          <cell r="B4750">
            <v>18000</v>
          </cell>
        </row>
        <row r="4751">
          <cell r="A4751" t="str">
            <v>Lá Mè 27/11/2024</v>
          </cell>
          <cell r="B4751">
            <v>38000</v>
          </cell>
        </row>
        <row r="4752">
          <cell r="A4752" t="str">
            <v>Cải Kale 27/11/2024</v>
          </cell>
          <cell r="B4752">
            <v>23000</v>
          </cell>
        </row>
        <row r="4753">
          <cell r="A4753" t="str">
            <v>Cà Rốt Baby 27/11/2024</v>
          </cell>
          <cell r="B4753">
            <v>40000</v>
          </cell>
        </row>
        <row r="4754">
          <cell r="A4754" t="str">
            <v>Lá Mè 27/11/2024</v>
          </cell>
          <cell r="B4754">
            <v>38000</v>
          </cell>
        </row>
        <row r="4755">
          <cell r="A4755" t="str">
            <v>Ớt Sweet Palemo 27/11/2024</v>
          </cell>
          <cell r="B4755">
            <v>20000</v>
          </cell>
        </row>
        <row r="4756">
          <cell r="A4756" t="str">
            <v>Bông Cải Xanh Baby 27/11/2024</v>
          </cell>
          <cell r="B4756">
            <v>47000</v>
          </cell>
        </row>
        <row r="4757">
          <cell r="A4757" t="str">
            <v>Xà Lách Lolo Tím 27/11/2024</v>
          </cell>
          <cell r="B4757">
            <v>35000</v>
          </cell>
        </row>
        <row r="4758">
          <cell r="A4758" t="str">
            <v>Củ Cải Đỏ 27/11/2024</v>
          </cell>
          <cell r="B4758">
            <v>9500</v>
          </cell>
        </row>
        <row r="4759">
          <cell r="A4759" t="str">
            <v>Lá Hương Thảo 27/11/2024</v>
          </cell>
          <cell r="B4759">
            <v>100000</v>
          </cell>
        </row>
        <row r="4760">
          <cell r="A4760" t="str">
            <v>Cà Chua Beef Trung 27/11/2024</v>
          </cell>
          <cell r="B4760">
            <v>16000</v>
          </cell>
        </row>
        <row r="4761">
          <cell r="A4761" t="str">
            <v>Xà Lách Romaine 27/11/2024</v>
          </cell>
          <cell r="B4761">
            <v>25000</v>
          </cell>
        </row>
        <row r="4762">
          <cell r="A4762" t="str">
            <v>Cải Bó Xôi 27/11/2024</v>
          </cell>
          <cell r="B4762">
            <v>19000</v>
          </cell>
        </row>
        <row r="4763">
          <cell r="A4763" t="str">
            <v>Cà Chua Beef 27/11/2024</v>
          </cell>
          <cell r="B4763">
            <v>17000</v>
          </cell>
        </row>
        <row r="4764">
          <cell r="A4764" t="str">
            <v>Cà Chua Beef 27/11/2024</v>
          </cell>
          <cell r="B4764">
            <v>15000</v>
          </cell>
        </row>
        <row r="4765">
          <cell r="A4765" t="str">
            <v>Cà Chua Beef Trung 27/11/2024</v>
          </cell>
          <cell r="B4765">
            <v>15000</v>
          </cell>
        </row>
        <row r="4766">
          <cell r="A4766" t="str">
            <v>Xà Lách Thủy Tinh T.C Cây 27/11/2024</v>
          </cell>
          <cell r="B4766">
            <v>6800</v>
          </cell>
        </row>
        <row r="4767">
          <cell r="A4767" t="str">
            <v>Cước Vận Chuyển Hàng Hóa 27/11/2024</v>
          </cell>
          <cell r="B4767">
            <v>2250000</v>
          </cell>
        </row>
        <row r="4768">
          <cell r="A4768" t="str">
            <v>Hạt Dẻ Ngố 27/11/2024</v>
          </cell>
          <cell r="B4768">
            <v>24900</v>
          </cell>
        </row>
        <row r="4769">
          <cell r="A4769" t="str">
            <v>Hạt Dẻ Ngố 27/11/2024</v>
          </cell>
          <cell r="B4769">
            <v>27600</v>
          </cell>
        </row>
        <row r="4770">
          <cell r="A4770" t="str">
            <v>Cuộn PP - 90x120cm 27/11/2024</v>
          </cell>
          <cell r="B4770">
            <v>25000</v>
          </cell>
        </row>
        <row r="4771">
          <cell r="A4771" t="str">
            <v>Găng tay y tế Duy Hàng chưa tiệt trùng (cổ tay ngắn) 27/11/2024</v>
          </cell>
          <cell r="B4771">
            <v>62857.14</v>
          </cell>
        </row>
        <row r="4772">
          <cell r="A4772" t="str">
            <v>Cà Rốt 27/11/2024</v>
          </cell>
          <cell r="B4772">
            <v>14000</v>
          </cell>
        </row>
        <row r="4773">
          <cell r="A4773" t="str">
            <v>Củ Khoai Lang Nhật 27/11/2024</v>
          </cell>
          <cell r="B4773">
            <v>16000</v>
          </cell>
        </row>
        <row r="4774">
          <cell r="A4774" t="str">
            <v>Cà Chua Thường 27/11/2024</v>
          </cell>
          <cell r="B4774">
            <v>21000</v>
          </cell>
        </row>
        <row r="4775">
          <cell r="A4775" t="str">
            <v>Xà Lách Thủy Tinh T.C Cây 27/11/2024</v>
          </cell>
          <cell r="B4775">
            <v>6500</v>
          </cell>
        </row>
        <row r="4776">
          <cell r="A4776" t="str">
            <v>Ớt Chuông Đỏ 27/11/2024</v>
          </cell>
          <cell r="B4776">
            <v>30000</v>
          </cell>
        </row>
        <row r="4777">
          <cell r="A4777" t="str">
            <v>Ớt Chuông Xanh 27/11/2024</v>
          </cell>
          <cell r="B4777">
            <v>27000</v>
          </cell>
        </row>
        <row r="4778">
          <cell r="A4778" t="str">
            <v>Bắp Cải Trái Tim 27/11/2024</v>
          </cell>
          <cell r="B4778">
            <v>10000</v>
          </cell>
        </row>
        <row r="4779">
          <cell r="A4779" t="str">
            <v>Chuối Laba 27/11/2024</v>
          </cell>
          <cell r="B4779">
            <v>13000</v>
          </cell>
        </row>
        <row r="4780">
          <cell r="A4780" t="str">
            <v>Bông Cải Xanh Cây 27/11/2024</v>
          </cell>
          <cell r="B4780">
            <v>5500</v>
          </cell>
        </row>
        <row r="4781">
          <cell r="A4781" t="str">
            <v>Củ Khoai Tây Vàng 27/11/2024</v>
          </cell>
          <cell r="B4781">
            <v>15000</v>
          </cell>
        </row>
        <row r="4782">
          <cell r="A4782" t="str">
            <v>Củ Su Hào 27/11/2024</v>
          </cell>
          <cell r="B4782">
            <v>13000</v>
          </cell>
        </row>
        <row r="4783">
          <cell r="A4783" t="str">
            <v>Bơ Booth 27/11/2024</v>
          </cell>
          <cell r="B4783">
            <v>30000</v>
          </cell>
        </row>
        <row r="4784">
          <cell r="A4784" t="str">
            <v>Bí Ngòi Vàng 27/11/2024</v>
          </cell>
          <cell r="B4784">
            <v>55000</v>
          </cell>
        </row>
        <row r="4785">
          <cell r="A4785" t="str">
            <v>Bí Ngòi Xanh 27/11/2024</v>
          </cell>
          <cell r="B4785">
            <v>10000</v>
          </cell>
        </row>
        <row r="4786">
          <cell r="A4786" t="str">
            <v>Cà Chua Beef 27/11/2024</v>
          </cell>
          <cell r="B4786">
            <v>14000</v>
          </cell>
        </row>
        <row r="4787">
          <cell r="A4787" t="str">
            <v>Cải Thảo Hỏa Tiễn 27/11/2024</v>
          </cell>
          <cell r="B4787">
            <v>16000</v>
          </cell>
        </row>
        <row r="4788">
          <cell r="A4788" t="str">
            <v>Bông Cải Trắng 27/11/2024</v>
          </cell>
          <cell r="B4788">
            <v>26000</v>
          </cell>
        </row>
        <row r="4789">
          <cell r="A4789" t="str">
            <v>Củ Dền 27/11/2024</v>
          </cell>
          <cell r="B4789">
            <v>18000</v>
          </cell>
        </row>
        <row r="4790">
          <cell r="A4790" t="str">
            <v>Bông Cải Xanh Cọng 27/11/2024</v>
          </cell>
          <cell r="B4790">
            <v>26000</v>
          </cell>
        </row>
        <row r="4791">
          <cell r="A4791" t="str">
            <v>Cần Tây 27/11/2024</v>
          </cell>
          <cell r="B4791">
            <v>16000</v>
          </cell>
        </row>
        <row r="4792">
          <cell r="A4792" t="str">
            <v>Bắp Cải Tím 27/11/2024</v>
          </cell>
          <cell r="B4792">
            <v>30000</v>
          </cell>
        </row>
        <row r="4793">
          <cell r="A4793" t="str">
            <v>Cải Thảo 27/11/2024</v>
          </cell>
          <cell r="B4793">
            <v>7000</v>
          </cell>
        </row>
        <row r="4794">
          <cell r="A4794" t="str">
            <v>Cải Thảo Kim Chi 27/11/2024</v>
          </cell>
          <cell r="B4794">
            <v>5000</v>
          </cell>
        </row>
        <row r="4795">
          <cell r="A4795" t="str">
            <v>Đậu Cove Nhật 27/11/2024</v>
          </cell>
          <cell r="B4795">
            <v>6000</v>
          </cell>
        </row>
        <row r="4796">
          <cell r="A4796" t="str">
            <v>Củ Cải Trắng 27/11/2024</v>
          </cell>
          <cell r="B4796">
            <v>6000</v>
          </cell>
        </row>
        <row r="4797">
          <cell r="A4797" t="str">
            <v>Bơ Booth 27/11/2024</v>
          </cell>
          <cell r="B4797">
            <v>36000</v>
          </cell>
        </row>
        <row r="4798">
          <cell r="A4798" t="str">
            <v>Chanh Dây Tím 27/11/2024</v>
          </cell>
          <cell r="B4798">
            <v>28000</v>
          </cell>
        </row>
        <row r="4799">
          <cell r="A4799" t="str">
            <v>Bí Đỏ Tròn 27/11/2024</v>
          </cell>
          <cell r="B4799">
            <v>4300</v>
          </cell>
        </row>
        <row r="4800">
          <cell r="A4800" t="str">
            <v>Bông Cải Xanh Cọng 27/11/2024</v>
          </cell>
          <cell r="B4800">
            <v>23000</v>
          </cell>
        </row>
        <row r="4801">
          <cell r="A4801" t="str">
            <v>Cà Rốt 27/11/2024</v>
          </cell>
          <cell r="B4801">
            <v>12000</v>
          </cell>
        </row>
        <row r="4802">
          <cell r="A4802" t="str">
            <v>Bắp Cải Trắng 27/11/2024</v>
          </cell>
          <cell r="B4802">
            <v>10000</v>
          </cell>
        </row>
        <row r="4803">
          <cell r="A4803" t="str">
            <v>Bắp Cải Trắng 27/11/2024</v>
          </cell>
          <cell r="B4803">
            <v>11000</v>
          </cell>
        </row>
        <row r="4804">
          <cell r="A4804" t="str">
            <v>Đậu Cove Trắng 27/11/2024</v>
          </cell>
          <cell r="B4804">
            <v>9000</v>
          </cell>
        </row>
        <row r="4805">
          <cell r="A4805" t="str">
            <v>Bí Đao Xanh 27/11/2024</v>
          </cell>
          <cell r="B4805">
            <v>7500</v>
          </cell>
        </row>
        <row r="4806">
          <cell r="A4806" t="str">
            <v>Cà Tím 27/11/2024</v>
          </cell>
          <cell r="B4806">
            <v>5000</v>
          </cell>
        </row>
        <row r="4807">
          <cell r="A4807" t="str">
            <v>Trái Su Su 27/11/2024</v>
          </cell>
          <cell r="B4807">
            <v>7000</v>
          </cell>
        </row>
        <row r="4808">
          <cell r="A4808" t="str">
            <v>Trái Su Su 27/11/2024</v>
          </cell>
          <cell r="B4808">
            <v>6000</v>
          </cell>
        </row>
        <row r="4809">
          <cell r="A4809" t="str">
            <v>Xà Lách Lolo Xanh T.C Cây 27/11/2024</v>
          </cell>
          <cell r="B4809">
            <v>6800</v>
          </cell>
        </row>
        <row r="4810">
          <cell r="A4810" t="str">
            <v>Xà Lách Mỡ T.C Cây 27/11/2024</v>
          </cell>
          <cell r="B4810">
            <v>6800</v>
          </cell>
        </row>
        <row r="4811">
          <cell r="A4811" t="str">
            <v>Cuộn PP - 90x120cm 27/11/2024</v>
          </cell>
          <cell r="B4811">
            <v>25000</v>
          </cell>
        </row>
        <row r="4812">
          <cell r="A4812" t="str">
            <v>Màn bọc thực phẩm PVC 30cm 27/11/2024</v>
          </cell>
          <cell r="B4812">
            <v>120000</v>
          </cell>
        </row>
        <row r="4813">
          <cell r="A4813" t="str">
            <v>DO 0.05S-II 28/11/2024</v>
          </cell>
          <cell r="B4813">
            <v>17154.55</v>
          </cell>
        </row>
        <row r="4814">
          <cell r="A4814" t="str">
            <v>Cước đường bộ phương tiện 49H00036, Loại 3, tại Định An hiệu lực bắt đầu từ ngày 28/11/2024 đến hết ngày 27/12/2024, mã GD 1585267069059391736 28/11/2024</v>
          </cell>
          <cell r="B4814">
            <v>1361111</v>
          </cell>
        </row>
        <row r="4815">
          <cell r="A4815" t="str">
            <v>Cước đường bộ phương tiện 49H00036, Loại 3, tại Trạm Liên Đầm hiệu lực bắt đầu từ ngày 28/11/2024 đến hết ngày 27/12/2024, mã GD 1585267069059391990 28/11/2024</v>
          </cell>
          <cell r="B4815">
            <v>2373148</v>
          </cell>
        </row>
        <row r="4816">
          <cell r="A4816" t="str">
            <v>Dịch vụ tư vấn kiểm nghiệm sản phẩm 28/11/2024</v>
          </cell>
          <cell r="B4816">
            <v>1895000</v>
          </cell>
        </row>
        <row r="4817">
          <cell r="A4817" t="str">
            <v>Dầu Do 0.001 S-V 28/11/2024</v>
          </cell>
          <cell r="B4817">
            <v>17636.36</v>
          </cell>
        </row>
        <row r="4818">
          <cell r="A4818" t="str">
            <v>Phí tiền điện tháng 11/2024 28/11/2024</v>
          </cell>
          <cell r="B4818">
            <v>987833</v>
          </cell>
        </row>
        <row r="4819">
          <cell r="A4819" t="str">
            <v>Dầu DO 0,05S-II 28/11/2024</v>
          </cell>
          <cell r="B4819">
            <v>17154.55</v>
          </cell>
        </row>
        <row r="4820">
          <cell r="A4820" t="str">
            <v>DO 0.05S-II 28/11/2024</v>
          </cell>
          <cell r="B4820">
            <v>17154.55</v>
          </cell>
        </row>
        <row r="4821">
          <cell r="A4821" t="str">
            <v>DO 0.05S-II 28/11/2024</v>
          </cell>
          <cell r="B4821">
            <v>17154.55</v>
          </cell>
        </row>
        <row r="4822">
          <cell r="A4822" t="str">
            <v>Cước đường bộ xe 49C37197T đi qua trạm Cầu Phú Mỹ thời gian GD 07:18:31 ngày 28/11/2024 mã GD 1516872528 28/11/2024</v>
          </cell>
          <cell r="B4822">
            <v>22222</v>
          </cell>
        </row>
        <row r="4823">
          <cell r="A4823" t="str">
            <v>Cước đường bộ xe 49C37197T đi qua đoạn Long Phước - NH51 thời gian GD 07:48:27 ngày 28/11/2024 mã GD 1516895064 28/11/2024</v>
          </cell>
          <cell r="B4823">
            <v>76806</v>
          </cell>
        </row>
        <row r="4824">
          <cell r="A4824" t="str">
            <v>Cước đường bộ xe 49C37197T đi qua trạm Xa Lộ - Hà Nội thời gian GD 02:25:47 ngày 28/11/2024 mã GD 1516692572 28/11/2024</v>
          </cell>
          <cell r="B4824">
            <v>50000</v>
          </cell>
        </row>
        <row r="4825">
          <cell r="A4825" t="str">
            <v>Cước đường bộ xe 49C37197T đi qua trạm Liên Đầm thời gian GD 21:38:52 ngày 28/11/2024 mã GD 1518003524 28/11/2024</v>
          </cell>
          <cell r="B4825">
            <v>78704</v>
          </cell>
        </row>
        <row r="4826">
          <cell r="A4826" t="str">
            <v>Cước đường bộ xe 49C37197T đi qua trạm Liên Đầm thời gian GD 13:02:26 ngày 28/11/2024 mã GD 1517347614 28/11/2024</v>
          </cell>
          <cell r="B4826">
            <v>78704</v>
          </cell>
        </row>
        <row r="4827">
          <cell r="A4827" t="str">
            <v>Dầu Do 0.001 S-V 28/11/2024</v>
          </cell>
          <cell r="B4827">
            <v>17636.36</v>
          </cell>
        </row>
        <row r="4828">
          <cell r="A4828" t="str">
            <v>Túi PP (80x120) 28/11/2024</v>
          </cell>
          <cell r="B4828">
            <v>30000</v>
          </cell>
        </row>
        <row r="4829">
          <cell r="A4829" t="str">
            <v>Túi PP (50x80) 28/11/2024</v>
          </cell>
          <cell r="B4829">
            <v>37000</v>
          </cell>
        </row>
        <row r="4830">
          <cell r="A4830" t="str">
            <v>Hộp nhựa - P250A 28/11/2024</v>
          </cell>
          <cell r="B4830">
            <v>1000</v>
          </cell>
        </row>
        <row r="4831">
          <cell r="A4831" t="str">
            <v>Khay 4 trái chanh 28/11/2024</v>
          </cell>
          <cell r="B4831">
            <v>380</v>
          </cell>
        </row>
        <row r="4832">
          <cell r="A4832" t="str">
            <v>Hộp nhựa - P1000B 28/11/2024</v>
          </cell>
          <cell r="B4832">
            <v>2000</v>
          </cell>
        </row>
        <row r="4833">
          <cell r="A4833" t="str">
            <v>Bí Đao Xanh 28/11/2024</v>
          </cell>
          <cell r="B4833">
            <v>7500</v>
          </cell>
        </row>
        <row r="4834">
          <cell r="A4834" t="str">
            <v>Dưa Leo Thường 28/11/2024</v>
          </cell>
          <cell r="B4834">
            <v>4000</v>
          </cell>
        </row>
        <row r="4835">
          <cell r="A4835" t="str">
            <v>Cà Rốt 28/11/2024</v>
          </cell>
          <cell r="B4835">
            <v>15000</v>
          </cell>
        </row>
        <row r="4836">
          <cell r="A4836" t="str">
            <v>Củ Khoai Mỡ 28/11/2024</v>
          </cell>
          <cell r="B4836">
            <v>25000</v>
          </cell>
        </row>
        <row r="4837">
          <cell r="A4837" t="str">
            <v>Hành Paro 28/11/2024</v>
          </cell>
          <cell r="B4837">
            <v>30000</v>
          </cell>
        </row>
        <row r="4838">
          <cell r="A4838" t="str">
            <v>Măng Tây 28/11/2024</v>
          </cell>
          <cell r="B4838">
            <v>62000</v>
          </cell>
        </row>
        <row r="4839">
          <cell r="A4839" t="str">
            <v>Măng Tây 28/11/2024</v>
          </cell>
          <cell r="B4839">
            <v>54000</v>
          </cell>
        </row>
        <row r="4840">
          <cell r="A4840" t="str">
            <v>Lá É 28/11/2024</v>
          </cell>
          <cell r="B4840">
            <v>25000</v>
          </cell>
        </row>
        <row r="4841">
          <cell r="A4841" t="str">
            <v>Cải Bó Xôi 28/11/2024</v>
          </cell>
          <cell r="B4841">
            <v>16000</v>
          </cell>
        </row>
        <row r="4842">
          <cell r="A4842" t="str">
            <v>Bí Ngòi Xanh 28/11/2024</v>
          </cell>
          <cell r="B4842">
            <v>9000</v>
          </cell>
        </row>
        <row r="4843">
          <cell r="A4843" t="str">
            <v>Xà Lách Mỹ 28/11/2024</v>
          </cell>
          <cell r="B4843">
            <v>33000</v>
          </cell>
        </row>
        <row r="4844">
          <cell r="A4844" t="str">
            <v>Cần Tây 28/11/2024</v>
          </cell>
          <cell r="B4844">
            <v>20000</v>
          </cell>
        </row>
        <row r="4845">
          <cell r="A4845" t="str">
            <v>Đậu Đỏ 28/11/2024</v>
          </cell>
          <cell r="B4845">
            <v>80000</v>
          </cell>
        </row>
        <row r="4846">
          <cell r="A4846" t="str">
            <v>Bông Cải Xanh 7Cm 28/11/2024</v>
          </cell>
          <cell r="B4846">
            <v>32000</v>
          </cell>
        </row>
        <row r="4847">
          <cell r="A4847" t="str">
            <v>Dưa Leo Baby 28/11/2024</v>
          </cell>
          <cell r="B4847">
            <v>6000</v>
          </cell>
        </row>
        <row r="4848">
          <cell r="A4848" t="str">
            <v>Xà Lách Lolo Xanh T.C 28/11/2024</v>
          </cell>
          <cell r="B4848">
            <v>28000</v>
          </cell>
        </row>
        <row r="4849">
          <cell r="A4849" t="str">
            <v>Cà Chua Bi Đỏ 28/11/2024</v>
          </cell>
          <cell r="B4849">
            <v>8700</v>
          </cell>
        </row>
        <row r="4850">
          <cell r="A4850" t="str">
            <v>Xà Lách Lolo Xanh T.C Cây 28/11/2024</v>
          </cell>
          <cell r="B4850">
            <v>6800</v>
          </cell>
        </row>
        <row r="4851">
          <cell r="A4851" t="str">
            <v>Xà Lách Mỡ T.C Cây 28/11/2024</v>
          </cell>
          <cell r="B4851">
            <v>6800</v>
          </cell>
        </row>
        <row r="4852">
          <cell r="A4852" t="str">
            <v>Xà Lách Mỡ T.C 28/11/2024</v>
          </cell>
          <cell r="B4852">
            <v>28000</v>
          </cell>
        </row>
        <row r="4853">
          <cell r="A4853" t="str">
            <v>Xà Lách Thủy Tinh T.C Cây 28/11/2024</v>
          </cell>
          <cell r="B4853">
            <v>6800</v>
          </cell>
        </row>
        <row r="4854">
          <cell r="A4854" t="str">
            <v>Cà Chua Socola 28/11/2024</v>
          </cell>
          <cell r="B4854">
            <v>10000</v>
          </cell>
        </row>
        <row r="4855">
          <cell r="A4855" t="str">
            <v>Lá Tía Tô 28/11/2024</v>
          </cell>
          <cell r="B4855">
            <v>32000</v>
          </cell>
        </row>
        <row r="4856">
          <cell r="A4856" t="str">
            <v>Xà Lách Rocket 28/11/2024</v>
          </cell>
          <cell r="B4856">
            <v>120000</v>
          </cell>
        </row>
        <row r="4857">
          <cell r="A4857" t="str">
            <v>Ớt Chuông Đỏ 28/11/2024</v>
          </cell>
          <cell r="B4857">
            <v>32000</v>
          </cell>
        </row>
        <row r="4858">
          <cell r="A4858" t="str">
            <v>Ớt Chuông Snack 28/11/2024</v>
          </cell>
          <cell r="B4858">
            <v>49000</v>
          </cell>
        </row>
        <row r="4859">
          <cell r="A4859" t="str">
            <v>Ớt Chuông Vàng 28/11/2024</v>
          </cell>
          <cell r="B4859">
            <v>17000</v>
          </cell>
        </row>
        <row r="4860">
          <cell r="A4860" t="str">
            <v>Ớt Chuông Xanh 28/11/2024</v>
          </cell>
          <cell r="B4860">
            <v>28000</v>
          </cell>
        </row>
        <row r="4861">
          <cell r="A4861" t="str">
            <v>Ớt Sweet Palemo 28/11/2024</v>
          </cell>
          <cell r="B4861">
            <v>55000</v>
          </cell>
        </row>
        <row r="4862">
          <cell r="A4862" t="str">
            <v>Ớt Sweet Palemo 28/11/2024</v>
          </cell>
          <cell r="B4862">
            <v>60000</v>
          </cell>
        </row>
        <row r="4863">
          <cell r="A4863" t="str">
            <v>Củ Khoai Tây Vàng 28/11/2024</v>
          </cell>
          <cell r="B4863">
            <v>15000</v>
          </cell>
        </row>
        <row r="4864">
          <cell r="A4864" t="str">
            <v>Xà Lách Mỡ T.C 28/11/2024</v>
          </cell>
          <cell r="B4864">
            <v>27000</v>
          </cell>
        </row>
        <row r="4865">
          <cell r="A4865" t="str">
            <v>Cà Chua Beef 28/11/2024</v>
          </cell>
          <cell r="B4865">
            <v>16000</v>
          </cell>
        </row>
        <row r="4866">
          <cell r="A4866" t="str">
            <v>Rau Ngò Rí 28/11/2024</v>
          </cell>
          <cell r="B4866">
            <v>35000</v>
          </cell>
        </row>
        <row r="4867">
          <cell r="A4867" t="str">
            <v>Xà Lách Lolo Xanh 28/11/2024</v>
          </cell>
          <cell r="B4867">
            <v>14000</v>
          </cell>
        </row>
        <row r="4868">
          <cell r="A4868" t="str">
            <v>Bí Ngòi Xanh 28/11/2024</v>
          </cell>
          <cell r="B4868">
            <v>9000</v>
          </cell>
        </row>
        <row r="4869">
          <cell r="A4869" t="str">
            <v>Củ Dền 28/11/2024</v>
          </cell>
          <cell r="B4869">
            <v>18000</v>
          </cell>
        </row>
        <row r="4870">
          <cell r="A4870" t="str">
            <v>Cà Chua Thường 28/11/2024</v>
          </cell>
          <cell r="B4870">
            <v>18000</v>
          </cell>
        </row>
        <row r="4871">
          <cell r="A4871" t="str">
            <v>Cà Chua Thường Trung 28/11/2024</v>
          </cell>
          <cell r="B4871">
            <v>15000</v>
          </cell>
        </row>
        <row r="4872">
          <cell r="A4872" t="str">
            <v>Bí Non Nhật 28/11/2024</v>
          </cell>
          <cell r="B4872">
            <v>10000</v>
          </cell>
        </row>
        <row r="4873">
          <cell r="A4873" t="str">
            <v>Đậu Cove Trắng 28/11/2024</v>
          </cell>
          <cell r="B4873">
            <v>6500</v>
          </cell>
        </row>
        <row r="4874">
          <cell r="A4874" t="str">
            <v>Ớt Chuông Đỏ 28/11/2024</v>
          </cell>
          <cell r="B4874">
            <v>32000</v>
          </cell>
        </row>
        <row r="4875">
          <cell r="A4875" t="str">
            <v>Ớt Chuông Vàng 28/11/2024</v>
          </cell>
          <cell r="B4875">
            <v>17000</v>
          </cell>
        </row>
        <row r="4876">
          <cell r="A4876" t="str">
            <v>Ớt Chuông Xanh 28/11/2024</v>
          </cell>
          <cell r="B4876">
            <v>28000</v>
          </cell>
        </row>
        <row r="4877">
          <cell r="A4877" t="str">
            <v>Củ Khoai Tây Vàng 28/11/2024</v>
          </cell>
          <cell r="B4877">
            <v>15000</v>
          </cell>
        </row>
        <row r="4878">
          <cell r="A4878" t="str">
            <v>Củ Khoai Tây Bi Vàng 28/11/2024</v>
          </cell>
          <cell r="B4878">
            <v>12000</v>
          </cell>
        </row>
        <row r="4879">
          <cell r="A4879" t="str">
            <v>Cà Chua Thường 28/11/2024</v>
          </cell>
          <cell r="B4879">
            <v>21000</v>
          </cell>
        </row>
        <row r="4880">
          <cell r="A4880" t="str">
            <v>Củ Khoai Lang Nhật 28/11/2024</v>
          </cell>
          <cell r="B4880">
            <v>17000</v>
          </cell>
        </row>
        <row r="4881">
          <cell r="A4881" t="str">
            <v>Xà Lách Thủy Tinh T.C 28/11/2024</v>
          </cell>
          <cell r="B4881">
            <v>28000</v>
          </cell>
        </row>
        <row r="4882">
          <cell r="A4882" t="str">
            <v>Ớt Sweet Palemo 28/11/2024</v>
          </cell>
          <cell r="B4882">
            <v>20000</v>
          </cell>
        </row>
        <row r="4883">
          <cell r="A4883" t="str">
            <v>Ớt Chuông Đỏ 28/11/2024</v>
          </cell>
          <cell r="B4883">
            <v>27000</v>
          </cell>
        </row>
        <row r="4884">
          <cell r="A4884" t="str">
            <v>Ớt Chuông Vàng 28/11/2024</v>
          </cell>
          <cell r="B4884">
            <v>15000</v>
          </cell>
        </row>
        <row r="4885">
          <cell r="A4885" t="str">
            <v>Bí Ngòi Xanh 28/11/2024</v>
          </cell>
          <cell r="B4885">
            <v>9000</v>
          </cell>
        </row>
        <row r="4886">
          <cell r="A4886" t="str">
            <v>Cà Tím 28/11/2024</v>
          </cell>
          <cell r="B4886">
            <v>3500</v>
          </cell>
        </row>
        <row r="4887">
          <cell r="A4887" t="str">
            <v>Gia Công Rau Củ Quả 28/11/2024</v>
          </cell>
          <cell r="B4887">
            <v>1700</v>
          </cell>
        </row>
        <row r="4888">
          <cell r="A4888" t="str">
            <v>Gia Công Rau Củ Quả 28/11/2024</v>
          </cell>
          <cell r="B4888">
            <v>1700</v>
          </cell>
        </row>
        <row r="4889">
          <cell r="A4889" t="str">
            <v>Củ Dền 28/11/2024</v>
          </cell>
          <cell r="B4889">
            <v>18000</v>
          </cell>
        </row>
        <row r="4890">
          <cell r="A4890" t="str">
            <v>Bông Cải Trắng 28/11/2024</v>
          </cell>
          <cell r="B4890">
            <v>26000</v>
          </cell>
        </row>
        <row r="4891">
          <cell r="A4891" t="str">
            <v>Củ Su Hào 28/11/2024</v>
          </cell>
          <cell r="B4891">
            <v>13000</v>
          </cell>
        </row>
        <row r="4892">
          <cell r="A4892" t="str">
            <v>Cà Chua Thường Trung 28/11/2024</v>
          </cell>
          <cell r="B4892">
            <v>15000</v>
          </cell>
        </row>
        <row r="4893">
          <cell r="A4893" t="str">
            <v>Bí Non Nhật 28/11/2024</v>
          </cell>
          <cell r="B4893">
            <v>10000</v>
          </cell>
        </row>
        <row r="4894">
          <cell r="A4894" t="str">
            <v>Đậu Cove Trắng 28/11/2024</v>
          </cell>
          <cell r="B4894">
            <v>9000</v>
          </cell>
        </row>
        <row r="4895">
          <cell r="A4895" t="str">
            <v>Dưa Leo Nhật 28/11/2024</v>
          </cell>
          <cell r="B4895">
            <v>9000</v>
          </cell>
        </row>
        <row r="4896">
          <cell r="A4896" t="str">
            <v>Củ Hành Tây Tím 28/11/2024</v>
          </cell>
          <cell r="B4896">
            <v>20000</v>
          </cell>
        </row>
        <row r="4897">
          <cell r="A4897" t="str">
            <v>Bông Cải Xanh 7Cm 28/11/2024</v>
          </cell>
          <cell r="B4897">
            <v>30000</v>
          </cell>
        </row>
        <row r="4898">
          <cell r="A4898" t="str">
            <v>Bông Cải Trắng 28/11/2024</v>
          </cell>
          <cell r="B4898">
            <v>28000</v>
          </cell>
        </row>
        <row r="4899">
          <cell r="A4899" t="str">
            <v>Bông Cải Xanh 7Cm 28/11/2024</v>
          </cell>
          <cell r="B4899">
            <v>32000</v>
          </cell>
        </row>
        <row r="4900">
          <cell r="A4900" t="str">
            <v>Bông Cải Xanh 7Cm 28/11/2024</v>
          </cell>
          <cell r="B4900">
            <v>32000</v>
          </cell>
        </row>
        <row r="4901">
          <cell r="A4901" t="str">
            <v>Bông Cải Xanh 7Cm 28/11/2024</v>
          </cell>
          <cell r="B4901">
            <v>32000</v>
          </cell>
        </row>
        <row r="4902">
          <cell r="A4902" t="str">
            <v>Cà Chua Beef 28/11/2024</v>
          </cell>
          <cell r="B4902">
            <v>19000</v>
          </cell>
        </row>
        <row r="4903">
          <cell r="A4903" t="str">
            <v>Cà Chua Beef Trung 28/11/2024</v>
          </cell>
          <cell r="B4903">
            <v>16000</v>
          </cell>
        </row>
        <row r="4904">
          <cell r="A4904" t="str">
            <v>Cải Thảo 28/11/2024</v>
          </cell>
          <cell r="B4904">
            <v>7000</v>
          </cell>
        </row>
        <row r="4905">
          <cell r="A4905" t="str">
            <v>Bắp Cải Trái Tim 28/11/2024</v>
          </cell>
          <cell r="B4905">
            <v>10000</v>
          </cell>
        </row>
        <row r="4906">
          <cell r="A4906" t="str">
            <v>Bông Cải Xanh 7Cm 28/11/2024</v>
          </cell>
          <cell r="B4906">
            <v>26000</v>
          </cell>
        </row>
        <row r="4907">
          <cell r="A4907" t="str">
            <v>Trái Su Su 28/11/2024</v>
          </cell>
          <cell r="B4907">
            <v>7000</v>
          </cell>
        </row>
        <row r="4908">
          <cell r="A4908" t="str">
            <v>Xà Lách Thủy Tinh T.C Cây 28/11/2024</v>
          </cell>
          <cell r="B4908">
            <v>8000</v>
          </cell>
        </row>
        <row r="4909">
          <cell r="A4909" t="str">
            <v>Xà Lách Lolo Xanh T.C 28/11/2024</v>
          </cell>
          <cell r="B4909">
            <v>26000</v>
          </cell>
        </row>
        <row r="4910">
          <cell r="A4910" t="str">
            <v>Xà Lách Mỡ T.C 28/11/2024</v>
          </cell>
          <cell r="B4910">
            <v>26000</v>
          </cell>
        </row>
        <row r="4911">
          <cell r="A4911" t="str">
            <v>Cà Chua Bi Đỏ 28/11/2024</v>
          </cell>
          <cell r="B4911">
            <v>8700</v>
          </cell>
        </row>
        <row r="4912">
          <cell r="A4912" t="str">
            <v>Cà Chua Bi Đỏ 28/11/2024</v>
          </cell>
          <cell r="B4912">
            <v>14500</v>
          </cell>
        </row>
        <row r="4913">
          <cell r="A4913" t="str">
            <v>Củ Gừng 28/11/2024</v>
          </cell>
          <cell r="B4913">
            <v>39000</v>
          </cell>
        </row>
        <row r="4914">
          <cell r="A4914" t="str">
            <v>Củ Khoai Mỡ 28/11/2024</v>
          </cell>
          <cell r="B4914">
            <v>25000</v>
          </cell>
        </row>
        <row r="4915">
          <cell r="A4915" t="str">
            <v>Bơ Booth 28/11/2024</v>
          </cell>
          <cell r="B4915">
            <v>41000</v>
          </cell>
        </row>
        <row r="4916">
          <cell r="A4916" t="str">
            <v>Cà Chua Socola 28/11/2024</v>
          </cell>
          <cell r="B4916">
            <v>9000</v>
          </cell>
        </row>
        <row r="4917">
          <cell r="A4917" t="str">
            <v>Rau Bầu Đất 28/11/2024</v>
          </cell>
          <cell r="B4917">
            <v>30000</v>
          </cell>
        </row>
        <row r="4918">
          <cell r="A4918" t="str">
            <v>Bắp Cải Trắng 28/11/2024</v>
          </cell>
          <cell r="B4918">
            <v>11000</v>
          </cell>
        </row>
        <row r="4919">
          <cell r="A4919" t="str">
            <v>Trái Su Su 28/11/2024</v>
          </cell>
          <cell r="B4919">
            <v>6000</v>
          </cell>
        </row>
        <row r="4920">
          <cell r="A4920" t="str">
            <v>Hồng Treo Gió 28/11/2024</v>
          </cell>
          <cell r="B4920">
            <v>200000</v>
          </cell>
        </row>
        <row r="4921">
          <cell r="A4921" t="str">
            <v>Cà Chua Beef 28/11/2024</v>
          </cell>
          <cell r="B4921">
            <v>17000</v>
          </cell>
        </row>
        <row r="4922">
          <cell r="A4922" t="str">
            <v>Bắp Cải Tím 28/11/2024</v>
          </cell>
          <cell r="B4922">
            <v>30000</v>
          </cell>
        </row>
        <row r="4923">
          <cell r="A4923" t="str">
            <v>Cần Tây 28/11/2024</v>
          </cell>
          <cell r="B4923">
            <v>20000</v>
          </cell>
        </row>
        <row r="4924">
          <cell r="A4924" t="str">
            <v>Cà Chua Beef 28/11/2024</v>
          </cell>
          <cell r="B4924">
            <v>17000</v>
          </cell>
        </row>
        <row r="4925">
          <cell r="A4925" t="str">
            <v>Dưa Leo Baby 28/11/2024</v>
          </cell>
          <cell r="B4925">
            <v>4000</v>
          </cell>
        </row>
        <row r="4926">
          <cell r="A4926" t="str">
            <v>Đậu Đỏ 28/11/2024</v>
          </cell>
          <cell r="B4926">
            <v>80000</v>
          </cell>
        </row>
        <row r="4927">
          <cell r="A4927" t="str">
            <v>Ớt Sweet Palemo 28/11/2024</v>
          </cell>
          <cell r="B4927">
            <v>20000</v>
          </cell>
        </row>
        <row r="4928">
          <cell r="A4928" t="str">
            <v>Hành Paro 28/11/2024</v>
          </cell>
          <cell r="B4928">
            <v>30000</v>
          </cell>
        </row>
        <row r="4929">
          <cell r="A4929" t="str">
            <v>Cải Bó Xôi 28/11/2024</v>
          </cell>
          <cell r="B4929">
            <v>16000</v>
          </cell>
        </row>
        <row r="4930">
          <cell r="A4930" t="str">
            <v>Bông Cải Xanh Cây 28/11/2024</v>
          </cell>
          <cell r="B4930">
            <v>5500</v>
          </cell>
        </row>
        <row r="4931">
          <cell r="A4931" t="str">
            <v>Ớt Chuông Đỏ 28/11/2024</v>
          </cell>
          <cell r="B4931">
            <v>27000</v>
          </cell>
        </row>
        <row r="4932">
          <cell r="A4932" t="str">
            <v>Ớt Chuông Vàng 28/11/2024</v>
          </cell>
          <cell r="B4932">
            <v>13000</v>
          </cell>
        </row>
        <row r="4933">
          <cell r="A4933" t="str">
            <v>Ớt Chuông Xanh 28/11/2024</v>
          </cell>
          <cell r="B4933">
            <v>25000</v>
          </cell>
        </row>
        <row r="4934">
          <cell r="A4934" t="str">
            <v>Ớt Chuông Đỏ Trung 28/11/2024</v>
          </cell>
          <cell r="B4934">
            <v>22000</v>
          </cell>
        </row>
        <row r="4935">
          <cell r="A4935" t="str">
            <v>Ớt Chuông Vàng Trung 28/11/2024</v>
          </cell>
          <cell r="B4935">
            <v>8000</v>
          </cell>
        </row>
        <row r="4936">
          <cell r="A4936" t="str">
            <v>Bí Đỏ Hồ Lô 28/11/2024</v>
          </cell>
          <cell r="B4936">
            <v>12000</v>
          </cell>
        </row>
        <row r="4937">
          <cell r="A4937" t="str">
            <v>Lá Nha Đam 28/11/2024</v>
          </cell>
          <cell r="B4937">
            <v>14000</v>
          </cell>
        </row>
        <row r="4938">
          <cell r="A4938" t="str">
            <v>Chuối Laba 28/11/2024</v>
          </cell>
          <cell r="B4938">
            <v>14000</v>
          </cell>
        </row>
        <row r="4939">
          <cell r="A4939" t="str">
            <v>Cà Tím 28/11/2024</v>
          </cell>
          <cell r="B4939">
            <v>5000</v>
          </cell>
        </row>
        <row r="4940">
          <cell r="A4940" t="str">
            <v>Trái Khổ Qua 28/11/2024</v>
          </cell>
          <cell r="B4940">
            <v>10000</v>
          </cell>
        </row>
        <row r="4941">
          <cell r="A4941" t="str">
            <v>Củ Khoai Lang Nhật 28/11/2024</v>
          </cell>
          <cell r="B4941">
            <v>17500</v>
          </cell>
        </row>
        <row r="4942">
          <cell r="A4942" t="str">
            <v>Đậu Cove Nhật 28/11/2024</v>
          </cell>
          <cell r="B4942">
            <v>6000</v>
          </cell>
        </row>
        <row r="4943">
          <cell r="A4943" t="str">
            <v>Củ Cải Trắng 28/11/2024</v>
          </cell>
          <cell r="B4943">
            <v>5500</v>
          </cell>
        </row>
        <row r="4944">
          <cell r="A4944" t="str">
            <v>Cà Rốt 28/11/2024</v>
          </cell>
          <cell r="B4944">
            <v>13000</v>
          </cell>
        </row>
        <row r="4945">
          <cell r="A4945" t="str">
            <v>Xà Lách Thủy Tinh T.C Cây 28/11/2024</v>
          </cell>
          <cell r="B4945">
            <v>6800</v>
          </cell>
        </row>
        <row r="4946">
          <cell r="A4946" t="str">
            <v>Cải Bó Xôi 28/11/2024</v>
          </cell>
          <cell r="B4946">
            <v>20000</v>
          </cell>
        </row>
        <row r="4947">
          <cell r="A4947" t="str">
            <v>Cải Bó Xôi 28/11/2024</v>
          </cell>
          <cell r="B4947">
            <v>20000</v>
          </cell>
        </row>
        <row r="4948">
          <cell r="A4948" t="str">
            <v>Cà Chua Bi Mix 28/11/2024</v>
          </cell>
          <cell r="B4948">
            <v>51500</v>
          </cell>
        </row>
        <row r="4949">
          <cell r="A4949" t="str">
            <v>Cà Chua Beef Chùm 28/11/2024</v>
          </cell>
          <cell r="B4949">
            <v>21000</v>
          </cell>
        </row>
        <row r="4950">
          <cell r="A4950" t="str">
            <v>Cà Chua Beef Trung 28/11/2024</v>
          </cell>
          <cell r="B4950">
            <v>15000</v>
          </cell>
        </row>
        <row r="4951">
          <cell r="A4951" t="str">
            <v>Cà Chua Beef Trung 28/11/2024</v>
          </cell>
          <cell r="B4951">
            <v>16000</v>
          </cell>
        </row>
        <row r="4952">
          <cell r="A4952" t="str">
            <v>Cà Chua Thường 28/11/2024</v>
          </cell>
          <cell r="B4952">
            <v>18000</v>
          </cell>
        </row>
        <row r="4953">
          <cell r="A4953" t="str">
            <v>Cà Chua Thường Trung 28/11/2024</v>
          </cell>
          <cell r="B4953">
            <v>14000</v>
          </cell>
        </row>
        <row r="4954">
          <cell r="A4954" t="str">
            <v>Cà Chua Beef 28/11/2024</v>
          </cell>
          <cell r="B4954">
            <v>15000</v>
          </cell>
        </row>
        <row r="4955">
          <cell r="A4955" t="str">
            <v>Cà Chua Beef 28/11/2024</v>
          </cell>
          <cell r="B4955">
            <v>19000</v>
          </cell>
        </row>
        <row r="4956">
          <cell r="A4956" t="str">
            <v>Cà Chua Socola 28/11/2024</v>
          </cell>
          <cell r="B4956">
            <v>41500</v>
          </cell>
        </row>
        <row r="4957">
          <cell r="A4957" t="str">
            <v>Cải Kale 28/11/2024</v>
          </cell>
          <cell r="B4957">
            <v>25500</v>
          </cell>
        </row>
        <row r="4958">
          <cell r="A4958" t="str">
            <v>Chanh Không Hạt 28/11/2024</v>
          </cell>
          <cell r="B4958">
            <v>26000</v>
          </cell>
        </row>
        <row r="4959">
          <cell r="A4959" t="str">
            <v>Bông Cải Xanh Baby 28/11/2024</v>
          </cell>
          <cell r="B4959">
            <v>47000</v>
          </cell>
        </row>
        <row r="4960">
          <cell r="A4960" t="str">
            <v>Lá Mè 28/11/2024</v>
          </cell>
          <cell r="B4960">
            <v>38000</v>
          </cell>
        </row>
        <row r="4961">
          <cell r="A4961" t="str">
            <v>Cà Rốt Baby 28/11/2024</v>
          </cell>
          <cell r="B4961">
            <v>35000</v>
          </cell>
        </row>
        <row r="4962">
          <cell r="A4962" t="str">
            <v>Cải Kale 28/11/2024</v>
          </cell>
          <cell r="B4962">
            <v>26000</v>
          </cell>
        </row>
        <row r="4963">
          <cell r="A4963" t="str">
            <v>Lá Mè 28/11/2024</v>
          </cell>
          <cell r="B4963">
            <v>38000</v>
          </cell>
        </row>
        <row r="4964">
          <cell r="A4964" t="str">
            <v>Dưa Leo Baby 28/11/2024</v>
          </cell>
          <cell r="B4964">
            <v>4000</v>
          </cell>
        </row>
        <row r="4965">
          <cell r="A4965" t="str">
            <v>Cà Rốt Baby 28/11/2024</v>
          </cell>
          <cell r="B4965">
            <v>35000</v>
          </cell>
        </row>
        <row r="4966">
          <cell r="A4966" t="str">
            <v>Cải Kale 28/11/2024</v>
          </cell>
          <cell r="B4966">
            <v>23000</v>
          </cell>
        </row>
        <row r="4967">
          <cell r="A4967" t="str">
            <v>Bông Cải Xanh Baby 28/11/2024</v>
          </cell>
          <cell r="B4967">
            <v>47000</v>
          </cell>
        </row>
        <row r="4968">
          <cell r="A4968" t="str">
            <v>Cà Chua Beef Trung 28/11/2024</v>
          </cell>
          <cell r="B4968">
            <v>16000</v>
          </cell>
        </row>
        <row r="4969">
          <cell r="A4969" t="str">
            <v>Củ Cải Đỏ 28/11/2024</v>
          </cell>
          <cell r="B4969">
            <v>9500</v>
          </cell>
        </row>
        <row r="4970">
          <cell r="A4970" t="str">
            <v>Xà Lách Lolo Tím 28/11/2024</v>
          </cell>
          <cell r="B4970">
            <v>35000</v>
          </cell>
        </row>
        <row r="4971">
          <cell r="A4971" t="str">
            <v>Ớt Sweet Palemo 28/11/2024</v>
          </cell>
          <cell r="B4971">
            <v>20000</v>
          </cell>
        </row>
        <row r="4972">
          <cell r="A4972" t="str">
            <v>Cà Chua Beef Trung 28/11/2024</v>
          </cell>
          <cell r="B4972">
            <v>18000</v>
          </cell>
        </row>
        <row r="4973">
          <cell r="A4973" t="str">
            <v>Decal nhựa, cán bóng " Cam Cam" 28/11/2024</v>
          </cell>
          <cell r="B4973">
            <v>400</v>
          </cell>
        </row>
        <row r="4974">
          <cell r="A4974" t="str">
            <v>Decal nhựa, cán bóng "Bưởi Diễn" 28/11/2024</v>
          </cell>
          <cell r="B4974">
            <v>490</v>
          </cell>
        </row>
        <row r="4975">
          <cell r="A4975" t="str">
            <v>Hộp giấy đựng hồng treo 28/11/2024</v>
          </cell>
          <cell r="B4975">
            <v>8500</v>
          </cell>
        </row>
        <row r="4976">
          <cell r="A4976" t="str">
            <v>Xốp bọc trái cây 28/11/2024</v>
          </cell>
          <cell r="B4976">
            <v>98000</v>
          </cell>
        </row>
        <row r="4977">
          <cell r="A4977" t="str">
            <v>Trái Bưởi Diễn 28/11/2024</v>
          </cell>
          <cell r="B4977">
            <v>11000</v>
          </cell>
        </row>
        <row r="4978">
          <cell r="A4978" t="str">
            <v>Xà Lách Mỡ T.C Cây 28/11/2024</v>
          </cell>
          <cell r="B4978">
            <v>6800</v>
          </cell>
        </row>
        <row r="4979">
          <cell r="A4979" t="str">
            <v>Bông Cải Xanh Cọng 28/11/2024</v>
          </cell>
          <cell r="B4979">
            <v>26000</v>
          </cell>
        </row>
        <row r="4980">
          <cell r="A4980" t="str">
            <v>Bông Cải Xanh Cọng 28/11/2024</v>
          </cell>
          <cell r="B4980">
            <v>23000</v>
          </cell>
        </row>
        <row r="4981">
          <cell r="A4981" t="str">
            <v>Bông Cải Trắng 28/11/2024</v>
          </cell>
          <cell r="B4981">
            <v>26000</v>
          </cell>
        </row>
        <row r="4982">
          <cell r="A4982" t="str">
            <v>Xà Lách Lolo Xanh T.C Cây 28/11/2024</v>
          </cell>
          <cell r="B4982">
            <v>6000</v>
          </cell>
        </row>
        <row r="4983">
          <cell r="A4983" t="str">
            <v>Cải Thảo Hỏa Tiễn 28/11/2024</v>
          </cell>
          <cell r="B4983">
            <v>16000</v>
          </cell>
        </row>
        <row r="4984">
          <cell r="A4984" t="str">
            <v>Cà Chua Beef 28/11/2024</v>
          </cell>
          <cell r="B4984">
            <v>17000</v>
          </cell>
        </row>
        <row r="4985">
          <cell r="A4985" t="str">
            <v>Cần Tây 28/11/2024</v>
          </cell>
          <cell r="B4985">
            <v>17000</v>
          </cell>
        </row>
        <row r="4986">
          <cell r="A4986" t="str">
            <v>Bắp Cải Tím 28/11/2024</v>
          </cell>
          <cell r="B4986">
            <v>30000</v>
          </cell>
        </row>
        <row r="4987">
          <cell r="A4987" t="str">
            <v>Cần Tây 28/11/2024</v>
          </cell>
          <cell r="B4987">
            <v>16000</v>
          </cell>
        </row>
        <row r="4988">
          <cell r="A4988" t="str">
            <v>Hồng Treo Gió 28/11/2024</v>
          </cell>
          <cell r="B4988">
            <v>200000</v>
          </cell>
        </row>
        <row r="4989">
          <cell r="A4989" t="str">
            <v>Dưa Leo Baby 28/11/2024</v>
          </cell>
          <cell r="B4989">
            <v>5000</v>
          </cell>
        </row>
        <row r="4990">
          <cell r="A4990" t="str">
            <v>Củ Cải Trắng 28/11/2024</v>
          </cell>
          <cell r="B4990">
            <v>5500</v>
          </cell>
        </row>
        <row r="4991">
          <cell r="A4991" t="str">
            <v>Đậu Cove Nhật 28/11/2024</v>
          </cell>
          <cell r="B4991">
            <v>6000</v>
          </cell>
        </row>
        <row r="4992">
          <cell r="A4992" t="str">
            <v>Củ Khoai Lang Nhật 28/11/2024</v>
          </cell>
          <cell r="B4992">
            <v>17500</v>
          </cell>
        </row>
        <row r="4993">
          <cell r="A4993" t="str">
            <v>Cà Rốt 28/11/2024</v>
          </cell>
          <cell r="B4993">
            <v>15000</v>
          </cell>
        </row>
        <row r="4994">
          <cell r="A4994" t="str">
            <v>Bí Đao Xanh 28/11/2024</v>
          </cell>
          <cell r="B4994">
            <v>7500</v>
          </cell>
        </row>
        <row r="4995">
          <cell r="A4995" t="str">
            <v>Trái Su Su 28/11/2024</v>
          </cell>
          <cell r="B4995">
            <v>7500</v>
          </cell>
        </row>
        <row r="4996">
          <cell r="A4996" t="str">
            <v>Xà Lách Thủy Tinh T.C Cây 28/11/2024</v>
          </cell>
          <cell r="B4996">
            <v>6500</v>
          </cell>
        </row>
        <row r="4997">
          <cell r="A4997" t="str">
            <v>Ớt Chuông Đỏ 28/11/2024</v>
          </cell>
          <cell r="B4997">
            <v>27000</v>
          </cell>
        </row>
        <row r="4998">
          <cell r="A4998" t="str">
            <v>Ớt Chuông Vàng 28/11/2024</v>
          </cell>
          <cell r="B4998">
            <v>13000</v>
          </cell>
        </row>
        <row r="4999">
          <cell r="A4999" t="str">
            <v>Ớt Chuông Xanh 28/11/2024</v>
          </cell>
          <cell r="B4999">
            <v>25000</v>
          </cell>
        </row>
        <row r="5000">
          <cell r="A5000" t="str">
            <v>Bơ Booth 28/11/2024</v>
          </cell>
          <cell r="B5000">
            <v>30000</v>
          </cell>
        </row>
        <row r="5001">
          <cell r="A5001" t="str">
            <v>Chanh Dây Tím 28/11/2024</v>
          </cell>
          <cell r="B5001">
            <v>28000</v>
          </cell>
        </row>
        <row r="5002">
          <cell r="A5002" t="str">
            <v>Củ Su Hào 28/11/2024</v>
          </cell>
          <cell r="B5002">
            <v>13000</v>
          </cell>
        </row>
        <row r="5003">
          <cell r="A5003" t="str">
            <v>Bắp Cải Trái Tim 28/11/2024</v>
          </cell>
          <cell r="B5003">
            <v>10000</v>
          </cell>
        </row>
        <row r="5004">
          <cell r="A5004" t="str">
            <v>Cải Thảo 28/11/2024</v>
          </cell>
          <cell r="B5004">
            <v>7000</v>
          </cell>
        </row>
        <row r="5005">
          <cell r="A5005" t="str">
            <v>Cải Thảo Kim Chi 28/11/2024</v>
          </cell>
          <cell r="B5005">
            <v>5000</v>
          </cell>
        </row>
        <row r="5006">
          <cell r="A5006" t="str">
            <v>Hành Paro 28/11/2024</v>
          </cell>
          <cell r="B5006">
            <v>30000</v>
          </cell>
        </row>
        <row r="5007">
          <cell r="A5007" t="str">
            <v>Củ Dền 28/11/2024</v>
          </cell>
          <cell r="B5007">
            <v>18000</v>
          </cell>
        </row>
        <row r="5008">
          <cell r="A5008" t="str">
            <v>Củ Cải Trắng 28/11/2024</v>
          </cell>
          <cell r="B5008">
            <v>6000</v>
          </cell>
        </row>
        <row r="5009">
          <cell r="A5009" t="str">
            <v>Cà Rốt 28/11/2024</v>
          </cell>
          <cell r="B5009">
            <v>12500</v>
          </cell>
        </row>
        <row r="5010">
          <cell r="A5010" t="str">
            <v>Bắp Cải Trắng 28/11/2024</v>
          </cell>
          <cell r="B5010">
            <v>11000</v>
          </cell>
        </row>
        <row r="5011">
          <cell r="A5011" t="str">
            <v>Bắp Cải Trắng 28/11/2024</v>
          </cell>
          <cell r="B5011">
            <v>10000</v>
          </cell>
        </row>
        <row r="5012">
          <cell r="A5012" t="str">
            <v>Củ Khoai Tây Vàng 28/11/2024</v>
          </cell>
          <cell r="B5012">
            <v>15000</v>
          </cell>
        </row>
        <row r="5013">
          <cell r="A5013" t="str">
            <v>Trái Su Su 28/11/2024</v>
          </cell>
          <cell r="B5013">
            <v>7000</v>
          </cell>
        </row>
        <row r="5014">
          <cell r="A5014" t="str">
            <v>Chuối Laba 28/11/2024</v>
          </cell>
          <cell r="B5014">
            <v>13000</v>
          </cell>
        </row>
        <row r="5015">
          <cell r="A5015" t="str">
            <v>Củ Khoai Lang Nhật 28/11/2024</v>
          </cell>
          <cell r="B5015">
            <v>17000</v>
          </cell>
        </row>
        <row r="5016">
          <cell r="A5016" t="str">
            <v>Cà Chua Thường 28/11/2024</v>
          </cell>
          <cell r="B5016">
            <v>21000</v>
          </cell>
        </row>
        <row r="5017">
          <cell r="A5017" t="str">
            <v>Bí Ngòi Xanh 28/11/2024</v>
          </cell>
          <cell r="B5017">
            <v>9000</v>
          </cell>
        </row>
        <row r="5018">
          <cell r="A5018" t="str">
            <v>Đậu Cove Trắng 28/11/2024</v>
          </cell>
          <cell r="B5018">
            <v>9000</v>
          </cell>
        </row>
        <row r="5019">
          <cell r="A5019" t="str">
            <v>Giấy Paper One A4 ĐL70 29/11/2024</v>
          </cell>
          <cell r="B5019">
            <v>72800</v>
          </cell>
        </row>
        <row r="5020">
          <cell r="A5020" t="str">
            <v>Giấy Fujifilm Everyday A4 ĐL70 29/11/2024</v>
          </cell>
          <cell r="B5020">
            <v>66000</v>
          </cell>
        </row>
        <row r="5021">
          <cell r="A5021" t="str">
            <v>Giấy Paper One A3 ĐL70 29/11/2024</v>
          </cell>
          <cell r="B5021">
            <v>152000</v>
          </cell>
        </row>
        <row r="5022">
          <cell r="A5022" t="str">
            <v>Dầu Do 0.001 S-V 29/11/2024</v>
          </cell>
          <cell r="B5022">
            <v>17636.36</v>
          </cell>
        </row>
        <row r="5023">
          <cell r="A5023" t="str">
            <v>Cước vận chuyển từ siêu thị Aoen SG đến Sora từngày 01/11/2024 đên ngày 30/11/2024 29/11/2024</v>
          </cell>
          <cell r="B5023">
            <v>500000</v>
          </cell>
        </row>
        <row r="5024">
          <cell r="A5024" t="str">
            <v>DO 0.05S-II 29/11/2024</v>
          </cell>
          <cell r="B5024">
            <v>17400</v>
          </cell>
        </row>
        <row r="5025">
          <cell r="A5025" t="str">
            <v>Dầu Do 0.001 S-V 29/11/2024</v>
          </cell>
          <cell r="B5025">
            <v>17636.36</v>
          </cell>
        </row>
        <row r="5026">
          <cell r="A5026" t="str">
            <v>Cước đường bộ xe 49C37197T đi qua trạm Xa Lộ - Hà Nội thời gian GD 02:15:29 ngày 29/11/2024 mã GD 1518137106 29/11/2024</v>
          </cell>
          <cell r="B5026">
            <v>50000</v>
          </cell>
        </row>
        <row r="5027">
          <cell r="A5027" t="str">
            <v>DO 0.05S-II 29/11/2024</v>
          </cell>
          <cell r="B5027">
            <v>17400</v>
          </cell>
        </row>
        <row r="5028">
          <cell r="A5028" t="str">
            <v>Cước đường bộ xe 49C37197T đi qua trạm Liên Đầm thời gian GD 13:53:47 ngày 29/11/2024 mã GD 1518883781 29/11/2024</v>
          </cell>
          <cell r="B5028">
            <v>78704</v>
          </cell>
        </row>
        <row r="5029">
          <cell r="A5029" t="str">
            <v>Dầu Do 0.001 S-V 29/11/2024</v>
          </cell>
          <cell r="B5029">
            <v>17636.36</v>
          </cell>
        </row>
        <row r="5030">
          <cell r="A5030" t="str">
            <v>DO 0.05S-II 29/11/2024</v>
          </cell>
          <cell r="B5030">
            <v>17400</v>
          </cell>
        </row>
        <row r="5031">
          <cell r="A5031" t="str">
            <v>Cước đường bộ xe 49C37197T đi qua đoạn Long Phước - NH51 thời gian GD 07:11:24 ngày 29/11/2024 mã GD 1518289342 29/11/2024</v>
          </cell>
          <cell r="B5031">
            <v>76806</v>
          </cell>
        </row>
        <row r="5032">
          <cell r="A5032" t="str">
            <v>Cước đường bộ xe 49C37197T đi qua trạm Cầu Phú Mỹ thời gian GD 06:24:50 ngày 29/11/2024 mã GD 1518260266 29/11/2024</v>
          </cell>
          <cell r="B5032">
            <v>22222</v>
          </cell>
        </row>
        <row r="5033">
          <cell r="A5033" t="str">
            <v>Dầu Do 0.001 S-V 29/11/2024</v>
          </cell>
          <cell r="B5033">
            <v>17636.36</v>
          </cell>
        </row>
        <row r="5034">
          <cell r="A5034" t="str">
            <v>DO 0.05S-II 29/11/2024</v>
          </cell>
          <cell r="B5034">
            <v>17063.64</v>
          </cell>
        </row>
        <row r="5035">
          <cell r="A5035" t="str">
            <v>Cà Chua Bi Đỏ 29/11/2024</v>
          </cell>
          <cell r="B5035">
            <v>8700</v>
          </cell>
        </row>
        <row r="5036">
          <cell r="A5036" t="str">
            <v>Bí Ngòi Xanh 29/11/2024</v>
          </cell>
          <cell r="B5036">
            <v>8000</v>
          </cell>
        </row>
        <row r="5037">
          <cell r="A5037" t="str">
            <v>Cải Bó Xôi 29/11/2024</v>
          </cell>
          <cell r="B5037">
            <v>16000</v>
          </cell>
        </row>
        <row r="5038">
          <cell r="A5038" t="str">
            <v>Cà Chua Beef 29/11/2024</v>
          </cell>
          <cell r="B5038">
            <v>19000</v>
          </cell>
        </row>
        <row r="5039">
          <cell r="A5039" t="str">
            <v>Bắp Cải Tím 29/11/2024</v>
          </cell>
          <cell r="B5039">
            <v>30000</v>
          </cell>
        </row>
        <row r="5040">
          <cell r="A5040" t="str">
            <v>Cần Tây 29/11/2024</v>
          </cell>
          <cell r="B5040">
            <v>20000</v>
          </cell>
        </row>
        <row r="5041">
          <cell r="A5041" t="str">
            <v>Xà Lách Mỹ 29/11/2024</v>
          </cell>
          <cell r="B5041">
            <v>33000</v>
          </cell>
        </row>
        <row r="5042">
          <cell r="A5042" t="str">
            <v>Bắp Cải Trái Tim 29/11/2024</v>
          </cell>
          <cell r="B5042">
            <v>10000</v>
          </cell>
        </row>
        <row r="5043">
          <cell r="A5043" t="str">
            <v>Lá Mè 29/11/2024</v>
          </cell>
          <cell r="B5043">
            <v>36000</v>
          </cell>
        </row>
        <row r="5044">
          <cell r="A5044" t="str">
            <v>Xà Lách Lolo Xanh 29/11/2024</v>
          </cell>
          <cell r="B5044">
            <v>14000</v>
          </cell>
        </row>
        <row r="5045">
          <cell r="A5045" t="str">
            <v>Rau Ngò Rí 29/11/2024</v>
          </cell>
          <cell r="B5045">
            <v>35000</v>
          </cell>
        </row>
        <row r="5046">
          <cell r="A5046" t="str">
            <v>Rau Mầm 29/11/2024</v>
          </cell>
          <cell r="B5046">
            <v>50000</v>
          </cell>
        </row>
        <row r="5047">
          <cell r="A5047" t="str">
            <v>Xà Lách Lolo Xanh T.C Cây 29/11/2024</v>
          </cell>
          <cell r="B5047">
            <v>6800</v>
          </cell>
        </row>
        <row r="5048">
          <cell r="A5048" t="str">
            <v>Xà Lách Mỡ T.C Cây 29/11/2024</v>
          </cell>
          <cell r="B5048">
            <v>6800</v>
          </cell>
        </row>
        <row r="5049">
          <cell r="A5049" t="str">
            <v>Xà Lách Mỡ T.C 29/11/2024</v>
          </cell>
          <cell r="B5049">
            <v>28000</v>
          </cell>
        </row>
        <row r="5050">
          <cell r="A5050" t="str">
            <v>Xà Lách Thủy Tinh T.C Cây 29/11/2024</v>
          </cell>
          <cell r="B5050">
            <v>6800</v>
          </cell>
        </row>
        <row r="5051">
          <cell r="A5051" t="str">
            <v>Đậu Cove Nhật 29/11/2024</v>
          </cell>
          <cell r="B5051">
            <v>6000</v>
          </cell>
        </row>
        <row r="5052">
          <cell r="A5052" t="str">
            <v>Măng Tây 29/11/2024</v>
          </cell>
          <cell r="B5052">
            <v>60000</v>
          </cell>
        </row>
        <row r="5053">
          <cell r="A5053" t="str">
            <v>Măng Tây 29/11/2024</v>
          </cell>
          <cell r="B5053">
            <v>53000</v>
          </cell>
        </row>
        <row r="5054">
          <cell r="A5054" t="str">
            <v>Xà Lách Lolo Xanh T.C 29/11/2024</v>
          </cell>
          <cell r="B5054">
            <v>28000</v>
          </cell>
        </row>
        <row r="5055">
          <cell r="A5055" t="str">
            <v>Ớt Chuông Baby 29/11/2024</v>
          </cell>
          <cell r="B5055">
            <v>44000</v>
          </cell>
        </row>
        <row r="5056">
          <cell r="A5056" t="str">
            <v>Ớt Chuông Snack 29/11/2024</v>
          </cell>
          <cell r="B5056">
            <v>49000</v>
          </cell>
        </row>
        <row r="5057">
          <cell r="A5057" t="str">
            <v>Ớt Sweet Palemo 29/11/2024</v>
          </cell>
          <cell r="B5057">
            <v>55000</v>
          </cell>
        </row>
        <row r="5058">
          <cell r="A5058" t="str">
            <v>Ớt Sweet Palemo 29/11/2024</v>
          </cell>
          <cell r="B5058">
            <v>60000</v>
          </cell>
        </row>
        <row r="5059">
          <cell r="A5059" t="str">
            <v>Ớt Chuông Đỏ 29/11/2024</v>
          </cell>
          <cell r="B5059">
            <v>30000</v>
          </cell>
        </row>
        <row r="5060">
          <cell r="A5060" t="str">
            <v>Ớt Chuông Xanh 29/11/2024</v>
          </cell>
          <cell r="B5060">
            <v>28000</v>
          </cell>
        </row>
        <row r="5061">
          <cell r="A5061" t="str">
            <v>Ớt Chuông Vàng 29/11/2024</v>
          </cell>
          <cell r="B5061">
            <v>15000</v>
          </cell>
        </row>
        <row r="5062">
          <cell r="A5062" t="str">
            <v>Cà Rốt 29/11/2024</v>
          </cell>
          <cell r="B5062">
            <v>15000</v>
          </cell>
        </row>
        <row r="5063">
          <cell r="A5063" t="str">
            <v>Cà Chua Bi Mix 29/11/2024</v>
          </cell>
          <cell r="B5063">
            <v>51500</v>
          </cell>
        </row>
        <row r="5064">
          <cell r="A5064" t="str">
            <v>Chanh Không Hạt 29/11/2024</v>
          </cell>
          <cell r="B5064">
            <v>26000</v>
          </cell>
        </row>
        <row r="5065">
          <cell r="A5065" t="str">
            <v>Củ Khoai Lang Nhật 29/11/2024</v>
          </cell>
          <cell r="B5065">
            <v>17500</v>
          </cell>
        </row>
        <row r="5066">
          <cell r="A5066" t="str">
            <v>Củ Su Hào 29/11/2024</v>
          </cell>
          <cell r="B5066">
            <v>13000</v>
          </cell>
        </row>
        <row r="5067">
          <cell r="A5067" t="str">
            <v>Bơ Booth 29/11/2024</v>
          </cell>
          <cell r="B5067">
            <v>41000</v>
          </cell>
        </row>
        <row r="5068">
          <cell r="A5068" t="str">
            <v>Dưa Leo Thường 29/11/2024</v>
          </cell>
          <cell r="B5068">
            <v>4000</v>
          </cell>
        </row>
        <row r="5069">
          <cell r="A5069" t="str">
            <v>Xà Lách Rocket 29/11/2024</v>
          </cell>
          <cell r="B5069">
            <v>120000</v>
          </cell>
        </row>
        <row r="5070">
          <cell r="A5070" t="str">
            <v>Bông Cải Xanh 7Cm 29/11/2024</v>
          </cell>
          <cell r="B5070">
            <v>35000</v>
          </cell>
        </row>
        <row r="5071">
          <cell r="A5071" t="str">
            <v>Hồng Treo Gió 29/11/2024</v>
          </cell>
          <cell r="B5071">
            <v>200000</v>
          </cell>
        </row>
        <row r="5072">
          <cell r="A5072" t="str">
            <v>Cà Chua Thường 29/11/2024</v>
          </cell>
          <cell r="B5072">
            <v>18000</v>
          </cell>
        </row>
        <row r="5073">
          <cell r="A5073" t="str">
            <v>Bí Non Nhật 29/11/2024</v>
          </cell>
          <cell r="B5073">
            <v>10000</v>
          </cell>
        </row>
        <row r="5074">
          <cell r="A5074" t="str">
            <v>Đậu Cove Trắng 29/11/2024</v>
          </cell>
          <cell r="B5074">
            <v>6500</v>
          </cell>
        </row>
        <row r="5075">
          <cell r="A5075" t="str">
            <v>Bắp Cải Trái Tim 29/11/2024</v>
          </cell>
          <cell r="B5075">
            <v>17000</v>
          </cell>
        </row>
        <row r="5076">
          <cell r="A5076" t="str">
            <v>Củ Khoai Tây Vàng 29/11/2024</v>
          </cell>
          <cell r="B5076">
            <v>15000</v>
          </cell>
        </row>
        <row r="5077">
          <cell r="A5077" t="str">
            <v>Cà Chua Thường 29/11/2024</v>
          </cell>
          <cell r="B5077">
            <v>21000</v>
          </cell>
        </row>
        <row r="5078">
          <cell r="A5078" t="str">
            <v>Củ Khoai Lang Nhật 29/11/2024</v>
          </cell>
          <cell r="B5078">
            <v>17500</v>
          </cell>
        </row>
        <row r="5079">
          <cell r="A5079" t="str">
            <v>Củ Cải Trắng 29/11/2024</v>
          </cell>
          <cell r="B5079">
            <v>5000</v>
          </cell>
        </row>
        <row r="5080">
          <cell r="A5080" t="str">
            <v>Cà Rốt 29/11/2024</v>
          </cell>
          <cell r="B5080">
            <v>13000</v>
          </cell>
        </row>
        <row r="5081">
          <cell r="A5081" t="str">
            <v>Củ Su Hào 29/11/2024</v>
          </cell>
          <cell r="B5081">
            <v>13000</v>
          </cell>
        </row>
        <row r="5082">
          <cell r="A5082" t="str">
            <v>Bơ Booth 29/11/2024</v>
          </cell>
          <cell r="B5082">
            <v>41000</v>
          </cell>
        </row>
        <row r="5083">
          <cell r="A5083" t="str">
            <v>Củ Gừng 29/11/2024</v>
          </cell>
          <cell r="B5083">
            <v>39000</v>
          </cell>
        </row>
        <row r="5084">
          <cell r="A5084" t="str">
            <v>Dưa Leo Thường 29/11/2024</v>
          </cell>
          <cell r="B5084">
            <v>4000</v>
          </cell>
        </row>
        <row r="5085">
          <cell r="A5085" t="str">
            <v>Trái Khổ Qua 29/11/2024</v>
          </cell>
          <cell r="B5085">
            <v>10000</v>
          </cell>
        </row>
        <row r="5086">
          <cell r="A5086" t="str">
            <v>Củ Dền 29/11/2024</v>
          </cell>
          <cell r="B5086">
            <v>18000</v>
          </cell>
        </row>
        <row r="5087">
          <cell r="A5087" t="str">
            <v>Đậu Đỏ 29/11/2024</v>
          </cell>
          <cell r="B5087">
            <v>80000</v>
          </cell>
        </row>
        <row r="5088">
          <cell r="A5088" t="str">
            <v>Đậu Ngự 29/11/2024</v>
          </cell>
          <cell r="B5088">
            <v>70000</v>
          </cell>
        </row>
        <row r="5089">
          <cell r="A5089" t="str">
            <v>Đậu Trắng 29/11/2024</v>
          </cell>
          <cell r="B5089">
            <v>70000</v>
          </cell>
        </row>
        <row r="5090">
          <cell r="A5090" t="str">
            <v>Cải Bó Xôi 29/11/2024</v>
          </cell>
          <cell r="B5090">
            <v>14000</v>
          </cell>
        </row>
        <row r="5091">
          <cell r="A5091" t="str">
            <v>Trái Su Su 29/11/2024</v>
          </cell>
          <cell r="B5091">
            <v>6000</v>
          </cell>
        </row>
        <row r="5092">
          <cell r="A5092" t="str">
            <v>Trái Cam Canh 29/11/2024</v>
          </cell>
          <cell r="B5092">
            <v>41000</v>
          </cell>
        </row>
        <row r="5093">
          <cell r="A5093" t="str">
            <v>Cước Vận Chuyển Hàng Hóa 29/11/2024</v>
          </cell>
          <cell r="B5093">
            <v>1850</v>
          </cell>
        </row>
        <row r="5094">
          <cell r="A5094" t="str">
            <v>Dưa Leo Baby 29/11/2024</v>
          </cell>
          <cell r="B5094">
            <v>4500</v>
          </cell>
        </row>
        <row r="5095">
          <cell r="A5095" t="str">
            <v>Cà Chua Thường Trung 29/11/2024</v>
          </cell>
          <cell r="B5095">
            <v>15000</v>
          </cell>
        </row>
        <row r="5096">
          <cell r="A5096" t="str">
            <v>Ớt Sweet Palemo 29/11/2024</v>
          </cell>
          <cell r="B5096">
            <v>20000</v>
          </cell>
        </row>
        <row r="5097">
          <cell r="A5097" t="str">
            <v>Cải Bó Xôi 29/11/2024</v>
          </cell>
          <cell r="B5097">
            <v>16000</v>
          </cell>
        </row>
        <row r="5098">
          <cell r="A5098" t="str">
            <v>Bông Cải Xanh 12Cm 29/11/2024</v>
          </cell>
          <cell r="B5098">
            <v>22000</v>
          </cell>
        </row>
        <row r="5099">
          <cell r="A5099" t="str">
            <v>Bắp Cải Tím 29/11/2024</v>
          </cell>
          <cell r="B5099">
            <v>30000</v>
          </cell>
        </row>
        <row r="5100">
          <cell r="A5100" t="str">
            <v>Cần Tây 29/11/2024</v>
          </cell>
          <cell r="B5100">
            <v>20000</v>
          </cell>
        </row>
        <row r="5101">
          <cell r="A5101" t="str">
            <v>Dưa Leo Baby 29/11/2024</v>
          </cell>
          <cell r="B5101">
            <v>4000</v>
          </cell>
        </row>
        <row r="5102">
          <cell r="A5102" t="str">
            <v>Cải Thảo Hỏa Tiễn 29/11/2024</v>
          </cell>
          <cell r="B5102">
            <v>16000</v>
          </cell>
        </row>
        <row r="5103">
          <cell r="A5103" t="str">
            <v>Bông Cải Trắng 29/11/2024</v>
          </cell>
          <cell r="B5103">
            <v>26000</v>
          </cell>
        </row>
        <row r="5104">
          <cell r="A5104" t="str">
            <v>Bông Cải Xanh 7Cm 29/11/2024</v>
          </cell>
          <cell r="B5104">
            <v>32000</v>
          </cell>
        </row>
        <row r="5105">
          <cell r="A5105" t="str">
            <v>Bông Cải Xanh 12Cm 29/11/2024</v>
          </cell>
          <cell r="B5105">
            <v>22000</v>
          </cell>
        </row>
        <row r="5106">
          <cell r="A5106" t="str">
            <v>Bông Cải Xanh 12Cm 29/11/2024</v>
          </cell>
          <cell r="B5106">
            <v>22000</v>
          </cell>
        </row>
        <row r="5107">
          <cell r="A5107" t="str">
            <v>Bông Cải Xanh 7Cm 29/11/2024</v>
          </cell>
          <cell r="B5107">
            <v>32000</v>
          </cell>
        </row>
        <row r="5108">
          <cell r="A5108" t="str">
            <v>Bông Cải Xanh 7Cm 29/11/2024</v>
          </cell>
          <cell r="B5108">
            <v>30000</v>
          </cell>
        </row>
        <row r="5109">
          <cell r="A5109" t="str">
            <v>Dưa Leo Baby 29/11/2024</v>
          </cell>
          <cell r="B5109">
            <v>6000</v>
          </cell>
        </row>
        <row r="5110">
          <cell r="A5110" t="str">
            <v>Đậu Cove Trắng 29/11/2024</v>
          </cell>
          <cell r="B5110">
            <v>9000</v>
          </cell>
        </row>
        <row r="5111">
          <cell r="A5111" t="str">
            <v>Dưa Leo Nhật 29/11/2024</v>
          </cell>
          <cell r="B5111">
            <v>9000</v>
          </cell>
        </row>
        <row r="5112">
          <cell r="A5112" t="str">
            <v>Bí Non Nhật 29/11/2024</v>
          </cell>
          <cell r="B5112">
            <v>10000</v>
          </cell>
        </row>
        <row r="5113">
          <cell r="A5113" t="str">
            <v>Dưa Leo Thường 29/11/2024</v>
          </cell>
          <cell r="B5113">
            <v>4000</v>
          </cell>
        </row>
        <row r="5114">
          <cell r="A5114" t="str">
            <v>Cà Chua Bi Đỏ 29/11/2024</v>
          </cell>
          <cell r="B5114">
            <v>8700</v>
          </cell>
        </row>
        <row r="5115">
          <cell r="A5115" t="str">
            <v>Cà Chua Bi Đỏ 29/11/2024</v>
          </cell>
          <cell r="B5115">
            <v>14500</v>
          </cell>
        </row>
        <row r="5116">
          <cell r="A5116" t="str">
            <v>Xà Lách Mỡ T.C 29/11/2024</v>
          </cell>
          <cell r="B5116">
            <v>27000</v>
          </cell>
        </row>
        <row r="5117">
          <cell r="A5117" t="str">
            <v>Xà Lách Lolo Xanh T.C 29/11/2024</v>
          </cell>
          <cell r="B5117">
            <v>28000</v>
          </cell>
        </row>
        <row r="5118">
          <cell r="A5118" t="str">
            <v>Xà Lách Thủy Tinh T.C 29/11/2024</v>
          </cell>
          <cell r="B5118">
            <v>28000</v>
          </cell>
        </row>
        <row r="5119">
          <cell r="A5119" t="str">
            <v>Bí Đỏ Hồ Lô 29/11/2024</v>
          </cell>
          <cell r="B5119">
            <v>12000</v>
          </cell>
        </row>
        <row r="5120">
          <cell r="A5120" t="str">
            <v>Trái Su Su 29/11/2024</v>
          </cell>
          <cell r="B5120">
            <v>7000</v>
          </cell>
        </row>
        <row r="5121">
          <cell r="A5121" t="str">
            <v>Lá Nha Đam 29/11/2024</v>
          </cell>
          <cell r="B5121">
            <v>14000</v>
          </cell>
        </row>
        <row r="5122">
          <cell r="A5122" t="str">
            <v>Bắp Cải Trắng 29/11/2024</v>
          </cell>
          <cell r="B5122">
            <v>11000</v>
          </cell>
        </row>
        <row r="5123">
          <cell r="A5123" t="str">
            <v>Ớt Chuông Đỏ 29/11/2024</v>
          </cell>
          <cell r="B5123">
            <v>30000</v>
          </cell>
        </row>
        <row r="5124">
          <cell r="A5124" t="str">
            <v>Ớt Chuông Baby 29/11/2024</v>
          </cell>
          <cell r="B5124">
            <v>44000</v>
          </cell>
        </row>
        <row r="5125">
          <cell r="A5125" t="str">
            <v>Đậu Cove Nhật 29/11/2024</v>
          </cell>
          <cell r="B5125">
            <v>6000</v>
          </cell>
        </row>
        <row r="5126">
          <cell r="A5126" t="str">
            <v>Ớt Chuông Đỏ 29/11/2024</v>
          </cell>
          <cell r="B5126">
            <v>27000</v>
          </cell>
        </row>
        <row r="5127">
          <cell r="A5127" t="str">
            <v>Ớt Chuông Xanh 29/11/2024</v>
          </cell>
          <cell r="B5127">
            <v>25000</v>
          </cell>
        </row>
        <row r="5128">
          <cell r="A5128" t="str">
            <v>Ớt Chuông Vàng Trung 29/11/2024</v>
          </cell>
          <cell r="B5128">
            <v>8000</v>
          </cell>
        </row>
        <row r="5129">
          <cell r="A5129" t="str">
            <v>Đậu Hà Lan Trái 29/11/2024</v>
          </cell>
          <cell r="B5129">
            <v>80000</v>
          </cell>
        </row>
        <row r="5130">
          <cell r="A5130" t="str">
            <v>Rau Bầu Đất 29/11/2024</v>
          </cell>
          <cell r="B5130">
            <v>30000</v>
          </cell>
        </row>
        <row r="5131">
          <cell r="A5131" t="str">
            <v>Xà Lách Rocket 29/11/2024</v>
          </cell>
          <cell r="B5131">
            <v>120000</v>
          </cell>
        </row>
        <row r="5132">
          <cell r="A5132" t="str">
            <v>Bông Cải Xanh 7Cm 29/11/2024</v>
          </cell>
          <cell r="B5132">
            <v>35000</v>
          </cell>
        </row>
        <row r="5133">
          <cell r="A5133" t="str">
            <v>Bông Cải Xanh Gốc Dài 29/11/2024</v>
          </cell>
          <cell r="B5133">
            <v>25000</v>
          </cell>
        </row>
        <row r="5134">
          <cell r="A5134" t="str">
            <v>Cà Tím 29/11/2024</v>
          </cell>
          <cell r="B5134">
            <v>5000</v>
          </cell>
        </row>
        <row r="5135">
          <cell r="A5135" t="str">
            <v>Cà Tím 29/11/2024</v>
          </cell>
          <cell r="B5135">
            <v>3500</v>
          </cell>
        </row>
        <row r="5136">
          <cell r="A5136" t="str">
            <v>Bí Non Nhật 29/11/2024</v>
          </cell>
          <cell r="B5136">
            <v>10000</v>
          </cell>
        </row>
        <row r="5137">
          <cell r="A5137" t="str">
            <v>Trái Su Su 29/11/2024</v>
          </cell>
          <cell r="B5137">
            <v>7000</v>
          </cell>
        </row>
        <row r="5138">
          <cell r="A5138" t="str">
            <v>Xà Lách Thủy Tinh T.C Cây 29/11/2024</v>
          </cell>
          <cell r="B5138">
            <v>8000</v>
          </cell>
        </row>
        <row r="5139">
          <cell r="A5139" t="str">
            <v>Xà Lách Mỡ T.C 29/11/2024</v>
          </cell>
          <cell r="B5139">
            <v>26000</v>
          </cell>
        </row>
        <row r="5140">
          <cell r="A5140" t="str">
            <v>Xà Lách Lolo Xanh T.C 29/11/2024</v>
          </cell>
          <cell r="B5140">
            <v>26000</v>
          </cell>
        </row>
        <row r="5141">
          <cell r="A5141" t="str">
            <v>Bí Ngòi Xanh 29/11/2024</v>
          </cell>
          <cell r="B5141">
            <v>8000</v>
          </cell>
        </row>
        <row r="5142">
          <cell r="A5142" t="str">
            <v>Ớt Sweet Palemo 29/11/2024</v>
          </cell>
          <cell r="B5142">
            <v>20000</v>
          </cell>
        </row>
        <row r="5143">
          <cell r="A5143" t="str">
            <v>Cải Thảo 29/11/2024</v>
          </cell>
          <cell r="B5143">
            <v>7000</v>
          </cell>
        </row>
        <row r="5144">
          <cell r="A5144" t="str">
            <v>Bí Ngòi Xanh 29/11/2024</v>
          </cell>
          <cell r="B5144">
            <v>8000</v>
          </cell>
        </row>
        <row r="5145">
          <cell r="A5145" t="str">
            <v>Hành Paro 29/11/2024</v>
          </cell>
          <cell r="B5145">
            <v>29000</v>
          </cell>
        </row>
        <row r="5146">
          <cell r="A5146" t="str">
            <v>Bông Cải Xanh 7Cm 29/11/2024</v>
          </cell>
          <cell r="B5146">
            <v>32000</v>
          </cell>
        </row>
        <row r="5147">
          <cell r="A5147" t="str">
            <v>Trái Mâm Xôi 29/11/2024</v>
          </cell>
          <cell r="B5147">
            <v>35000</v>
          </cell>
        </row>
        <row r="5148">
          <cell r="A5148" t="str">
            <v>Gia Công Rau Củ Quả 29/11/2024</v>
          </cell>
          <cell r="B5148">
            <v>1700</v>
          </cell>
        </row>
        <row r="5149">
          <cell r="A5149" t="str">
            <v>Gia Công Rau Củ Quả 29/11/2024</v>
          </cell>
          <cell r="B5149">
            <v>1700</v>
          </cell>
        </row>
        <row r="5150">
          <cell r="A5150" t="str">
            <v>Dưa Leo Baby 29/11/2024</v>
          </cell>
          <cell r="B5150">
            <v>6000</v>
          </cell>
        </row>
        <row r="5151">
          <cell r="A5151" t="str">
            <v>Xà Lách Thủy Tinh T.C Cây 29/11/2024</v>
          </cell>
          <cell r="B5151">
            <v>6800</v>
          </cell>
        </row>
        <row r="5152">
          <cell r="A5152" t="str">
            <v>Cà Chua Beef Chùm 29/11/2024</v>
          </cell>
          <cell r="B5152">
            <v>21000</v>
          </cell>
        </row>
        <row r="5153">
          <cell r="A5153" t="str">
            <v>Cà Chua Beef 29/11/2024</v>
          </cell>
          <cell r="B5153">
            <v>15000</v>
          </cell>
        </row>
        <row r="5154">
          <cell r="A5154" t="str">
            <v>Cà Chua Beef Trung 29/11/2024</v>
          </cell>
          <cell r="B5154">
            <v>17000</v>
          </cell>
        </row>
        <row r="5155">
          <cell r="A5155" t="str">
            <v>Cải Bó Xôi 29/11/2024</v>
          </cell>
          <cell r="B5155">
            <v>20000</v>
          </cell>
        </row>
        <row r="5156">
          <cell r="A5156" t="str">
            <v>Cải Bó Xôi 29/11/2024</v>
          </cell>
          <cell r="B5156">
            <v>20000</v>
          </cell>
        </row>
        <row r="5157">
          <cell r="A5157" t="str">
            <v>Cà Chua Bi Mix 29/11/2024</v>
          </cell>
          <cell r="B5157">
            <v>50000</v>
          </cell>
        </row>
        <row r="5158">
          <cell r="A5158" t="str">
            <v>Cà Chua Bi Mix 29/11/2024</v>
          </cell>
          <cell r="B5158">
            <v>51500</v>
          </cell>
        </row>
        <row r="5159">
          <cell r="A5159" t="str">
            <v>Cải Kale 29/11/2024</v>
          </cell>
          <cell r="B5159">
            <v>24500</v>
          </cell>
        </row>
        <row r="5160">
          <cell r="A5160" t="str">
            <v>Bông Cải Xanh Baby 29/11/2024</v>
          </cell>
          <cell r="B5160">
            <v>47000</v>
          </cell>
        </row>
        <row r="5161">
          <cell r="A5161" t="str">
            <v>Cà Chua Beef Trung 29/11/2024</v>
          </cell>
          <cell r="B5161">
            <v>17000</v>
          </cell>
        </row>
        <row r="5162">
          <cell r="A5162" t="str">
            <v>Củ Cải Đỏ 29/11/2024</v>
          </cell>
          <cell r="B5162">
            <v>9500</v>
          </cell>
        </row>
        <row r="5163">
          <cell r="A5163" t="str">
            <v>Lá Quế Tây 29/11/2024</v>
          </cell>
          <cell r="B5163">
            <v>100000</v>
          </cell>
        </row>
        <row r="5164">
          <cell r="A5164" t="str">
            <v>Xà Lách Lolo Tím 29/11/2024</v>
          </cell>
          <cell r="B5164">
            <v>35000</v>
          </cell>
        </row>
        <row r="5165">
          <cell r="A5165" t="str">
            <v>Ớt Sweet Palemo 29/11/2024</v>
          </cell>
          <cell r="B5165">
            <v>20000</v>
          </cell>
        </row>
        <row r="5166">
          <cell r="A5166" t="str">
            <v>Lá Mè 29/11/2024</v>
          </cell>
          <cell r="B5166">
            <v>38000</v>
          </cell>
        </row>
        <row r="5167">
          <cell r="A5167" t="str">
            <v>Dưa Leo Baby 29/11/2024</v>
          </cell>
          <cell r="B5167">
            <v>4000</v>
          </cell>
        </row>
        <row r="5168">
          <cell r="A5168" t="str">
            <v>Cà Rốt Baby 29/11/2024</v>
          </cell>
          <cell r="B5168">
            <v>35000</v>
          </cell>
        </row>
        <row r="5169">
          <cell r="A5169" t="str">
            <v>Cải Cầu Vồng 29/11/2024</v>
          </cell>
          <cell r="B5169">
            <v>18000</v>
          </cell>
        </row>
        <row r="5170">
          <cell r="A5170" t="str">
            <v>Cải Kale 29/11/2024</v>
          </cell>
          <cell r="B5170">
            <v>23000</v>
          </cell>
        </row>
        <row r="5171">
          <cell r="A5171" t="str">
            <v>Cải Kale 29/11/2024</v>
          </cell>
          <cell r="B5171">
            <v>26000</v>
          </cell>
        </row>
        <row r="5172">
          <cell r="A5172" t="str">
            <v>Hành Paro 29/11/2024</v>
          </cell>
          <cell r="B5172">
            <v>30000</v>
          </cell>
        </row>
        <row r="5173">
          <cell r="A5173" t="str">
            <v>Lá Mè 29/11/2024</v>
          </cell>
          <cell r="B5173">
            <v>38000</v>
          </cell>
        </row>
        <row r="5174">
          <cell r="A5174" t="str">
            <v>Cà Rốt Baby 29/11/2024</v>
          </cell>
          <cell r="B5174">
            <v>35000</v>
          </cell>
        </row>
        <row r="5175">
          <cell r="A5175" t="str">
            <v>Bông Cải Xanh Baby 29/11/2024</v>
          </cell>
          <cell r="B5175">
            <v>47000</v>
          </cell>
        </row>
        <row r="5176">
          <cell r="A5176" t="str">
            <v>Củ Cải Đỏ 29/11/2024</v>
          </cell>
          <cell r="B5176">
            <v>25000</v>
          </cell>
        </row>
        <row r="5177">
          <cell r="A5177" t="str">
            <v>Củ Cải Đỏ 29/11/2024</v>
          </cell>
          <cell r="B5177">
            <v>9500</v>
          </cell>
        </row>
        <row r="5178">
          <cell r="A5178" t="str">
            <v>Trái Cam Canh 29/11/2024</v>
          </cell>
          <cell r="B5178">
            <v>41000</v>
          </cell>
        </row>
        <row r="5179">
          <cell r="A5179" t="str">
            <v>Trái Cam Canh 29/11/2024</v>
          </cell>
          <cell r="B5179">
            <v>38000</v>
          </cell>
        </row>
        <row r="5180">
          <cell r="A5180" t="str">
            <v>Cước Vận Chuyển Hàng Hóa 29/11/2024</v>
          </cell>
          <cell r="B5180">
            <v>1550000</v>
          </cell>
        </row>
        <row r="5181">
          <cell r="A5181" t="str">
            <v>Sổ ghi bông hàng 29/11/2024</v>
          </cell>
          <cell r="B5181">
            <v>21500</v>
          </cell>
        </row>
        <row r="5182">
          <cell r="A5182" t="str">
            <v>Tag giấy (hạt dẻ tươi) 29/11/2024</v>
          </cell>
          <cell r="B5182">
            <v>225</v>
          </cell>
        </row>
        <row r="5183">
          <cell r="A5183" t="str">
            <v>TÚI PP 20 X 67 29/11/2024</v>
          </cell>
          <cell r="B5183">
            <v>60000</v>
          </cell>
        </row>
        <row r="5184">
          <cell r="A5184" t="str">
            <v>TÚI PP 30 X 50 29/11/2024</v>
          </cell>
          <cell r="B5184">
            <v>48000</v>
          </cell>
        </row>
        <row r="5185">
          <cell r="A5185" t="str">
            <v>MANH PE 29/11/2024</v>
          </cell>
          <cell r="B5185">
            <v>33200</v>
          </cell>
        </row>
        <row r="5186">
          <cell r="A5186" t="str">
            <v>Giấy vàng 29/11/2024</v>
          </cell>
          <cell r="B5186">
            <v>23500</v>
          </cell>
        </row>
        <row r="5187">
          <cell r="A5187" t="str">
            <v>XỐP LƯỚI BAO TRÁI CÂY (22cm) 29/11/2024</v>
          </cell>
          <cell r="B5187">
            <v>76000</v>
          </cell>
        </row>
        <row r="5188">
          <cell r="A5188" t="str">
            <v>XỐP LƯỚI BAO TRÁI CÂY (cuộn) 29/11/2024</v>
          </cell>
          <cell r="B5188">
            <v>84000</v>
          </cell>
        </row>
        <row r="5189">
          <cell r="A5189" t="str">
            <v>LƯỚI L200-35CM ĐỎ 29/11/2024</v>
          </cell>
          <cell r="B5189">
            <v>64000</v>
          </cell>
        </row>
        <row r="5190">
          <cell r="A5190" t="str">
            <v>LƯỚI L200-35CM VÀNG 29/11/2024</v>
          </cell>
          <cell r="B5190">
            <v>60000</v>
          </cell>
        </row>
        <row r="5191">
          <cell r="A5191" t="str">
            <v>Củ Khoai Tây Vàng 29/11/2024</v>
          </cell>
          <cell r="B5191">
            <v>15000</v>
          </cell>
        </row>
        <row r="5192">
          <cell r="A5192" t="str">
            <v>Củ Cải Trắng 29/11/2024</v>
          </cell>
          <cell r="B5192">
            <v>6000</v>
          </cell>
        </row>
        <row r="5193">
          <cell r="A5193" t="str">
            <v>Chanh Dây Tím 29/11/2024</v>
          </cell>
          <cell r="B5193">
            <v>28000</v>
          </cell>
        </row>
        <row r="5194">
          <cell r="A5194" t="str">
            <v>Củ Su Hào 29/11/2024</v>
          </cell>
          <cell r="B5194">
            <v>13000</v>
          </cell>
        </row>
        <row r="5195">
          <cell r="A5195" t="str">
            <v>Củ Khoai Lang Nhật 29/11/2024</v>
          </cell>
          <cell r="B5195">
            <v>17000</v>
          </cell>
        </row>
        <row r="5196">
          <cell r="A5196" t="str">
            <v>Cà Rốt 29/11/2024</v>
          </cell>
          <cell r="B5196">
            <v>15000</v>
          </cell>
        </row>
        <row r="5197">
          <cell r="A5197" t="str">
            <v>Bông Cải Trắng 29/11/2024</v>
          </cell>
          <cell r="B5197">
            <v>26000</v>
          </cell>
        </row>
        <row r="5198">
          <cell r="A5198" t="str">
            <v>Đậu Cove Trắng 29/11/2024</v>
          </cell>
          <cell r="B5198">
            <v>9000</v>
          </cell>
        </row>
        <row r="5199">
          <cell r="A5199" t="str">
            <v>Bắp Cải Trái Tim 29/11/2024</v>
          </cell>
          <cell r="B5199">
            <v>10000</v>
          </cell>
        </row>
        <row r="5200">
          <cell r="A5200" t="str">
            <v>Cải Thảo 29/11/2024</v>
          </cell>
          <cell r="B5200">
            <v>6500</v>
          </cell>
        </row>
        <row r="5201">
          <cell r="A5201" t="str">
            <v>Xà Lách Lolo Xanh T.C Cây 29/11/2024</v>
          </cell>
          <cell r="B5201">
            <v>6000</v>
          </cell>
        </row>
        <row r="5202">
          <cell r="A5202" t="str">
            <v>Bông Cải Trắng 29/11/2024</v>
          </cell>
          <cell r="B5202">
            <v>28000</v>
          </cell>
        </row>
        <row r="5203">
          <cell r="A5203" t="str">
            <v>Cần Tây 29/11/2024</v>
          </cell>
          <cell r="B5203">
            <v>17000</v>
          </cell>
        </row>
        <row r="5204">
          <cell r="A5204" t="str">
            <v>Cà Chua Beef 29/11/2024</v>
          </cell>
          <cell r="B5204">
            <v>18000</v>
          </cell>
        </row>
        <row r="5205">
          <cell r="A5205" t="str">
            <v>Cần Tây 29/11/2024</v>
          </cell>
          <cell r="B5205">
            <v>16000</v>
          </cell>
        </row>
        <row r="5206">
          <cell r="A5206" t="str">
            <v>Bắp Cải Tím 29/11/2024</v>
          </cell>
          <cell r="B5206">
            <v>30000</v>
          </cell>
        </row>
        <row r="5207">
          <cell r="A5207" t="str">
            <v>Bông Cải Xanh Cọng 29/11/2024</v>
          </cell>
          <cell r="B5207">
            <v>26000</v>
          </cell>
        </row>
        <row r="5208">
          <cell r="A5208" t="str">
            <v>Bông Cải Xanh Cọng 29/11/2024</v>
          </cell>
          <cell r="B5208">
            <v>23000</v>
          </cell>
        </row>
        <row r="5209">
          <cell r="A5209" t="str">
            <v>Dưa Leo Baby 29/11/2024</v>
          </cell>
          <cell r="B5209">
            <v>5000</v>
          </cell>
        </row>
        <row r="5210">
          <cell r="A5210" t="str">
            <v>Cà Chua Beef 29/11/2024</v>
          </cell>
          <cell r="B5210">
            <v>18000</v>
          </cell>
        </row>
        <row r="5211">
          <cell r="A5211" t="str">
            <v>Cà Chua Beef Chùm 29/11/2024</v>
          </cell>
          <cell r="B5211">
            <v>19000</v>
          </cell>
        </row>
        <row r="5212">
          <cell r="A5212" t="str">
            <v>Cà Chua Beef 29/11/2024</v>
          </cell>
          <cell r="B5212">
            <v>18000</v>
          </cell>
        </row>
        <row r="5213">
          <cell r="A5213" t="str">
            <v>Hành Paro 29/11/2024</v>
          </cell>
          <cell r="B5213">
            <v>29000</v>
          </cell>
        </row>
        <row r="5214">
          <cell r="A5214" t="str">
            <v>Xà Lách Thủy Tinh T.C Cây 29/11/2024</v>
          </cell>
          <cell r="B5214">
            <v>6500</v>
          </cell>
        </row>
        <row r="5215">
          <cell r="A5215" t="str">
            <v>Ớt Chuông Đỏ 29/11/2024</v>
          </cell>
          <cell r="B5215">
            <v>27000</v>
          </cell>
        </row>
        <row r="5216">
          <cell r="A5216" t="str">
            <v>Ớt Chuông Vàng 29/11/2024</v>
          </cell>
          <cell r="B5216">
            <v>13000</v>
          </cell>
        </row>
        <row r="5217">
          <cell r="A5217" t="str">
            <v>Ớt Chuông Xanh 29/11/2024</v>
          </cell>
          <cell r="B5217">
            <v>25000</v>
          </cell>
        </row>
        <row r="5218">
          <cell r="A5218" t="str">
            <v>Cà Chua Beef 29/11/2024</v>
          </cell>
          <cell r="B5218">
            <v>16000</v>
          </cell>
        </row>
        <row r="5219">
          <cell r="A5219" t="str">
            <v>Đậu Cove Nhật 29/11/2024</v>
          </cell>
          <cell r="B5219">
            <v>6000</v>
          </cell>
        </row>
        <row r="5220">
          <cell r="A5220" t="str">
            <v>Bắp Cải Trắng 29/11/2024</v>
          </cell>
          <cell r="B5220">
            <v>11000</v>
          </cell>
        </row>
        <row r="5221">
          <cell r="A5221" t="str">
            <v>Bắp Cải Trắng 29/11/2024</v>
          </cell>
          <cell r="B5221">
            <v>10000</v>
          </cell>
        </row>
        <row r="5222">
          <cell r="A5222" t="str">
            <v>Cà Rốt 29/11/2024</v>
          </cell>
          <cell r="B5222">
            <v>12500</v>
          </cell>
        </row>
        <row r="5223">
          <cell r="A5223" t="str">
            <v>Bơ Booth 29/11/2024</v>
          </cell>
          <cell r="B5223">
            <v>30000</v>
          </cell>
        </row>
        <row r="5224">
          <cell r="A5224" t="str">
            <v>Bí Đao Xanh 29/11/2024</v>
          </cell>
          <cell r="B5224">
            <v>6500</v>
          </cell>
        </row>
        <row r="5225">
          <cell r="A5225" t="str">
            <v>Cà Tím 29/11/2024</v>
          </cell>
          <cell r="B5225">
            <v>6000</v>
          </cell>
        </row>
        <row r="5226">
          <cell r="A5226" t="str">
            <v>Cải Thảo Hỏa Tiễn 29/11/2024</v>
          </cell>
          <cell r="B5226">
            <v>16000</v>
          </cell>
        </row>
        <row r="5227">
          <cell r="A5227" t="str">
            <v>Xà Lách Mỡ T.C Cây 29/11/2024</v>
          </cell>
          <cell r="B5227">
            <v>6800</v>
          </cell>
        </row>
        <row r="5228">
          <cell r="A5228" t="str">
            <v>Sổ ghi bông hàng 29/11/2024</v>
          </cell>
          <cell r="B5228">
            <v>21500</v>
          </cell>
        </row>
        <row r="5229">
          <cell r="A5229" t="str">
            <v>TÚI PP 20 X 67 29/11/2024</v>
          </cell>
          <cell r="B5229">
            <v>60000</v>
          </cell>
        </row>
        <row r="5230">
          <cell r="A5230" t="str">
            <v>LƯỚI L200-35CM ĐỎ 29/11/2024</v>
          </cell>
          <cell r="B5230">
            <v>64000</v>
          </cell>
        </row>
        <row r="5231">
          <cell r="A5231" t="str">
            <v>XỐP LƯỚI BAO TRÁI CÂY (cuộn) 29/11/2024</v>
          </cell>
          <cell r="B5231">
            <v>84000</v>
          </cell>
        </row>
        <row r="5232">
          <cell r="A5232" t="str">
            <v>Cước đường bộ phương tiện 49H00466, Loại 3, đi qua trạm Xa Lộ - Hà Nội. Thời gian giao dịch: 01/11/2024 02:22:18, mã GD 1475638376 30/11/2024</v>
          </cell>
          <cell r="B5232">
            <v>50000</v>
          </cell>
        </row>
        <row r="5233">
          <cell r="A5233" t="str">
            <v>Cước đường bộ phương tiện 49H00466, Loại 3, đi qua trạm Cầu Phú Mỹ. Thời gian giao dịch: 01/11/2024 07:18:00, mã GD 1475816989 30/11/2024</v>
          </cell>
          <cell r="B5233">
            <v>22222.22</v>
          </cell>
        </row>
        <row r="5234">
          <cell r="A5234" t="str">
            <v>Cước đường bộ phương tiện 49H00466, Loại 3, đi qua trạm Long Phước-NH51. Thời gian giao dịch: 01/11/2024 07:52:38, mã GD 1475843619 30/11/2024</v>
          </cell>
          <cell r="B5234">
            <v>76805.56</v>
          </cell>
        </row>
        <row r="5235">
          <cell r="A5235" t="str">
            <v>Cước đường bộ phương tiện 49H00466, Loại 3, đi qua trạm Xa Lộ - Hà Nội. Thời gian giao dịch: 02/11/2024 02:17:25, mã GD 1477143592 30/11/2024</v>
          </cell>
          <cell r="B5235">
            <v>50000</v>
          </cell>
        </row>
        <row r="5236">
          <cell r="A5236" t="str">
            <v>Cước đường bộ phương tiện 49H00466, Loại 3, đi qua trạm Cầu Phú Mỹ. Thời gian giao dịch: 02/11/2024 07:13:29, mã GD 1477336210 30/11/2024</v>
          </cell>
          <cell r="B5236">
            <v>22222.22</v>
          </cell>
        </row>
        <row r="5237">
          <cell r="A5237" t="str">
            <v>Cước đường bộ phương tiện 49H00466, Loại 3, đi qua trạm Long Phước-NH51. Thời gian giao dịch: 02/11/2024 07:42:17, mã GD 1477357524 30/11/2024</v>
          </cell>
          <cell r="B5237">
            <v>76805.56</v>
          </cell>
        </row>
        <row r="5238">
          <cell r="A5238" t="str">
            <v>Cước đường bộ phương tiện 49H00466, Loại 3, đi qua trạm Xa Lộ - Hà Nội. Thời gian giao dịch: 03/11/2024 02:16:48, mã GD 1478753287 30/11/2024</v>
          </cell>
          <cell r="B5238">
            <v>50000</v>
          </cell>
        </row>
        <row r="5239">
          <cell r="A5239" t="str">
            <v>Cước đường bộ phương tiện 49H00466, Loại 3, đi qua trạm Cầu Phú Mỹ. Thời gian giao dịch: 03/11/2024 07:36:54, mã GD 1478918635 30/11/2024</v>
          </cell>
          <cell r="B5239">
            <v>22222.22</v>
          </cell>
        </row>
        <row r="5240">
          <cell r="A5240" t="str">
            <v>Cước đường bộ phương tiện 49H00466, Loại 3, đi qua trạm Long Phước-NH51. Thời gian giao dịch: 03/11/2024 08:09:08, mã GD 1478941821 30/11/2024</v>
          </cell>
          <cell r="B5240">
            <v>76805.56</v>
          </cell>
        </row>
        <row r="5241">
          <cell r="A5241" t="str">
            <v>Cước đường bộ phương tiện 49H00466, Loại 3, đi qua trạm Xa Lộ - Hà Nội. Thời gian giao dịch: 04/11/2024 01:33:46, mã GD 1480121744 30/11/2024</v>
          </cell>
          <cell r="B5241">
            <v>50000</v>
          </cell>
        </row>
        <row r="5242">
          <cell r="A5242" t="str">
            <v>Cước đường bộ phương tiện 49H00466, Loại 3, đi qua trạm Cầu Phú Mỹ. Thời gian giao dịch: 04/11/2024 06:09:33, mã GD 1480244291 30/11/2024</v>
          </cell>
          <cell r="B5242">
            <v>22222.22</v>
          </cell>
        </row>
        <row r="5243">
          <cell r="A5243" t="str">
            <v>Cước đường bộ phương tiện 49H00466, Loại 3, đi qua trạm Long Phước-NH51. Thời gian giao dịch: 04/11/2024 06:52:59, mã GD 1480279580 30/11/2024</v>
          </cell>
          <cell r="B5243">
            <v>76805.56</v>
          </cell>
        </row>
        <row r="5244">
          <cell r="A5244" t="str">
            <v>Cước đường bộ phương tiện 49H00466, Loại 3, đi qua trạm Xa Lộ - Hà Nội. Thời gian giao dịch: 05/11/2024 02:10:48, mã GD 1481563741 30/11/2024</v>
          </cell>
          <cell r="B5244">
            <v>50000</v>
          </cell>
        </row>
        <row r="5245">
          <cell r="A5245" t="str">
            <v>Cước đường bộ phương tiện 49H00466, Loại 3, đi qua trạm Cầu Phú Mỹ. Thời gian giao dịch: 05/11/2024 07:40:59, mã GD 1481769441 30/11/2024</v>
          </cell>
          <cell r="B5245">
            <v>22222.22</v>
          </cell>
        </row>
        <row r="5246">
          <cell r="A5246" t="str">
            <v>Cước đường bộ phương tiện 49H00466, Loại 3, đi qua trạm Long Phước-NH51. Thời gian giao dịch: 05/11/2024 09:09:57, mã GD 1481870909 30/11/2024</v>
          </cell>
          <cell r="B5246">
            <v>76805.56</v>
          </cell>
        </row>
        <row r="5247">
          <cell r="A5247" t="str">
            <v>Cước đường bộ phương tiện 49H00466, Loại 3, đi qua trạm Xa Lộ - Hà Nội. Thời gian giao dịch: 06/11/2024 02:19:47, mã GD 1483049786 30/11/2024</v>
          </cell>
          <cell r="B5247">
            <v>50000</v>
          </cell>
        </row>
        <row r="5248">
          <cell r="A5248" t="str">
            <v>Cước đường bộ phương tiện 49H00466, Loại 3, đi qua trạm Cầu Phú Mỹ. Thời gian giao dịch: 06/11/2024 07:35:49, mã GD 1483256795 30/11/2024</v>
          </cell>
          <cell r="B5248">
            <v>22222.22</v>
          </cell>
        </row>
        <row r="5249">
          <cell r="A5249" t="str">
            <v>Cước đường bộ phương tiện 49H00466, Loại 3, đi qua trạm Long Phước-NH51. Thời gian giao dịch: 06/11/2024 08:28:18, mã GD 1483207903 30/11/2024</v>
          </cell>
          <cell r="B5249">
            <v>76805.56</v>
          </cell>
        </row>
        <row r="5250">
          <cell r="A5250" t="str">
            <v>Cước đường bộ phương tiện 49H00466, Loại 3, đi qua trạm Liên Đầm. Thời gian giao dịch: 06/11/2024 13:22:48, mã GD 2233785415723735156 30/11/2024</v>
          </cell>
          <cell r="B5250">
            <v>78703.7</v>
          </cell>
        </row>
        <row r="5251">
          <cell r="A5251" t="str">
            <v>Cước đường bộ phương tiện 49H00466, Loại 3, đi qua trạm Liên Đầm. Thời gian giao dịch: 06/11/2024 21:09:58, mã GD 2233785415723947092 30/11/2024</v>
          </cell>
          <cell r="B5251">
            <v>78703.7</v>
          </cell>
        </row>
        <row r="5252">
          <cell r="A5252" t="str">
            <v>Cước đường bộ phương tiện 49H00466, Loại 3, đi qua trạm Xa Lộ - Hà Nội. Thời gian giao dịch: 07/11/2024 01:38:23, mã GD 1484507427 30/11/2024</v>
          </cell>
          <cell r="B5252">
            <v>50000</v>
          </cell>
        </row>
        <row r="5253">
          <cell r="A5253" t="str">
            <v>Cước đường bộ phương tiện 49H00466, Loại 3, đi qua trạm Cầu Phú Mỹ. Thời gian giao dịch: 07/11/2024 06:28:26, mã GD 1484642544 30/11/2024</v>
          </cell>
          <cell r="B5253">
            <v>22222.22</v>
          </cell>
        </row>
        <row r="5254">
          <cell r="A5254" t="str">
            <v>Cước đường bộ phương tiện 49H00466, Loại 3, đi qua trạm Long Phước-NH51. Thời gian giao dịch: 07/11/2024 07:07:10, mã GD 1484669802 30/11/2024</v>
          </cell>
          <cell r="B5254">
            <v>76805.56</v>
          </cell>
        </row>
        <row r="5255">
          <cell r="A5255" t="str">
            <v>Cước đường bộ phương tiện 49H00466, Loại 3, đi qua trạm Liên Đầm. Thời gian giao dịch: 07/11/2024 12:19:12, mã GD 2233785415724216790 30/11/2024</v>
          </cell>
          <cell r="B5255">
            <v>78703.7</v>
          </cell>
        </row>
        <row r="5256">
          <cell r="A5256" t="str">
            <v>Cước đường bộ phương tiện 49H00466, Loại 3, đi qua trạm Liên Đầm. Thời gian giao dịch: 08/11/2024 21:03:51, mã GD 2233785415725015690 30/11/2024</v>
          </cell>
          <cell r="B5256">
            <v>78703.7</v>
          </cell>
        </row>
        <row r="5257">
          <cell r="A5257" t="str">
            <v>Cước đường bộ phương tiện 49H00466, Loại 3, đi qua trạm Xa Lộ - Hà Nội. Thời gian giao dịch: 09/11/2024 01:47:58, mã GD 1488093827 30/11/2024</v>
          </cell>
          <cell r="B5257">
            <v>50000</v>
          </cell>
        </row>
        <row r="5258">
          <cell r="A5258" t="str">
            <v>Cước đường bộ phương tiện 49H00466, Loại 3, đi qua trạm Cầu Phú Mỹ. Thời gian giao dịch: 09/11/2024 07:12:16, mã GD 1488300503 30/11/2024</v>
          </cell>
          <cell r="B5258">
            <v>22222.22</v>
          </cell>
        </row>
        <row r="5259">
          <cell r="A5259" t="str">
            <v>Cước đường bộ phương tiện 49H00466, Loại 3, đi qua trạm Long Phước-NH51. Thời gian giao dịch: 09/11/2024 07:41:13, mã GD 1488320921 30/11/2024</v>
          </cell>
          <cell r="B5259">
            <v>76805.56</v>
          </cell>
        </row>
        <row r="5260">
          <cell r="A5260" t="str">
            <v>Cước đường bộ phương tiện 49H00466, Loại 3, đi qua trạm Liên Đầm. Thời gian giao dịch: 09/11/2024 12:46:07, mã GD 2233785415725346908 30/11/2024</v>
          </cell>
          <cell r="B5260">
            <v>78703.7</v>
          </cell>
        </row>
        <row r="5261">
          <cell r="A5261" t="str">
            <v>Cước đường bộ phương tiện 49H00466, Loại 3, đi qua trạm Liên Đầm. Thời gian giao dịch: 09/11/2024 20:49:12, mã GD 2233785415725608490 30/11/2024</v>
          </cell>
          <cell r="B5261">
            <v>78703.7</v>
          </cell>
        </row>
        <row r="5262">
          <cell r="A5262" t="str">
            <v>Cước đường bộ phương tiện 49H00466, Loại 3, đi qua trạm Xa Lộ - Hà Nội. Thời gian giao dịch: 10/11/2024 01:29:45, mã GD 1489752372 30/11/2024</v>
          </cell>
          <cell r="B5262">
            <v>50000</v>
          </cell>
        </row>
        <row r="5263">
          <cell r="A5263" t="str">
            <v>Cước đường bộ phương tiện 49H00466, Loại 3, đi qua trạm Cầu Phú Mỹ. Thời gian giao dịch: 10/11/2024 06:35:35, mã GD 1489896855 30/11/2024</v>
          </cell>
          <cell r="B5263">
            <v>22222.22</v>
          </cell>
        </row>
        <row r="5264">
          <cell r="A5264" t="str">
            <v>Cước đường bộ phương tiện 49H00466, Loại 3, đi qua trạm Long Phước-NH51. Thời gian giao dịch: 10/11/2024 07:01:02, mã GD 1489910404 30/11/2024</v>
          </cell>
          <cell r="B5264">
            <v>76805.56</v>
          </cell>
        </row>
        <row r="5265">
          <cell r="A5265" t="str">
            <v>Cước đường bộ phương tiện 49H00466, Loại 3, đi qua trạm Liên Đầm. Thời gian giao dịch: 10/11/2024 11:48:34, mã GD 2233785415725893240 30/11/2024</v>
          </cell>
          <cell r="B5265">
            <v>78703.7</v>
          </cell>
        </row>
        <row r="5266">
          <cell r="A5266" t="str">
            <v>Cước đường bộ phương tiện 49H00466, Loại 3, đi qua trạm Liên Đầm. Thời gian giao dịch: 12/11/2024 20:42:56, mã GD 2233785415727262892 30/11/2024</v>
          </cell>
          <cell r="B5266">
            <v>78703.7</v>
          </cell>
        </row>
        <row r="5267">
          <cell r="A5267" t="str">
            <v>Cước đường bộ phương tiện 49H00466, Loại 3, đi qua trạm Xa Lộ - Hà Nội. Thời gian giao dịch: 13/11/2024 01:25:30, mã GD 1494265821 30/11/2024</v>
          </cell>
          <cell r="B5267">
            <v>50000</v>
          </cell>
        </row>
        <row r="5268">
          <cell r="A5268" t="str">
            <v>Cước đường bộ phương tiện 49H00466, Loại 3, đi qua trạm Cầu Phú Mỹ. Thời gian giao dịch: 13/11/2024 06:46:31, mã GD 1494429108 30/11/2024</v>
          </cell>
          <cell r="B5268">
            <v>22222.22</v>
          </cell>
        </row>
        <row r="5269">
          <cell r="A5269" t="str">
            <v>Cước đường bộ phương tiện 49H00466, Loại 3, đi qua trạm Long Phước-NH51. Thời gian giao dịch: 13/11/2024 07:16:25, mã GD 1494451061 30/11/2024</v>
          </cell>
          <cell r="B5269">
            <v>76805.56</v>
          </cell>
        </row>
        <row r="5270">
          <cell r="A5270" t="str">
            <v>Cước đường bộ phương tiện 49H00466, Loại 3, đi qua trạm Liên Đầm. Thời gian giao dịch: 13/11/2024 12:21:04, mã GD 2233785415727549266 30/11/2024</v>
          </cell>
          <cell r="B5270">
            <v>78703.7</v>
          </cell>
        </row>
        <row r="5271">
          <cell r="A5271" t="str">
            <v>Cước đường bộ phương tiện 49H00466, Loại 3, đi qua trạm Liên Đầm. Thời gian giao dịch: 14/11/2024 20:49:57, mã GD 2233785415728300282 30/11/2024</v>
          </cell>
          <cell r="B5271">
            <v>78703.7</v>
          </cell>
        </row>
        <row r="5272">
          <cell r="A5272" t="str">
            <v>Cước đường bộ phương tiện 49H00466, Loại 3, đi qua trạm Xa Lộ - Hà Nội. Thời gian giao dịch: 15/11/2024 01:28:20, mã GD 1497134494 30/11/2024</v>
          </cell>
          <cell r="B5272">
            <v>50000</v>
          </cell>
        </row>
        <row r="5273">
          <cell r="A5273" t="str">
            <v>Cước đường bộ phương tiện 49H00466, Loại 3, đi qua trạm Cầu Phú Mỹ. Thời gian giao dịch: 15/11/2024 07:12:43, mã GD 1497330947 30/11/2024</v>
          </cell>
          <cell r="B5273">
            <v>22222.22</v>
          </cell>
        </row>
        <row r="5274">
          <cell r="A5274" t="str">
            <v>Cước đường bộ phương tiện 49H00466, Loại 3, đi qua trạm Long Phước-NH51. Thời gian giao dịch: 15/11/2024 08:00:20, mã GD 1497381180 30/11/2024</v>
          </cell>
          <cell r="B5274">
            <v>76805.56</v>
          </cell>
        </row>
        <row r="5275">
          <cell r="A5275" t="str">
            <v>Cước đường bộ phương tiện 49H00466, Loại 3, đi qua trạm Liên Đầm. Thời gian giao dịch: 15/11/2024 12:43:27, mã GD 2233785415728603446 30/11/2024</v>
          </cell>
          <cell r="B5275">
            <v>78703.7</v>
          </cell>
        </row>
        <row r="5276">
          <cell r="A5276" t="str">
            <v>Cước đường bộ phương tiện 49H00466, Loại 3, đi qua trạm Liên Đầm. Thời gian giao dịch: 15/11/2024 21:24:48, mã GD 2233785415728867038 30/11/2024</v>
          </cell>
          <cell r="B5276">
            <v>78703.7</v>
          </cell>
        </row>
        <row r="5277">
          <cell r="A5277" t="str">
            <v>Cước đường bộ phương tiện 49H00466, Loại 3, đi qua trạm Xa Lộ - Hà Nội. Thời gian giao dịch: 16/11/2024 01:56:50, mã GD 1498715094 30/11/2024</v>
          </cell>
          <cell r="B5277">
            <v>50000</v>
          </cell>
        </row>
        <row r="5278">
          <cell r="A5278" t="str">
            <v>Cước đường bộ phương tiện 49H00466, Loại 3, đi qua trạm Cầu Phú Mỹ. Thời gian giao dịch: 16/11/2024 07:51:09, mã GD 1498962321 30/11/2024</v>
          </cell>
          <cell r="B5278">
            <v>22222.22</v>
          </cell>
        </row>
        <row r="5279">
          <cell r="A5279" t="str">
            <v>Cước đường bộ phương tiện 49H00466, Loại 3, đi qua trạm Long Phước-NH51. Thời gian giao dịch: 16/11/2024 08:45:26, mã GD 1499021807 30/11/2024</v>
          </cell>
          <cell r="B5279">
            <v>76805.56</v>
          </cell>
        </row>
        <row r="5280">
          <cell r="A5280" t="str">
            <v>Cước đường bộ phương tiện 49H00466, Loại 3, đi qua trạm Liên Đầm. Thời gian giao dịch: 16/11/2024 13:39:51, mã GD 2233785415729214342 30/11/2024</v>
          </cell>
          <cell r="B5280">
            <v>78703.7</v>
          </cell>
        </row>
        <row r="5281">
          <cell r="A5281" t="str">
            <v>Cước đường bộ phương tiện 49H00466, Loại 3, đi qua trạm Liên Đầm. Thời gian giao dịch: 16/11/2024 22:04:14, mã GD 2233785415729460880 30/11/2024</v>
          </cell>
          <cell r="B5281">
            <v>78703.7</v>
          </cell>
        </row>
        <row r="5282">
          <cell r="A5282" t="str">
            <v>Cước đường bộ phương tiện 49H00466, Loại 3, đi qua trạm Xa Lộ - Hà Nội. Thời gian giao dịch: 17/11/2024 02:22:27, mã GD 1500331421 30/11/2024</v>
          </cell>
          <cell r="B5282">
            <v>50000</v>
          </cell>
        </row>
        <row r="5283">
          <cell r="A5283" t="str">
            <v>Cước đường bộ phương tiện 49H00466, Loại 3, đi qua trạm Cầu Phú Mỹ. Thời gian giao dịch: 17/11/2024 07:34:38, mã GD 1500507569 30/11/2024</v>
          </cell>
          <cell r="B5283">
            <v>22222.22</v>
          </cell>
        </row>
        <row r="5284">
          <cell r="A5284" t="str">
            <v>Cước đường bộ phương tiện 49H00466, Loại 3, đi qua trạm Long Phước-NH51. Thời gian giao dịch: 17/11/2024 08:02:44, mã GD 1500526831 30/11/2024</v>
          </cell>
          <cell r="B5284">
            <v>76805.56</v>
          </cell>
        </row>
        <row r="5285">
          <cell r="A5285" t="str">
            <v>Cước đường bộ phương tiện 49H00466, Loại 3, đi qua trạm Liên Đầm. Thời gian giao dịch: 17/11/2024 12:36:34, mã GD 2233785415729730980 30/11/2024</v>
          </cell>
          <cell r="B5285">
            <v>78703.7</v>
          </cell>
        </row>
        <row r="5286">
          <cell r="A5286" t="str">
            <v>Cước đường bộ phương tiện 49H00466, Loại 3, đi qua trạm Định An. Thời gian giao dịch: 19/11/2024 10:54:10, mã GD 1503731941 30/11/2024</v>
          </cell>
          <cell r="B5286">
            <v>45370.37</v>
          </cell>
        </row>
        <row r="5287">
          <cell r="A5287" t="str">
            <v>Cước đường bộ phương tiện 49H00466, Loại 3, đi qua trạm Định An. Thời gian giao dịch: 19/11/2024 15:15:38, mã GD 1504109394 30/11/2024</v>
          </cell>
          <cell r="B5287">
            <v>45370.37</v>
          </cell>
        </row>
        <row r="5288">
          <cell r="A5288" t="str">
            <v>Cước đường bộ phương tiện 49H00466, Loại 3, đi qua trạm Định An. Thời gian giao dịch: 20/11/2024 07:04:13, mã GD 1504883668 30/11/2024</v>
          </cell>
          <cell r="B5288">
            <v>45370.37</v>
          </cell>
        </row>
        <row r="5289">
          <cell r="A5289" t="str">
            <v>Cước đường bộ phương tiện 49H00466, Loại 3, đi qua trạm Định An. Thời gian giao dịch: 20/11/2024 12:22:24, mã GD 1505329685 30/11/2024</v>
          </cell>
          <cell r="B5289">
            <v>45370.37</v>
          </cell>
        </row>
        <row r="5290">
          <cell r="A5290" t="str">
            <v>Cước đường bộ phương tiện 49H00466, Loại 3, đi qua trạm Định An. Thời gian giao dịch: 20/11/2024 19:07:45, mã GD 1505920276 30/11/2024</v>
          </cell>
          <cell r="B5290">
            <v>45370.37</v>
          </cell>
        </row>
        <row r="5291">
          <cell r="A5291" t="str">
            <v>Cước đường bộ phương tiện 49H00466, Loại 3, đi qua trạm Liên Đầm. Thời gian giao dịch: 20/11/2024 21:06:08, mã GD 2233785415731574300 30/11/2024</v>
          </cell>
          <cell r="B5291">
            <v>78703.7</v>
          </cell>
        </row>
        <row r="5292">
          <cell r="A5292" t="str">
            <v>Cước đường bộ phương tiện 49H00466, Loại 3, đi qua trạm Xa Lộ - Hà Nội. Thời gian giao dịch: 21/11/2024 01:40:26, mã GD 1506176120 30/11/2024</v>
          </cell>
          <cell r="B5292">
            <v>50000</v>
          </cell>
        </row>
        <row r="5293">
          <cell r="A5293" t="str">
            <v>Cước đường bộ phương tiện 49H00466, Loại 3, đi qua trạm Cầu Phú Mỹ. Thời gian giao dịch: 21/11/2024 06:52:23, mã GD 1506345783 30/11/2024</v>
          </cell>
          <cell r="B5293">
            <v>22222.22</v>
          </cell>
        </row>
        <row r="5294">
          <cell r="A5294" t="str">
            <v>Cước đường bộ phương tiện 49H00466, Loại 3, đi qua trạm Long Phước-NH51. Thời gian giao dịch: 21/11/2024 07:51:12, mã GD 1506402250 30/11/2024</v>
          </cell>
          <cell r="B5294">
            <v>76805.56</v>
          </cell>
        </row>
        <row r="5295">
          <cell r="A5295" t="str">
            <v>Cước đường bộ phương tiện 49H00466, Loại 3, đi qua trạm Liên Đầm. Thời gian giao dịch: 21/11/2024 12:55:41, mã GD 2233785415731876314 30/11/2024</v>
          </cell>
          <cell r="B5295">
            <v>78703.7</v>
          </cell>
        </row>
        <row r="5296">
          <cell r="A5296" t="str">
            <v>Cước đường bộ phương tiện 49H00466, Loại 3, đi qua trạm Định An. Thời gian giao dịch: 21/11/2024 15:14:47, mã GD 1507052265 30/11/2024</v>
          </cell>
          <cell r="B5296">
            <v>45370.37</v>
          </cell>
        </row>
        <row r="5297">
          <cell r="A5297" t="str">
            <v>Cước đường bộ phương tiện 49H00466, Loại 3, đi qua trạm Định An. Thời gian giao dịch: 21/11/2024 19:52:29, mã GD 1507422824 30/11/2024</v>
          </cell>
          <cell r="B5297">
            <v>45370.37</v>
          </cell>
        </row>
        <row r="5298">
          <cell r="A5298" t="str">
            <v>Cước đường bộ phương tiện 49H00466, Loại 3, đi qua trạm Liên Đầm. Thời gian giao dịch: 21/11/2024 21:37:47, mã GD 2233785415732112664 30/11/2024</v>
          </cell>
          <cell r="B5298">
            <v>78703.7</v>
          </cell>
        </row>
        <row r="5299">
          <cell r="A5299" t="str">
            <v>Cước đường bộ phương tiện 49H00466, Loại 3, đi qua trạm Xa Lộ - Hà Nội. Thời gian giao dịch: 22/11/2024 02:36:06, mã GD 1507649049 30/11/2024</v>
          </cell>
          <cell r="B5299">
            <v>50000</v>
          </cell>
        </row>
        <row r="5300">
          <cell r="A5300" t="str">
            <v>Cước đường bộ phương tiện 49H00466, Loại 3, đi qua trạm An Sương An Lạc. Thời gian giao dịch: 22/11/2024 05:46:52, mã GD 1507739714 30/11/2024</v>
          </cell>
          <cell r="B5300">
            <v>36111.11</v>
          </cell>
        </row>
        <row r="5301">
          <cell r="A5301" t="str">
            <v>Cước đường bộ phương tiện 49H00466, Loại 2, đi qua trạm Becamex Vĩnh Phú. Thời gian giao dịch: 22/11/2024 06:26:19, mã GD 1507773313 30/11/2024</v>
          </cell>
          <cell r="B5301">
            <v>16363.89</v>
          </cell>
        </row>
        <row r="5302">
          <cell r="A5302" t="str">
            <v>Cước đường bộ phương tiện 49H00466, Loại 3, đi qua trạm Liên Đầm. Thời gian giao dịch: 22/11/2024 14:20:20, mã GD 2233785415732449668 30/11/2024</v>
          </cell>
          <cell r="B5302">
            <v>78703.7</v>
          </cell>
        </row>
        <row r="5303">
          <cell r="A5303" t="str">
            <v>Cước đường bộ phương tiện 49H00466, Loại 3, đi qua trạm Định An. Thời gian giao dịch: 22/11/2024 16:42:05, mã GD 1508675479 30/11/2024</v>
          </cell>
          <cell r="B5303">
            <v>45370.37</v>
          </cell>
        </row>
        <row r="5304">
          <cell r="A5304" t="str">
            <v>Cước đường bộ phương tiện 49H00466, Loại 3, đi qua trạm Định An. Thời gian giao dịch: 23/11/2024 16:19:24, mã GD 1510256818 30/11/2024</v>
          </cell>
          <cell r="B5304">
            <v>45370.37</v>
          </cell>
        </row>
        <row r="5305">
          <cell r="A5305" t="str">
            <v>Cước đường bộ phương tiện 49H00466, Loại 3, đi qua trạm Định An. Thời gian giao dịch: 24/11/2024 10:18:34, mã GD 1511204857 30/11/2024</v>
          </cell>
          <cell r="B5305">
            <v>45370.37</v>
          </cell>
        </row>
        <row r="5306">
          <cell r="A5306" t="str">
            <v>Cước đường bộ phương tiện 49H00466, Loại 3, đi qua trạm Định An. Thời gian giao dịch: 24/11/2024 15:42:35, mã GD 1511694823 30/11/2024</v>
          </cell>
          <cell r="B5306">
            <v>45370.37</v>
          </cell>
        </row>
        <row r="5307">
          <cell r="A5307" t="str">
            <v>Cước đường bộ phương tiện 49H00466, Loại 3, đi qua trạm Định An. Thời gian giao dịch: 27/11/2024 10:27:31, mã GD 1515699888 30/11/2024</v>
          </cell>
          <cell r="B5307">
            <v>45370.37</v>
          </cell>
        </row>
        <row r="5308">
          <cell r="A5308" t="str">
            <v>Cước đường bộ phương tiện 49H00466, Loại 3, đi qua trạm Định An. Thời gian giao dịch: 27/11/2024 15:27:40, mã GD 1516124463 30/11/2024</v>
          </cell>
          <cell r="B5308">
            <v>45370.37</v>
          </cell>
        </row>
        <row r="5309">
          <cell r="A5309" t="str">
            <v>Cước đường bộ phương tiện 49H00466, Loại 3, đi qua trạm Định An. Thời gian giao dịch: 28/11/2024 11:27:57, mã GD 1517224155 30/11/2024</v>
          </cell>
          <cell r="B5309">
            <v>45370.37</v>
          </cell>
        </row>
        <row r="5310">
          <cell r="A5310" t="str">
            <v>Cước đường bộ phương tiện 49H00466, Loại 3, đi qua trạm Định An. Thời gian giao dịch: 28/11/2024 15:37:03, mã GD 1517577597 30/11/2024</v>
          </cell>
          <cell r="B5310">
            <v>45370.37</v>
          </cell>
        </row>
        <row r="5311">
          <cell r="A5311" t="str">
            <v>Cước đường bộ phương tiện 49H00466, Loại 3, đi qua trạm Định An. Thời gian giao dịch: 29/11/2024 11:42:21, mã GD 1518701667 30/11/2024</v>
          </cell>
          <cell r="B5311">
            <v>45370.37</v>
          </cell>
        </row>
        <row r="5312">
          <cell r="A5312" t="str">
            <v>Cước đường bộ phương tiện 49H00466, Loại 3, đi qua trạm Định An. Thời gian giao dịch: 29/11/2024 16:30:18, mã GD 1519140805 30/11/2024</v>
          </cell>
          <cell r="B5312">
            <v>45370.37</v>
          </cell>
        </row>
        <row r="5313">
          <cell r="A5313" t="str">
            <v>Cước đường bộ phương tiện 49H00466, Loại 3, đi qua trạm Định An. Thời gian giao dịch: 29/11/2024 20:41:36, mã GD 1519481699 30/11/2024</v>
          </cell>
          <cell r="B5313">
            <v>45370.37</v>
          </cell>
        </row>
        <row r="5314">
          <cell r="A5314" t="str">
            <v>Cước đường bộ phương tiện 49H00466, Loại 3, đi qua trạm Liên Đầm. Thời gian giao dịch: 29/11/2024 22:23:46, mã GD 2233785415736407312 30/11/2024</v>
          </cell>
          <cell r="B5314">
            <v>78703.7</v>
          </cell>
        </row>
        <row r="5315">
          <cell r="A5315" t="str">
            <v>Cước đường bộ phương tiện 49H00466, Loại 3, đi qua trạm Xa Lộ - Hà Nội. Thời gian giao dịch: 30/11/2024 02:38:25, mã GD 1519693103 30/11/2024</v>
          </cell>
          <cell r="B5315">
            <v>50000</v>
          </cell>
        </row>
        <row r="5316">
          <cell r="A5316" t="str">
            <v>Cước đường bộ phương tiện 49H00466, Loại 3, đi qua trạm Cầu Phú Mỹ. Thời gian giao dịch: 30/11/2024 08:12:56, mã GD 1519945323 30/11/2024</v>
          </cell>
          <cell r="B5316">
            <v>22222.22</v>
          </cell>
        </row>
        <row r="5317">
          <cell r="A5317" t="str">
            <v>Cước đường bộ phương tiện 49H00466, Loại 3, đi qua trạm Long Phước-NH51. Thời gian giao dịch: 30/11/2024 08:57:14, mã GD 1519991523 30/11/2024</v>
          </cell>
          <cell r="B5317">
            <v>76805.56</v>
          </cell>
        </row>
        <row r="5318">
          <cell r="A5318" t="str">
            <v>Cước đường bộ phương tiện 49H00466, Loại 3, đi qua trạm Liên Đầm. Thời gian giao dịch: 30/11/2024 14:01:15, mã GD 2233785415736730576 30/11/2024</v>
          </cell>
          <cell r="B5318">
            <v>78703.7</v>
          </cell>
        </row>
        <row r="5319">
          <cell r="A5319" t="str">
            <v>Cước đường bộ phương tiện 49H00466, Loại 3, đi qua trạm Định An. Thời gian giao dịch: 30/11/2024 16:19:16, mã GD 1520712189 30/11/2024</v>
          </cell>
          <cell r="B5319">
            <v>45370.37</v>
          </cell>
        </row>
        <row r="5320">
          <cell r="A5320" t="str">
            <v>Cước đường bộ phương tiện 49H00466, Loại 3, đi qua trạm Định An. Thời gian giao dịch: 30/11/2024 20:53:41, mã GD 1521076587 30/11/2024</v>
          </cell>
          <cell r="B5320">
            <v>45370</v>
          </cell>
        </row>
        <row r="5321">
          <cell r="A5321" t="str">
            <v>Cước đường bộ phương tiện 49H00466, Loại 3, đi qua trạm Liên Đầm. Thời gian giao dịch: 30/11/2024 22:34:17, mã GD 2233785415736959844 30/11/2024</v>
          </cell>
          <cell r="B5321">
            <v>78704</v>
          </cell>
        </row>
        <row r="5322">
          <cell r="A5322" t="str">
            <v>DO 0.05S-II 30/11/2024</v>
          </cell>
          <cell r="B5322">
            <v>17400</v>
          </cell>
        </row>
        <row r="5323">
          <cell r="A5323" t="str">
            <v>Dầu Do 0.001 S-V 30/11/2024</v>
          </cell>
          <cell r="B5323">
            <v>17636.36</v>
          </cell>
        </row>
        <row r="5324">
          <cell r="A5324" t="str">
            <v>Cước vận chuyển ngày 30/10/2024 30/11/2024</v>
          </cell>
          <cell r="B5324">
            <v>745000</v>
          </cell>
        </row>
        <row r="5325">
          <cell r="A5325" t="str">
            <v>Cước vận chuyển ngày 18/11/2024 30/11/2024</v>
          </cell>
          <cell r="B5325">
            <v>1400000</v>
          </cell>
        </row>
        <row r="5326">
          <cell r="A5326" t="str">
            <v>Cước vận chuyển ngày 21/11/2024 30/11/2024</v>
          </cell>
          <cell r="B5326">
            <v>1890000</v>
          </cell>
        </row>
        <row r="5327">
          <cell r="A5327" t="str">
            <v>Cước vận chuyển ngày 25/11/2024 30/11/2024</v>
          </cell>
          <cell r="B5327">
            <v>2760000</v>
          </cell>
        </row>
        <row r="5328">
          <cell r="A5328" t="str">
            <v>Cước vận chuyển Bình Tân - An Lạc - KC HM - Tân Phú - Phạm Văn ĐồnCước vận chuyển Bình Tân - CTMAX - Phạm Văn Đồng -Long Bình COOP - ANAM - Tân Phú - Âu Cơ - An Lạc - KCHM (01/11/2024)g - CTMAX - Quận 2 - 303 - MCT - An Nam - Jamila (01/10/2024) 30/11/2024</v>
          </cell>
          <cell r="B5328">
            <v>2700000</v>
          </cell>
        </row>
        <row r="5329">
          <cell r="A5329" t="str">
            <v>Cước vận chuyển Bình Tân - Tân Phú - Âu Cơ - An Lạc - Phạm Văn Đồng - Long Bình - SOME - CTMAX - ANAM - 303 - MCT - Q2 (02/11/2024) 30/11/2024</v>
          </cell>
          <cell r="B5329">
            <v>2650000</v>
          </cell>
        </row>
        <row r="5330">
          <cell r="A5330" t="str">
            <v>Cước vận chuyển Bình Tân - Tân Phú - Âu Cơ - An Lạc - Phạm Văn Đồng - Long Bình - CTMAX - ANAM  (03/11/2024) 30/11/2024</v>
          </cell>
          <cell r="B5330">
            <v>2350000</v>
          </cell>
        </row>
        <row r="5331">
          <cell r="A5331" t="str">
            <v>Cước vận chuyển Bình Tân - CTMAX - SOME - Phạm Văn Đồng - Long Bình - ANAM - Tân Phú - Âu Cơ - An Lạc - KCHM  (04/11/2024) 30/11/2024</v>
          </cell>
          <cell r="B5331">
            <v>2850000</v>
          </cell>
        </row>
        <row r="5332">
          <cell r="A5332" t="str">
            <v>Cước vận chuyển Bình Tân -ANAM - Phạm Văn Đồng - 303 - CTMAX - Q2 - MCT - Long Bình - Tân Phú - Âu Cơ - An Lạc - KCHM - KC Sỹ  (05/11/2024) 30/11/2024</v>
          </cell>
          <cell r="B5332">
            <v>3300000</v>
          </cell>
        </row>
        <row r="5333">
          <cell r="A5333" t="str">
            <v>Cước vận chuyển Bình Tân - Phạm Văn Đồng - Âu Cơ - SOME - CTMAX - An Lạc - Tân Phú - KCHM  (06/11/2024) 30/11/2024</v>
          </cell>
          <cell r="B5333">
            <v>2400000</v>
          </cell>
        </row>
        <row r="5334">
          <cell r="A5334" t="str">
            <v>Cước vận chuyển Bình Tân - Âu Cơ - 303 - CTMAX - Phạm Văn Đồng - SOME - Q2 - Long Bình - ANAM - Tân Phú - An Lạc - KCHM - KC Sỹ - MCT  (07/11/2024) 30/11/2024</v>
          </cell>
          <cell r="B5334">
            <v>3450000</v>
          </cell>
        </row>
        <row r="5335">
          <cell r="A5335" t="str">
            <v>Cước vận chuyển Bình Tân - SOME - ORCHARD - Long Bình - Phạm Văn Đồng - An Lạc - Âu Cơ - Tân Phú - KCHM  (08/11/2024) 30/11/2024</v>
          </cell>
          <cell r="B5335">
            <v>2800000</v>
          </cell>
        </row>
        <row r="5336">
          <cell r="A5336" t="str">
            <v>Cước vận chuyển Bình Tân - Phạm Văn Đồng - Âu Cơ - Bình Tân - An Lạc - Long Bình - SOME - CTMAX - Q2 - MCT - 303 - Tân Phú - ANAM  (09/11/2024) 30/11/2024</v>
          </cell>
          <cell r="B5336">
            <v>2650000</v>
          </cell>
        </row>
        <row r="5337">
          <cell r="A5337" t="str">
            <v>Cước vận chuyển Bình Tân - Phạm Văn Đồng -Long Bình - ANAM - Âu Cơ - An Lạc - Tân Phú  (10/11/2024) 30/11/2024</v>
          </cell>
          <cell r="B5337">
            <v>2300000</v>
          </cell>
        </row>
        <row r="5338">
          <cell r="A5338" t="str">
            <v>Cước vận chuyển Bình Tân - Phạm Văn Đồng - Tân Phú - Âu Cơ - An Lạc - Long Bình - SOME - CTMAX - ANAM - KC Sỹ  (11/11/2024) 30/11/2024</v>
          </cell>
          <cell r="B5338">
            <v>2900000</v>
          </cell>
        </row>
        <row r="5339">
          <cell r="A5339" t="str">
            <v>Cước vận chuyển Bình Tân - Âu Cơ - An Lạc - Phạm Văn Đồng - Tân Phú - Long Bình - KCHM - Q2 - MCT - 303 - ANAM - CTMAX (12/11/2024) 30/11/2024</v>
          </cell>
          <cell r="B5339">
            <v>2900000</v>
          </cell>
        </row>
        <row r="5340">
          <cell r="A5340" t="str">
            <v>Cước vận chuyển Bình Tân - KCHM - KC Sỹ - Phạm Văn Đồng - Tân Phú - Âu Cơ - Long Bình - SOME - CTMAX - An Lạc (13/11/2024) 30/11/2024</v>
          </cell>
          <cell r="B5340">
            <v>3200000</v>
          </cell>
        </row>
        <row r="5341">
          <cell r="A5341" t="str">
            <v>Cước vận chuyển Bình Tân - Tân Phú - Âu Cơ - An Lạc - Phạm Văn Đồng - Long Bình - KCHM - SOME - CTMAX - ANAM - Q2 - MCT - 303 (14/11/2024) 30/11/2024</v>
          </cell>
          <cell r="B5341">
            <v>3050000</v>
          </cell>
        </row>
        <row r="5342">
          <cell r="A5342" t="str">
            <v>Cước vận chuyển Bình Tân - CTMAX - SOME - Phạm Văn Đồng - Long Bình - ANAM - An Lạc - Tân Phú - Âu Cơ - KCHM (15/11/2024) 30/11/2024</v>
          </cell>
          <cell r="B5342">
            <v>2900000</v>
          </cell>
        </row>
        <row r="5343">
          <cell r="A5343" t="str">
            <v>Cước vận chuyển Bình Tân - An Lạc - Phạm Văn Đồng - Long Bình - Q2 - MCT - 303 - SOME - Tân Phú - Âu Cơ  (16/11/2024) 30/11/2024</v>
          </cell>
          <cell r="B5343">
            <v>2450000</v>
          </cell>
        </row>
        <row r="5344">
          <cell r="A5344" t="str">
            <v>Cước vận chuyển Bình Tân - Âu Cơ - An Lạc - Phạm Đồng - Long Bình - CTMAX - ANAM  (17/11/2024) 30/11/2024</v>
          </cell>
          <cell r="B5344">
            <v>2300000</v>
          </cell>
        </row>
        <row r="5345">
          <cell r="A5345" t="str">
            <v>Cước vận chuyển Bình Tân - Âu Cơ - An Lạc - Phạm Đồng - Long Bình - CTMAX - ANAM  (18/11/2024) 30/11/2024</v>
          </cell>
          <cell r="B5345">
            <v>2850000</v>
          </cell>
        </row>
        <row r="5346">
          <cell r="A5346" t="str">
            <v>Cước vận chuyển Bình Tân - CTMAX - Phạm Văn Đồng - Q2 - MCT - 303 - Long Bình - Âu Cơ - Tân Phú - An Lạc -KCHM - ANAM  (19/11/2024) 30/11/2024</v>
          </cell>
          <cell r="B5346">
            <v>2900000</v>
          </cell>
        </row>
        <row r="5347">
          <cell r="A5347" t="str">
            <v>Cước vận chuyển Bình Tân - Tân Phú - An Lạc - Phạm Văn Đồng - Long Bình - ANAM - SOME - KCHM - CTMAX  (20/11/2024) 30/11/2024</v>
          </cell>
          <cell r="B5347">
            <v>2450000</v>
          </cell>
        </row>
        <row r="5348">
          <cell r="A5348" t="str">
            <v>Cước vận chuyển Bình Tân - 303 - MCT - Q2 - CTMAX - ANAM - Long Bình - An Lạc - Âu Cơ - Tân Phú - Phạm Văn Đồng - KCHM - KC Sỹ  (21/11/2024) 30/11/2024</v>
          </cell>
          <cell r="B5348">
            <v>3200000</v>
          </cell>
        </row>
        <row r="5349">
          <cell r="A5349" t="str">
            <v>Cước vận chuyển Bình Tân - Âu Cơ - An Lạc - Trường Chinh - Tân Phú - Phạm Văn Đồng - Long Bình - SOME - CTMAX - KCHM  (22/11/2024) 30/11/2024</v>
          </cell>
          <cell r="B5349">
            <v>2800000</v>
          </cell>
        </row>
        <row r="5350">
          <cell r="A5350" t="str">
            <v>Cước vận chuyển Bình Tân - Gò Vấp - Trường Chinh - Phạm Văn Đồng - Tân Phú - Âu Cơ - An Lạc - Long Bình - Q2 - MCT - 303 - CTMAX - SOME - Q6 (23/11/2024) 30/11/2024</v>
          </cell>
          <cell r="B5350">
            <v>2900000</v>
          </cell>
        </row>
        <row r="5351">
          <cell r="A5351" t="str">
            <v>Cước vận chuyển Bình Tân - Âu Cơ - An Lạc - Tân Phú - Phạm Văn Đồng - ANAM - CTMAX - Long Bình (24/11/2024) 30/11/2024</v>
          </cell>
          <cell r="B5351">
            <v>2700000</v>
          </cell>
        </row>
        <row r="5352">
          <cell r="A5352" t="str">
            <v>Cước vận chuyển Bình Tân - Phạm Văn Đồng - Tân Phú - Âu Cơ - An Lạc - Long Bình - ANAM - SOME - CTMAX - KC Sỹ - KCHM (25/11/2024) 30/11/2024</v>
          </cell>
          <cell r="B5352">
            <v>3650000</v>
          </cell>
        </row>
        <row r="5353">
          <cell r="A5353" t="str">
            <v>Cước vận chuyển Bình Tân - Q6 - An Lạc - Âu Cơ - Tân Phú - Long Bình - Phạm Văn Đồng - CTMAX - Q2 - MCT - 303 (26/11/2024) 30/11/2024</v>
          </cell>
          <cell r="B5353">
            <v>2350000</v>
          </cell>
        </row>
        <row r="5354">
          <cell r="A5354" t="str">
            <v>Cước vận chuyển Bình Tân - Âu Cơ - An Lạc - Tân Phú - Phạm Văn Đồng - Long Bình - CTMAX - SOME - ANAM - KCHM (27/11/2024) 30/11/2024</v>
          </cell>
          <cell r="B5354">
            <v>2650000</v>
          </cell>
        </row>
        <row r="5355">
          <cell r="A5355" t="str">
            <v>Cước vận chuyển Bình Tân - Phạm Văn Đồng - Tân Phú - Âu Cơ - An Lạc - Long Bình - KCHM - SOME - Q2 - MCT - 303 - CTMAX - ANAM (28/11/2024) 30/11/2024</v>
          </cell>
          <cell r="B5355">
            <v>2850000</v>
          </cell>
        </row>
        <row r="5356">
          <cell r="A5356" t="str">
            <v>Cước vận chuyển Bình Tân - Phạm Văn Đồng - Long Bình - Tân Phú - Âu Cơ - An Lạc - SOME - CTMAX - ANAM (29/11/2024) 30/11/2024</v>
          </cell>
          <cell r="B5356">
            <v>2300000</v>
          </cell>
        </row>
        <row r="5357">
          <cell r="A5357" t="str">
            <v>Cước vận chuyển Bình Tân - Phạm Văn Đồng - Tân Phú - Long Bình - CTMAX - Q2 - MCT - 303 - ANAM - An Lạc - Âu Cơ - Q6 - Trường Chinh (30/11/2024) 30/11/2024</v>
          </cell>
          <cell r="B5357">
            <v>6890000</v>
          </cell>
        </row>
        <row r="5358">
          <cell r="A5358" t="str">
            <v>Cước vận chuyển Đồng Nai - Sài Gòn 30/11/2024</v>
          </cell>
          <cell r="B5358">
            <v>6000000</v>
          </cell>
        </row>
        <row r="5359">
          <cell r="A5359" t="str">
            <v>Rổ nhựa 60*40 màu đen 30/11/2024</v>
          </cell>
          <cell r="B5359">
            <v>34000</v>
          </cell>
        </row>
        <row r="5360">
          <cell r="A5360" t="str">
            <v>Cước vận chuyển hàng hóa Đà Lạt - Hà Nội 30/11/2024</v>
          </cell>
          <cell r="B5360">
            <v>252778500</v>
          </cell>
        </row>
        <row r="5361">
          <cell r="A5361" t="str">
            <v>Hàn cặp lốc lạnh Biển số xe 49H-000.36 30/11/2024</v>
          </cell>
          <cell r="B5361">
            <v>1200000</v>
          </cell>
        </row>
        <row r="5362">
          <cell r="A5362" t="str">
            <v>Hàn cặp bảo vệ hông thùng P Biển số xe 49H-000.36 30/11/2024</v>
          </cell>
          <cell r="B5362">
            <v>300000</v>
          </cell>
        </row>
        <row r="5363">
          <cell r="A5363" t="str">
            <v>Tiền công sửa chữa Biển số xe 49H-000.36 30/11/2024</v>
          </cell>
          <cell r="B5363">
            <v>3213000</v>
          </cell>
        </row>
        <row r="5364">
          <cell r="A5364" t="str">
            <v>Cước vận chuyển từ Ngọc Thuỵ Long Biên=&gt;9 Fuji=&gt; lotus=&gt; kosmo=&gt;Horion=&gt;Nam Trung Yên=&gt;Florence=&gt; the five=&gt;  ngày An Nam XD=&gt; Siba greenbay=&gt; Aeon The nine=&gt;Tmart=&gt; Bếp KS=&gt; Ngày 01/11/2024 30/11/2024</v>
          </cell>
          <cell r="B5364">
            <v>1580000</v>
          </cell>
        </row>
        <row r="5365">
          <cell r="A5365" t="str">
            <v>Cước vận chuyển từ Ngọc Thuỵ Long Biên=&gt;9 Fuji=&gt; lotus=&gt; kosmo=&gt;Horion=&gt;Nam Trung Yên=&gt;Florence=&gt; the five=&gt; An Nam XD=&gt;  ngày 02/11/2024 30/11/2024</v>
          </cell>
          <cell r="B5365">
            <v>1480000</v>
          </cell>
        </row>
        <row r="5366">
          <cell r="A5366" t="str">
            <v>Cước vận chuyển từ Ngọc Thuỵ Long Biên=&gt;9 Fuji=&gt; lotus=&gt; kosmo=&gt;Horion=&gt;Nam Trung Yên=&gt;Florence=&gt; the five=&gt; An Nam XD=&gt;  ngày 03/11/2024 30/11/2024</v>
          </cell>
          <cell r="B5366">
            <v>1380000</v>
          </cell>
        </row>
        <row r="5367">
          <cell r="A5367" t="str">
            <v>Cước vận chuyển từ Ngọc Thuỵ Long Biên=&gt;10 Fuji=&gt; lotus=&gt; kosmo=&gt;Horion=&gt;Nam Trung Yên=&gt;Florence=&gt; the five=&gt; Happimart  ngày 04/11/2024 30/11/2024</v>
          </cell>
          <cell r="B5367">
            <v>1430000</v>
          </cell>
        </row>
        <row r="5368">
          <cell r="A5368" t="str">
            <v>Cước vận chuyển từ Ngọc Thuỵ Long Biên=&gt;9 Fuji=&gt; lotus=&gt; kosmo=&gt;Horion=&gt;Nam Trung Yên=&gt;florence=&gt; the five=&gt; Bếp GP=&gt; Bếp KS ngày 05/11/2024 30/11/2024</v>
          </cell>
          <cell r="B5368">
            <v>1680000</v>
          </cell>
        </row>
        <row r="5369">
          <cell r="A5369" t="str">
            <v>Cước vận chuyển từ Ngọc Thuỵ Long Biên=&gt;9 Fuji=&gt; lotus=&gt; kosmo=&gt;Horion=&gt;Nam Trung Yên=&gt;Florence=&gt; the five=&gt;An Nam LB=&gt; Siba Ngọc Hà ngày 06/11/2024 30/11/2024</v>
          </cell>
          <cell r="B5369">
            <v>1430000</v>
          </cell>
        </row>
        <row r="5370">
          <cell r="A5370" t="str">
            <v>Cước vận chuyển từ Ngọc Thuỵ Long Biên=&gt;9 Fuji=&gt; lotus=&gt; kosmo=&gt;Horion=&gt;Nam Trung Yên=&gt;florence=&gt; the five=&gt; ngày 07/11/2024 30/11/2024</v>
          </cell>
          <cell r="B5370">
            <v>1330000</v>
          </cell>
        </row>
        <row r="5371">
          <cell r="A5371" t="str">
            <v>Cước vận chuyển từ Ngọc Thuỵ Long Biên=&gt;10 Fuji=&gt; lotus=&gt; kosmo=&gt;Horion=&gt;Nam Trung Yên=&gt; the five=&gt;florence=&gt;Bếp KS=&gt; Bếp GP ngày 08/11/2024 30/11/2024</v>
          </cell>
          <cell r="B5371">
            <v>1480000</v>
          </cell>
        </row>
        <row r="5372">
          <cell r="A5372" t="str">
            <v>Cước vận chuyển từ Ngọc Thuỵ Long Biên=&gt;9 Fuji=&gt; lotus=&gt; kosmo=&gt;Horion=&gt;Nam Trung Yên=&gt; the five=&gt;florence=&gt;An Nam XD=&gt; Bếp GP  ngày 09/11/2024 30/11/2024</v>
          </cell>
          <cell r="B5372">
            <v>1430000</v>
          </cell>
        </row>
        <row r="5373">
          <cell r="A5373" t="str">
            <v>Cước vận chuyển từ Ngọc Thuỵ Long Biên=&gt;10 Fuji=&gt; lotus=&gt; kosmo=&gt;Horion=&gt;Nam Trung Yên=&gt; the five=&gt;An Nam XD ngày 10/11/2024 30/11/2024</v>
          </cell>
          <cell r="B5373">
            <v>1380000</v>
          </cell>
        </row>
        <row r="5374">
          <cell r="A5374" t="str">
            <v>Cước vận chuyển từ Ngọc Thuỵ Long Biên=&gt;10 Fuji=&gt; lotus=&gt; kosmo=&gt;Horion=&gt;Nam Trung Yên=&gt;florence=&gt; the five =&gt; An Nam Xuân Diệu=&gt; siba greenbay ngày 11/11/2024 30/11/2024</v>
          </cell>
          <cell r="B5374">
            <v>1480000</v>
          </cell>
        </row>
        <row r="5375">
          <cell r="A5375" t="str">
            <v>Cước vận chuyển từ Ngọc Thuỵ Long Biên=&gt;10 Fuji=&gt; lotus=&gt; kosmo=&gt;Horion=&gt;Nam Trung Yên=&gt;florence=&gt; the five =&gt; An Nam Xuân Diệu=&gt; Bếp KS=&gt; Bếp GP=&gt;ngày 12/11/2024 30/11/2024</v>
          </cell>
          <cell r="B5375">
            <v>1530000</v>
          </cell>
        </row>
        <row r="5376">
          <cell r="A5376" t="str">
            <v>Cước vận chuyển từ Ngọc Thuỵ Long Biên=&gt;10 Fuji=&gt; lotus=&gt; kosmo=&gt;Horion=&gt;Nam Trung Yên=&gt;florence=&gt; the five =&gt; An Nam Xuân Diệu=&gt; Bếp KS=&gt; ngày 13/11/2024 30/11/2024</v>
          </cell>
          <cell r="B5376">
            <v>1480000</v>
          </cell>
        </row>
        <row r="5377">
          <cell r="A5377" t="str">
            <v>Cước vận chuyển từ Ngọc Thuỵ Long Biên=&gt;10 Fuji=&gt; lotus=&gt; kosmo=&gt;Horion=&gt;Nam Trung Yên=&gt;florence=&gt; the five=&gt;An Nam XD=? Bếp GP ngày 14/11/2024 30/11/2024</v>
          </cell>
          <cell r="B5377">
            <v>1380000</v>
          </cell>
        </row>
        <row r="5378">
          <cell r="A5378" t="str">
            <v>Cước vận chuyển từ Ngọc Thuỵ Long Biên=&gt;10 Fuji=&gt; lotus=&gt; kosmo=&gt;Horion=&gt;Nam Trung Yên=&gt;florence=&gt; the five=&gt;Siba Greenbay  ngày 15/09/2024 30/11/2024</v>
          </cell>
          <cell r="B5378">
            <v>1430000</v>
          </cell>
        </row>
        <row r="5379">
          <cell r="A5379" t="str">
            <v>Cước vận chuyển từ Ngọc Thuỵ Long Biên=&gt;10 Fuji=&gt; lotus=&gt; kosmo=&gt;Horion=&gt;Nam Trung Yên=&gt;florence=&gt; the five=&gt;An Nam XD=&gt; Bếp KS=&gt; 4Furi HD ngày 16/11/2024 30/11/2024</v>
          </cell>
          <cell r="B5379">
            <v>1680000</v>
          </cell>
        </row>
        <row r="5380">
          <cell r="A5380" t="str">
            <v>Cước vận chuyển từ Ngọc Thuỵ Long Biên=&gt;8 Fuji=&gt; lotus=&gt; kosmo=&gt;Horion=&gt;Nam Trung Yên=&gt;florence=&gt; the five=&gt; Bếp Giải Phóng =&gt; Hapimart ngày 17/11/2024 30/11/2024</v>
          </cell>
          <cell r="B5380">
            <v>1480000</v>
          </cell>
        </row>
        <row r="5381">
          <cell r="A5381" t="str">
            <v>Cước vận chuyển từ Ngọc Thuỵ Long Biên=&gt;8 Fuji=&gt; lotus=&gt; kosmo=&gt;Horion=&gt;Nam Trung Yên=&gt;florence=&gt; the five=&gt; Bếp Giải Phóng =&gt; Hapimart ngày 17/11/2024 30/11/2024</v>
          </cell>
          <cell r="B5381">
            <v>1330000</v>
          </cell>
        </row>
        <row r="5382">
          <cell r="A5382" t="str">
            <v>Cước vận chuyển từ Ngọc Thuỵ Long Biên=&gt;8 Fuji=&gt; lotus=&gt; kosmo=&gt;Horion=&gt;Nam Trung Yên=&gt;florence=&gt; the five=&gt; ngày 18/11/2024 30/11/2024</v>
          </cell>
          <cell r="B5382">
            <v>1480000</v>
          </cell>
        </row>
        <row r="5383">
          <cell r="A5383" t="str">
            <v>Cước vận chuyển từ Ngọc Thuỵ Long Biên=&gt;8 Fuji=&gt; lotus=&gt; kosmo=&gt;Horion=&gt;Nam Trung Yên=&gt;florence=&gt; the five=&gt; ngày 18/11/2024 30/11/2024</v>
          </cell>
          <cell r="B5383">
            <v>1230000</v>
          </cell>
        </row>
        <row r="5384">
          <cell r="A5384" t="str">
            <v>Cước vận chuyển từ Ngọc Thuỵ Long Biên=&gt;10 Fuji=&gt; lotus=&gt; kosmo=&gt;Horion=&gt;Nam Trung Yên=&gt;florence=&gt; the five=&gt; Bếp GP=&gt; An Nam XD ngày 19/11/2024 30/11/2024</v>
          </cell>
          <cell r="B5384">
            <v>1480000</v>
          </cell>
        </row>
        <row r="5385">
          <cell r="A5385" t="str">
            <v>Cước vận chuyển từ Ngọc Thuỵ Long Biên=&gt;7 Fuji=&gt; lotus=&gt; kosmo=&gt;Horion=&gt;Nam Trung Yên=&gt;florence=&gt; the five=&gt; Siba greenbay=&gt;KS hoel ngày 19/11/2024 30/11/2024</v>
          </cell>
          <cell r="B5385">
            <v>1330000</v>
          </cell>
        </row>
        <row r="5386">
          <cell r="A5386" t="str">
            <v>Cước vận chuyển từ Ngọc Thuỵ Long Biên=&gt;8 Fuji=&gt; lotus=&gt; kosmo=&gt;Horion=&gt;Nam Trung Yên=&gt;florence=&gt; the five=&gt; ngày 20/11/2024 30/11/2024</v>
          </cell>
          <cell r="B5386">
            <v>1380000</v>
          </cell>
        </row>
        <row r="5387">
          <cell r="A5387" t="str">
            <v>Cước vận chuyển từ Ngọc Thuỵ Long Biên=&gt;8 Fuji=&gt; lotus=&gt; kosmo=&gt;Horion=&gt;Nam Trung Yên=&gt;florence=&gt; the five=&gt; ngày 21/11/2024 30/11/2024</v>
          </cell>
          <cell r="B5387">
            <v>1280000</v>
          </cell>
        </row>
        <row r="5388">
          <cell r="A5388" t="str">
            <v>Cước vận chuyển từ Ngọc Thuỵ Long Biên=&gt;9 Fuji=&gt; lotus=&gt; kosmo=&gt;Horion=&gt;Nam Trung Yên=&gt;florence=&gt; the five=&gt; Bếp KS ngày 22/11/2024 30/11/2024</v>
          </cell>
          <cell r="B5388">
            <v>1380000</v>
          </cell>
        </row>
        <row r="5389">
          <cell r="A5389" t="str">
            <v>Cước vận chuyển từ Ngọc Thuỵ Long Biên=&gt;11 Fuji=&gt; lotus=&gt; kosmo=&gt;Horion=&gt;Nam Trung Yên=&gt;florence=&gt; the five=&gt; Bếp KS ngày 23/11/2024 30/11/2024</v>
          </cell>
          <cell r="B5389">
            <v>1480000</v>
          </cell>
        </row>
        <row r="5390">
          <cell r="A5390" t="str">
            <v>Cước vận chuyển từ Ngọc Thuỵ Long Biên=&gt;9 Fuji=&gt; lotus=&gt; kosmo=&gt;Horion=&gt;Nam Trung Yên=&gt;florence=&gt; the five=&gt; Bếp KS ngày 24/11/2024 30/11/2024</v>
          </cell>
          <cell r="B5390">
            <v>1380000</v>
          </cell>
        </row>
        <row r="5391">
          <cell r="A5391" t="str">
            <v>Cước vận chuyển từ Ngọc Thuỵ Long Biên=&gt;9 Fuji=&gt; lotus=&gt; kosmo=&gt;Horion=&gt;Nam Trung Yên=&gt;florence=&gt; the five=&gt; Bếp KS ngày 25/11/2024 30/11/2024</v>
          </cell>
          <cell r="B5391">
            <v>1530000</v>
          </cell>
        </row>
        <row r="5392">
          <cell r="A5392" t="str">
            <v>Cước vận chuyển từ Ngọc Thuỵ Long Biên=&gt;9 Fuji=&gt; lotus=&gt; kosmo=&gt;Horion=&gt;Nam Trung Yên=&gt;florence=&gt; the five=&gt; Bếp KS ngày 26/11/2024 30/11/2024</v>
          </cell>
          <cell r="B5392">
            <v>1380000</v>
          </cell>
        </row>
        <row r="5393">
          <cell r="A5393" t="str">
            <v>Cước vận chuyển từ Ngọc Thuỵ Long Biên=&gt;9 Fuji=&gt; lotus=&gt; kosmo=&gt;Horion=&gt;Nam Trung Yên=&gt;florence=&gt; the five=&gt; Bếp KS ngày 27/11/2024 30/11/2024</v>
          </cell>
          <cell r="B5393">
            <v>1330000</v>
          </cell>
        </row>
        <row r="5394">
          <cell r="A5394" t="str">
            <v>Cước vận chuyển từ Ngọc Thuỵ Long Biên=&gt;9 Fuji=&gt; lotus=&gt; kosmo=&gt;Horion=&gt;Nam Trung Yên=&gt;florence=&gt; the five=&gt; Bếp KS ngày 28/11/2024 30/11/2024</v>
          </cell>
          <cell r="B5394">
            <v>1330000</v>
          </cell>
        </row>
        <row r="5395">
          <cell r="A5395" t="str">
            <v>Cước vận chuyển từ Ngọc Thuỵ Long Biên=&gt;9 Fuji=&gt; lotus=&gt; kosmo=&gt;Horion=&gt;Nam Trung Yên=&gt;florence=&gt; the five=&gt; Bếp KS ngày 29/11/2024 30/11/2024</v>
          </cell>
          <cell r="B5395">
            <v>1480000</v>
          </cell>
        </row>
        <row r="5396">
          <cell r="A5396" t="str">
            <v>Cước vận chuyển từ Ngọc Thuỵ Long Biên=&gt;9 Fuji=&gt; lotus=&gt; kosmo=&gt;Horion=&gt;Nam Trung Yên=&gt;florence=&gt; the five=&gt; Bếp KS ngày 30/11/2024 30/11/2024</v>
          </cell>
          <cell r="B5396">
            <v>1430000</v>
          </cell>
        </row>
        <row r="5397">
          <cell r="A5397" t="str">
            <v>Dầu Do 0.001 S-V 30/11/2024</v>
          </cell>
          <cell r="B5397">
            <v>17636.36</v>
          </cell>
        </row>
        <row r="5398">
          <cell r="A5398" t="str">
            <v>Cước vận chuyển hàng hóa Đà Lạt - Hà Nội 30/11/2024</v>
          </cell>
          <cell r="B5398">
            <v>28086500</v>
          </cell>
        </row>
        <row r="5399">
          <cell r="A5399" t="str">
            <v>Tiền công sửa chữa Biển số xe 49C-371.97 30/11/2024</v>
          </cell>
          <cell r="B5399">
            <v>200000</v>
          </cell>
        </row>
        <row r="5400">
          <cell r="A5400" t="str">
            <v>Tiền công sửa chữa Biển số xe 49C-371.97 30/11/2024</v>
          </cell>
          <cell r="B5400">
            <v>2126000</v>
          </cell>
        </row>
        <row r="5401">
          <cell r="A5401" t="str">
            <v>Tiền công sửa chữa Biển số xe 49C-371.97 30/11/2024</v>
          </cell>
          <cell r="B5401">
            <v>7407407</v>
          </cell>
        </row>
        <row r="5402">
          <cell r="A5402" t="str">
            <v>Tiền công sửa chữa Biển số xe 49C-371.97 30/11/2024</v>
          </cell>
          <cell r="B5402">
            <v>1310000</v>
          </cell>
        </row>
        <row r="5403">
          <cell r="A5403" t="str">
            <v>Tiền công sửa chữa Biển số xe 49C-371.97 30/11/2024</v>
          </cell>
          <cell r="B5403">
            <v>7000000</v>
          </cell>
        </row>
        <row r="5404">
          <cell r="A5404" t="str">
            <v>Tiền công sửa chữa Biển số xe 49H-004.66 30/11/2024</v>
          </cell>
          <cell r="B5404">
            <v>2323000</v>
          </cell>
        </row>
        <row r="5405">
          <cell r="A5405" t="str">
            <v>Tiền công sửa chữa Biển số xe 49C-371.97 30/11/2024</v>
          </cell>
          <cell r="B5405">
            <v>2131000</v>
          </cell>
        </row>
        <row r="5406">
          <cell r="A5406" t="str">
            <v>Tiền công sửa chữa Biển số xe 49H-004.66 30/11/2024</v>
          </cell>
          <cell r="B5406">
            <v>14700000</v>
          </cell>
        </row>
        <row r="5407">
          <cell r="A5407" t="str">
            <v>DO 0.05S-II 30/11/2024</v>
          </cell>
          <cell r="B5407">
            <v>17400</v>
          </cell>
        </row>
        <row r="5408">
          <cell r="A5408" t="str">
            <v>DO 0.05S-II 30/11/2024</v>
          </cell>
          <cell r="B5408">
            <v>17400</v>
          </cell>
        </row>
        <row r="5409">
          <cell r="A5409" t="str">
            <v>Phòng lưu trú 202 30/11/2024</v>
          </cell>
          <cell r="B5409">
            <v>509259</v>
          </cell>
        </row>
        <row r="5410">
          <cell r="A5410" t="str">
            <v>Phụ thu ăn sáng phòng lưu trú 202 30/11/2024</v>
          </cell>
          <cell r="B5410">
            <v>69444</v>
          </cell>
        </row>
        <row r="5411">
          <cell r="A5411" t="str">
            <v>Xà Lách Lolo Xanh T.C Cây 30/11/2024</v>
          </cell>
          <cell r="B5411">
            <v>6800</v>
          </cell>
        </row>
        <row r="5412">
          <cell r="A5412" t="str">
            <v>Xà Lách Mỡ T.C Cây 30/11/2024</v>
          </cell>
          <cell r="B5412">
            <v>6800</v>
          </cell>
        </row>
        <row r="5413">
          <cell r="A5413" t="str">
            <v>Xà Lách Thủy Tinh T.C Cây 30/11/2024</v>
          </cell>
          <cell r="B5413">
            <v>6800</v>
          </cell>
        </row>
        <row r="5414">
          <cell r="A5414" t="str">
            <v>Củ Dền 30/11/2024</v>
          </cell>
          <cell r="B5414">
            <v>18000</v>
          </cell>
        </row>
        <row r="5415">
          <cell r="A5415" t="str">
            <v>Dưa Leo Thường 30/11/2024</v>
          </cell>
          <cell r="B5415">
            <v>4000</v>
          </cell>
        </row>
        <row r="5416">
          <cell r="A5416" t="str">
            <v>Củ Cải Trắng 30/11/2024</v>
          </cell>
          <cell r="B5416">
            <v>4500</v>
          </cell>
        </row>
        <row r="5417">
          <cell r="A5417" t="str">
            <v>Củ Khoai Lang Nhật 30/11/2024</v>
          </cell>
          <cell r="B5417">
            <v>17500</v>
          </cell>
        </row>
        <row r="5418">
          <cell r="A5418" t="str">
            <v>Cà Rốt 30/11/2024</v>
          </cell>
          <cell r="B5418">
            <v>15000</v>
          </cell>
        </row>
        <row r="5419">
          <cell r="A5419" t="str">
            <v>Bơ Booth 30/11/2024</v>
          </cell>
          <cell r="B5419">
            <v>41000</v>
          </cell>
        </row>
        <row r="5420">
          <cell r="A5420" t="str">
            <v>Củ Khoai Mỡ 30/11/2024</v>
          </cell>
          <cell r="B5420">
            <v>25000</v>
          </cell>
        </row>
        <row r="5421">
          <cell r="A5421" t="str">
            <v>Bắp Cải Trái Tim 30/11/2024</v>
          </cell>
          <cell r="B5421">
            <v>10000</v>
          </cell>
        </row>
        <row r="5422">
          <cell r="A5422" t="str">
            <v>Bông Cải Xanh 7Cm 30/11/2024</v>
          </cell>
          <cell r="B5422">
            <v>35000</v>
          </cell>
        </row>
        <row r="5423">
          <cell r="A5423" t="str">
            <v>Lá Tía Tô 30/11/2024</v>
          </cell>
          <cell r="B5423">
            <v>32000</v>
          </cell>
        </row>
        <row r="5424">
          <cell r="A5424" t="str">
            <v>Xà Lách Rocket 30/11/2024</v>
          </cell>
          <cell r="B5424">
            <v>120000</v>
          </cell>
        </row>
        <row r="5425">
          <cell r="A5425" t="str">
            <v>Cà Chua Beef 30/11/2024</v>
          </cell>
          <cell r="B5425">
            <v>22000</v>
          </cell>
        </row>
        <row r="5426">
          <cell r="A5426" t="str">
            <v>Cà Chua Socola 30/11/2024</v>
          </cell>
          <cell r="B5426">
            <v>14000</v>
          </cell>
        </row>
        <row r="5427">
          <cell r="A5427" t="str">
            <v>Lá Mè 30/11/2024</v>
          </cell>
          <cell r="B5427">
            <v>36000</v>
          </cell>
        </row>
        <row r="5428">
          <cell r="A5428" t="str">
            <v>Củ Su Hào 30/11/2024</v>
          </cell>
          <cell r="B5428">
            <v>13000</v>
          </cell>
        </row>
        <row r="5429">
          <cell r="A5429" t="str">
            <v>Măng Tây 30/11/2024</v>
          </cell>
          <cell r="B5429">
            <v>60000</v>
          </cell>
        </row>
        <row r="5430">
          <cell r="A5430" t="str">
            <v>Măng Tây 30/11/2024</v>
          </cell>
          <cell r="B5430">
            <v>53000</v>
          </cell>
        </row>
        <row r="5431">
          <cell r="A5431" t="str">
            <v>Rau Ngò Rí 30/11/2024</v>
          </cell>
          <cell r="B5431">
            <v>35000</v>
          </cell>
        </row>
        <row r="5432">
          <cell r="A5432" t="str">
            <v>Xà Lách Mỹ 30/11/2024</v>
          </cell>
          <cell r="B5432">
            <v>30000</v>
          </cell>
        </row>
        <row r="5433">
          <cell r="A5433" t="str">
            <v>Trái Mít Thái 30/11/2024</v>
          </cell>
          <cell r="B5433">
            <v>19384</v>
          </cell>
        </row>
        <row r="5434">
          <cell r="A5434" t="str">
            <v>Hành Paro 30/11/2024</v>
          </cell>
          <cell r="B5434">
            <v>28000</v>
          </cell>
        </row>
        <row r="5435">
          <cell r="A5435" t="str">
            <v>Củ Hành Tây Tím 30/11/2024</v>
          </cell>
          <cell r="B5435">
            <v>20000</v>
          </cell>
        </row>
        <row r="5436">
          <cell r="A5436" t="str">
            <v>Cần Tây 30/11/2024</v>
          </cell>
          <cell r="B5436">
            <v>20000</v>
          </cell>
        </row>
        <row r="5437">
          <cell r="A5437" t="str">
            <v>Cải Bó Xôi 30/11/2024</v>
          </cell>
          <cell r="B5437">
            <v>16000</v>
          </cell>
        </row>
        <row r="5438">
          <cell r="A5438" t="str">
            <v>Xà Lách Lolo Xanh 30/11/2024</v>
          </cell>
          <cell r="B5438">
            <v>14000</v>
          </cell>
        </row>
        <row r="5439">
          <cell r="A5439" t="str">
            <v>Bí Ngòi Xanh 30/11/2024</v>
          </cell>
          <cell r="B5439">
            <v>8000</v>
          </cell>
        </row>
        <row r="5440">
          <cell r="A5440" t="str">
            <v>Cà Chua Bi Mix 30/11/2024</v>
          </cell>
          <cell r="B5440">
            <v>51500</v>
          </cell>
        </row>
        <row r="5441">
          <cell r="A5441" t="str">
            <v>Cải Kale 30/11/2024</v>
          </cell>
          <cell r="B5441">
            <v>25500</v>
          </cell>
        </row>
        <row r="5442">
          <cell r="A5442" t="str">
            <v>Chanh Không Hạt 30/11/2024</v>
          </cell>
          <cell r="B5442">
            <v>26000</v>
          </cell>
        </row>
        <row r="5443">
          <cell r="A5443" t="str">
            <v>Ớt Chuông Baby 30/11/2024</v>
          </cell>
          <cell r="B5443">
            <v>44000</v>
          </cell>
        </row>
        <row r="5444">
          <cell r="A5444" t="str">
            <v>Ớt Chuông Đỏ 30/11/2024</v>
          </cell>
          <cell r="B5444">
            <v>30000</v>
          </cell>
        </row>
        <row r="5445">
          <cell r="A5445" t="str">
            <v>Ớt Chuông Vàng 30/11/2024</v>
          </cell>
          <cell r="B5445">
            <v>15000</v>
          </cell>
        </row>
        <row r="5446">
          <cell r="A5446" t="str">
            <v>Ớt Chuông Xanh 30/11/2024</v>
          </cell>
          <cell r="B5446">
            <v>28000</v>
          </cell>
        </row>
        <row r="5447">
          <cell r="A5447" t="str">
            <v>Ớt Sweet Palemo 30/11/2024</v>
          </cell>
          <cell r="B5447">
            <v>60000</v>
          </cell>
        </row>
        <row r="5448">
          <cell r="A5448" t="str">
            <v>Ớt Sweet Palemo 30/11/2024</v>
          </cell>
          <cell r="B5448">
            <v>55000</v>
          </cell>
        </row>
        <row r="5449">
          <cell r="A5449" t="str">
            <v>Ớt Chuông Snack 30/11/2024</v>
          </cell>
          <cell r="B5449">
            <v>49000</v>
          </cell>
        </row>
        <row r="5450">
          <cell r="A5450" t="str">
            <v>Đậu Cove Trắng 30/11/2024</v>
          </cell>
          <cell r="B5450">
            <v>6500</v>
          </cell>
        </row>
        <row r="5451">
          <cell r="A5451" t="str">
            <v>Dưa Leo Nhật 30/11/2024</v>
          </cell>
          <cell r="B5451">
            <v>9000</v>
          </cell>
        </row>
        <row r="5452">
          <cell r="A5452" t="str">
            <v>Cà Chua Thường 30/11/2024</v>
          </cell>
          <cell r="B5452">
            <v>20000</v>
          </cell>
        </row>
        <row r="5453">
          <cell r="A5453" t="str">
            <v>Bí Đao Xanh 30/11/2024</v>
          </cell>
          <cell r="B5453">
            <v>6500</v>
          </cell>
        </row>
        <row r="5454">
          <cell r="A5454" t="str">
            <v>Lá Nha Đam 30/11/2024</v>
          </cell>
          <cell r="B5454">
            <v>14000</v>
          </cell>
        </row>
        <row r="5455">
          <cell r="A5455" t="str">
            <v>Bắp Cải Trắng 30/11/2024</v>
          </cell>
          <cell r="B5455">
            <v>11000</v>
          </cell>
        </row>
        <row r="5456">
          <cell r="A5456" t="str">
            <v>Củ Su Hào 30/11/2024</v>
          </cell>
          <cell r="B5456">
            <v>13000</v>
          </cell>
        </row>
        <row r="5457">
          <cell r="A5457" t="str">
            <v>Cà Tím 30/11/2024</v>
          </cell>
          <cell r="B5457">
            <v>5000</v>
          </cell>
        </row>
        <row r="5458">
          <cell r="A5458" t="str">
            <v>Cà Tím 30/11/2024</v>
          </cell>
          <cell r="B5458">
            <v>3500</v>
          </cell>
        </row>
        <row r="5459">
          <cell r="A5459" t="str">
            <v>Trái Su Su 30/11/2024</v>
          </cell>
          <cell r="B5459">
            <v>7000</v>
          </cell>
        </row>
        <row r="5460">
          <cell r="A5460" t="str">
            <v>Bí Ngòi Xanh 30/11/2024</v>
          </cell>
          <cell r="B5460">
            <v>8000</v>
          </cell>
        </row>
        <row r="5461">
          <cell r="A5461" t="str">
            <v>Trái Cam Canh 30/11/2024</v>
          </cell>
          <cell r="B5461">
            <v>35000</v>
          </cell>
        </row>
        <row r="5462">
          <cell r="A5462" t="str">
            <v>Trái Cam Canh 30/11/2024</v>
          </cell>
          <cell r="B5462">
            <v>38000</v>
          </cell>
        </row>
        <row r="5463">
          <cell r="A5463" t="str">
            <v>Cước Vận Chuyển Hàng Hóa 30/11/2024</v>
          </cell>
          <cell r="B5463">
            <v>2450000</v>
          </cell>
        </row>
        <row r="5464">
          <cell r="A5464" t="str">
            <v>Củ Cải Trắng 30/11/2024</v>
          </cell>
          <cell r="B5464">
            <v>4500</v>
          </cell>
        </row>
        <row r="5465">
          <cell r="A5465" t="str">
            <v>Cà Chua Bi Đỏ 30/11/2024</v>
          </cell>
          <cell r="B5465">
            <v>8700</v>
          </cell>
        </row>
        <row r="5466">
          <cell r="A5466" t="str">
            <v>Cà Chua Bi Đỏ 30/11/2024</v>
          </cell>
          <cell r="B5466">
            <v>14500</v>
          </cell>
        </row>
        <row r="5467">
          <cell r="A5467" t="str">
            <v>Ớt Chuông Baby 30/11/2024</v>
          </cell>
          <cell r="B5467">
            <v>44000</v>
          </cell>
        </row>
        <row r="5468">
          <cell r="A5468" t="str">
            <v>Ớt Chuông Đỏ 30/11/2024</v>
          </cell>
          <cell r="B5468">
            <v>30000</v>
          </cell>
        </row>
        <row r="5469">
          <cell r="A5469" t="str">
            <v>Dưa Leo Baby 30/11/2024</v>
          </cell>
          <cell r="B5469">
            <v>4500</v>
          </cell>
        </row>
        <row r="5470">
          <cell r="A5470" t="str">
            <v>Chuối Laba 30/11/2024</v>
          </cell>
          <cell r="B5470">
            <v>13000</v>
          </cell>
        </row>
        <row r="5471">
          <cell r="A5471" t="str">
            <v>Đậu Cove Trắng 30/11/2024</v>
          </cell>
          <cell r="B5471">
            <v>9000</v>
          </cell>
        </row>
        <row r="5472">
          <cell r="A5472" t="str">
            <v>Bí Non Nhật 30/11/2024</v>
          </cell>
          <cell r="B5472">
            <v>10000</v>
          </cell>
        </row>
        <row r="5473">
          <cell r="A5473" t="str">
            <v>Dưa Leo Thường 30/11/2024</v>
          </cell>
          <cell r="B5473">
            <v>6000</v>
          </cell>
        </row>
        <row r="5474">
          <cell r="A5474" t="str">
            <v>Cà Chua Thường 30/11/2024</v>
          </cell>
          <cell r="B5474">
            <v>20000</v>
          </cell>
        </row>
        <row r="5475">
          <cell r="A5475" t="str">
            <v>Cà Chua Thường Trung 30/11/2024</v>
          </cell>
          <cell r="B5475">
            <v>16000</v>
          </cell>
        </row>
        <row r="5476">
          <cell r="A5476" t="str">
            <v>Bí Đỏ Hồ Lô 30/11/2024</v>
          </cell>
          <cell r="B5476">
            <v>12000</v>
          </cell>
        </row>
        <row r="5477">
          <cell r="A5477" t="str">
            <v>Lá Nha Đam 30/11/2024</v>
          </cell>
          <cell r="B5477">
            <v>14000</v>
          </cell>
        </row>
        <row r="5478">
          <cell r="A5478" t="str">
            <v>Bắp Cải Trắng 30/11/2024</v>
          </cell>
          <cell r="B5478">
            <v>11000</v>
          </cell>
        </row>
        <row r="5479">
          <cell r="A5479" t="str">
            <v>Cà Chua Thường 30/11/2024</v>
          </cell>
          <cell r="B5479">
            <v>20000</v>
          </cell>
        </row>
        <row r="5480">
          <cell r="A5480" t="str">
            <v>Củ Khoai Lang Nhật 30/11/2024</v>
          </cell>
          <cell r="B5480">
            <v>17500</v>
          </cell>
        </row>
        <row r="5481">
          <cell r="A5481" t="str">
            <v>Bơ Booth 30/11/2024</v>
          </cell>
          <cell r="B5481">
            <v>41000</v>
          </cell>
        </row>
        <row r="5482">
          <cell r="A5482" t="str">
            <v>Củ Khoai Mỡ 30/11/2024</v>
          </cell>
          <cell r="B5482">
            <v>25000</v>
          </cell>
        </row>
        <row r="5483">
          <cell r="A5483" t="str">
            <v>Củ Gừng 30/11/2024</v>
          </cell>
          <cell r="B5483">
            <v>39000</v>
          </cell>
        </row>
        <row r="5484">
          <cell r="A5484" t="str">
            <v>Bắp Cải Trái Tim 30/11/2024</v>
          </cell>
          <cell r="B5484">
            <v>10000</v>
          </cell>
        </row>
        <row r="5485">
          <cell r="A5485" t="str">
            <v>Dưa Leo Baby 30/11/2024</v>
          </cell>
          <cell r="B5485">
            <v>6000</v>
          </cell>
        </row>
        <row r="5486">
          <cell r="A5486" t="str">
            <v>Dưa Leo Baby 30/11/2024</v>
          </cell>
          <cell r="B5486">
            <v>4000</v>
          </cell>
        </row>
        <row r="5487">
          <cell r="A5487" t="str">
            <v>Trái Su Su 30/11/2024</v>
          </cell>
          <cell r="B5487">
            <v>7000</v>
          </cell>
        </row>
        <row r="5488">
          <cell r="A5488" t="str">
            <v>Bí Non Nhật 30/11/2024</v>
          </cell>
          <cell r="B5488">
            <v>10000</v>
          </cell>
        </row>
        <row r="5489">
          <cell r="A5489" t="str">
            <v>Bí Ngòi Xanh 30/11/2024</v>
          </cell>
          <cell r="B5489">
            <v>9000</v>
          </cell>
        </row>
        <row r="5490">
          <cell r="A5490" t="str">
            <v>Cà Chua Socola 30/11/2024</v>
          </cell>
          <cell r="B5490">
            <v>10000</v>
          </cell>
        </row>
        <row r="5491">
          <cell r="A5491" t="str">
            <v>Cà Chua Socola 30/11/2024</v>
          </cell>
          <cell r="B5491">
            <v>11000</v>
          </cell>
        </row>
        <row r="5492">
          <cell r="A5492" t="str">
            <v>Rau Bầu Đất 30/11/2024</v>
          </cell>
          <cell r="B5492">
            <v>30000</v>
          </cell>
        </row>
        <row r="5493">
          <cell r="A5493" t="str">
            <v>Bông Cải Xanh 7Cm 30/11/2024</v>
          </cell>
          <cell r="B5493">
            <v>35000</v>
          </cell>
        </row>
        <row r="5494">
          <cell r="A5494" t="str">
            <v>Củ Hành Tây 30/11/2024</v>
          </cell>
          <cell r="B5494">
            <v>29000</v>
          </cell>
        </row>
        <row r="5495">
          <cell r="A5495" t="str">
            <v>Củ Khoai Lang Mật Size 46 30/11/2024</v>
          </cell>
          <cell r="B5495">
            <v>31000</v>
          </cell>
        </row>
        <row r="5496">
          <cell r="A5496" t="str">
            <v>Cà Chua Beef Trung 30/11/2024</v>
          </cell>
          <cell r="B5496">
            <v>17000</v>
          </cell>
        </row>
        <row r="5497">
          <cell r="A5497" t="str">
            <v>Trái Su Su 30/11/2024</v>
          </cell>
          <cell r="B5497">
            <v>6000</v>
          </cell>
        </row>
        <row r="5498">
          <cell r="A5498" t="str">
            <v>Trái Su Su 30/11/2024</v>
          </cell>
          <cell r="B5498">
            <v>6000</v>
          </cell>
        </row>
        <row r="5499">
          <cell r="A5499" t="str">
            <v>Gia Công Rau Củ Quả 30/11/2024</v>
          </cell>
          <cell r="B5499">
            <v>1700</v>
          </cell>
        </row>
        <row r="5500">
          <cell r="A5500" t="str">
            <v>Gia Công Rau Củ Quả 30/11/2024</v>
          </cell>
          <cell r="B5500">
            <v>1700</v>
          </cell>
        </row>
        <row r="5501">
          <cell r="A5501" t="str">
            <v>Gia Công Rau Củ Quả 30/11/2024</v>
          </cell>
          <cell r="B5501">
            <v>700</v>
          </cell>
        </row>
        <row r="5502">
          <cell r="A5502" t="str">
            <v>Cà Chua Socola 30/11/2024</v>
          </cell>
          <cell r="B5502">
            <v>34000</v>
          </cell>
        </row>
        <row r="5503">
          <cell r="A5503" t="str">
            <v>Bông Cải Xanh Cây 30/11/2024</v>
          </cell>
          <cell r="B5503">
            <v>5500</v>
          </cell>
        </row>
        <row r="5504">
          <cell r="A5504" t="str">
            <v>Đậu Cove Nhật 30/11/2024</v>
          </cell>
          <cell r="B5504">
            <v>6000</v>
          </cell>
        </row>
        <row r="5505">
          <cell r="A5505" t="str">
            <v>Xà Lách Thủy Tinh T.C Cây 30/11/2024</v>
          </cell>
          <cell r="B5505">
            <v>8000</v>
          </cell>
        </row>
        <row r="5506">
          <cell r="A5506" t="str">
            <v>Xà Lách Mỡ T.C 30/11/2024</v>
          </cell>
          <cell r="B5506">
            <v>26000</v>
          </cell>
        </row>
        <row r="5507">
          <cell r="A5507" t="str">
            <v>Xà Lách Lolo Xanh T.C 30/11/2024</v>
          </cell>
          <cell r="B5507">
            <v>26000</v>
          </cell>
        </row>
        <row r="5508">
          <cell r="A5508" t="str">
            <v>Cà Rốt 30/11/2024</v>
          </cell>
          <cell r="B5508">
            <v>13000</v>
          </cell>
        </row>
        <row r="5509">
          <cell r="A5509" t="str">
            <v>Xà Lách Lolo Xanh T.C 30/11/2024</v>
          </cell>
          <cell r="B5509">
            <v>28000</v>
          </cell>
        </row>
        <row r="5510">
          <cell r="A5510" t="str">
            <v>Xà Lách Mỡ T.C 30/11/2024</v>
          </cell>
          <cell r="B5510">
            <v>27000</v>
          </cell>
        </row>
        <row r="5511">
          <cell r="A5511" t="str">
            <v>Ớt Sweet Palemo 30/11/2024</v>
          </cell>
          <cell r="B5511">
            <v>20000</v>
          </cell>
        </row>
        <row r="5512">
          <cell r="A5512" t="str">
            <v>Ớt Chuông Đỏ 30/11/2024</v>
          </cell>
          <cell r="B5512">
            <v>25000</v>
          </cell>
        </row>
        <row r="5513">
          <cell r="A5513" t="str">
            <v>Ớt Chuông Vàng 30/11/2024</v>
          </cell>
          <cell r="B5513">
            <v>13000</v>
          </cell>
        </row>
        <row r="5514">
          <cell r="A5514" t="str">
            <v>Ớt Chuông Xanh 30/11/2024</v>
          </cell>
          <cell r="B5514">
            <v>25000</v>
          </cell>
        </row>
        <row r="5515">
          <cell r="A5515" t="str">
            <v>Hành Paro 30/11/2024</v>
          </cell>
          <cell r="B5515">
            <v>28000</v>
          </cell>
        </row>
        <row r="5516">
          <cell r="A5516" t="str">
            <v>Trái Mâm Xôi 30/11/2024</v>
          </cell>
          <cell r="B5516">
            <v>35000</v>
          </cell>
        </row>
        <row r="5517">
          <cell r="A5517" t="str">
            <v>Cải Thảo 30/11/2024</v>
          </cell>
          <cell r="B5517">
            <v>7000</v>
          </cell>
        </row>
        <row r="5518">
          <cell r="A5518" t="str">
            <v>Cà Chua Beef Chùm 30/11/2024</v>
          </cell>
          <cell r="B5518">
            <v>20000</v>
          </cell>
        </row>
        <row r="5519">
          <cell r="A5519" t="str">
            <v>Ớt Sweet Palemo 30/11/2024</v>
          </cell>
          <cell r="B5519">
            <v>18500</v>
          </cell>
        </row>
        <row r="5520">
          <cell r="A5520" t="str">
            <v>Dưa Leo Baby 30/11/2024</v>
          </cell>
          <cell r="B5520">
            <v>4000</v>
          </cell>
        </row>
        <row r="5521">
          <cell r="A5521" t="str">
            <v>Cải Thảo Hỏa Tiễn 30/11/2024</v>
          </cell>
          <cell r="B5521">
            <v>16000</v>
          </cell>
        </row>
        <row r="5522">
          <cell r="A5522" t="str">
            <v>Bắp Cải Tím 30/11/2024</v>
          </cell>
          <cell r="B5522">
            <v>30000</v>
          </cell>
        </row>
        <row r="5523">
          <cell r="A5523" t="str">
            <v>Cần Tây 30/11/2024</v>
          </cell>
          <cell r="B5523">
            <v>16000</v>
          </cell>
        </row>
        <row r="5524">
          <cell r="A5524" t="str">
            <v>Cần Tây 30/11/2024</v>
          </cell>
          <cell r="B5524">
            <v>20000</v>
          </cell>
        </row>
        <row r="5525">
          <cell r="A5525" t="str">
            <v>Ớt Chuông Đỏ Trung 30/11/2024</v>
          </cell>
          <cell r="B5525">
            <v>20000</v>
          </cell>
        </row>
        <row r="5526">
          <cell r="A5526" t="str">
            <v>Ớt Chuông Vàng Trung 30/11/2024</v>
          </cell>
          <cell r="B5526">
            <v>8000</v>
          </cell>
        </row>
        <row r="5527">
          <cell r="A5527" t="str">
            <v>Ớt Chuông Xanh 30/11/2024</v>
          </cell>
          <cell r="B5527">
            <v>25000</v>
          </cell>
        </row>
        <row r="5528">
          <cell r="A5528" t="str">
            <v>Bông Cải Xanh 12Cm 30/11/2024</v>
          </cell>
          <cell r="B5528">
            <v>22000</v>
          </cell>
        </row>
        <row r="5529">
          <cell r="A5529" t="str">
            <v>Bí Ngòi Xanh 30/11/2024</v>
          </cell>
          <cell r="B5529">
            <v>8000</v>
          </cell>
        </row>
        <row r="5530">
          <cell r="A5530" t="str">
            <v>Bông Cải Xanh 12Cm 30/11/2024</v>
          </cell>
          <cell r="B5530">
            <v>22000</v>
          </cell>
        </row>
        <row r="5531">
          <cell r="A5531" t="str">
            <v>Bông Cải Xanh Gốc Dài 30/11/2024</v>
          </cell>
          <cell r="B5531">
            <v>23000</v>
          </cell>
        </row>
        <row r="5532">
          <cell r="A5532" t="str">
            <v>Bông Cải Xanh 7Cm 30/11/2024</v>
          </cell>
          <cell r="B5532">
            <v>32000</v>
          </cell>
        </row>
        <row r="5533">
          <cell r="A5533" t="str">
            <v>Bông Cải Xanh 12Cm 30/11/2024</v>
          </cell>
          <cell r="B5533">
            <v>22000</v>
          </cell>
        </row>
        <row r="5534">
          <cell r="A5534" t="str">
            <v>Bông Cải Xanh 12Cm 30/11/2024</v>
          </cell>
          <cell r="B5534">
            <v>22000</v>
          </cell>
        </row>
        <row r="5535">
          <cell r="A5535" t="str">
            <v>Bông Cải Xanh 7Cm 30/11/2024</v>
          </cell>
          <cell r="B5535">
            <v>30000</v>
          </cell>
        </row>
        <row r="5536">
          <cell r="A5536" t="str">
            <v>Bông Cải Xanh 7Cm 30/11/2024</v>
          </cell>
          <cell r="B5536">
            <v>32000</v>
          </cell>
        </row>
        <row r="5537">
          <cell r="A5537" t="str">
            <v>Cà Chua Beef 30/11/2024</v>
          </cell>
          <cell r="B5537">
            <v>19000</v>
          </cell>
        </row>
        <row r="5538">
          <cell r="A5538" t="str">
            <v>Trái Khổ Qua 30/11/2024</v>
          </cell>
          <cell r="B5538">
            <v>10000</v>
          </cell>
        </row>
        <row r="5539">
          <cell r="A5539" t="str">
            <v>Củ Dền 30/11/2024</v>
          </cell>
          <cell r="B5539">
            <v>18000</v>
          </cell>
        </row>
        <row r="5540">
          <cell r="A5540" t="str">
            <v>Củ Khoai Tây Vàng 30/11/2024</v>
          </cell>
          <cell r="B5540">
            <v>15000</v>
          </cell>
        </row>
        <row r="5541">
          <cell r="A5541" t="str">
            <v>Củ Khoai Tây Vàng Trung 30/11/2024</v>
          </cell>
          <cell r="B5541">
            <v>12000</v>
          </cell>
        </row>
        <row r="5542">
          <cell r="A5542" t="str">
            <v>Cải Bó Xôi 30/11/2024</v>
          </cell>
          <cell r="B5542">
            <v>17000</v>
          </cell>
        </row>
        <row r="5543">
          <cell r="A5543" t="str">
            <v>Cải Bó Xôi 30/11/2024</v>
          </cell>
          <cell r="B5543">
            <v>20000</v>
          </cell>
        </row>
        <row r="5544">
          <cell r="A5544" t="str">
            <v>Cà Chua Beef 30/11/2024</v>
          </cell>
          <cell r="B5544">
            <v>18000</v>
          </cell>
        </row>
        <row r="5545">
          <cell r="A5545" t="str">
            <v>Cà Chua Beef 30/11/2024</v>
          </cell>
          <cell r="B5545">
            <v>15000</v>
          </cell>
        </row>
        <row r="5546">
          <cell r="A5546" t="str">
            <v>Cà Chua Beef Trung 30/11/2024</v>
          </cell>
          <cell r="B5546">
            <v>17000</v>
          </cell>
        </row>
        <row r="5547">
          <cell r="A5547" t="str">
            <v>Cà Chua Beef Trung 30/11/2024</v>
          </cell>
          <cell r="B5547">
            <v>15000</v>
          </cell>
        </row>
        <row r="5548">
          <cell r="A5548" t="str">
            <v>Cải Bó Xôi 30/11/2024</v>
          </cell>
          <cell r="B5548">
            <v>20000</v>
          </cell>
        </row>
        <row r="5549">
          <cell r="A5549" t="str">
            <v>Cà Chua Bi Mix 30/11/2024</v>
          </cell>
          <cell r="B5549">
            <v>50000</v>
          </cell>
        </row>
        <row r="5550">
          <cell r="A5550" t="str">
            <v>Cà Chua Bi Mix 30/11/2024</v>
          </cell>
          <cell r="B5550">
            <v>51500</v>
          </cell>
        </row>
        <row r="5551">
          <cell r="A5551" t="str">
            <v>Cà Chua Socola 30/11/2024</v>
          </cell>
          <cell r="B5551">
            <v>46500</v>
          </cell>
        </row>
        <row r="5552">
          <cell r="A5552" t="str">
            <v>Xà Lách Thủy Tinh T.C Cây 30/11/2024</v>
          </cell>
          <cell r="B5552">
            <v>6800</v>
          </cell>
        </row>
        <row r="5553">
          <cell r="A5553" t="str">
            <v>Xà Lách Thủy Tinh T.C 30/11/2024</v>
          </cell>
          <cell r="B5553">
            <v>30000</v>
          </cell>
        </row>
        <row r="5554">
          <cell r="A5554" t="str">
            <v>Bông Cải Xanh Baby 30/11/2024</v>
          </cell>
          <cell r="B5554">
            <v>38000</v>
          </cell>
        </row>
        <row r="5555">
          <cell r="A5555" t="str">
            <v>Cà Chua Beef Trung 30/11/2024</v>
          </cell>
          <cell r="B5555">
            <v>18000</v>
          </cell>
        </row>
        <row r="5556">
          <cell r="A5556" t="str">
            <v>Củ Cải Đỏ 30/11/2024</v>
          </cell>
          <cell r="B5556">
            <v>9500</v>
          </cell>
        </row>
        <row r="5557">
          <cell r="A5557" t="str">
            <v>Xà Lách Lolo Tím 30/11/2024</v>
          </cell>
          <cell r="B5557">
            <v>35000</v>
          </cell>
        </row>
        <row r="5558">
          <cell r="A5558" t="str">
            <v>Ớt Sweet Palemo 30/11/2024</v>
          </cell>
          <cell r="B5558">
            <v>19000</v>
          </cell>
        </row>
        <row r="5559">
          <cell r="A5559" t="str">
            <v>Xà Lách Lolo Xanh 30/11/2024</v>
          </cell>
          <cell r="B5559">
            <v>12000</v>
          </cell>
        </row>
        <row r="5560">
          <cell r="A5560" t="str">
            <v>Bông Cải Xanh Baby 30/11/2024</v>
          </cell>
          <cell r="B5560">
            <v>38000</v>
          </cell>
        </row>
        <row r="5561">
          <cell r="A5561" t="str">
            <v>Củ Cải Đỏ 30/11/2024</v>
          </cell>
          <cell r="B5561">
            <v>9500</v>
          </cell>
        </row>
        <row r="5562">
          <cell r="A5562" t="str">
            <v>Xà Lách Lolo Xanh 30/11/2024</v>
          </cell>
          <cell r="B5562">
            <v>15000</v>
          </cell>
        </row>
        <row r="5563">
          <cell r="A5563" t="str">
            <v>Lá Mè 30/11/2024</v>
          </cell>
          <cell r="B5563">
            <v>38000</v>
          </cell>
        </row>
        <row r="5564">
          <cell r="A5564" t="str">
            <v>Dưa Leo Baby 30/11/2024</v>
          </cell>
          <cell r="B5564">
            <v>5000</v>
          </cell>
        </row>
        <row r="5565">
          <cell r="A5565" t="str">
            <v>Cải Kale 30/11/2024</v>
          </cell>
          <cell r="B5565">
            <v>23000</v>
          </cell>
        </row>
        <row r="5566">
          <cell r="A5566" t="str">
            <v>Cà Rốt Baby 30/11/2024</v>
          </cell>
          <cell r="B5566">
            <v>38000</v>
          </cell>
        </row>
        <row r="5567">
          <cell r="A5567" t="str">
            <v>Túi đựng ngò rí 30/11/2024</v>
          </cell>
          <cell r="B5567">
            <v>75000</v>
          </cell>
        </row>
        <row r="5568">
          <cell r="A5568" t="str">
            <v>Hạt Dẻ Ngố 30/11/2024</v>
          </cell>
          <cell r="B5568">
            <v>27600</v>
          </cell>
        </row>
        <row r="5569">
          <cell r="A5569" t="str">
            <v>Cà Chua Bi Đỏ 30/11/2024</v>
          </cell>
          <cell r="B5569">
            <v>8700</v>
          </cell>
        </row>
        <row r="5570">
          <cell r="A5570" t="str">
            <v>Hộp nhựa P500D 30/11/2024</v>
          </cell>
          <cell r="B5570">
            <v>1400</v>
          </cell>
        </row>
        <row r="5571">
          <cell r="A5571" t="str">
            <v>Dây rút nhựa 3x100 30/11/2024</v>
          </cell>
          <cell r="B5571">
            <v>35000</v>
          </cell>
        </row>
        <row r="5572">
          <cell r="A5572" t="str">
            <v>Hộp giấy đựng hồng treo 30/11/2024</v>
          </cell>
          <cell r="B5572">
            <v>5500</v>
          </cell>
        </row>
        <row r="5573">
          <cell r="A5573" t="str">
            <v>Xà Lách Mỡ T.C Cây 30/11/2024</v>
          </cell>
          <cell r="B5573">
            <v>6800</v>
          </cell>
        </row>
        <row r="5574">
          <cell r="A5574" t="str">
            <v>Củ Dền 30/11/2024</v>
          </cell>
          <cell r="B5574">
            <v>18000</v>
          </cell>
        </row>
        <row r="5575">
          <cell r="A5575" t="str">
            <v>Bông Cải Xanh Cọng 30/11/2024</v>
          </cell>
          <cell r="B5575">
            <v>26000</v>
          </cell>
        </row>
        <row r="5576">
          <cell r="A5576" t="str">
            <v>Bông Cải Xanh Cọng 30/11/2024</v>
          </cell>
          <cell r="B5576">
            <v>23000</v>
          </cell>
        </row>
        <row r="5577">
          <cell r="A5577" t="str">
            <v>Ớt Chuông Đỏ 30/11/2024</v>
          </cell>
          <cell r="B5577">
            <v>25000</v>
          </cell>
        </row>
        <row r="5578">
          <cell r="A5578" t="str">
            <v>Ớt Chuông Vàng 30/11/2024</v>
          </cell>
          <cell r="B5578">
            <v>13000</v>
          </cell>
        </row>
        <row r="5579">
          <cell r="A5579" t="str">
            <v>Ớt Chuông Xanh 30/11/2024</v>
          </cell>
          <cell r="B5579">
            <v>25000</v>
          </cell>
        </row>
        <row r="5580">
          <cell r="A5580" t="str">
            <v>Bắp Cải Tím 30/11/2024</v>
          </cell>
          <cell r="B5580">
            <v>30000</v>
          </cell>
        </row>
        <row r="5581">
          <cell r="A5581" t="str">
            <v>Cần Tây 30/11/2024</v>
          </cell>
          <cell r="B5581">
            <v>16000</v>
          </cell>
        </row>
        <row r="5582">
          <cell r="A5582" t="str">
            <v>Cải Thảo Hỏa Tiễn 30/11/2024</v>
          </cell>
          <cell r="B5582">
            <v>16000</v>
          </cell>
        </row>
        <row r="5583">
          <cell r="A5583" t="str">
            <v>Cà Chua Beef 30/11/2024</v>
          </cell>
          <cell r="B5583">
            <v>18000</v>
          </cell>
        </row>
        <row r="5584">
          <cell r="A5584" t="str">
            <v>Cần Tây 30/11/2024</v>
          </cell>
          <cell r="B5584">
            <v>17000</v>
          </cell>
        </row>
        <row r="5585">
          <cell r="A5585" t="str">
            <v>Xà Lách Lolo Xanh T.C Cây 30/11/2024</v>
          </cell>
          <cell r="B5585">
            <v>6000</v>
          </cell>
        </row>
        <row r="5586">
          <cell r="A5586" t="str">
            <v>Cà Chua Beef 30/11/2024</v>
          </cell>
          <cell r="B5586">
            <v>19000</v>
          </cell>
        </row>
        <row r="5587">
          <cell r="A5587" t="str">
            <v>Cải Thảo 30/11/2024</v>
          </cell>
          <cell r="B5587">
            <v>7000</v>
          </cell>
        </row>
        <row r="5588">
          <cell r="A5588" t="str">
            <v>Dưa Leo Baby 30/11/2024</v>
          </cell>
          <cell r="B5588">
            <v>5000</v>
          </cell>
        </row>
        <row r="5589">
          <cell r="A5589" t="str">
            <v>Xà Lách Thủy Tinh T.C Cây 30/11/2024</v>
          </cell>
          <cell r="B5589">
            <v>6500</v>
          </cell>
        </row>
        <row r="5590">
          <cell r="A5590" t="str">
            <v>Bắp Cải Trái Tim 30/11/2024</v>
          </cell>
          <cell r="B5590">
            <v>10000</v>
          </cell>
        </row>
        <row r="5591">
          <cell r="A5591" t="str">
            <v>Chanh Dây Tím 30/11/2024</v>
          </cell>
          <cell r="B5591">
            <v>28000</v>
          </cell>
        </row>
        <row r="5592">
          <cell r="A5592" t="str">
            <v>Cà Rốt 30/11/2024</v>
          </cell>
          <cell r="B5592">
            <v>15000</v>
          </cell>
        </row>
        <row r="5593">
          <cell r="A5593" t="str">
            <v>Cà Chua Thường 30/11/2024</v>
          </cell>
          <cell r="B5593">
            <v>19000</v>
          </cell>
        </row>
        <row r="5594">
          <cell r="A5594" t="str">
            <v>Củ Khoai Tây Vàng 30/11/2024</v>
          </cell>
          <cell r="B5594">
            <v>15000</v>
          </cell>
        </row>
        <row r="5595">
          <cell r="A5595" t="str">
            <v>Củ Khoai Tây Bi Vàng 30/11/2024</v>
          </cell>
          <cell r="B5595">
            <v>12000</v>
          </cell>
        </row>
        <row r="5596">
          <cell r="A5596" t="str">
            <v>Củ Cải Trắng 30/11/2024</v>
          </cell>
          <cell r="B5596">
            <v>6000</v>
          </cell>
        </row>
        <row r="5597">
          <cell r="A5597" t="str">
            <v>Cà Chua Beef 30/11/2024</v>
          </cell>
          <cell r="B5597">
            <v>18000</v>
          </cell>
        </row>
        <row r="5598">
          <cell r="A5598" t="str">
            <v>Củ Su Hào 30/11/2024</v>
          </cell>
          <cell r="B5598">
            <v>13000</v>
          </cell>
        </row>
        <row r="5599">
          <cell r="A5599" t="str">
            <v>Đậu Cove Nhật 30/11/2024</v>
          </cell>
          <cell r="B5599">
            <v>6000</v>
          </cell>
        </row>
        <row r="5600">
          <cell r="A5600" t="str">
            <v>Bông Cải Trắng 30/11/2024</v>
          </cell>
          <cell r="B5600">
            <v>25000</v>
          </cell>
        </row>
        <row r="5601">
          <cell r="A5601" t="str">
            <v>Bơ Booth 30/11/2024</v>
          </cell>
          <cell r="B5601">
            <v>30000</v>
          </cell>
        </row>
        <row r="5602">
          <cell r="A5602" t="str">
            <v>Bí Đao Xanh 30/11/2024</v>
          </cell>
          <cell r="B5602">
            <v>6500</v>
          </cell>
        </row>
        <row r="5603">
          <cell r="A5603" t="str">
            <v>Cà Tím 30/11/2024</v>
          </cell>
          <cell r="B5603">
            <v>5500</v>
          </cell>
        </row>
        <row r="5604">
          <cell r="A5604" t="str">
            <v>Cà Rốt 30/11/2024</v>
          </cell>
          <cell r="B5604">
            <v>12000</v>
          </cell>
        </row>
        <row r="5605">
          <cell r="A5605" t="str">
            <v>Bắp Cải Trắng 30/11/2024</v>
          </cell>
          <cell r="B5605">
            <v>11000</v>
          </cell>
        </row>
        <row r="5606">
          <cell r="A5606" t="str">
            <v>Đậu Cove Trắng 30/11/2024</v>
          </cell>
          <cell r="B5606">
            <v>9000</v>
          </cell>
        </row>
        <row r="5607">
          <cell r="A5607" t="str">
            <v>Củ Khoai Lang Nhật 30/11/2024</v>
          </cell>
          <cell r="B5607">
            <v>17000</v>
          </cell>
        </row>
        <row r="5608">
          <cell r="A5608" t="str">
            <v>Hành Paro 30/11/2024</v>
          </cell>
          <cell r="B5608">
            <v>29000</v>
          </cell>
        </row>
        <row r="5609">
          <cell r="A5609" t="str">
            <v>Hộp giấy carton đựng hồng treo gió 30/11/2024</v>
          </cell>
          <cell r="B5609">
            <v>8500</v>
          </cell>
        </row>
      </sheetData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Ổ CHI TIẾT MUA HÀNG"/>
      <sheetName val="Sheet1"/>
    </sheetNames>
    <sheetDataSet>
      <sheetData sheetId="0">
        <row r="1">
          <cell r="I1" t="str">
            <v>Tên hàng ĐVT Ngày hạch toán</v>
          </cell>
          <cell r="J1" t="str">
            <v>Số lượng mua</v>
          </cell>
          <cell r="K1" t="str">
            <v>Đơn giá</v>
          </cell>
        </row>
        <row r="2">
          <cell r="I2" t="str">
            <v>Củ Cải Trắng Kg 19/11/2024</v>
          </cell>
          <cell r="J2">
            <v>20</v>
          </cell>
          <cell r="K2">
            <v>6000</v>
          </cell>
        </row>
        <row r="3">
          <cell r="I3" t="str">
            <v>Củ Khoai Lang Nhật Kg 19/11/2024</v>
          </cell>
          <cell r="J3">
            <v>80</v>
          </cell>
          <cell r="K3">
            <v>17000</v>
          </cell>
        </row>
        <row r="4">
          <cell r="I4" t="str">
            <v>Ớt Chuông Đỏ Kg 19/11/2024</v>
          </cell>
          <cell r="J4">
            <v>146.5</v>
          </cell>
          <cell r="K4">
            <v>37000</v>
          </cell>
        </row>
        <row r="5">
          <cell r="I5" t="str">
            <v>Ớt Chuông Vàng Kg 19/11/2024</v>
          </cell>
          <cell r="J5">
            <v>200</v>
          </cell>
          <cell r="K5">
            <v>18000</v>
          </cell>
        </row>
        <row r="6">
          <cell r="I6" t="str">
            <v>Ớt Chuông Xanh Kg 19/11/2024</v>
          </cell>
          <cell r="J6">
            <v>100</v>
          </cell>
          <cell r="K6">
            <v>27000</v>
          </cell>
        </row>
        <row r="7">
          <cell r="I7" t="str">
            <v>Ớt Chuông Snack Kg 19/11/2024</v>
          </cell>
          <cell r="J7">
            <v>12</v>
          </cell>
          <cell r="K7">
            <v>49000</v>
          </cell>
        </row>
        <row r="8">
          <cell r="I8" t="str">
            <v>Ớt Chuông Baby Kg 19/11/2024</v>
          </cell>
          <cell r="J8">
            <v>30</v>
          </cell>
          <cell r="K8">
            <v>44000</v>
          </cell>
        </row>
        <row r="9">
          <cell r="I9" t="str">
            <v>Củ Khoai Mỡ Kg 19/11/2024</v>
          </cell>
          <cell r="J9">
            <v>20</v>
          </cell>
          <cell r="K9">
            <v>30000</v>
          </cell>
        </row>
        <row r="10">
          <cell r="I10" t="str">
            <v>Lá Nha Đam Kg 19/11/2024</v>
          </cell>
          <cell r="J10">
            <v>10</v>
          </cell>
          <cell r="K10">
            <v>13000</v>
          </cell>
        </row>
        <row r="11">
          <cell r="I11" t="str">
            <v>Củ Su Hào Kg 19/11/2024</v>
          </cell>
          <cell r="J11">
            <v>10</v>
          </cell>
          <cell r="K11">
            <v>18000</v>
          </cell>
        </row>
        <row r="12">
          <cell r="I12" t="str">
            <v>Củ Khoai Tây Vàng Kg 19/11/2024</v>
          </cell>
          <cell r="J12">
            <v>20</v>
          </cell>
          <cell r="K12">
            <v>15000</v>
          </cell>
        </row>
        <row r="13">
          <cell r="I13" t="str">
            <v>Cà Chua Bi Đỏ Hộp 300gr 19/11/2024</v>
          </cell>
          <cell r="J13">
            <v>140</v>
          </cell>
          <cell r="K13">
            <v>10500</v>
          </cell>
        </row>
        <row r="14">
          <cell r="I14" t="str">
            <v>Đậu Cove Trắng Túi 300gr 19/11/2024</v>
          </cell>
          <cell r="J14">
            <v>40</v>
          </cell>
          <cell r="K14">
            <v>6000</v>
          </cell>
        </row>
        <row r="15">
          <cell r="I15" t="str">
            <v>Bí Non Nhật Kg 19/11/2024</v>
          </cell>
          <cell r="J15">
            <v>55</v>
          </cell>
          <cell r="K15">
            <v>11000</v>
          </cell>
        </row>
        <row r="16">
          <cell r="I16" t="str">
            <v>Dưa Leo Nhật Kg 19/11/2024</v>
          </cell>
          <cell r="J16">
            <v>27</v>
          </cell>
          <cell r="K16">
            <v>10000</v>
          </cell>
        </row>
        <row r="17">
          <cell r="I17" t="str">
            <v>Hành Paro Kg 19/11/2024</v>
          </cell>
          <cell r="J17">
            <v>20</v>
          </cell>
          <cell r="K17">
            <v>36000</v>
          </cell>
        </row>
        <row r="18">
          <cell r="I18" t="str">
            <v>Dưa Leo Baby Vỉ 19/11/2024</v>
          </cell>
          <cell r="J18">
            <v>300</v>
          </cell>
          <cell r="K18">
            <v>4500</v>
          </cell>
        </row>
        <row r="19">
          <cell r="I19" t="str">
            <v>Cà Chua Thường Kg 19/11/2024</v>
          </cell>
          <cell r="J19">
            <v>100</v>
          </cell>
          <cell r="K19">
            <v>15000</v>
          </cell>
        </row>
        <row r="20">
          <cell r="I20" t="str">
            <v>Hạt Dẻ Ngố Kg 19/11/2024</v>
          </cell>
          <cell r="J20">
            <v>1000</v>
          </cell>
          <cell r="K20">
            <v>26400</v>
          </cell>
        </row>
        <row r="21">
          <cell r="I21" t="str">
            <v>Rau Ngò Rí Kg 19/11/2024</v>
          </cell>
          <cell r="J21">
            <v>6</v>
          </cell>
          <cell r="K21">
            <v>35000</v>
          </cell>
        </row>
        <row r="22">
          <cell r="I22" t="str">
            <v>Củ Dền Kg 19/11/2024</v>
          </cell>
          <cell r="J22">
            <v>40</v>
          </cell>
          <cell r="K22">
            <v>18000</v>
          </cell>
        </row>
        <row r="23">
          <cell r="I23" t="str">
            <v>Bắp Cải Tím Kg 19/11/2024</v>
          </cell>
          <cell r="J23">
            <v>25</v>
          </cell>
          <cell r="K23">
            <v>30000</v>
          </cell>
        </row>
        <row r="24">
          <cell r="I24" t="str">
            <v>Cần Tây Kg 19/11/2024</v>
          </cell>
          <cell r="J24">
            <v>75</v>
          </cell>
          <cell r="K24">
            <v>17000</v>
          </cell>
        </row>
        <row r="25">
          <cell r="I25" t="str">
            <v>Cải Bó Xôi Kg 19/11/2024</v>
          </cell>
          <cell r="J25">
            <v>40</v>
          </cell>
          <cell r="K25">
            <v>26000</v>
          </cell>
        </row>
        <row r="26">
          <cell r="I26" t="str">
            <v>Bông Cải Xanh 7Cm Kg 19/11/2024</v>
          </cell>
          <cell r="J26">
            <v>30</v>
          </cell>
          <cell r="K26">
            <v>39000</v>
          </cell>
        </row>
        <row r="27">
          <cell r="I27" t="str">
            <v>Xà Lách Lolo Xanh T.C Cây Cây 19/11/2024</v>
          </cell>
          <cell r="J27">
            <v>100</v>
          </cell>
          <cell r="K27">
            <v>6800</v>
          </cell>
        </row>
        <row r="28">
          <cell r="I28" t="str">
            <v>Xà Lách Lolo Xanh T.C Kg 19/11/2024</v>
          </cell>
          <cell r="J28">
            <v>10</v>
          </cell>
          <cell r="K28">
            <v>28000</v>
          </cell>
        </row>
        <row r="29">
          <cell r="I29" t="str">
            <v>Xà Lách Mỡ T.C Cây Cây 19/11/2024</v>
          </cell>
          <cell r="J29">
            <v>20</v>
          </cell>
          <cell r="K29">
            <v>6800</v>
          </cell>
        </row>
        <row r="30">
          <cell r="I30" t="str">
            <v>Xà Lách Mỡ T.C Kg 19/11/2024</v>
          </cell>
          <cell r="J30">
            <v>30</v>
          </cell>
          <cell r="K30">
            <v>28000</v>
          </cell>
        </row>
        <row r="31">
          <cell r="I31" t="str">
            <v>Xà Lách Thủy Tinh T.C Cây Cây 19/11/2024</v>
          </cell>
          <cell r="J31">
            <v>10</v>
          </cell>
          <cell r="K31">
            <v>6800</v>
          </cell>
        </row>
        <row r="32">
          <cell r="I32" t="str">
            <v>Cà Chua Bi Mix Kg 19/11/2024</v>
          </cell>
          <cell r="J32">
            <v>21</v>
          </cell>
          <cell r="K32">
            <v>51500</v>
          </cell>
        </row>
        <row r="33">
          <cell r="I33" t="str">
            <v>Cải Kale Kg 19/11/2024</v>
          </cell>
          <cell r="J33">
            <v>15.3</v>
          </cell>
          <cell r="K33">
            <v>30500</v>
          </cell>
        </row>
        <row r="34">
          <cell r="I34" t="str">
            <v>Chanh Không Hạt Kg 19/11/2024</v>
          </cell>
          <cell r="J34">
            <v>6.25</v>
          </cell>
          <cell r="K34">
            <v>26000</v>
          </cell>
        </row>
        <row r="35">
          <cell r="I35" t="str">
            <v>Cà Chua Beef Trung Kg 19/11/2024</v>
          </cell>
          <cell r="J35">
            <v>50</v>
          </cell>
          <cell r="K35">
            <v>19000</v>
          </cell>
        </row>
        <row r="36">
          <cell r="I36" t="str">
            <v>Lá Mè Kg 19/11/2024</v>
          </cell>
          <cell r="J36">
            <v>10</v>
          </cell>
          <cell r="K36">
            <v>40000</v>
          </cell>
        </row>
        <row r="37">
          <cell r="I37" t="str">
            <v>Xà Lách Lolo Xanh Kg 19/11/2024</v>
          </cell>
          <cell r="J37">
            <v>90</v>
          </cell>
          <cell r="K37">
            <v>23000</v>
          </cell>
        </row>
        <row r="38">
          <cell r="I38" t="str">
            <v>Củ Cải Đỏ Hộp 19/11/2024</v>
          </cell>
          <cell r="J38">
            <v>24</v>
          </cell>
          <cell r="K38">
            <v>14000</v>
          </cell>
        </row>
        <row r="39">
          <cell r="I39" t="str">
            <v>Bông Cải Xanh Baby Kg 19/11/2024</v>
          </cell>
          <cell r="J39">
            <v>10.4</v>
          </cell>
          <cell r="K39">
            <v>57000</v>
          </cell>
        </row>
        <row r="40">
          <cell r="I40" t="str">
            <v>Lá Quế Tây Kg 19/11/2024</v>
          </cell>
          <cell r="J40">
            <v>0.6</v>
          </cell>
          <cell r="K40">
            <v>100000</v>
          </cell>
        </row>
        <row r="41">
          <cell r="I41" t="str">
            <v>Xà Lách Romaine Kg 19/11/2024</v>
          </cell>
          <cell r="J41">
            <v>5</v>
          </cell>
          <cell r="K41">
            <v>30000</v>
          </cell>
        </row>
        <row r="42">
          <cell r="I42" t="str">
            <v>Ớt Sweet Palemo Túi 19/11/2024</v>
          </cell>
          <cell r="J42">
            <v>100</v>
          </cell>
          <cell r="K42">
            <v>23000</v>
          </cell>
        </row>
        <row r="43">
          <cell r="I43" t="str">
            <v>Cải Kale Kg 19/11/2024</v>
          </cell>
          <cell r="J43">
            <v>14.4</v>
          </cell>
          <cell r="K43">
            <v>30000</v>
          </cell>
        </row>
        <row r="44">
          <cell r="I44" t="str">
            <v>Cà Chua Thường Kg 20/11/2024</v>
          </cell>
          <cell r="J44">
            <v>40</v>
          </cell>
          <cell r="K44">
            <v>14000</v>
          </cell>
        </row>
        <row r="45">
          <cell r="I45" t="str">
            <v>Củ Khoai Mỡ Kg 20/11/2024</v>
          </cell>
          <cell r="J45">
            <v>20</v>
          </cell>
          <cell r="K45">
            <v>30000</v>
          </cell>
        </row>
        <row r="46">
          <cell r="I46" t="str">
            <v>Bí Đao Xanh Kg 20/11/2024</v>
          </cell>
          <cell r="J46">
            <v>10</v>
          </cell>
          <cell r="K46">
            <v>7000</v>
          </cell>
        </row>
        <row r="47">
          <cell r="I47" t="str">
            <v>Bí Đỏ Tròn Kg 20/11/2024</v>
          </cell>
          <cell r="J47">
            <v>40</v>
          </cell>
          <cell r="K47">
            <v>5000</v>
          </cell>
        </row>
        <row r="48">
          <cell r="I48" t="str">
            <v>Củ Khoai Lang Nhật Kg 20/11/2024</v>
          </cell>
          <cell r="J48">
            <v>100</v>
          </cell>
          <cell r="K48">
            <v>17000</v>
          </cell>
        </row>
        <row r="49">
          <cell r="I49" t="str">
            <v>Bí Ngô Mini Kg 20/11/2024</v>
          </cell>
          <cell r="J49">
            <v>10</v>
          </cell>
          <cell r="K49">
            <v>48000</v>
          </cell>
        </row>
        <row r="50">
          <cell r="I50" t="str">
            <v>Lá Mè Kg 20/11/2024</v>
          </cell>
          <cell r="J50">
            <v>5.4</v>
          </cell>
          <cell r="K50">
            <v>36000</v>
          </cell>
        </row>
        <row r="51">
          <cell r="I51" t="str">
            <v>Củ Hành Tây Tím Kg 20/11/2024</v>
          </cell>
          <cell r="J51">
            <v>40</v>
          </cell>
          <cell r="K51">
            <v>20000</v>
          </cell>
        </row>
        <row r="52">
          <cell r="I52" t="str">
            <v>Cải Bó Xôi Kg 20/11/2024</v>
          </cell>
          <cell r="J52">
            <v>20</v>
          </cell>
          <cell r="K52">
            <v>25000</v>
          </cell>
        </row>
        <row r="53">
          <cell r="I53" t="str">
            <v>Bắp Cải Tím Kg 20/11/2024</v>
          </cell>
          <cell r="J53">
            <v>20</v>
          </cell>
          <cell r="K53">
            <v>30000</v>
          </cell>
        </row>
        <row r="54">
          <cell r="I54" t="str">
            <v>Cần Tây Kg 20/11/2024</v>
          </cell>
          <cell r="J54">
            <v>124</v>
          </cell>
          <cell r="K54">
            <v>20000</v>
          </cell>
        </row>
        <row r="55">
          <cell r="I55" t="str">
            <v>Cà Chua Beef Kg 20/11/2024</v>
          </cell>
          <cell r="J55">
            <v>80</v>
          </cell>
          <cell r="K55">
            <v>20000</v>
          </cell>
        </row>
        <row r="56">
          <cell r="I56" t="str">
            <v>Xà Lách Mỹ Kg 20/11/2024</v>
          </cell>
          <cell r="J56">
            <v>20</v>
          </cell>
          <cell r="K56">
            <v>33000</v>
          </cell>
        </row>
        <row r="57">
          <cell r="I57" t="str">
            <v>Trái Mít Thái Kg 20/11/2024</v>
          </cell>
          <cell r="J57">
            <v>75</v>
          </cell>
          <cell r="K57">
            <v>19533</v>
          </cell>
        </row>
        <row r="58">
          <cell r="I58" t="str">
            <v>Măng Tây Kg 20/11/2024</v>
          </cell>
          <cell r="J58">
            <v>15</v>
          </cell>
          <cell r="K58">
            <v>57000</v>
          </cell>
        </row>
        <row r="59">
          <cell r="I59" t="str">
            <v>Măng Tây Kg 20/11/2024</v>
          </cell>
          <cell r="J59">
            <v>5</v>
          </cell>
          <cell r="K59">
            <v>45000</v>
          </cell>
        </row>
        <row r="60">
          <cell r="I60" t="str">
            <v>Lá É Kg 20/11/2024</v>
          </cell>
          <cell r="J60">
            <v>10</v>
          </cell>
          <cell r="K60">
            <v>28000</v>
          </cell>
        </row>
        <row r="61">
          <cell r="I61" t="str">
            <v>Xà Lách Mỡ T.C Kg 20/11/2024</v>
          </cell>
          <cell r="J61">
            <v>50</v>
          </cell>
          <cell r="K61">
            <v>28000</v>
          </cell>
        </row>
        <row r="62">
          <cell r="I62" t="str">
            <v>Xà Lách Lolo Xanh T.C Kg 20/11/2024</v>
          </cell>
          <cell r="J62">
            <v>30</v>
          </cell>
          <cell r="K62">
            <v>28000</v>
          </cell>
        </row>
        <row r="63">
          <cell r="I63" t="str">
            <v>Xà Lách Lolo Xanh T.C Cây Cây 20/11/2024</v>
          </cell>
          <cell r="J63">
            <v>100</v>
          </cell>
          <cell r="K63">
            <v>6800</v>
          </cell>
        </row>
        <row r="64">
          <cell r="I64" t="str">
            <v>Xà Lách Thủy Tinh T.C Cây Cây 20/11/2024</v>
          </cell>
          <cell r="J64">
            <v>10</v>
          </cell>
          <cell r="K64">
            <v>6800</v>
          </cell>
        </row>
        <row r="65">
          <cell r="I65" t="str">
            <v>Rau Ngò Rí Kg 20/11/2024</v>
          </cell>
          <cell r="J65">
            <v>5</v>
          </cell>
          <cell r="K65">
            <v>35000</v>
          </cell>
        </row>
        <row r="66">
          <cell r="I66" t="str">
            <v>Bí Non Nhật Kg 20/11/2024</v>
          </cell>
          <cell r="J66">
            <v>57</v>
          </cell>
          <cell r="K66">
            <v>10000</v>
          </cell>
        </row>
        <row r="67">
          <cell r="I67" t="str">
            <v>Dưa Leo Nhật Kg 20/11/2024</v>
          </cell>
          <cell r="J67">
            <v>35</v>
          </cell>
          <cell r="K67">
            <v>10000</v>
          </cell>
        </row>
        <row r="68">
          <cell r="I68" t="str">
            <v>Đậu Cove Trắng Túi 300gr 20/11/2024</v>
          </cell>
          <cell r="J68">
            <v>45</v>
          </cell>
          <cell r="K68">
            <v>8000</v>
          </cell>
        </row>
        <row r="69">
          <cell r="I69" t="str">
            <v>Củ Cải Trắng Kg 20/11/2024</v>
          </cell>
          <cell r="J69">
            <v>15</v>
          </cell>
          <cell r="K69">
            <v>6000</v>
          </cell>
        </row>
        <row r="70">
          <cell r="I70" t="str">
            <v>Cà Chua Bi Đỏ Hộp 300gr 20/11/2024</v>
          </cell>
          <cell r="J70">
            <v>90</v>
          </cell>
          <cell r="K70">
            <v>10500</v>
          </cell>
        </row>
        <row r="71">
          <cell r="I71" t="str">
            <v>Ớt Chuông Snack Kg 20/11/2024</v>
          </cell>
          <cell r="J71">
            <v>24</v>
          </cell>
          <cell r="K71">
            <v>49000</v>
          </cell>
        </row>
        <row r="72">
          <cell r="I72" t="str">
            <v>Ớt Chuông Baby Kg 20/11/2024</v>
          </cell>
          <cell r="J72">
            <v>45</v>
          </cell>
          <cell r="K72">
            <v>44000</v>
          </cell>
        </row>
        <row r="73">
          <cell r="I73" t="str">
            <v>Củ Su Hào Kg 20/11/2024</v>
          </cell>
          <cell r="J73">
            <v>10</v>
          </cell>
          <cell r="K73">
            <v>18000</v>
          </cell>
        </row>
        <row r="74">
          <cell r="I74" t="str">
            <v>Bí Ngòi Xanh Kg 20/11/2024</v>
          </cell>
          <cell r="J74">
            <v>80</v>
          </cell>
          <cell r="K74">
            <v>10000</v>
          </cell>
        </row>
        <row r="75">
          <cell r="I75" t="str">
            <v>Chanh Không Hạt Kg 20/11/2024</v>
          </cell>
          <cell r="J75">
            <v>10</v>
          </cell>
          <cell r="K75">
            <v>26000</v>
          </cell>
        </row>
        <row r="76">
          <cell r="I76" t="str">
            <v>Cà Chua Socola Kg 20/11/2024</v>
          </cell>
          <cell r="J76">
            <v>36</v>
          </cell>
          <cell r="K76">
            <v>41500</v>
          </cell>
        </row>
        <row r="77">
          <cell r="I77" t="str">
            <v>Cải Kale Kg 20/11/2024</v>
          </cell>
          <cell r="J77">
            <v>12</v>
          </cell>
          <cell r="K77">
            <v>30500</v>
          </cell>
        </row>
        <row r="78">
          <cell r="I78" t="str">
            <v>Lá Mè Kg 20/11/2024</v>
          </cell>
          <cell r="J78">
            <v>5</v>
          </cell>
          <cell r="K78">
            <v>40000</v>
          </cell>
        </row>
        <row r="79">
          <cell r="I79" t="str">
            <v>Dưa Leo Baby Vỉ 20/11/2024</v>
          </cell>
          <cell r="J79">
            <v>200</v>
          </cell>
          <cell r="K79">
            <v>4000</v>
          </cell>
        </row>
        <row r="80">
          <cell r="I80" t="str">
            <v>Cải Kale Kg 20/11/2024</v>
          </cell>
          <cell r="J80">
            <v>2.5</v>
          </cell>
          <cell r="K80">
            <v>33000</v>
          </cell>
        </row>
        <row r="81">
          <cell r="I81" t="str">
            <v>Cà Rốt Baby Kg 20/11/2024</v>
          </cell>
          <cell r="J81">
            <v>13</v>
          </cell>
          <cell r="K81">
            <v>52000</v>
          </cell>
        </row>
        <row r="82">
          <cell r="I82" t="str">
            <v>Củ Cải Đỏ Hộp 20/11/2024</v>
          </cell>
          <cell r="J82">
            <v>15</v>
          </cell>
          <cell r="K82">
            <v>14000</v>
          </cell>
        </row>
        <row r="83">
          <cell r="I83" t="str">
            <v>Ớt Sweet Palemo Túi 20/11/2024</v>
          </cell>
          <cell r="J83">
            <v>140</v>
          </cell>
          <cell r="K83">
            <v>23000</v>
          </cell>
        </row>
        <row r="84">
          <cell r="I84" t="str">
            <v>Bông Cải Xanh Baby Kg 20/11/2024</v>
          </cell>
          <cell r="J84">
            <v>1.4</v>
          </cell>
          <cell r="K84">
            <v>57000</v>
          </cell>
        </row>
        <row r="85">
          <cell r="I85" t="str">
            <v>Cà Chua Beef Trung Kg 20/11/2024</v>
          </cell>
          <cell r="J85">
            <v>50</v>
          </cell>
          <cell r="K85">
            <v>19000</v>
          </cell>
        </row>
        <row r="86">
          <cell r="I86" t="str">
            <v>Lá Quế Tây Kg 20/11/2024</v>
          </cell>
          <cell r="J86">
            <v>0.5</v>
          </cell>
          <cell r="K86">
            <v>100000</v>
          </cell>
        </row>
        <row r="87">
          <cell r="I87" t="str">
            <v>Bí Ngòi Xanh Kg 21/11/2024</v>
          </cell>
          <cell r="J87">
            <v>31</v>
          </cell>
          <cell r="K87">
            <v>10000</v>
          </cell>
        </row>
        <row r="88">
          <cell r="I88" t="str">
            <v>Củ Khoai Tây Vàng Kg 21/11/2024</v>
          </cell>
          <cell r="J88">
            <v>40</v>
          </cell>
          <cell r="K88">
            <v>18000</v>
          </cell>
        </row>
        <row r="89">
          <cell r="I89" t="str">
            <v>Cà Chua Bi Đỏ Hộp 300gr 21/11/2024</v>
          </cell>
          <cell r="J89">
            <v>73</v>
          </cell>
          <cell r="K89">
            <v>10500</v>
          </cell>
        </row>
        <row r="90">
          <cell r="I90" t="str">
            <v>Cà Chua Bi Đỏ Hộp 500gr 21/11/2024</v>
          </cell>
          <cell r="J90">
            <v>3</v>
          </cell>
          <cell r="K90">
            <v>17500</v>
          </cell>
        </row>
        <row r="91">
          <cell r="I91" t="str">
            <v>Ớt Chuông Đỏ Kg 21/11/2024</v>
          </cell>
          <cell r="J91">
            <v>45</v>
          </cell>
          <cell r="K91">
            <v>35000</v>
          </cell>
        </row>
        <row r="92">
          <cell r="I92" t="str">
            <v>Ớt Chuông Vàng Kg 21/11/2024</v>
          </cell>
          <cell r="J92">
            <v>40</v>
          </cell>
          <cell r="K92">
            <v>18000</v>
          </cell>
        </row>
        <row r="93">
          <cell r="I93" t="str">
            <v>Ớt Chuông Xanh Kg 21/11/2024</v>
          </cell>
          <cell r="J93">
            <v>15</v>
          </cell>
          <cell r="K93">
            <v>28000</v>
          </cell>
        </row>
        <row r="94">
          <cell r="I94" t="str">
            <v>Ớt Chuông Snack Kg 21/11/2024</v>
          </cell>
          <cell r="J94">
            <v>13</v>
          </cell>
          <cell r="K94">
            <v>49000</v>
          </cell>
        </row>
        <row r="95">
          <cell r="I95" t="str">
            <v>Cà Rốt Kg 21/11/2024</v>
          </cell>
          <cell r="J95">
            <v>35</v>
          </cell>
          <cell r="K95">
            <v>15000</v>
          </cell>
        </row>
        <row r="96">
          <cell r="I96" t="str">
            <v>Đậu Cove Nhật Túi 21/11/2024</v>
          </cell>
          <cell r="J96">
            <v>53</v>
          </cell>
          <cell r="K96">
            <v>6000</v>
          </cell>
        </row>
        <row r="97">
          <cell r="I97" t="str">
            <v>Cà Chua Thường Kg 21/11/2024</v>
          </cell>
          <cell r="J97">
            <v>20</v>
          </cell>
          <cell r="K97">
            <v>17000</v>
          </cell>
        </row>
        <row r="98">
          <cell r="I98" t="str">
            <v>Củ Khoai Lang Nhật Kg 21/11/2024</v>
          </cell>
          <cell r="J98">
            <v>60</v>
          </cell>
          <cell r="K98">
            <v>17000</v>
          </cell>
        </row>
        <row r="99">
          <cell r="I99" t="str">
            <v>Hồng Treo Gió Kg 21/11/2024</v>
          </cell>
          <cell r="J99">
            <v>9.5</v>
          </cell>
          <cell r="K99">
            <v>200000</v>
          </cell>
        </row>
        <row r="100">
          <cell r="I100" t="str">
            <v>Trái Mít Thái Kg 21/11/2024</v>
          </cell>
          <cell r="J100">
            <v>73</v>
          </cell>
          <cell r="K100">
            <v>19547</v>
          </cell>
        </row>
        <row r="101">
          <cell r="I101" t="str">
            <v>Củ Dền Kg 21/11/2024</v>
          </cell>
          <cell r="J101">
            <v>35</v>
          </cell>
          <cell r="K101">
            <v>18000</v>
          </cell>
        </row>
        <row r="102">
          <cell r="I102" t="str">
            <v>Bí Đao Xanh Kg 21/11/2024</v>
          </cell>
          <cell r="J102">
            <v>10</v>
          </cell>
          <cell r="K102">
            <v>7500</v>
          </cell>
        </row>
        <row r="103">
          <cell r="I103" t="str">
            <v>Lá Nha Đam Kg 21/11/2024</v>
          </cell>
          <cell r="J103">
            <v>3</v>
          </cell>
          <cell r="K103">
            <v>14000</v>
          </cell>
        </row>
        <row r="104">
          <cell r="I104" t="str">
            <v>Bắp Cải Trắng Kg 21/11/2024</v>
          </cell>
          <cell r="J104">
            <v>48</v>
          </cell>
          <cell r="K104">
            <v>13000</v>
          </cell>
        </row>
        <row r="105">
          <cell r="I105" t="str">
            <v>Cần Tây Kg 21/11/2024</v>
          </cell>
          <cell r="J105">
            <v>80</v>
          </cell>
          <cell r="K105">
            <v>20000</v>
          </cell>
        </row>
        <row r="106">
          <cell r="I106" t="str">
            <v>Măng Tây Kg 21/11/2024</v>
          </cell>
          <cell r="J106">
            <v>20</v>
          </cell>
          <cell r="K106">
            <v>62000</v>
          </cell>
        </row>
        <row r="107">
          <cell r="I107" t="str">
            <v>Măng Tây Kg 21/11/2024</v>
          </cell>
          <cell r="J107">
            <v>20</v>
          </cell>
          <cell r="K107">
            <v>52000</v>
          </cell>
        </row>
        <row r="108">
          <cell r="I108" t="str">
            <v>Lá É Kg 21/11/2024</v>
          </cell>
          <cell r="J108">
            <v>10</v>
          </cell>
          <cell r="K108">
            <v>26000</v>
          </cell>
        </row>
        <row r="109">
          <cell r="I109" t="str">
            <v>Cải Kale Kg 21/11/2024</v>
          </cell>
          <cell r="J109">
            <v>0.9</v>
          </cell>
          <cell r="K109">
            <v>29000</v>
          </cell>
        </row>
        <row r="110">
          <cell r="I110" t="str">
            <v>Cà Chua Bi Mix Kg 21/11/2024</v>
          </cell>
          <cell r="J110">
            <v>17.7</v>
          </cell>
          <cell r="K110">
            <v>51500</v>
          </cell>
        </row>
        <row r="111">
          <cell r="I111" t="str">
            <v>Cà Chua Socola Kg 21/11/2024</v>
          </cell>
          <cell r="J111">
            <v>28.5</v>
          </cell>
          <cell r="K111">
            <v>41500</v>
          </cell>
        </row>
        <row r="112">
          <cell r="I112" t="str">
            <v>Chanh Không Hạt Kg 21/11/2024</v>
          </cell>
          <cell r="J112">
            <v>12</v>
          </cell>
          <cell r="K112">
            <v>26000</v>
          </cell>
        </row>
        <row r="113">
          <cell r="I113" t="str">
            <v>Cà Chua Beef Kg 21/11/2024</v>
          </cell>
          <cell r="J113">
            <v>65</v>
          </cell>
          <cell r="K113">
            <v>19000</v>
          </cell>
        </row>
        <row r="114">
          <cell r="I114" t="str">
            <v>Lá Mè Kg 21/11/2024</v>
          </cell>
          <cell r="J114">
            <v>5</v>
          </cell>
          <cell r="K114">
            <v>38000</v>
          </cell>
        </row>
        <row r="115">
          <cell r="I115" t="str">
            <v>Cải Kale Kg 21/11/2024</v>
          </cell>
          <cell r="J115">
            <v>21.3</v>
          </cell>
          <cell r="K115">
            <v>26000</v>
          </cell>
        </row>
        <row r="116">
          <cell r="I116" t="str">
            <v>Xà Lách Lolo Xanh T.C Cây Cây 21/11/2024</v>
          </cell>
          <cell r="J116">
            <v>60</v>
          </cell>
          <cell r="K116">
            <v>6800</v>
          </cell>
        </row>
        <row r="117">
          <cell r="I117" t="str">
            <v>Xà Lách Lolo Xanh T.C Kg 21/11/2024</v>
          </cell>
          <cell r="J117">
            <v>30</v>
          </cell>
          <cell r="K117">
            <v>28000</v>
          </cell>
        </row>
        <row r="118">
          <cell r="I118" t="str">
            <v>Xà Lách Mỡ T.C Cây Cây 21/11/2024</v>
          </cell>
          <cell r="J118">
            <v>12</v>
          </cell>
          <cell r="K118">
            <v>6800</v>
          </cell>
        </row>
        <row r="119">
          <cell r="I119" t="str">
            <v>Xà Lách Mỡ T.C Kg 21/11/2024</v>
          </cell>
          <cell r="J119">
            <v>20</v>
          </cell>
          <cell r="K119">
            <v>28000</v>
          </cell>
        </row>
        <row r="120">
          <cell r="I120" t="str">
            <v>Xà Lách Thủy Tinh T.C Cây Cây 21/11/2024</v>
          </cell>
          <cell r="J120">
            <v>3</v>
          </cell>
          <cell r="K120">
            <v>6800</v>
          </cell>
        </row>
        <row r="121">
          <cell r="I121" t="str">
            <v>Cà Rốt Baby Kg 21/11/2024</v>
          </cell>
          <cell r="J121">
            <v>11.6</v>
          </cell>
          <cell r="K121">
            <v>48000</v>
          </cell>
        </row>
        <row r="122">
          <cell r="I122" t="str">
            <v>Cải Kale Kg 21/11/2024</v>
          </cell>
          <cell r="J122">
            <v>24</v>
          </cell>
          <cell r="K122">
            <v>30000</v>
          </cell>
        </row>
        <row r="123">
          <cell r="I123" t="str">
            <v>Bông Cải Xanh Baby Kg 21/11/2024</v>
          </cell>
          <cell r="J123">
            <v>9.4</v>
          </cell>
          <cell r="K123">
            <v>56000</v>
          </cell>
        </row>
        <row r="124">
          <cell r="I124" t="str">
            <v>Lá Hương Thảo Kg 21/11/2024</v>
          </cell>
          <cell r="J124">
            <v>1</v>
          </cell>
          <cell r="K124">
            <v>100000</v>
          </cell>
        </row>
        <row r="125">
          <cell r="I125" t="str">
            <v>Xà Lách Lolo Tím Kg 21/11/2024</v>
          </cell>
          <cell r="J125">
            <v>10</v>
          </cell>
          <cell r="K125">
            <v>40000</v>
          </cell>
        </row>
        <row r="126">
          <cell r="I126" t="str">
            <v>Lá Mè Kg 21/11/2024</v>
          </cell>
          <cell r="J126">
            <v>9.0500000000000007</v>
          </cell>
          <cell r="K126">
            <v>40000</v>
          </cell>
        </row>
        <row r="127">
          <cell r="I127" t="str">
            <v>Củ Cải Trắng Kg 21/11/2024</v>
          </cell>
          <cell r="J127">
            <v>20</v>
          </cell>
          <cell r="K127">
            <v>6000</v>
          </cell>
        </row>
        <row r="128">
          <cell r="I128" t="str">
            <v>Củ Dền Kg 22/11/2024</v>
          </cell>
          <cell r="J128">
            <v>20</v>
          </cell>
          <cell r="K128">
            <v>18000</v>
          </cell>
        </row>
        <row r="129">
          <cell r="I129" t="str">
            <v>Hồng Treo Gió Kg 22/11/2024</v>
          </cell>
          <cell r="J129">
            <v>7.5</v>
          </cell>
          <cell r="K129">
            <v>200000</v>
          </cell>
        </row>
        <row r="130">
          <cell r="I130" t="str">
            <v>Rau Ngò Rí Kg 22/11/2024</v>
          </cell>
          <cell r="J130">
            <v>6</v>
          </cell>
          <cell r="K130">
            <v>35000</v>
          </cell>
        </row>
        <row r="131">
          <cell r="I131" t="str">
            <v>Cà Rốt Kg 22/11/2024</v>
          </cell>
          <cell r="J131">
            <v>40</v>
          </cell>
          <cell r="K131">
            <v>14000</v>
          </cell>
        </row>
        <row r="132">
          <cell r="I132" t="str">
            <v>Bí Đao Xanh Kg 22/11/2024</v>
          </cell>
          <cell r="J132">
            <v>20</v>
          </cell>
          <cell r="K132">
            <v>8000</v>
          </cell>
        </row>
        <row r="133">
          <cell r="I133" t="str">
            <v>Lá Nha Đam Kg 22/11/2024</v>
          </cell>
          <cell r="J133">
            <v>12</v>
          </cell>
          <cell r="K133">
            <v>14000</v>
          </cell>
        </row>
        <row r="134">
          <cell r="I134" t="str">
            <v>Măng Tây Kg 22/11/2024</v>
          </cell>
          <cell r="J134">
            <v>10</v>
          </cell>
          <cell r="K134">
            <v>63000</v>
          </cell>
        </row>
        <row r="135">
          <cell r="I135" t="str">
            <v>Măng Tây Kg 22/11/2024</v>
          </cell>
          <cell r="J135">
            <v>10</v>
          </cell>
          <cell r="K135">
            <v>53000</v>
          </cell>
        </row>
        <row r="136">
          <cell r="I136" t="str">
            <v>Lá É Kg 22/11/2024</v>
          </cell>
          <cell r="J136">
            <v>10</v>
          </cell>
          <cell r="K136">
            <v>25000</v>
          </cell>
        </row>
        <row r="137">
          <cell r="I137" t="str">
            <v>Xà Lách Rocket Kg 22/11/2024</v>
          </cell>
          <cell r="J137">
            <v>1.5</v>
          </cell>
          <cell r="K137">
            <v>120000</v>
          </cell>
        </row>
        <row r="138">
          <cell r="I138" t="str">
            <v>Củ Khoai Tây Vàng Kg 22/11/2024</v>
          </cell>
          <cell r="J138">
            <v>40</v>
          </cell>
          <cell r="K138">
            <v>15000</v>
          </cell>
        </row>
        <row r="139">
          <cell r="I139" t="str">
            <v>Cà Chua Thường Kg 22/11/2024</v>
          </cell>
          <cell r="J139">
            <v>140</v>
          </cell>
          <cell r="K139">
            <v>17000</v>
          </cell>
        </row>
        <row r="140">
          <cell r="I140" t="str">
            <v>Củ Cải Trắng Kg 22/11/2024</v>
          </cell>
          <cell r="J140">
            <v>20</v>
          </cell>
          <cell r="K140">
            <v>6000</v>
          </cell>
        </row>
        <row r="141">
          <cell r="I141" t="str">
            <v>Củ Khoai Lang Nhật Kg 22/11/2024</v>
          </cell>
          <cell r="J141">
            <v>113</v>
          </cell>
          <cell r="K141">
            <v>17000</v>
          </cell>
        </row>
        <row r="142">
          <cell r="I142" t="str">
            <v>Bí Ngòi Xanh Kg 22/11/2024</v>
          </cell>
          <cell r="J142">
            <v>89</v>
          </cell>
          <cell r="K142">
            <v>11000</v>
          </cell>
        </row>
        <row r="143">
          <cell r="I143" t="str">
            <v>Đậu Cove Nhật Túi 22/11/2024</v>
          </cell>
          <cell r="J143">
            <v>15</v>
          </cell>
          <cell r="K143">
            <v>6000</v>
          </cell>
        </row>
        <row r="144">
          <cell r="I144" t="str">
            <v>Dưa Leo Thường Kg 22/11/2024</v>
          </cell>
          <cell r="J144">
            <v>20</v>
          </cell>
          <cell r="K144">
            <v>3000</v>
          </cell>
        </row>
        <row r="145">
          <cell r="I145" t="str">
            <v>Xà Lách Mỹ Kg 22/11/2024</v>
          </cell>
          <cell r="J145">
            <v>25</v>
          </cell>
          <cell r="K145">
            <v>33000</v>
          </cell>
        </row>
        <row r="146">
          <cell r="I146" t="str">
            <v>Trái Mít Thái Kg 22/11/2024</v>
          </cell>
          <cell r="J146">
            <v>81</v>
          </cell>
          <cell r="K146">
            <v>19493</v>
          </cell>
        </row>
        <row r="147">
          <cell r="I147" t="str">
            <v>Cà Chua Beef Kg 22/11/2024</v>
          </cell>
          <cell r="J147">
            <v>145</v>
          </cell>
          <cell r="K147">
            <v>18000</v>
          </cell>
        </row>
        <row r="148">
          <cell r="I148" t="str">
            <v>Cần Tây Kg 22/11/2024</v>
          </cell>
          <cell r="J148">
            <v>96.5</v>
          </cell>
          <cell r="K148">
            <v>17000</v>
          </cell>
        </row>
        <row r="149">
          <cell r="I149" t="str">
            <v>Xà Lách Mỡ T.C Cây Cây 22/11/2024</v>
          </cell>
          <cell r="J149">
            <v>10</v>
          </cell>
          <cell r="K149">
            <v>6800</v>
          </cell>
        </row>
        <row r="150">
          <cell r="I150" t="str">
            <v>Xà Lách Mỡ T.C Kg 22/11/2024</v>
          </cell>
          <cell r="J150">
            <v>30</v>
          </cell>
          <cell r="K150">
            <v>28000</v>
          </cell>
        </row>
        <row r="151">
          <cell r="I151" t="str">
            <v>Xà Lách Romaine Kg 22/11/2024</v>
          </cell>
          <cell r="J151">
            <v>10</v>
          </cell>
          <cell r="K151">
            <v>30000</v>
          </cell>
        </row>
        <row r="152">
          <cell r="I152" t="str">
            <v>Ớt Chuông Đỏ Kg 22/11/2024</v>
          </cell>
          <cell r="J152">
            <v>50</v>
          </cell>
          <cell r="K152">
            <v>35000</v>
          </cell>
        </row>
        <row r="153">
          <cell r="I153" t="str">
            <v>Ớt Chuông Vàng Kg 22/11/2024</v>
          </cell>
          <cell r="J153">
            <v>40</v>
          </cell>
          <cell r="K153">
            <v>18000</v>
          </cell>
        </row>
        <row r="154">
          <cell r="I154" t="str">
            <v>Ớt Chuông Xanh Kg 22/11/2024</v>
          </cell>
          <cell r="J154">
            <v>20</v>
          </cell>
          <cell r="K154">
            <v>28000</v>
          </cell>
        </row>
        <row r="155">
          <cell r="I155" t="str">
            <v>Ớt Chuông Baby Kg 22/11/2024</v>
          </cell>
          <cell r="J155">
            <v>30</v>
          </cell>
          <cell r="K155">
            <v>44000</v>
          </cell>
        </row>
        <row r="156">
          <cell r="I156" t="str">
            <v>Đậu Cove Trắng Túi 300gr 22/11/2024</v>
          </cell>
          <cell r="J156">
            <v>20</v>
          </cell>
          <cell r="K156">
            <v>8000</v>
          </cell>
        </row>
        <row r="157">
          <cell r="I157" t="str">
            <v>Cà Chua Bi Đỏ Hộp 500gr 22/11/2024</v>
          </cell>
          <cell r="J157">
            <v>3</v>
          </cell>
          <cell r="K157">
            <v>17500</v>
          </cell>
        </row>
        <row r="158">
          <cell r="I158" t="str">
            <v>Cà Chua Bi Đỏ Hộp 300gr 22/11/2024</v>
          </cell>
          <cell r="J158">
            <v>73</v>
          </cell>
          <cell r="K158">
            <v>10500</v>
          </cell>
        </row>
        <row r="159">
          <cell r="I159" t="str">
            <v>Cà Chua Beef Trung Kg 22/11/2024</v>
          </cell>
          <cell r="J159">
            <v>50</v>
          </cell>
          <cell r="K159">
            <v>19000</v>
          </cell>
        </row>
        <row r="160">
          <cell r="I160" t="str">
            <v>Cà Rốt Baby Kg 22/11/2024</v>
          </cell>
          <cell r="J160">
            <v>13.6</v>
          </cell>
          <cell r="K160">
            <v>48000</v>
          </cell>
        </row>
        <row r="161">
          <cell r="I161" t="str">
            <v>Cải Kale Kg 22/11/2024</v>
          </cell>
          <cell r="J161">
            <v>35.1</v>
          </cell>
          <cell r="K161">
            <v>28000</v>
          </cell>
        </row>
        <row r="162">
          <cell r="I162" t="str">
            <v>Cà Chua Bi Mix Kg 22/11/2024</v>
          </cell>
          <cell r="J162">
            <v>18</v>
          </cell>
          <cell r="K162">
            <v>47500</v>
          </cell>
        </row>
        <row r="163">
          <cell r="I163" t="str">
            <v>Chanh Không Hạt Kg 22/11/2024</v>
          </cell>
          <cell r="J163">
            <v>12.5</v>
          </cell>
          <cell r="K163">
            <v>26000</v>
          </cell>
        </row>
        <row r="164">
          <cell r="I164" t="str">
            <v>Bơ Booth Kg 22/11/2024</v>
          </cell>
          <cell r="J164">
            <v>20</v>
          </cell>
          <cell r="K164">
            <v>39000</v>
          </cell>
        </row>
        <row r="165">
          <cell r="I165" t="str">
            <v>Củ Khoai Mỡ Kg 22/11/2024</v>
          </cell>
          <cell r="J165">
            <v>10</v>
          </cell>
          <cell r="K165">
            <v>25000</v>
          </cell>
        </row>
        <row r="166">
          <cell r="I166" t="str">
            <v>Cà Chua Beef Kg 22/11/2024</v>
          </cell>
          <cell r="J166">
            <v>80</v>
          </cell>
          <cell r="K166">
            <v>18000</v>
          </cell>
        </row>
        <row r="167">
          <cell r="I167" t="str">
            <v>Cà Chua Beef Trung Kg 22/11/2024</v>
          </cell>
          <cell r="J167">
            <v>50</v>
          </cell>
          <cell r="K167">
            <v>15000</v>
          </cell>
        </row>
        <row r="168">
          <cell r="I168" t="str">
            <v>Hạt Dẻ Ngố Kg 22/11/2024</v>
          </cell>
          <cell r="J168">
            <v>2000</v>
          </cell>
          <cell r="K168">
            <v>24900</v>
          </cell>
        </row>
        <row r="169">
          <cell r="I169" t="str">
            <v>Rau Ngò Rí Kg 23/11/2024</v>
          </cell>
          <cell r="J169">
            <v>8</v>
          </cell>
          <cell r="K169">
            <v>35000</v>
          </cell>
        </row>
        <row r="170">
          <cell r="I170" t="str">
            <v>Củ Dền Kg 23/11/2024</v>
          </cell>
          <cell r="J170">
            <v>20</v>
          </cell>
          <cell r="K170">
            <v>18000</v>
          </cell>
        </row>
        <row r="171">
          <cell r="I171" t="str">
            <v>Hành Paro Kg 23/11/2024</v>
          </cell>
          <cell r="J171">
            <v>35</v>
          </cell>
          <cell r="K171">
            <v>30000</v>
          </cell>
        </row>
        <row r="172">
          <cell r="I172" t="str">
            <v>Củ Khoai Tây Vàng Kg 23/11/2024</v>
          </cell>
          <cell r="J172">
            <v>40</v>
          </cell>
          <cell r="K172">
            <v>15000</v>
          </cell>
        </row>
        <row r="173">
          <cell r="I173" t="str">
            <v>Bí Đao Xanh Kg 23/11/2024</v>
          </cell>
          <cell r="J173">
            <v>15</v>
          </cell>
          <cell r="K173">
            <v>8000</v>
          </cell>
        </row>
        <row r="174">
          <cell r="I174" t="str">
            <v>Măng Tây Kg 23/11/2024</v>
          </cell>
          <cell r="J174">
            <v>15</v>
          </cell>
          <cell r="K174">
            <v>62000</v>
          </cell>
        </row>
        <row r="175">
          <cell r="I175" t="str">
            <v>Măng Tây Kg 23/11/2024</v>
          </cell>
          <cell r="J175">
            <v>20</v>
          </cell>
          <cell r="K175">
            <v>53000</v>
          </cell>
        </row>
        <row r="176">
          <cell r="I176" t="str">
            <v>Lá É Kg 23/11/2024</v>
          </cell>
          <cell r="J176">
            <v>10</v>
          </cell>
          <cell r="K176">
            <v>25000</v>
          </cell>
        </row>
        <row r="177">
          <cell r="I177" t="str">
            <v>Bí Ngòi Xanh Kg 23/11/2024</v>
          </cell>
          <cell r="J177">
            <v>95</v>
          </cell>
          <cell r="K177">
            <v>11000</v>
          </cell>
        </row>
        <row r="178">
          <cell r="I178" t="str">
            <v>Đậu Cove Nhật Túi 23/11/2024</v>
          </cell>
          <cell r="J178">
            <v>15</v>
          </cell>
          <cell r="K178">
            <v>6000</v>
          </cell>
        </row>
        <row r="179">
          <cell r="I179" t="str">
            <v>Củ Cải Trắng Kg 23/11/2024</v>
          </cell>
          <cell r="J179">
            <v>20</v>
          </cell>
          <cell r="K179">
            <v>5000</v>
          </cell>
        </row>
        <row r="180">
          <cell r="I180" t="str">
            <v>Củ Khoai Lang Nhật Kg 23/11/2024</v>
          </cell>
          <cell r="J180">
            <v>100</v>
          </cell>
          <cell r="K180">
            <v>17000</v>
          </cell>
        </row>
        <row r="181">
          <cell r="I181" t="str">
            <v>Hồng Treo Gió Kg 23/11/2024</v>
          </cell>
          <cell r="J181">
            <v>10</v>
          </cell>
          <cell r="K181">
            <v>200000</v>
          </cell>
        </row>
        <row r="182">
          <cell r="I182" t="str">
            <v>Đậu Đỏ Kg 23/11/2024</v>
          </cell>
          <cell r="J182">
            <v>3</v>
          </cell>
          <cell r="K182">
            <v>80000</v>
          </cell>
        </row>
        <row r="183">
          <cell r="I183" t="str">
            <v>Củ Hành Tây Kg 23/11/2024</v>
          </cell>
          <cell r="J183">
            <v>40</v>
          </cell>
          <cell r="K183">
            <v>28000</v>
          </cell>
        </row>
        <row r="184">
          <cell r="I184" t="str">
            <v>Cải Bó Xôi Kg 23/11/2024</v>
          </cell>
          <cell r="J184">
            <v>50</v>
          </cell>
          <cell r="K184">
            <v>20000</v>
          </cell>
        </row>
        <row r="185">
          <cell r="I185" t="str">
            <v>Ớt Chuông Đỏ Kg 23/11/2024</v>
          </cell>
          <cell r="J185">
            <v>40</v>
          </cell>
          <cell r="K185">
            <v>35000</v>
          </cell>
        </row>
        <row r="186">
          <cell r="I186" t="str">
            <v>Ớt Chuông Vàng Kg 23/11/2024</v>
          </cell>
          <cell r="J186">
            <v>38</v>
          </cell>
          <cell r="K186">
            <v>18000</v>
          </cell>
        </row>
        <row r="187">
          <cell r="I187" t="str">
            <v>Ớt Chuông Xanh Kg 23/11/2024</v>
          </cell>
          <cell r="J187">
            <v>15</v>
          </cell>
          <cell r="K187">
            <v>28000</v>
          </cell>
        </row>
        <row r="188">
          <cell r="I188" t="str">
            <v>Ớt Chuông Baby Kg 23/11/2024</v>
          </cell>
          <cell r="J188">
            <v>40</v>
          </cell>
          <cell r="K188">
            <v>44000</v>
          </cell>
        </row>
        <row r="189">
          <cell r="I189" t="str">
            <v>Cà Rốt Kg 23/11/2024</v>
          </cell>
          <cell r="J189">
            <v>100</v>
          </cell>
          <cell r="K189">
            <v>14000</v>
          </cell>
        </row>
        <row r="190">
          <cell r="I190" t="str">
            <v>Củ Khoai Mỡ Kg 23/11/2024</v>
          </cell>
          <cell r="J190">
            <v>25</v>
          </cell>
          <cell r="K190">
            <v>25000</v>
          </cell>
        </row>
        <row r="191">
          <cell r="I191" t="str">
            <v>Chanh Không Hạt Kg 23/11/2024</v>
          </cell>
          <cell r="J191">
            <v>7.5</v>
          </cell>
          <cell r="K191">
            <v>26000</v>
          </cell>
        </row>
        <row r="192">
          <cell r="I192" t="str">
            <v>Bí Non Nhật Kg 23/11/2024</v>
          </cell>
          <cell r="J192">
            <v>36</v>
          </cell>
          <cell r="K192">
            <v>9500</v>
          </cell>
        </row>
        <row r="193">
          <cell r="I193" t="str">
            <v>Dưa Leo Baby Vỉ 23/11/2024</v>
          </cell>
          <cell r="J193">
            <v>400</v>
          </cell>
          <cell r="K193">
            <v>6000</v>
          </cell>
        </row>
        <row r="194">
          <cell r="I194" t="str">
            <v>Dưa Leo Nhật Kg 23/11/2024</v>
          </cell>
          <cell r="J194">
            <v>20</v>
          </cell>
          <cell r="K194">
            <v>10000</v>
          </cell>
        </row>
        <row r="195">
          <cell r="I195" t="str">
            <v>Cà Chua Beef Kg 23/11/2024</v>
          </cell>
          <cell r="J195">
            <v>60</v>
          </cell>
          <cell r="K195">
            <v>18000</v>
          </cell>
        </row>
        <row r="196">
          <cell r="I196" t="str">
            <v>Cà Chua Beef Chùm Kg 23/11/2024</v>
          </cell>
          <cell r="J196">
            <v>80</v>
          </cell>
          <cell r="K196">
            <v>19000</v>
          </cell>
        </row>
        <row r="197">
          <cell r="I197" t="str">
            <v>Cà Chua Beef Kg 23/11/2024</v>
          </cell>
          <cell r="J197">
            <v>50</v>
          </cell>
          <cell r="K197">
            <v>15000</v>
          </cell>
        </row>
        <row r="198">
          <cell r="I198" t="str">
            <v>Xà Lách Lolo Xanh T.C Cây Cây 23/11/2024</v>
          </cell>
          <cell r="J198">
            <v>93</v>
          </cell>
          <cell r="K198">
            <v>6800</v>
          </cell>
        </row>
        <row r="199">
          <cell r="I199" t="str">
            <v>Xà Lách Lolo Xanh T.C Kg 23/11/2024</v>
          </cell>
          <cell r="J199">
            <v>30</v>
          </cell>
          <cell r="K199">
            <v>28000</v>
          </cell>
        </row>
        <row r="200">
          <cell r="I200" t="str">
            <v>Xà Lách Mỡ T.C Kg 23/11/2024</v>
          </cell>
          <cell r="J200">
            <v>40</v>
          </cell>
          <cell r="K200">
            <v>28000</v>
          </cell>
        </row>
        <row r="201">
          <cell r="I201" t="str">
            <v>Xà Lách Thủy Tinh T.C Cây Cây 23/11/2024</v>
          </cell>
          <cell r="J201">
            <v>5</v>
          </cell>
          <cell r="K201">
            <v>6800</v>
          </cell>
        </row>
        <row r="202">
          <cell r="I202" t="str">
            <v>Ớt Sweet Palemo Túi 23/11/2024</v>
          </cell>
          <cell r="J202">
            <v>200</v>
          </cell>
          <cell r="K202">
            <v>22000</v>
          </cell>
        </row>
        <row r="203">
          <cell r="I203" t="str">
            <v>Lá Mè Kg 23/11/2024</v>
          </cell>
          <cell r="J203">
            <v>5</v>
          </cell>
          <cell r="K203">
            <v>40000</v>
          </cell>
        </row>
        <row r="204">
          <cell r="I204" t="str">
            <v>Xà Lách Lolo Xanh Kg 23/11/2024</v>
          </cell>
          <cell r="J204">
            <v>60</v>
          </cell>
          <cell r="K204">
            <v>14000</v>
          </cell>
        </row>
        <row r="205">
          <cell r="I205" t="str">
            <v>Xà Lách Romaine Kg 23/11/2024</v>
          </cell>
          <cell r="J205">
            <v>5</v>
          </cell>
          <cell r="K205">
            <v>33000</v>
          </cell>
        </row>
        <row r="206">
          <cell r="I206" t="str">
            <v>Cà Rốt Baby Kg 23/11/2024</v>
          </cell>
          <cell r="J206">
            <v>12</v>
          </cell>
          <cell r="K206">
            <v>48000</v>
          </cell>
        </row>
        <row r="207">
          <cell r="I207" t="str">
            <v>Cải Kale Kg 23/11/2024</v>
          </cell>
          <cell r="J207">
            <v>18</v>
          </cell>
          <cell r="K207">
            <v>28000</v>
          </cell>
        </row>
        <row r="208">
          <cell r="I208" t="str">
            <v>Cải Kale Kg 23/11/2024</v>
          </cell>
          <cell r="J208">
            <v>1.5</v>
          </cell>
          <cell r="K208">
            <v>31000</v>
          </cell>
        </row>
        <row r="209">
          <cell r="I209" t="str">
            <v>Ớt Chuông Xanh Kg 24/11/2024</v>
          </cell>
          <cell r="J209">
            <v>25</v>
          </cell>
          <cell r="K209">
            <v>30000</v>
          </cell>
        </row>
        <row r="210">
          <cell r="I210" t="str">
            <v>Xà Lách Lolo Xanh T.C Cây Cây 24/11/2024</v>
          </cell>
          <cell r="J210">
            <v>200</v>
          </cell>
          <cell r="K210">
            <v>6800</v>
          </cell>
        </row>
        <row r="211">
          <cell r="I211" t="str">
            <v>Xà Lách Mỡ T.C Kg 24/11/2024</v>
          </cell>
          <cell r="J211">
            <v>60</v>
          </cell>
          <cell r="K211">
            <v>28000</v>
          </cell>
        </row>
        <row r="212">
          <cell r="I212" t="str">
            <v>Xà Lách Thủy Tinh T.C Cây Cây 24/11/2024</v>
          </cell>
          <cell r="J212">
            <v>20</v>
          </cell>
          <cell r="K212">
            <v>6800</v>
          </cell>
        </row>
        <row r="213">
          <cell r="I213" t="str">
            <v>Dưa Leo Nhật Kg 24/11/2024</v>
          </cell>
          <cell r="J213">
            <v>20</v>
          </cell>
          <cell r="K213">
            <v>10000</v>
          </cell>
        </row>
        <row r="214">
          <cell r="I214" t="str">
            <v>Cà Chua Thường Kg 24/11/2024</v>
          </cell>
          <cell r="J214">
            <v>100</v>
          </cell>
          <cell r="K214">
            <v>14000</v>
          </cell>
        </row>
        <row r="215">
          <cell r="I215" t="str">
            <v>Cà Chua Beef Trung Kg 24/11/2024</v>
          </cell>
          <cell r="J215">
            <v>135</v>
          </cell>
          <cell r="K215">
            <v>15000</v>
          </cell>
        </row>
        <row r="216">
          <cell r="I216" t="str">
            <v>Cà Chua Bi Mix Kg 24/11/2024</v>
          </cell>
          <cell r="J216">
            <v>20.7</v>
          </cell>
          <cell r="K216">
            <v>47500</v>
          </cell>
        </row>
        <row r="217">
          <cell r="I217" t="str">
            <v>Cà Chua Socola Kg 24/11/2024</v>
          </cell>
          <cell r="J217">
            <v>28.8</v>
          </cell>
          <cell r="K217">
            <v>38500</v>
          </cell>
        </row>
        <row r="218">
          <cell r="I218" t="str">
            <v>Củ Khoai Lang Nhật Kg 24/11/2024</v>
          </cell>
          <cell r="J218">
            <v>100</v>
          </cell>
          <cell r="K218">
            <v>17000</v>
          </cell>
        </row>
        <row r="219">
          <cell r="I219" t="str">
            <v>Củ Khoai Mỡ Kg 24/11/2024</v>
          </cell>
          <cell r="J219">
            <v>16</v>
          </cell>
          <cell r="K219">
            <v>30000</v>
          </cell>
        </row>
        <row r="220">
          <cell r="I220" t="str">
            <v>Cải Kale Kg 24/11/2024</v>
          </cell>
          <cell r="J220">
            <v>9.1</v>
          </cell>
          <cell r="K220">
            <v>23000</v>
          </cell>
        </row>
        <row r="221">
          <cell r="I221" t="str">
            <v>Lá Mè Kg 24/11/2024</v>
          </cell>
          <cell r="J221">
            <v>16.399999999999999</v>
          </cell>
          <cell r="K221">
            <v>36000</v>
          </cell>
        </row>
        <row r="222">
          <cell r="I222" t="str">
            <v>Bí Ngòi Xanh Kg 24/11/2024</v>
          </cell>
          <cell r="J222">
            <v>53</v>
          </cell>
          <cell r="K222">
            <v>10000</v>
          </cell>
        </row>
        <row r="223">
          <cell r="I223" t="str">
            <v>Măng Tây Kg 24/11/2024</v>
          </cell>
          <cell r="J223">
            <v>20</v>
          </cell>
          <cell r="K223">
            <v>62000</v>
          </cell>
        </row>
        <row r="224">
          <cell r="I224" t="str">
            <v>Măng Tây Kg 24/11/2024</v>
          </cell>
          <cell r="J224">
            <v>10</v>
          </cell>
          <cell r="K224">
            <v>52000</v>
          </cell>
        </row>
        <row r="225">
          <cell r="I225" t="str">
            <v>Lá É Kg 24/11/2024</v>
          </cell>
          <cell r="J225">
            <v>5</v>
          </cell>
          <cell r="K225">
            <v>27000</v>
          </cell>
        </row>
        <row r="226">
          <cell r="I226" t="str">
            <v>Rau Ngò Rí Kg 24/11/2024</v>
          </cell>
          <cell r="J226">
            <v>6</v>
          </cell>
          <cell r="K226">
            <v>35000</v>
          </cell>
        </row>
        <row r="227">
          <cell r="I227" t="str">
            <v>Dưa Leo Thường Kg 24/11/2024</v>
          </cell>
          <cell r="J227">
            <v>40</v>
          </cell>
          <cell r="K227">
            <v>3000</v>
          </cell>
        </row>
        <row r="228">
          <cell r="I228" t="str">
            <v>Cải Bó Xôi Kg 24/11/2024</v>
          </cell>
          <cell r="J228">
            <v>20</v>
          </cell>
          <cell r="K228">
            <v>20000</v>
          </cell>
        </row>
        <row r="229">
          <cell r="I229" t="str">
            <v>Cần Tây Kg 24/11/2024</v>
          </cell>
          <cell r="J229">
            <v>145</v>
          </cell>
          <cell r="K229">
            <v>20000</v>
          </cell>
        </row>
        <row r="230">
          <cell r="I230" t="str">
            <v>Xà Lách Lolo Xanh T.C Kg 24/11/2024</v>
          </cell>
          <cell r="J230">
            <v>30</v>
          </cell>
          <cell r="K230">
            <v>28000</v>
          </cell>
        </row>
        <row r="231">
          <cell r="I231" t="str">
            <v>Củ Khoai Tây Vàng Kg 24/11/2024</v>
          </cell>
          <cell r="J231">
            <v>20</v>
          </cell>
          <cell r="K231">
            <v>15000</v>
          </cell>
        </row>
        <row r="232">
          <cell r="I232" t="str">
            <v>Cà Chua Bi Đỏ Hộp 300gr 24/11/2024</v>
          </cell>
          <cell r="J232">
            <v>130</v>
          </cell>
          <cell r="K232">
            <v>10500</v>
          </cell>
        </row>
        <row r="233">
          <cell r="I233" t="str">
            <v>Ớt Chuông Đỏ Kg 24/11/2024</v>
          </cell>
          <cell r="J233">
            <v>50</v>
          </cell>
          <cell r="K233">
            <v>35000</v>
          </cell>
        </row>
        <row r="234">
          <cell r="I234" t="str">
            <v>Ớt Chuông Baby Kg 24/11/2024</v>
          </cell>
          <cell r="J234">
            <v>30</v>
          </cell>
          <cell r="K234">
            <v>44000</v>
          </cell>
        </row>
        <row r="235">
          <cell r="I235" t="str">
            <v>Ớt Sweet Palemo Kg 24/11/2024</v>
          </cell>
          <cell r="J235">
            <v>20</v>
          </cell>
          <cell r="K235">
            <v>55000</v>
          </cell>
        </row>
        <row r="236">
          <cell r="I236" t="str">
            <v>Ớt Sweet Palemo Kg 24/11/2024</v>
          </cell>
          <cell r="J236">
            <v>10</v>
          </cell>
          <cell r="K236">
            <v>60000</v>
          </cell>
        </row>
        <row r="237">
          <cell r="I237" t="str">
            <v>Dưa Leo Baby Vỉ 24/11/2024</v>
          </cell>
          <cell r="J237">
            <v>500</v>
          </cell>
          <cell r="K237">
            <v>6000</v>
          </cell>
        </row>
        <row r="238">
          <cell r="I238" t="str">
            <v>Bí Ngòi Xanh Kg 24/11/2024</v>
          </cell>
          <cell r="J238">
            <v>70</v>
          </cell>
          <cell r="K238">
            <v>10000</v>
          </cell>
        </row>
        <row r="239">
          <cell r="I239" t="str">
            <v>Xà Lách Rocket Kg 24/11/2024</v>
          </cell>
          <cell r="J239">
            <v>2</v>
          </cell>
          <cell r="K239">
            <v>120000</v>
          </cell>
        </row>
        <row r="240">
          <cell r="I240" t="str">
            <v>Xà Lách Lolo Xanh Kg 24/11/2024</v>
          </cell>
          <cell r="J240">
            <v>100</v>
          </cell>
          <cell r="K240">
            <v>14000</v>
          </cell>
        </row>
        <row r="241">
          <cell r="I241" t="str">
            <v>Củ Cải Đỏ Hộp 24/11/2024</v>
          </cell>
          <cell r="J241">
            <v>18</v>
          </cell>
          <cell r="K241">
            <v>11000</v>
          </cell>
        </row>
        <row r="242">
          <cell r="I242" t="str">
            <v>Bông Cải Xanh Baby Kg 24/11/2024</v>
          </cell>
          <cell r="J242">
            <v>14.6</v>
          </cell>
          <cell r="K242">
            <v>53000</v>
          </cell>
        </row>
        <row r="243">
          <cell r="I243" t="str">
            <v>Xà Lách Romaine Kg 24/11/2024</v>
          </cell>
          <cell r="J243">
            <v>10</v>
          </cell>
          <cell r="K243">
            <v>30000</v>
          </cell>
        </row>
        <row r="244">
          <cell r="I244" t="str">
            <v>Xà Lách Lolo Tím Kg 24/11/2024</v>
          </cell>
          <cell r="J244">
            <v>10</v>
          </cell>
          <cell r="K244">
            <v>35000</v>
          </cell>
        </row>
        <row r="245">
          <cell r="I245" t="str">
            <v>Ớt Sweet Palemo Túi 24/11/2024</v>
          </cell>
          <cell r="J245">
            <v>140</v>
          </cell>
          <cell r="K245">
            <v>20000</v>
          </cell>
        </row>
        <row r="246">
          <cell r="I246" t="str">
            <v>Cà Chua Beef Trung Kg 24/11/2024</v>
          </cell>
          <cell r="J246">
            <v>50</v>
          </cell>
          <cell r="K246">
            <v>18000</v>
          </cell>
        </row>
        <row r="247">
          <cell r="I247" t="str">
            <v>Cà Rốt Baby Kg 24/11/2024</v>
          </cell>
          <cell r="J247">
            <v>23.4</v>
          </cell>
          <cell r="K247">
            <v>42000</v>
          </cell>
        </row>
        <row r="248">
          <cell r="I248" t="str">
            <v>Cải Kale Kg 24/11/2024</v>
          </cell>
          <cell r="J248">
            <v>15</v>
          </cell>
          <cell r="K248">
            <v>28000</v>
          </cell>
        </row>
        <row r="249">
          <cell r="I249" t="str">
            <v>Cải Kale Kg 24/11/2024</v>
          </cell>
          <cell r="J249">
            <v>2.25</v>
          </cell>
          <cell r="K249">
            <v>31000</v>
          </cell>
        </row>
        <row r="250">
          <cell r="I250" t="str">
            <v>Lá Mè Kg 24/11/2024</v>
          </cell>
          <cell r="J250">
            <v>25</v>
          </cell>
          <cell r="K250">
            <v>38000</v>
          </cell>
        </row>
        <row r="251">
          <cell r="I251" t="str">
            <v>Dưa Leo Baby Vỉ 24/11/2024</v>
          </cell>
          <cell r="J251">
            <v>200</v>
          </cell>
          <cell r="K251">
            <v>4000</v>
          </cell>
        </row>
        <row r="252">
          <cell r="I252" t="str">
            <v>Hạt Dẻ Ngố Kg 24/11/2024</v>
          </cell>
          <cell r="J252">
            <v>1000</v>
          </cell>
          <cell r="K252">
            <v>25400</v>
          </cell>
        </row>
        <row r="253">
          <cell r="I253" t="str">
            <v>Củ Khoai Tây Vàng Kg 25/11/2024</v>
          </cell>
          <cell r="J253">
            <v>50</v>
          </cell>
          <cell r="K253">
            <v>15000</v>
          </cell>
        </row>
        <row r="254">
          <cell r="I254" t="str">
            <v>Đậu Cove Nhật Túi 25/11/2024</v>
          </cell>
          <cell r="J254">
            <v>15</v>
          </cell>
          <cell r="K254">
            <v>6000</v>
          </cell>
        </row>
        <row r="255">
          <cell r="I255" t="str">
            <v>Cà Rốt Kg 25/11/2024</v>
          </cell>
          <cell r="J255">
            <v>100</v>
          </cell>
          <cell r="K255">
            <v>12500</v>
          </cell>
        </row>
        <row r="256">
          <cell r="I256" t="str">
            <v>Xà Lách Lolo Xanh T.C Kg 25/11/2024</v>
          </cell>
          <cell r="J256">
            <v>30</v>
          </cell>
          <cell r="K256">
            <v>28000</v>
          </cell>
        </row>
        <row r="257">
          <cell r="I257" t="str">
            <v>Bí Ngòi Xanh Kg 25/11/2024</v>
          </cell>
          <cell r="J257">
            <v>70</v>
          </cell>
          <cell r="K257">
            <v>10000</v>
          </cell>
        </row>
        <row r="258">
          <cell r="I258" t="str">
            <v>Dưa Leo Thường Kg 25/11/2024</v>
          </cell>
          <cell r="J258">
            <v>20</v>
          </cell>
          <cell r="K258">
            <v>3000</v>
          </cell>
        </row>
        <row r="259">
          <cell r="I259" t="str">
            <v>Xà Lách Lolo Xanh Kg 25/11/2024</v>
          </cell>
          <cell r="J259">
            <v>160</v>
          </cell>
          <cell r="K259">
            <v>14000</v>
          </cell>
        </row>
        <row r="260">
          <cell r="I260" t="str">
            <v>Trái Cam Canh Kg 25/11/2024</v>
          </cell>
          <cell r="J260">
            <v>74</v>
          </cell>
          <cell r="K260">
            <v>41000</v>
          </cell>
        </row>
        <row r="261">
          <cell r="I261" t="str">
            <v>Cần Tây Kg 25/11/2024</v>
          </cell>
          <cell r="J261">
            <v>165</v>
          </cell>
          <cell r="K261">
            <v>20000</v>
          </cell>
        </row>
        <row r="262">
          <cell r="I262" t="str">
            <v>Bắp Cải Tím Kg 25/11/2024</v>
          </cell>
          <cell r="J262">
            <v>15</v>
          </cell>
          <cell r="K262">
            <v>30000</v>
          </cell>
        </row>
        <row r="263">
          <cell r="I263" t="str">
            <v>Cải Bó Xôi Kg 25/11/2024</v>
          </cell>
          <cell r="J263">
            <v>60</v>
          </cell>
          <cell r="K263">
            <v>17000</v>
          </cell>
        </row>
        <row r="264">
          <cell r="I264" t="str">
            <v>Hành Paro Kg 25/11/2024</v>
          </cell>
          <cell r="J264">
            <v>20</v>
          </cell>
          <cell r="K264">
            <v>30000</v>
          </cell>
        </row>
        <row r="265">
          <cell r="I265" t="str">
            <v>Cà Chua Bi Đỏ Hộp 300gr 25/11/2024</v>
          </cell>
          <cell r="J265">
            <v>100</v>
          </cell>
          <cell r="K265">
            <v>8700</v>
          </cell>
        </row>
        <row r="266">
          <cell r="I266" t="str">
            <v>Ớt Chuông Đỏ Kg 25/11/2024</v>
          </cell>
          <cell r="J266">
            <v>25</v>
          </cell>
          <cell r="K266">
            <v>35000</v>
          </cell>
        </row>
        <row r="267">
          <cell r="I267" t="str">
            <v>Ớt Chuông Vàng Kg 25/11/2024</v>
          </cell>
          <cell r="J267">
            <v>25</v>
          </cell>
          <cell r="K267">
            <v>18000</v>
          </cell>
        </row>
        <row r="268">
          <cell r="I268" t="str">
            <v>Ớt Chuông Baby Kg 25/11/2024</v>
          </cell>
          <cell r="J268">
            <v>25</v>
          </cell>
          <cell r="K268">
            <v>44000</v>
          </cell>
        </row>
        <row r="269">
          <cell r="I269" t="str">
            <v>Ớt Sweet Palemo Kg 25/11/2024</v>
          </cell>
          <cell r="J269">
            <v>20</v>
          </cell>
          <cell r="K269">
            <v>55000</v>
          </cell>
        </row>
        <row r="270">
          <cell r="I270" t="str">
            <v>Ớt Sweet Palemo Kg 25/11/2024</v>
          </cell>
          <cell r="J270">
            <v>10</v>
          </cell>
          <cell r="K270">
            <v>60000</v>
          </cell>
        </row>
        <row r="271">
          <cell r="I271" t="str">
            <v>Đậu Cove Trắng Túi 300gr 25/11/2024</v>
          </cell>
          <cell r="J271">
            <v>21</v>
          </cell>
          <cell r="K271">
            <v>6500</v>
          </cell>
        </row>
        <row r="272">
          <cell r="I272" t="str">
            <v>Bí Non Nhật Kg 25/11/2024</v>
          </cell>
          <cell r="J272">
            <v>77</v>
          </cell>
          <cell r="K272">
            <v>10000</v>
          </cell>
        </row>
        <row r="273">
          <cell r="I273" t="str">
            <v>Dưa Leo Nhật Kg 25/11/2024</v>
          </cell>
          <cell r="J273">
            <v>20</v>
          </cell>
          <cell r="K273">
            <v>10000</v>
          </cell>
        </row>
        <row r="274">
          <cell r="I274" t="str">
            <v>Bí Đao Xanh Kg 25/11/2024</v>
          </cell>
          <cell r="J274">
            <v>14</v>
          </cell>
          <cell r="K274">
            <v>8000</v>
          </cell>
        </row>
        <row r="275">
          <cell r="I275" t="str">
            <v>Măng Tây Kg 25/11/2024</v>
          </cell>
          <cell r="J275">
            <v>20</v>
          </cell>
          <cell r="K275">
            <v>62000</v>
          </cell>
        </row>
        <row r="276">
          <cell r="I276" t="str">
            <v>Măng Tây Kg 25/11/2024</v>
          </cell>
          <cell r="J276">
            <v>20</v>
          </cell>
          <cell r="K276">
            <v>51000</v>
          </cell>
        </row>
        <row r="277">
          <cell r="I277" t="str">
            <v>Lá É Kg 25/11/2024</v>
          </cell>
          <cell r="J277">
            <v>5</v>
          </cell>
          <cell r="K277">
            <v>27000</v>
          </cell>
        </row>
        <row r="278">
          <cell r="I278" t="str">
            <v>Xà Lách Lolo Xanh T.C Cây Cây 25/11/2024</v>
          </cell>
          <cell r="J278">
            <v>50</v>
          </cell>
          <cell r="K278">
            <v>6800</v>
          </cell>
        </row>
        <row r="279">
          <cell r="I279" t="str">
            <v>Xà Lách Mỡ T.C Kg 25/11/2024</v>
          </cell>
          <cell r="J279">
            <v>20</v>
          </cell>
          <cell r="K279">
            <v>28000</v>
          </cell>
        </row>
        <row r="280">
          <cell r="I280" t="str">
            <v>Xà Lách Thủy Tinh T.C Cây Cây 25/11/2024</v>
          </cell>
          <cell r="J280">
            <v>5</v>
          </cell>
          <cell r="K280">
            <v>6800</v>
          </cell>
        </row>
        <row r="281">
          <cell r="I281" t="str">
            <v>Cà Rốt Baby Kg 25/11/2024</v>
          </cell>
          <cell r="J281">
            <v>12</v>
          </cell>
          <cell r="K281">
            <v>42000</v>
          </cell>
        </row>
        <row r="282">
          <cell r="I282" t="str">
            <v>Cải Kale Kg 25/11/2024</v>
          </cell>
          <cell r="J282">
            <v>2.25</v>
          </cell>
          <cell r="K282">
            <v>31000</v>
          </cell>
        </row>
        <row r="283">
          <cell r="I283" t="str">
            <v>Bông Cải Xanh Baby Kg 25/11/2024</v>
          </cell>
          <cell r="J283">
            <v>14</v>
          </cell>
          <cell r="K283">
            <v>53000</v>
          </cell>
        </row>
        <row r="284">
          <cell r="I284" t="str">
            <v>Xà Lách Lolo Tím Kg 25/11/2024</v>
          </cell>
          <cell r="J284">
            <v>10.5</v>
          </cell>
          <cell r="K284">
            <v>35000</v>
          </cell>
        </row>
        <row r="285">
          <cell r="I285" t="str">
            <v>Cà Chua Beef Trung Kg 25/11/2024</v>
          </cell>
          <cell r="J285">
            <v>25</v>
          </cell>
          <cell r="K285">
            <v>18000</v>
          </cell>
        </row>
        <row r="286">
          <cell r="I286" t="str">
            <v>Ớt Sweet Palemo Túi 25/11/2024</v>
          </cell>
          <cell r="J286">
            <v>100</v>
          </cell>
          <cell r="K286">
            <v>20000</v>
          </cell>
        </row>
        <row r="287">
          <cell r="I287" t="str">
            <v>Cà Chua Beef Trung Kg 25/11/2024</v>
          </cell>
          <cell r="J287">
            <v>100</v>
          </cell>
          <cell r="K287">
            <v>15000</v>
          </cell>
        </row>
        <row r="288">
          <cell r="I288" t="str">
            <v>Dưa Leo Baby Vỉ 25/11/2024</v>
          </cell>
          <cell r="J288">
            <v>120</v>
          </cell>
          <cell r="K288">
            <v>4000</v>
          </cell>
        </row>
        <row r="289">
          <cell r="I289" t="str">
            <v>Cà Chua Bi Mix Kg 25/11/2024</v>
          </cell>
          <cell r="J289">
            <v>24</v>
          </cell>
          <cell r="K289">
            <v>47000</v>
          </cell>
        </row>
        <row r="290">
          <cell r="I290" t="str">
            <v>Cà Chua Socola Kg 25/11/2024</v>
          </cell>
          <cell r="J290">
            <v>36</v>
          </cell>
          <cell r="K290">
            <v>38500</v>
          </cell>
        </row>
        <row r="291">
          <cell r="I291" t="str">
            <v>Cải Kale Kg 25/11/2024</v>
          </cell>
          <cell r="J291">
            <v>16.8</v>
          </cell>
          <cell r="K291">
            <v>25500</v>
          </cell>
        </row>
        <row r="292">
          <cell r="I292" t="str">
            <v>Trái Mít Thái Kg 25/11/2024</v>
          </cell>
          <cell r="J292">
            <v>84.5</v>
          </cell>
          <cell r="K292">
            <v>19473</v>
          </cell>
        </row>
        <row r="293">
          <cell r="I293" t="str">
            <v>Cải Bó Xôi Kg 26/11/2024</v>
          </cell>
          <cell r="J293">
            <v>95</v>
          </cell>
          <cell r="K293">
            <v>20000</v>
          </cell>
        </row>
        <row r="294">
          <cell r="I294" t="str">
            <v>Bí Ngòi Xanh Kg 26/11/2024</v>
          </cell>
          <cell r="J294">
            <v>20</v>
          </cell>
          <cell r="K294">
            <v>10000</v>
          </cell>
        </row>
        <row r="295">
          <cell r="I295" t="str">
            <v>Lá Nha Đam Kg 26/11/2024</v>
          </cell>
          <cell r="J295">
            <v>10</v>
          </cell>
          <cell r="K295">
            <v>14000</v>
          </cell>
        </row>
        <row r="296">
          <cell r="I296" t="str">
            <v>Bí Ngòi Xanh Kg 26/11/2024</v>
          </cell>
          <cell r="J296">
            <v>83</v>
          </cell>
          <cell r="K296">
            <v>10000</v>
          </cell>
        </row>
        <row r="297">
          <cell r="I297" t="str">
            <v xml:space="preserve">  Tổng cộng</v>
          </cell>
          <cell r="J297">
            <v>16759.2</v>
          </cell>
        </row>
      </sheetData>
      <sheetData sheetId="1">
        <row r="1">
          <cell r="G1" t="str">
            <v>Tên hàng</v>
          </cell>
          <cell r="H1" t="str">
            <v>ĐVT</v>
          </cell>
          <cell r="I1" t="str">
            <v>Tên hàng ĐVT Ngày hạch toán</v>
          </cell>
          <cell r="J1" t="str">
            <v>Số lượng mua</v>
          </cell>
          <cell r="K1" t="str">
            <v>Tên hàng ĐVT Ngày Ngày hạch toán</v>
          </cell>
          <cell r="L1" t="str">
            <v>Đơn giá</v>
          </cell>
          <cell r="M1" t="str">
            <v>TỈ LỆ</v>
          </cell>
          <cell r="N1" t="str">
            <v>GIÁ THEO TỈ LỆ</v>
          </cell>
        </row>
        <row r="2">
          <cell r="G2" t="str">
            <v>Ớt Chuông Đỏ</v>
          </cell>
          <cell r="H2" t="str">
            <v>Kg</v>
          </cell>
          <cell r="I2" t="str">
            <v>Ớt Chuông Đỏ Kg 19/11/2024</v>
          </cell>
          <cell r="J2">
            <v>146.5</v>
          </cell>
          <cell r="K2" t="str">
            <v>Ớt Chuông Đỏ 19/11/2024</v>
          </cell>
          <cell r="L2">
            <v>37000</v>
          </cell>
          <cell r="M2">
            <v>0.25</v>
          </cell>
          <cell r="N2">
            <v>9250</v>
          </cell>
        </row>
        <row r="3">
          <cell r="G3" t="str">
            <v>Ớt Chuông Vàng</v>
          </cell>
          <cell r="H3" t="str">
            <v>Kg</v>
          </cell>
          <cell r="I3" t="str">
            <v>Ớt Chuông Vàng Kg 19/11/2024</v>
          </cell>
          <cell r="J3">
            <v>200</v>
          </cell>
          <cell r="K3" t="str">
            <v>Ớt Chuông Vàng 19/11/2024</v>
          </cell>
          <cell r="L3">
            <v>18000</v>
          </cell>
          <cell r="M3">
            <v>0.25</v>
          </cell>
          <cell r="N3">
            <v>4500</v>
          </cell>
        </row>
        <row r="4">
          <cell r="G4" t="str">
            <v>Ớt Chuông Xanh</v>
          </cell>
          <cell r="H4" t="str">
            <v>Kg</v>
          </cell>
          <cell r="I4" t="str">
            <v>Ớt Chuông Xanh Kg 19/11/2024</v>
          </cell>
          <cell r="J4">
            <v>100</v>
          </cell>
          <cell r="K4" t="str">
            <v>Ớt Chuông Xanh 19/11/2024</v>
          </cell>
          <cell r="L4">
            <v>27000</v>
          </cell>
          <cell r="M4">
            <v>0.25</v>
          </cell>
          <cell r="N4">
            <v>6750</v>
          </cell>
        </row>
        <row r="5">
          <cell r="G5" t="str">
            <v>Ớt Chuông Baby</v>
          </cell>
          <cell r="H5" t="str">
            <v>Kg</v>
          </cell>
          <cell r="I5" t="str">
            <v>Ớt Chuông Baby Kg 19/11/2024</v>
          </cell>
          <cell r="J5">
            <v>30</v>
          </cell>
          <cell r="K5" t="str">
            <v>Ớt Chuông Baby 19/11/2024</v>
          </cell>
          <cell r="L5">
            <v>44000</v>
          </cell>
          <cell r="M5">
            <v>0.25</v>
          </cell>
          <cell r="N5">
            <v>11000</v>
          </cell>
        </row>
        <row r="6">
          <cell r="G6" t="str">
            <v>Bí Non Nhật</v>
          </cell>
          <cell r="H6" t="str">
            <v>Kg</v>
          </cell>
          <cell r="I6" t="str">
            <v>Bí Non Nhật Kg 19/11/2024</v>
          </cell>
          <cell r="J6">
            <v>55</v>
          </cell>
          <cell r="K6" t="str">
            <v>Bí Non Nhật 19/11/2024</v>
          </cell>
          <cell r="L6">
            <v>11000</v>
          </cell>
          <cell r="M6">
            <v>0.3</v>
          </cell>
          <cell r="N6">
            <v>3300</v>
          </cell>
        </row>
        <row r="7">
          <cell r="G7" t="str">
            <v>Dưa Leo Nhật</v>
          </cell>
          <cell r="H7" t="str">
            <v>Kg</v>
          </cell>
          <cell r="I7" t="str">
            <v>Dưa Leo Nhật Kg 19/11/2024</v>
          </cell>
          <cell r="J7">
            <v>27</v>
          </cell>
          <cell r="K7" t="str">
            <v>Dưa Leo Nhật 19/11/2024</v>
          </cell>
          <cell r="L7">
            <v>10000</v>
          </cell>
          <cell r="M7">
            <v>0.6</v>
          </cell>
          <cell r="N7">
            <v>6000</v>
          </cell>
        </row>
        <row r="8">
          <cell r="G8" t="str">
            <v>Hành Paro</v>
          </cell>
          <cell r="H8" t="str">
            <v>Kg</v>
          </cell>
          <cell r="I8" t="str">
            <v>Hành Paro Kg 19/11/2024</v>
          </cell>
          <cell r="J8">
            <v>20</v>
          </cell>
          <cell r="K8" t="str">
            <v>Hành Paro 19/11/2024</v>
          </cell>
          <cell r="L8">
            <v>36000</v>
          </cell>
          <cell r="M8">
            <v>0.2</v>
          </cell>
          <cell r="N8">
            <v>7200</v>
          </cell>
        </row>
        <row r="9">
          <cell r="G9" t="str">
            <v>Cần Tây</v>
          </cell>
          <cell r="H9" t="str">
            <v>Kg</v>
          </cell>
          <cell r="I9" t="str">
            <v>Cần Tây Kg 19/11/2024</v>
          </cell>
          <cell r="J9">
            <v>75</v>
          </cell>
          <cell r="K9" t="str">
            <v>Cần Tây 19/11/2024</v>
          </cell>
          <cell r="L9">
            <v>17000</v>
          </cell>
          <cell r="M9">
            <v>0.5</v>
          </cell>
          <cell r="N9">
            <v>8500</v>
          </cell>
        </row>
        <row r="10">
          <cell r="G10" t="str">
            <v>Cải Kale</v>
          </cell>
          <cell r="H10" t="str">
            <v>Kg</v>
          </cell>
          <cell r="I10" t="str">
            <v>Cải Kale Kg 19/11/2024</v>
          </cell>
          <cell r="J10">
            <v>15.3</v>
          </cell>
          <cell r="K10" t="str">
            <v>Cải Kale 19/11/2024</v>
          </cell>
          <cell r="L10">
            <v>30500</v>
          </cell>
          <cell r="M10">
            <v>0.3</v>
          </cell>
          <cell r="N10">
            <v>9150</v>
          </cell>
        </row>
        <row r="11">
          <cell r="G11" t="str">
            <v>Chanh Không Hạt</v>
          </cell>
          <cell r="H11" t="str">
            <v>Kg</v>
          </cell>
          <cell r="I11" t="str">
            <v>Chanh Không Hạt Kg 19/11/2024</v>
          </cell>
          <cell r="J11">
            <v>6.25</v>
          </cell>
          <cell r="K11" t="str">
            <v>Chanh Không Hạt 19/11/2024</v>
          </cell>
          <cell r="L11">
            <v>26000</v>
          </cell>
          <cell r="M11">
            <v>0.25</v>
          </cell>
          <cell r="N11">
            <v>6500</v>
          </cell>
        </row>
        <row r="12">
          <cell r="G12" t="str">
            <v>Cà Chua Beef Trung</v>
          </cell>
          <cell r="H12" t="str">
            <v>Kg</v>
          </cell>
          <cell r="I12" t="str">
            <v>Cà Chua Beef Trung Kg 19/11/2024</v>
          </cell>
          <cell r="J12">
            <v>50</v>
          </cell>
          <cell r="K12" t="str">
            <v>Cà Chua Beef Trung 19/11/2024</v>
          </cell>
          <cell r="L12">
            <v>19000</v>
          </cell>
          <cell r="M12">
            <v>0.5</v>
          </cell>
          <cell r="N12">
            <v>9500</v>
          </cell>
        </row>
        <row r="13">
          <cell r="G13" t="str">
            <v>Lá Mè</v>
          </cell>
          <cell r="H13" t="str">
            <v>Kg</v>
          </cell>
          <cell r="I13" t="str">
            <v>Lá Mè Kg 19/11/2024</v>
          </cell>
          <cell r="J13">
            <v>10</v>
          </cell>
          <cell r="K13" t="str">
            <v>Lá Mè 19/11/2024</v>
          </cell>
          <cell r="L13">
            <v>40000</v>
          </cell>
          <cell r="M13">
            <v>0.02</v>
          </cell>
          <cell r="N13">
            <v>800</v>
          </cell>
        </row>
        <row r="14">
          <cell r="G14" t="str">
            <v>Bông Cải Xanh Baby</v>
          </cell>
          <cell r="H14" t="str">
            <v>Kg</v>
          </cell>
          <cell r="I14" t="str">
            <v>Bông Cải Xanh Baby Kg 19/11/2024</v>
          </cell>
          <cell r="J14">
            <v>10.4</v>
          </cell>
          <cell r="K14" t="str">
            <v>Bông Cải Xanh Baby 19/11/2024</v>
          </cell>
          <cell r="L14">
            <v>57000</v>
          </cell>
          <cell r="M14">
            <v>0.2</v>
          </cell>
          <cell r="N14">
            <v>11400</v>
          </cell>
        </row>
        <row r="15">
          <cell r="G15" t="str">
            <v>Cải Kale</v>
          </cell>
          <cell r="H15" t="str">
            <v>Kg</v>
          </cell>
          <cell r="I15" t="str">
            <v>Cải Kale Kg 19/11/2024</v>
          </cell>
          <cell r="J15">
            <v>14.4</v>
          </cell>
          <cell r="K15" t="str">
            <v>Cải Kale 19/11/2024</v>
          </cell>
          <cell r="L15">
            <v>30000</v>
          </cell>
          <cell r="M15">
            <v>0.3</v>
          </cell>
          <cell r="N15">
            <v>9000</v>
          </cell>
        </row>
        <row r="16">
          <cell r="G16" t="str">
            <v>Bí Đao Xanh</v>
          </cell>
          <cell r="H16" t="str">
            <v>Kg</v>
          </cell>
          <cell r="I16" t="str">
            <v>Bí Đao Xanh Kg 20/11/2024</v>
          </cell>
          <cell r="J16">
            <v>10</v>
          </cell>
          <cell r="K16" t="str">
            <v>Bí Đao Xanh 20/11/2024</v>
          </cell>
          <cell r="L16">
            <v>7000</v>
          </cell>
          <cell r="M16">
            <v>0.4</v>
          </cell>
          <cell r="N16">
            <v>2800</v>
          </cell>
        </row>
        <row r="17">
          <cell r="G17" t="str">
            <v>Lá Mè</v>
          </cell>
          <cell r="H17" t="str">
            <v>Kg</v>
          </cell>
          <cell r="I17" t="str">
            <v>Lá Mè Kg 20/11/2024</v>
          </cell>
          <cell r="J17">
            <v>5.4</v>
          </cell>
          <cell r="K17" t="str">
            <v>Lá Mè 20/11/2024</v>
          </cell>
          <cell r="L17">
            <v>36000</v>
          </cell>
          <cell r="M17">
            <v>0.02</v>
          </cell>
          <cell r="N17">
            <v>720</v>
          </cell>
        </row>
        <row r="18">
          <cell r="G18" t="str">
            <v>Cần Tây</v>
          </cell>
          <cell r="H18" t="str">
            <v>Kg</v>
          </cell>
          <cell r="I18" t="str">
            <v>Cần Tây Kg 20/11/2024</v>
          </cell>
          <cell r="J18">
            <v>124</v>
          </cell>
          <cell r="K18" t="str">
            <v>Cần Tây 20/11/2024</v>
          </cell>
          <cell r="L18">
            <v>20000</v>
          </cell>
          <cell r="M18">
            <v>0.5</v>
          </cell>
          <cell r="N18">
            <v>10000</v>
          </cell>
        </row>
        <row r="19">
          <cell r="G19" t="str">
            <v>Bí Non Nhật</v>
          </cell>
          <cell r="H19" t="str">
            <v>Kg</v>
          </cell>
          <cell r="I19" t="str">
            <v>Bí Non Nhật Kg 20/11/2024</v>
          </cell>
          <cell r="J19">
            <v>57</v>
          </cell>
          <cell r="K19" t="str">
            <v>Bí Non Nhật 20/11/2024</v>
          </cell>
          <cell r="L19">
            <v>10000</v>
          </cell>
          <cell r="M19">
            <v>0.3</v>
          </cell>
          <cell r="N19">
            <v>3000</v>
          </cell>
        </row>
        <row r="20">
          <cell r="G20" t="str">
            <v>Dưa Leo Nhật</v>
          </cell>
          <cell r="H20" t="str">
            <v>Kg</v>
          </cell>
          <cell r="I20" t="str">
            <v>Dưa Leo Nhật Kg 20/11/2024</v>
          </cell>
          <cell r="J20">
            <v>35</v>
          </cell>
          <cell r="K20" t="str">
            <v>Dưa Leo Nhật 20/11/2024</v>
          </cell>
          <cell r="L20">
            <v>10000</v>
          </cell>
          <cell r="M20">
            <v>0.6</v>
          </cell>
          <cell r="N20">
            <v>6000</v>
          </cell>
        </row>
        <row r="21">
          <cell r="G21" t="str">
            <v>Ớt Chuông Baby</v>
          </cell>
          <cell r="H21" t="str">
            <v>Kg</v>
          </cell>
          <cell r="I21" t="str">
            <v>Ớt Chuông Baby Kg 20/11/2024</v>
          </cell>
          <cell r="J21">
            <v>45</v>
          </cell>
          <cell r="K21" t="str">
            <v>Ớt Chuông Baby 20/11/2024</v>
          </cell>
          <cell r="L21">
            <v>44000</v>
          </cell>
          <cell r="M21">
            <v>0.25</v>
          </cell>
          <cell r="N21">
            <v>11000</v>
          </cell>
        </row>
        <row r="22">
          <cell r="G22" t="str">
            <v>Bí Ngòi Xanh</v>
          </cell>
          <cell r="H22" t="str">
            <v>Kg</v>
          </cell>
          <cell r="I22" t="str">
            <v>Bí Ngòi Xanh Kg 20/11/2024</v>
          </cell>
          <cell r="J22">
            <v>80</v>
          </cell>
          <cell r="K22" t="str">
            <v>Bí Ngòi Xanh 20/11/2024</v>
          </cell>
          <cell r="L22">
            <v>10000</v>
          </cell>
          <cell r="M22">
            <v>0.3</v>
          </cell>
          <cell r="N22">
            <v>3000</v>
          </cell>
        </row>
        <row r="23">
          <cell r="G23" t="str">
            <v>Chanh Không Hạt</v>
          </cell>
          <cell r="H23" t="str">
            <v>Kg</v>
          </cell>
          <cell r="I23" t="str">
            <v>Chanh Không Hạt Kg 20/11/2024</v>
          </cell>
          <cell r="J23">
            <v>10</v>
          </cell>
          <cell r="K23" t="str">
            <v>Chanh Không Hạt 20/11/2024</v>
          </cell>
          <cell r="L23">
            <v>26000</v>
          </cell>
          <cell r="M23">
            <v>0.25</v>
          </cell>
          <cell r="N23">
            <v>6500</v>
          </cell>
        </row>
        <row r="24">
          <cell r="G24" t="str">
            <v>Cà Chua Socola</v>
          </cell>
          <cell r="H24" t="str">
            <v>Kg</v>
          </cell>
          <cell r="I24" t="str">
            <v>Cà Chua Socola Kg 20/11/2024</v>
          </cell>
          <cell r="J24">
            <v>36</v>
          </cell>
          <cell r="K24" t="str">
            <v>Cà Chua Socola 20/11/2024</v>
          </cell>
          <cell r="L24">
            <v>41500</v>
          </cell>
          <cell r="M24">
            <v>0.3</v>
          </cell>
          <cell r="N24">
            <v>12450</v>
          </cell>
        </row>
        <row r="25">
          <cell r="G25" t="str">
            <v>Cải Kale</v>
          </cell>
          <cell r="H25" t="str">
            <v>Kg</v>
          </cell>
          <cell r="I25" t="str">
            <v>Cải Kale Kg 20/11/2024</v>
          </cell>
          <cell r="J25">
            <v>12</v>
          </cell>
          <cell r="K25" t="str">
            <v>Cải Kale 20/11/2024</v>
          </cell>
          <cell r="L25">
            <v>30500</v>
          </cell>
          <cell r="M25">
            <v>0.3</v>
          </cell>
          <cell r="N25">
            <v>9150</v>
          </cell>
        </row>
        <row r="26">
          <cell r="G26" t="str">
            <v>Lá Mè</v>
          </cell>
          <cell r="H26" t="str">
            <v>Kg</v>
          </cell>
          <cell r="I26" t="str">
            <v>Lá Mè Kg 20/11/2024</v>
          </cell>
          <cell r="J26">
            <v>5</v>
          </cell>
          <cell r="K26" t="str">
            <v>Lá Mè 20/11/2024</v>
          </cell>
          <cell r="L26">
            <v>40000</v>
          </cell>
          <cell r="M26">
            <v>0.02</v>
          </cell>
          <cell r="N26">
            <v>800</v>
          </cell>
        </row>
        <row r="27">
          <cell r="G27" t="str">
            <v>Cải Kale</v>
          </cell>
          <cell r="H27" t="str">
            <v>Kg</v>
          </cell>
          <cell r="I27" t="str">
            <v>Cải Kale Kg 20/11/2024</v>
          </cell>
          <cell r="J27">
            <v>2.5</v>
          </cell>
          <cell r="K27" t="str">
            <v>Cải Kale 20/11/2024</v>
          </cell>
          <cell r="L27">
            <v>33000</v>
          </cell>
          <cell r="M27">
            <v>0.3</v>
          </cell>
          <cell r="N27">
            <v>9900</v>
          </cell>
        </row>
        <row r="28">
          <cell r="G28" t="str">
            <v>Cà Rốt Baby</v>
          </cell>
          <cell r="H28" t="str">
            <v>Kg</v>
          </cell>
          <cell r="I28" t="str">
            <v>Cà Rốt Baby Kg 20/11/2024</v>
          </cell>
          <cell r="J28">
            <v>13</v>
          </cell>
          <cell r="K28" t="str">
            <v>Cà Rốt Baby 20/11/2024</v>
          </cell>
          <cell r="L28">
            <v>52000</v>
          </cell>
          <cell r="M28">
            <v>0.2</v>
          </cell>
          <cell r="N28">
            <v>10400</v>
          </cell>
        </row>
        <row r="29">
          <cell r="G29" t="str">
            <v>Bông Cải Xanh Baby</v>
          </cell>
          <cell r="H29" t="str">
            <v>Kg</v>
          </cell>
          <cell r="I29" t="str">
            <v>Bông Cải Xanh Baby Kg 20/11/2024</v>
          </cell>
          <cell r="J29">
            <v>1.4</v>
          </cell>
          <cell r="K29" t="str">
            <v>Bông Cải Xanh Baby 20/11/2024</v>
          </cell>
          <cell r="L29">
            <v>57000</v>
          </cell>
          <cell r="M29">
            <v>0.2</v>
          </cell>
          <cell r="N29">
            <v>11400</v>
          </cell>
        </row>
        <row r="30">
          <cell r="G30" t="str">
            <v>Cà Chua Beef Trung</v>
          </cell>
          <cell r="H30" t="str">
            <v>Kg</v>
          </cell>
          <cell r="I30" t="str">
            <v>Cà Chua Beef Trung Kg 20/11/2024</v>
          </cell>
          <cell r="J30">
            <v>50</v>
          </cell>
          <cell r="K30" t="str">
            <v>Cà Chua Beef Trung 20/11/2024</v>
          </cell>
          <cell r="L30">
            <v>19000</v>
          </cell>
          <cell r="M30">
            <v>0.5</v>
          </cell>
          <cell r="N30">
            <v>9500</v>
          </cell>
        </row>
        <row r="31">
          <cell r="G31" t="str">
            <v>Bí Ngòi Xanh</v>
          </cell>
          <cell r="H31" t="str">
            <v>Kg</v>
          </cell>
          <cell r="I31" t="str">
            <v>Bí Ngòi Xanh Kg 21/11/2024</v>
          </cell>
          <cell r="J31">
            <v>31</v>
          </cell>
          <cell r="K31" t="str">
            <v>Bí Ngòi Xanh 21/11/2024</v>
          </cell>
          <cell r="L31">
            <v>10000</v>
          </cell>
          <cell r="M31">
            <v>0.3</v>
          </cell>
          <cell r="N31">
            <v>3000</v>
          </cell>
        </row>
        <row r="32">
          <cell r="G32" t="str">
            <v>Ớt Chuông Đỏ</v>
          </cell>
          <cell r="H32" t="str">
            <v>Kg</v>
          </cell>
          <cell r="I32" t="str">
            <v>Ớt Chuông Đỏ Kg 21/11/2024</v>
          </cell>
          <cell r="J32">
            <v>45</v>
          </cell>
          <cell r="K32" t="str">
            <v>Ớt Chuông Đỏ 21/11/2024</v>
          </cell>
          <cell r="L32">
            <v>35000</v>
          </cell>
          <cell r="M32">
            <v>0.25</v>
          </cell>
          <cell r="N32">
            <v>8750</v>
          </cell>
        </row>
        <row r="33">
          <cell r="G33" t="str">
            <v>Ớt Chuông Vàng</v>
          </cell>
          <cell r="H33" t="str">
            <v>Kg</v>
          </cell>
          <cell r="I33" t="str">
            <v>Ớt Chuông Vàng Kg 21/11/2024</v>
          </cell>
          <cell r="J33">
            <v>40</v>
          </cell>
          <cell r="K33" t="str">
            <v>Ớt Chuông Vàng 21/11/2024</v>
          </cell>
          <cell r="L33">
            <v>18000</v>
          </cell>
          <cell r="M33">
            <v>0.25</v>
          </cell>
          <cell r="N33">
            <v>4500</v>
          </cell>
        </row>
        <row r="34">
          <cell r="G34" t="str">
            <v>Ớt Chuông Xanh</v>
          </cell>
          <cell r="H34" t="str">
            <v>Kg</v>
          </cell>
          <cell r="I34" t="str">
            <v>Ớt Chuông Xanh Kg 21/11/2024</v>
          </cell>
          <cell r="J34">
            <v>15</v>
          </cell>
          <cell r="K34" t="str">
            <v>Ớt Chuông Xanh 21/11/2024</v>
          </cell>
          <cell r="L34">
            <v>28000</v>
          </cell>
          <cell r="M34">
            <v>0.25</v>
          </cell>
          <cell r="N34">
            <v>7000</v>
          </cell>
        </row>
        <row r="35">
          <cell r="G35" t="str">
            <v>Bí Đao Xanh</v>
          </cell>
          <cell r="H35" t="str">
            <v>Kg</v>
          </cell>
          <cell r="I35" t="str">
            <v>Bí Đao Xanh Kg 21/11/2024</v>
          </cell>
          <cell r="J35">
            <v>10</v>
          </cell>
          <cell r="K35" t="str">
            <v>Bí Đao Xanh 21/11/2024</v>
          </cell>
          <cell r="L35">
            <v>7500</v>
          </cell>
          <cell r="M35">
            <v>0.4</v>
          </cell>
          <cell r="N35">
            <v>3000</v>
          </cell>
        </row>
        <row r="36">
          <cell r="G36" t="str">
            <v>Cần Tây</v>
          </cell>
          <cell r="H36" t="str">
            <v>Kg</v>
          </cell>
          <cell r="I36" t="str">
            <v>Cần Tây Kg 21/11/2024</v>
          </cell>
          <cell r="J36">
            <v>80</v>
          </cell>
          <cell r="K36" t="str">
            <v>Cần Tây 21/11/2024</v>
          </cell>
          <cell r="L36">
            <v>20000</v>
          </cell>
          <cell r="M36">
            <v>0.5</v>
          </cell>
          <cell r="N36">
            <v>10000</v>
          </cell>
        </row>
        <row r="37">
          <cell r="G37" t="str">
            <v>Cải Kale</v>
          </cell>
          <cell r="H37" t="str">
            <v>Kg</v>
          </cell>
          <cell r="I37" t="str">
            <v>Cải Kale Kg 21/11/2024</v>
          </cell>
          <cell r="J37">
            <v>0.9</v>
          </cell>
          <cell r="K37" t="str">
            <v>Cải Kale 21/11/2024</v>
          </cell>
          <cell r="L37">
            <v>29000</v>
          </cell>
          <cell r="M37">
            <v>0.3</v>
          </cell>
          <cell r="N37">
            <v>8700</v>
          </cell>
        </row>
        <row r="38">
          <cell r="G38" t="str">
            <v>Cà Chua Socola</v>
          </cell>
          <cell r="H38" t="str">
            <v>Kg</v>
          </cell>
          <cell r="I38" t="str">
            <v>Cà Chua Socola Kg 21/11/2024</v>
          </cell>
          <cell r="J38">
            <v>28.5</v>
          </cell>
          <cell r="K38" t="str">
            <v>Cà Chua Socola 21/11/2024</v>
          </cell>
          <cell r="L38">
            <v>41500</v>
          </cell>
          <cell r="M38">
            <v>0.3</v>
          </cell>
          <cell r="N38">
            <v>12450</v>
          </cell>
        </row>
        <row r="39">
          <cell r="G39" t="str">
            <v>Chanh Không Hạt</v>
          </cell>
          <cell r="H39" t="str">
            <v>Kg</v>
          </cell>
          <cell r="I39" t="str">
            <v>Chanh Không Hạt Kg 21/11/2024</v>
          </cell>
          <cell r="J39">
            <v>12</v>
          </cell>
          <cell r="K39" t="str">
            <v>Chanh Không Hạt 21/11/2024</v>
          </cell>
          <cell r="L39">
            <v>26000</v>
          </cell>
          <cell r="M39">
            <v>0.25</v>
          </cell>
          <cell r="N39">
            <v>6500</v>
          </cell>
        </row>
        <row r="40">
          <cell r="G40" t="str">
            <v>Lá Mè</v>
          </cell>
          <cell r="H40" t="str">
            <v>Kg</v>
          </cell>
          <cell r="I40" t="str">
            <v>Lá Mè Kg 21/11/2024</v>
          </cell>
          <cell r="J40">
            <v>5</v>
          </cell>
          <cell r="K40" t="str">
            <v>Lá Mè 21/11/2024</v>
          </cell>
          <cell r="L40">
            <v>38000</v>
          </cell>
          <cell r="M40">
            <v>0.02</v>
          </cell>
          <cell r="N40">
            <v>760</v>
          </cell>
        </row>
        <row r="41">
          <cell r="G41" t="str">
            <v>Cải Kale</v>
          </cell>
          <cell r="H41" t="str">
            <v>Kg</v>
          </cell>
          <cell r="I41" t="str">
            <v>Cải Kale Kg 21/11/2024</v>
          </cell>
          <cell r="J41">
            <v>21.3</v>
          </cell>
          <cell r="K41" t="str">
            <v>Cải Kale 21/11/2024</v>
          </cell>
          <cell r="L41">
            <v>26000</v>
          </cell>
          <cell r="M41">
            <v>0.3</v>
          </cell>
          <cell r="N41">
            <v>7800</v>
          </cell>
        </row>
        <row r="42">
          <cell r="G42" t="str">
            <v>Cà Rốt Baby</v>
          </cell>
          <cell r="H42" t="str">
            <v>Kg</v>
          </cell>
          <cell r="I42" t="str">
            <v>Cà Rốt Baby Kg 21/11/2024</v>
          </cell>
          <cell r="J42">
            <v>11.6</v>
          </cell>
          <cell r="K42" t="str">
            <v>Cà Rốt Baby 21/11/2024</v>
          </cell>
          <cell r="L42">
            <v>48000</v>
          </cell>
          <cell r="M42">
            <v>0.2</v>
          </cell>
          <cell r="N42">
            <v>9600</v>
          </cell>
        </row>
        <row r="43">
          <cell r="G43" t="str">
            <v>Cải Kale</v>
          </cell>
          <cell r="H43" t="str">
            <v>Kg</v>
          </cell>
          <cell r="I43" t="str">
            <v>Cải Kale Kg 21/11/2024</v>
          </cell>
          <cell r="J43">
            <v>24</v>
          </cell>
          <cell r="K43" t="str">
            <v>Cải Kale 21/11/2024</v>
          </cell>
          <cell r="L43">
            <v>30000</v>
          </cell>
          <cell r="M43">
            <v>0.3</v>
          </cell>
          <cell r="N43">
            <v>9000</v>
          </cell>
        </row>
        <row r="44">
          <cell r="G44" t="str">
            <v>Bông Cải Xanh Baby</v>
          </cell>
          <cell r="H44" t="str">
            <v>Kg</v>
          </cell>
          <cell r="I44" t="str">
            <v>Bông Cải Xanh Baby Kg 21/11/2024</v>
          </cell>
          <cell r="J44">
            <v>9.4</v>
          </cell>
          <cell r="K44" t="str">
            <v>Bông Cải Xanh Baby 21/11/2024</v>
          </cell>
          <cell r="L44">
            <v>56000</v>
          </cell>
          <cell r="M44">
            <v>0.2</v>
          </cell>
          <cell r="N44">
            <v>11200</v>
          </cell>
        </row>
        <row r="45">
          <cell r="G45" t="str">
            <v>Lá Mè</v>
          </cell>
          <cell r="H45" t="str">
            <v>Kg</v>
          </cell>
          <cell r="I45" t="str">
            <v>Lá Mè Kg 21/11/2024</v>
          </cell>
          <cell r="J45">
            <v>9.0500000000000007</v>
          </cell>
          <cell r="K45" t="str">
            <v>Lá Mè 21/11/2024</v>
          </cell>
          <cell r="L45">
            <v>40000</v>
          </cell>
          <cell r="M45">
            <v>0.02</v>
          </cell>
          <cell r="N45">
            <v>800</v>
          </cell>
        </row>
        <row r="46">
          <cell r="G46" t="str">
            <v>Bí Đao Xanh</v>
          </cell>
          <cell r="H46" t="str">
            <v>Kg</v>
          </cell>
          <cell r="I46" t="str">
            <v>Bí Đao Xanh Kg 22/11/2024</v>
          </cell>
          <cell r="J46">
            <v>20</v>
          </cell>
          <cell r="K46" t="str">
            <v>Bí Đao Xanh 22/11/2024</v>
          </cell>
          <cell r="L46">
            <v>8000</v>
          </cell>
          <cell r="M46">
            <v>0.4</v>
          </cell>
          <cell r="N46">
            <v>3200</v>
          </cell>
        </row>
        <row r="47">
          <cell r="G47" t="str">
            <v>Bí Ngòi Xanh</v>
          </cell>
          <cell r="H47" t="str">
            <v>Kg</v>
          </cell>
          <cell r="I47" t="str">
            <v>Bí Ngòi Xanh Kg 22/11/2024</v>
          </cell>
          <cell r="J47">
            <v>89</v>
          </cell>
          <cell r="K47" t="str">
            <v>Bí Ngòi Xanh 22/11/2024</v>
          </cell>
          <cell r="L47">
            <v>11000</v>
          </cell>
          <cell r="M47">
            <v>0.3</v>
          </cell>
          <cell r="N47">
            <v>3300</v>
          </cell>
        </row>
        <row r="48">
          <cell r="G48" t="str">
            <v>Cần Tây</v>
          </cell>
          <cell r="H48" t="str">
            <v>Kg</v>
          </cell>
          <cell r="I48" t="str">
            <v>Cần Tây Kg 22/11/2024</v>
          </cell>
          <cell r="J48">
            <v>96.5</v>
          </cell>
          <cell r="K48" t="str">
            <v>Cần Tây 22/11/2024</v>
          </cell>
          <cell r="L48">
            <v>17000</v>
          </cell>
          <cell r="M48">
            <v>0.5</v>
          </cell>
          <cell r="N48">
            <v>8500</v>
          </cell>
        </row>
        <row r="49">
          <cell r="G49" t="str">
            <v>Ớt Chuông Đỏ</v>
          </cell>
          <cell r="H49" t="str">
            <v>Kg</v>
          </cell>
          <cell r="I49" t="str">
            <v>Ớt Chuông Đỏ Kg 22/11/2024</v>
          </cell>
          <cell r="J49">
            <v>50</v>
          </cell>
          <cell r="K49" t="str">
            <v>Ớt Chuông Đỏ 22/11/2024</v>
          </cell>
          <cell r="L49">
            <v>35000</v>
          </cell>
          <cell r="M49">
            <v>0.25</v>
          </cell>
          <cell r="N49">
            <v>8750</v>
          </cell>
        </row>
        <row r="50">
          <cell r="G50" t="str">
            <v>Ớt Chuông Vàng</v>
          </cell>
          <cell r="H50" t="str">
            <v>Kg</v>
          </cell>
          <cell r="I50" t="str">
            <v>Ớt Chuông Vàng Kg 22/11/2024</v>
          </cell>
          <cell r="J50">
            <v>40</v>
          </cell>
          <cell r="K50" t="str">
            <v>Ớt Chuông Vàng 22/11/2024</v>
          </cell>
          <cell r="L50">
            <v>18000</v>
          </cell>
          <cell r="M50">
            <v>0.25</v>
          </cell>
          <cell r="N50">
            <v>4500</v>
          </cell>
        </row>
        <row r="51">
          <cell r="G51" t="str">
            <v>Ớt Chuông Xanh</v>
          </cell>
          <cell r="H51" t="str">
            <v>Kg</v>
          </cell>
          <cell r="I51" t="str">
            <v>Ớt Chuông Xanh Kg 22/11/2024</v>
          </cell>
          <cell r="J51">
            <v>20</v>
          </cell>
          <cell r="K51" t="str">
            <v>Ớt Chuông Xanh 22/11/2024</v>
          </cell>
          <cell r="L51">
            <v>28000</v>
          </cell>
          <cell r="M51">
            <v>0.25</v>
          </cell>
          <cell r="N51">
            <v>7000</v>
          </cell>
        </row>
        <row r="52">
          <cell r="G52" t="str">
            <v>Ớt Chuông Baby</v>
          </cell>
          <cell r="H52" t="str">
            <v>Kg</v>
          </cell>
          <cell r="I52" t="str">
            <v>Ớt Chuông Baby Kg 22/11/2024</v>
          </cell>
          <cell r="J52">
            <v>30</v>
          </cell>
          <cell r="K52" t="str">
            <v>Ớt Chuông Baby 22/11/2024</v>
          </cell>
          <cell r="L52">
            <v>44000</v>
          </cell>
          <cell r="M52">
            <v>0.25</v>
          </cell>
          <cell r="N52">
            <v>11000</v>
          </cell>
        </row>
        <row r="53">
          <cell r="G53" t="str">
            <v>Cà Chua Beef Trung</v>
          </cell>
          <cell r="H53" t="str">
            <v>Kg</v>
          </cell>
          <cell r="I53" t="str">
            <v>Cà Chua Beef Trung Kg 22/11/2024</v>
          </cell>
          <cell r="J53">
            <v>50</v>
          </cell>
          <cell r="K53" t="str">
            <v>Cà Chua Beef Trung 22/11/2024</v>
          </cell>
          <cell r="L53">
            <v>19000</v>
          </cell>
          <cell r="M53">
            <v>0.5</v>
          </cell>
          <cell r="N53">
            <v>9500</v>
          </cell>
        </row>
        <row r="54">
          <cell r="G54" t="str">
            <v>Cà Rốt Baby</v>
          </cell>
          <cell r="H54" t="str">
            <v>Kg</v>
          </cell>
          <cell r="I54" t="str">
            <v>Cà Rốt Baby Kg 22/11/2024</v>
          </cell>
          <cell r="J54">
            <v>13.6</v>
          </cell>
          <cell r="K54" t="str">
            <v>Cà Rốt Baby 22/11/2024</v>
          </cell>
          <cell r="L54">
            <v>48000</v>
          </cell>
          <cell r="M54">
            <v>0.2</v>
          </cell>
          <cell r="N54">
            <v>9600</v>
          </cell>
        </row>
        <row r="55">
          <cell r="G55" t="str">
            <v>Cải Kale</v>
          </cell>
          <cell r="H55" t="str">
            <v>Kg</v>
          </cell>
          <cell r="I55" t="str">
            <v>Cải Kale Kg 22/11/2024</v>
          </cell>
          <cell r="J55">
            <v>35.1</v>
          </cell>
          <cell r="K55" t="str">
            <v>Cải Kale 22/11/2024</v>
          </cell>
          <cell r="L55">
            <v>28000</v>
          </cell>
          <cell r="M55">
            <v>0.3</v>
          </cell>
          <cell r="N55">
            <v>8400</v>
          </cell>
        </row>
        <row r="56">
          <cell r="G56" t="str">
            <v>Chanh Không Hạt</v>
          </cell>
          <cell r="H56" t="str">
            <v>Kg</v>
          </cell>
          <cell r="I56" t="str">
            <v>Chanh Không Hạt Kg 22/11/2024</v>
          </cell>
          <cell r="J56">
            <v>12.5</v>
          </cell>
          <cell r="K56" t="str">
            <v>Chanh Không Hạt 22/11/2024</v>
          </cell>
          <cell r="L56">
            <v>26000</v>
          </cell>
          <cell r="M56">
            <v>0.25</v>
          </cell>
          <cell r="N56">
            <v>6500</v>
          </cell>
        </row>
        <row r="57">
          <cell r="G57" t="str">
            <v>Cà Chua Beef Trung</v>
          </cell>
          <cell r="H57" t="str">
            <v>Kg</v>
          </cell>
          <cell r="I57" t="str">
            <v>Cà Chua Beef Trung Kg 22/11/2024</v>
          </cell>
          <cell r="J57">
            <v>50</v>
          </cell>
          <cell r="K57" t="str">
            <v>Cà Chua Beef Trung 22/11/2024</v>
          </cell>
          <cell r="L57">
            <v>15000</v>
          </cell>
          <cell r="M57">
            <v>0.5</v>
          </cell>
          <cell r="N57">
            <v>7500</v>
          </cell>
        </row>
        <row r="58">
          <cell r="G58" t="str">
            <v>Hành Paro</v>
          </cell>
          <cell r="H58" t="str">
            <v>Kg</v>
          </cell>
          <cell r="I58" t="str">
            <v>Hành Paro Kg 23/11/2024</v>
          </cell>
          <cell r="J58">
            <v>35</v>
          </cell>
          <cell r="K58" t="str">
            <v>Hành Paro 23/11/2024</v>
          </cell>
          <cell r="L58">
            <v>30000</v>
          </cell>
          <cell r="M58">
            <v>0.2</v>
          </cell>
          <cell r="N58">
            <v>6000</v>
          </cell>
        </row>
        <row r="59">
          <cell r="G59" t="str">
            <v>Bí Đao Xanh</v>
          </cell>
          <cell r="H59" t="str">
            <v>Kg</v>
          </cell>
          <cell r="I59" t="str">
            <v>Bí Đao Xanh Kg 23/11/2024</v>
          </cell>
          <cell r="J59">
            <v>15</v>
          </cell>
          <cell r="K59" t="str">
            <v>Bí Đao Xanh 23/11/2024</v>
          </cell>
          <cell r="L59">
            <v>8000</v>
          </cell>
          <cell r="M59">
            <v>0.4</v>
          </cell>
          <cell r="N59">
            <v>3200</v>
          </cell>
        </row>
        <row r="60">
          <cell r="G60" t="str">
            <v>Bí Ngòi Xanh</v>
          </cell>
          <cell r="H60" t="str">
            <v>Kg</v>
          </cell>
          <cell r="I60" t="str">
            <v>Bí Ngòi Xanh Kg 23/11/2024</v>
          </cell>
          <cell r="J60">
            <v>95</v>
          </cell>
          <cell r="K60" t="str">
            <v>Bí Ngòi Xanh 23/11/2024</v>
          </cell>
          <cell r="L60">
            <v>11000</v>
          </cell>
          <cell r="M60">
            <v>0.3</v>
          </cell>
          <cell r="N60">
            <v>3300</v>
          </cell>
        </row>
        <row r="61">
          <cell r="G61" t="str">
            <v>Ớt Chuông Đỏ</v>
          </cell>
          <cell r="H61" t="str">
            <v>Kg</v>
          </cell>
          <cell r="I61" t="str">
            <v>Ớt Chuông Đỏ Kg 23/11/2024</v>
          </cell>
          <cell r="J61">
            <v>40</v>
          </cell>
          <cell r="K61" t="str">
            <v>Ớt Chuông Đỏ 23/11/2024</v>
          </cell>
          <cell r="L61">
            <v>35000</v>
          </cell>
          <cell r="M61">
            <v>0.25</v>
          </cell>
          <cell r="N61">
            <v>8750</v>
          </cell>
        </row>
        <row r="62">
          <cell r="G62" t="str">
            <v>Ớt Chuông Vàng</v>
          </cell>
          <cell r="H62" t="str">
            <v>Kg</v>
          </cell>
          <cell r="I62" t="str">
            <v>Ớt Chuông Vàng Kg 23/11/2024</v>
          </cell>
          <cell r="J62">
            <v>38</v>
          </cell>
          <cell r="K62" t="str">
            <v>Ớt Chuông Vàng 23/11/2024</v>
          </cell>
          <cell r="L62">
            <v>18000</v>
          </cell>
          <cell r="M62">
            <v>0.25</v>
          </cell>
          <cell r="N62">
            <v>4500</v>
          </cell>
        </row>
        <row r="63">
          <cell r="G63" t="str">
            <v>Ớt Chuông Xanh</v>
          </cell>
          <cell r="H63" t="str">
            <v>Kg</v>
          </cell>
          <cell r="I63" t="str">
            <v>Ớt Chuông Xanh Kg 23/11/2024</v>
          </cell>
          <cell r="J63">
            <v>15</v>
          </cell>
          <cell r="K63" t="str">
            <v>Ớt Chuông Xanh 23/11/2024</v>
          </cell>
          <cell r="L63">
            <v>28000</v>
          </cell>
          <cell r="M63">
            <v>0.25</v>
          </cell>
          <cell r="N63">
            <v>7000</v>
          </cell>
        </row>
        <row r="64">
          <cell r="G64" t="str">
            <v>Ớt Chuông Baby</v>
          </cell>
          <cell r="H64" t="str">
            <v>Kg</v>
          </cell>
          <cell r="I64" t="str">
            <v>Ớt Chuông Baby Kg 23/11/2024</v>
          </cell>
          <cell r="J64">
            <v>40</v>
          </cell>
          <cell r="K64" t="str">
            <v>Ớt Chuông Baby 23/11/2024</v>
          </cell>
          <cell r="L64">
            <v>44000</v>
          </cell>
          <cell r="M64">
            <v>0.25</v>
          </cell>
          <cell r="N64">
            <v>11000</v>
          </cell>
        </row>
        <row r="65">
          <cell r="G65" t="str">
            <v>Chanh Không Hạt</v>
          </cell>
          <cell r="H65" t="str">
            <v>Kg</v>
          </cell>
          <cell r="I65" t="str">
            <v>Chanh Không Hạt Kg 23/11/2024</v>
          </cell>
          <cell r="J65">
            <v>7.5</v>
          </cell>
          <cell r="K65" t="str">
            <v>Chanh Không Hạt 23/11/2024</v>
          </cell>
          <cell r="L65">
            <v>26000</v>
          </cell>
          <cell r="M65">
            <v>0.25</v>
          </cell>
          <cell r="N65">
            <v>6500</v>
          </cell>
        </row>
        <row r="66">
          <cell r="G66" t="str">
            <v>Bí Non Nhật</v>
          </cell>
          <cell r="H66" t="str">
            <v>Kg</v>
          </cell>
          <cell r="I66" t="str">
            <v>Bí Non Nhật Kg 23/11/2024</v>
          </cell>
          <cell r="J66">
            <v>36</v>
          </cell>
          <cell r="K66" t="str">
            <v>Bí Non Nhật 23/11/2024</v>
          </cell>
          <cell r="L66">
            <v>9500</v>
          </cell>
          <cell r="M66">
            <v>0.3</v>
          </cell>
          <cell r="N66">
            <v>2850</v>
          </cell>
        </row>
        <row r="67">
          <cell r="G67" t="str">
            <v>Dưa Leo Nhật</v>
          </cell>
          <cell r="H67" t="str">
            <v>Kg</v>
          </cell>
          <cell r="I67" t="str">
            <v>Dưa Leo Nhật Kg 23/11/2024</v>
          </cell>
          <cell r="J67">
            <v>20</v>
          </cell>
          <cell r="K67" t="str">
            <v>Dưa Leo Nhật 23/11/2024</v>
          </cell>
          <cell r="L67">
            <v>10000</v>
          </cell>
          <cell r="M67">
            <v>0.6</v>
          </cell>
          <cell r="N67">
            <v>6000</v>
          </cell>
        </row>
        <row r="68">
          <cell r="G68" t="str">
            <v>Lá Mè</v>
          </cell>
          <cell r="H68" t="str">
            <v>Kg</v>
          </cell>
          <cell r="I68" t="str">
            <v>Lá Mè Kg 23/11/2024</v>
          </cell>
          <cell r="J68">
            <v>5</v>
          </cell>
          <cell r="K68" t="str">
            <v>Lá Mè 23/11/2024</v>
          </cell>
          <cell r="L68">
            <v>40000</v>
          </cell>
          <cell r="M68">
            <v>0.02</v>
          </cell>
          <cell r="N68">
            <v>800</v>
          </cell>
        </row>
        <row r="69">
          <cell r="G69" t="str">
            <v>Cà Rốt Baby</v>
          </cell>
          <cell r="H69" t="str">
            <v>Kg</v>
          </cell>
          <cell r="I69" t="str">
            <v>Cà Rốt Baby Kg 23/11/2024</v>
          </cell>
          <cell r="J69">
            <v>12</v>
          </cell>
          <cell r="K69" t="str">
            <v>Cà Rốt Baby 23/11/2024</v>
          </cell>
          <cell r="L69">
            <v>48000</v>
          </cell>
          <cell r="M69">
            <v>0.2</v>
          </cell>
          <cell r="N69">
            <v>9600</v>
          </cell>
        </row>
        <row r="70">
          <cell r="G70" t="str">
            <v>Cải Kale</v>
          </cell>
          <cell r="H70" t="str">
            <v>Kg</v>
          </cell>
          <cell r="I70" t="str">
            <v>Cải Kale Kg 23/11/2024</v>
          </cell>
          <cell r="J70">
            <v>18</v>
          </cell>
          <cell r="K70" t="str">
            <v>Cải Kale 23/11/2024</v>
          </cell>
          <cell r="L70">
            <v>28000</v>
          </cell>
          <cell r="M70">
            <v>0.3</v>
          </cell>
          <cell r="N70">
            <v>8400</v>
          </cell>
        </row>
        <row r="71">
          <cell r="G71" t="str">
            <v>Cải Kale</v>
          </cell>
          <cell r="H71" t="str">
            <v>Kg</v>
          </cell>
          <cell r="I71" t="str">
            <v>Cải Kale Kg 23/11/2024</v>
          </cell>
          <cell r="J71">
            <v>1.5</v>
          </cell>
          <cell r="K71" t="str">
            <v>Cải Kale 23/11/2024</v>
          </cell>
          <cell r="L71">
            <v>31000</v>
          </cell>
          <cell r="M71">
            <v>0.3</v>
          </cell>
          <cell r="N71">
            <v>9300</v>
          </cell>
        </row>
        <row r="72">
          <cell r="G72" t="str">
            <v>Ớt Chuông Xanh</v>
          </cell>
          <cell r="H72" t="str">
            <v>Kg</v>
          </cell>
          <cell r="I72" t="str">
            <v>Ớt Chuông Xanh Kg 24/11/2024</v>
          </cell>
          <cell r="J72">
            <v>25</v>
          </cell>
          <cell r="K72" t="str">
            <v>Ớt Chuông Xanh 24/11/2024</v>
          </cell>
          <cell r="L72">
            <v>30000</v>
          </cell>
          <cell r="M72">
            <v>0.25</v>
          </cell>
          <cell r="N72">
            <v>7500</v>
          </cell>
        </row>
        <row r="73">
          <cell r="G73" t="str">
            <v>Dưa Leo Nhật</v>
          </cell>
          <cell r="H73" t="str">
            <v>Kg</v>
          </cell>
          <cell r="I73" t="str">
            <v>Dưa Leo Nhật Kg 24/11/2024</v>
          </cell>
          <cell r="J73">
            <v>20</v>
          </cell>
          <cell r="K73" t="str">
            <v>Dưa Leo Nhật 24/11/2024</v>
          </cell>
          <cell r="L73">
            <v>10000</v>
          </cell>
          <cell r="M73">
            <v>0.6</v>
          </cell>
          <cell r="N73">
            <v>6000</v>
          </cell>
        </row>
        <row r="74">
          <cell r="G74" t="str">
            <v>Cà Chua Beef Trung</v>
          </cell>
          <cell r="H74" t="str">
            <v>Kg</v>
          </cell>
          <cell r="I74" t="str">
            <v>Cà Chua Beef Trung Kg 24/11/2024</v>
          </cell>
          <cell r="J74">
            <v>135</v>
          </cell>
          <cell r="K74" t="str">
            <v>Cà Chua Beef Trung 24/11/2024</v>
          </cell>
          <cell r="L74">
            <v>15000</v>
          </cell>
          <cell r="M74">
            <v>0.5</v>
          </cell>
          <cell r="N74">
            <v>7500</v>
          </cell>
        </row>
        <row r="75">
          <cell r="G75" t="str">
            <v>Cà Chua Socola</v>
          </cell>
          <cell r="H75" t="str">
            <v>Kg</v>
          </cell>
          <cell r="I75" t="str">
            <v>Cà Chua Socola Kg 24/11/2024</v>
          </cell>
          <cell r="J75">
            <v>28.8</v>
          </cell>
          <cell r="K75" t="str">
            <v>Cà Chua Socola 24/11/2024</v>
          </cell>
          <cell r="L75">
            <v>38500</v>
          </cell>
          <cell r="M75">
            <v>0.3</v>
          </cell>
          <cell r="N75">
            <v>11550</v>
          </cell>
        </row>
        <row r="76">
          <cell r="G76" t="str">
            <v>Cải Kale</v>
          </cell>
          <cell r="H76" t="str">
            <v>Kg</v>
          </cell>
          <cell r="I76" t="str">
            <v>Cải Kale Kg 24/11/2024</v>
          </cell>
          <cell r="J76">
            <v>9.1</v>
          </cell>
          <cell r="K76" t="str">
            <v>Cải Kale 24/11/2024</v>
          </cell>
          <cell r="L76">
            <v>23000</v>
          </cell>
          <cell r="M76">
            <v>0.3</v>
          </cell>
          <cell r="N76">
            <v>6900</v>
          </cell>
        </row>
        <row r="77">
          <cell r="G77" t="str">
            <v>Lá Mè</v>
          </cell>
          <cell r="H77" t="str">
            <v>Kg</v>
          </cell>
          <cell r="I77" t="str">
            <v>Lá Mè Kg 24/11/2024</v>
          </cell>
          <cell r="J77">
            <v>16.399999999999999</v>
          </cell>
          <cell r="K77" t="str">
            <v>Lá Mè 24/11/2024</v>
          </cell>
          <cell r="L77">
            <v>36000</v>
          </cell>
          <cell r="M77">
            <v>0.02</v>
          </cell>
          <cell r="N77">
            <v>720</v>
          </cell>
        </row>
        <row r="78">
          <cell r="G78" t="str">
            <v>Bí Ngòi Xanh</v>
          </cell>
          <cell r="H78" t="str">
            <v>Kg</v>
          </cell>
          <cell r="I78" t="str">
            <v>Bí Ngòi Xanh Kg 24/11/2024</v>
          </cell>
          <cell r="J78">
            <v>53</v>
          </cell>
          <cell r="K78" t="str">
            <v>Bí Ngòi Xanh 24/11/2024</v>
          </cell>
          <cell r="L78">
            <v>10000</v>
          </cell>
          <cell r="M78">
            <v>0.3</v>
          </cell>
          <cell r="N78">
            <v>3000</v>
          </cell>
        </row>
        <row r="79">
          <cell r="G79" t="str">
            <v>Cần Tây</v>
          </cell>
          <cell r="H79" t="str">
            <v>Kg</v>
          </cell>
          <cell r="I79" t="str">
            <v>Cần Tây Kg 24/11/2024</v>
          </cell>
          <cell r="J79">
            <v>145</v>
          </cell>
          <cell r="K79" t="str">
            <v>Cần Tây 24/11/2024</v>
          </cell>
          <cell r="L79">
            <v>20000</v>
          </cell>
          <cell r="M79">
            <v>0.5</v>
          </cell>
          <cell r="N79">
            <v>10000</v>
          </cell>
        </row>
        <row r="80">
          <cell r="G80" t="str">
            <v>Ớt Chuông Đỏ</v>
          </cell>
          <cell r="H80" t="str">
            <v>Kg</v>
          </cell>
          <cell r="I80" t="str">
            <v>Ớt Chuông Đỏ Kg 24/11/2024</v>
          </cell>
          <cell r="J80">
            <v>50</v>
          </cell>
          <cell r="K80" t="str">
            <v>Ớt Chuông Đỏ 24/11/2024</v>
          </cell>
          <cell r="L80">
            <v>35000</v>
          </cell>
          <cell r="M80">
            <v>0.25</v>
          </cell>
          <cell r="N80">
            <v>8750</v>
          </cell>
        </row>
        <row r="81">
          <cell r="G81" t="str">
            <v>Ớt Chuông Baby</v>
          </cell>
          <cell r="H81" t="str">
            <v>Kg</v>
          </cell>
          <cell r="I81" t="str">
            <v>Ớt Chuông Baby Kg 24/11/2024</v>
          </cell>
          <cell r="J81">
            <v>30</v>
          </cell>
          <cell r="K81" t="str">
            <v>Ớt Chuông Baby 24/11/2024</v>
          </cell>
          <cell r="L81">
            <v>44000</v>
          </cell>
          <cell r="M81">
            <v>0.25</v>
          </cell>
          <cell r="N81">
            <v>11000</v>
          </cell>
        </row>
        <row r="82">
          <cell r="G82" t="str">
            <v>Bí Ngòi Xanh</v>
          </cell>
          <cell r="H82" t="str">
            <v>Kg</v>
          </cell>
          <cell r="I82" t="str">
            <v>Bí Ngòi Xanh Kg 24/11/2024</v>
          </cell>
          <cell r="J82">
            <v>70</v>
          </cell>
          <cell r="K82" t="str">
            <v>Bí Ngòi Xanh 24/11/2024</v>
          </cell>
          <cell r="L82">
            <v>10000</v>
          </cell>
          <cell r="M82">
            <v>0.3</v>
          </cell>
          <cell r="N82">
            <v>3000</v>
          </cell>
        </row>
        <row r="83">
          <cell r="G83" t="str">
            <v>Bông Cải Xanh Baby</v>
          </cell>
          <cell r="H83" t="str">
            <v>Kg</v>
          </cell>
          <cell r="I83" t="str">
            <v>Bông Cải Xanh Baby Kg 24/11/2024</v>
          </cell>
          <cell r="J83">
            <v>14.6</v>
          </cell>
          <cell r="K83" t="str">
            <v>Bông Cải Xanh Baby 24/11/2024</v>
          </cell>
          <cell r="L83">
            <v>53000</v>
          </cell>
          <cell r="M83">
            <v>0.2</v>
          </cell>
          <cell r="N83">
            <v>10600</v>
          </cell>
        </row>
        <row r="84">
          <cell r="G84" t="str">
            <v>Cà Chua Beef Trung</v>
          </cell>
          <cell r="H84" t="str">
            <v>Kg</v>
          </cell>
          <cell r="I84" t="str">
            <v>Cà Chua Beef Trung Kg 24/11/2024</v>
          </cell>
          <cell r="J84">
            <v>50</v>
          </cell>
          <cell r="K84" t="str">
            <v>Cà Chua Beef Trung 24/11/2024</v>
          </cell>
          <cell r="L84">
            <v>18000</v>
          </cell>
          <cell r="M84">
            <v>0.5</v>
          </cell>
          <cell r="N84">
            <v>9000</v>
          </cell>
        </row>
        <row r="85">
          <cell r="G85" t="str">
            <v>Cà Rốt Baby</v>
          </cell>
          <cell r="H85" t="str">
            <v>Kg</v>
          </cell>
          <cell r="I85" t="str">
            <v>Cà Rốt Baby Kg 24/11/2024</v>
          </cell>
          <cell r="J85">
            <v>23.4</v>
          </cell>
          <cell r="K85" t="str">
            <v>Cà Rốt Baby 24/11/2024</v>
          </cell>
          <cell r="L85">
            <v>42000</v>
          </cell>
          <cell r="M85">
            <v>0.2</v>
          </cell>
          <cell r="N85">
            <v>8400</v>
          </cell>
        </row>
        <row r="86">
          <cell r="G86" t="str">
            <v>Cải Kale</v>
          </cell>
          <cell r="H86" t="str">
            <v>Kg</v>
          </cell>
          <cell r="I86" t="str">
            <v>Cải Kale Kg 24/11/2024</v>
          </cell>
          <cell r="J86">
            <v>15</v>
          </cell>
          <cell r="K86" t="str">
            <v>Cải Kale 24/11/2024</v>
          </cell>
          <cell r="L86">
            <v>28000</v>
          </cell>
          <cell r="M86">
            <v>0.3</v>
          </cell>
          <cell r="N86">
            <v>8400</v>
          </cell>
        </row>
        <row r="87">
          <cell r="G87" t="str">
            <v>Cải Kale</v>
          </cell>
          <cell r="H87" t="str">
            <v>Kg</v>
          </cell>
          <cell r="I87" t="str">
            <v>Cải Kale Kg 24/11/2024</v>
          </cell>
          <cell r="J87">
            <v>2.25</v>
          </cell>
          <cell r="K87" t="str">
            <v>Cải Kale 24/11/2024</v>
          </cell>
          <cell r="L87">
            <v>31000</v>
          </cell>
          <cell r="M87">
            <v>0.3</v>
          </cell>
          <cell r="N87">
            <v>9300</v>
          </cell>
        </row>
        <row r="88">
          <cell r="G88" t="str">
            <v>Lá Mè</v>
          </cell>
          <cell r="H88" t="str">
            <v>Kg</v>
          </cell>
          <cell r="I88" t="str">
            <v>Lá Mè Kg 24/11/2024</v>
          </cell>
          <cell r="J88">
            <v>25</v>
          </cell>
          <cell r="K88" t="str">
            <v>Lá Mè 24/11/2024</v>
          </cell>
          <cell r="L88">
            <v>38000</v>
          </cell>
          <cell r="M88">
            <v>0.02</v>
          </cell>
          <cell r="N88">
            <v>760</v>
          </cell>
        </row>
        <row r="89">
          <cell r="G89" t="str">
            <v>Bí Ngòi Xanh</v>
          </cell>
          <cell r="H89" t="str">
            <v>Kg</v>
          </cell>
          <cell r="I89" t="str">
            <v>Bí Ngòi Xanh Kg 25/11/2024</v>
          </cell>
          <cell r="J89">
            <v>70</v>
          </cell>
          <cell r="K89" t="str">
            <v>Bí Ngòi Xanh 25/11/2024</v>
          </cell>
          <cell r="L89">
            <v>10000</v>
          </cell>
          <cell r="M89">
            <v>0.3</v>
          </cell>
          <cell r="N89">
            <v>3000</v>
          </cell>
        </row>
        <row r="90">
          <cell r="G90" t="str">
            <v>Cần Tây</v>
          </cell>
          <cell r="H90" t="str">
            <v>Kg</v>
          </cell>
          <cell r="I90" t="str">
            <v>Cần Tây Kg 25/11/2024</v>
          </cell>
          <cell r="J90">
            <v>165</v>
          </cell>
          <cell r="K90" t="str">
            <v>Cần Tây 25/11/2024</v>
          </cell>
          <cell r="L90">
            <v>20000</v>
          </cell>
          <cell r="M90">
            <v>0.5</v>
          </cell>
          <cell r="N90">
            <v>10000</v>
          </cell>
        </row>
        <row r="91">
          <cell r="G91" t="str">
            <v>Hành Paro</v>
          </cell>
          <cell r="H91" t="str">
            <v>Kg</v>
          </cell>
          <cell r="I91" t="str">
            <v>Hành Paro Kg 25/11/2024</v>
          </cell>
          <cell r="J91">
            <v>20</v>
          </cell>
          <cell r="K91" t="str">
            <v>Hành Paro 25/11/2024</v>
          </cell>
          <cell r="L91">
            <v>30000</v>
          </cell>
          <cell r="M91">
            <v>0.2</v>
          </cell>
          <cell r="N91">
            <v>6000</v>
          </cell>
        </row>
        <row r="92">
          <cell r="G92" t="str">
            <v>Ớt Chuông Đỏ</v>
          </cell>
          <cell r="H92" t="str">
            <v>Kg</v>
          </cell>
          <cell r="I92" t="str">
            <v>Ớt Chuông Đỏ Kg 25/11/2024</v>
          </cell>
          <cell r="J92">
            <v>25</v>
          </cell>
          <cell r="K92" t="str">
            <v>Ớt Chuông Đỏ 25/11/2024</v>
          </cell>
          <cell r="L92">
            <v>35000</v>
          </cell>
          <cell r="M92">
            <v>0.25</v>
          </cell>
          <cell r="N92">
            <v>8750</v>
          </cell>
        </row>
        <row r="93">
          <cell r="G93" t="str">
            <v>Ớt Chuông Vàng</v>
          </cell>
          <cell r="H93" t="str">
            <v>Kg</v>
          </cell>
          <cell r="I93" t="str">
            <v>Ớt Chuông Vàng Kg 25/11/2024</v>
          </cell>
          <cell r="J93">
            <v>25</v>
          </cell>
          <cell r="K93" t="str">
            <v>Ớt Chuông Vàng 25/11/2024</v>
          </cell>
          <cell r="L93">
            <v>18000</v>
          </cell>
          <cell r="M93">
            <v>0.25</v>
          </cell>
          <cell r="N93">
            <v>4500</v>
          </cell>
        </row>
        <row r="94">
          <cell r="G94" t="str">
            <v>Ớt Chuông Baby</v>
          </cell>
          <cell r="H94" t="str">
            <v>Kg</v>
          </cell>
          <cell r="I94" t="str">
            <v>Ớt Chuông Baby Kg 25/11/2024</v>
          </cell>
          <cell r="J94">
            <v>25</v>
          </cell>
          <cell r="K94" t="str">
            <v>Ớt Chuông Baby 25/11/2024</v>
          </cell>
          <cell r="L94">
            <v>44000</v>
          </cell>
          <cell r="M94">
            <v>0.25</v>
          </cell>
          <cell r="N94">
            <v>11000</v>
          </cell>
        </row>
        <row r="95">
          <cell r="G95" t="str">
            <v>Bí Non Nhật</v>
          </cell>
          <cell r="H95" t="str">
            <v>Kg</v>
          </cell>
          <cell r="I95" t="str">
            <v>Bí Non Nhật Kg 25/11/2024</v>
          </cell>
          <cell r="J95">
            <v>77</v>
          </cell>
          <cell r="K95" t="str">
            <v>Bí Non Nhật 25/11/2024</v>
          </cell>
          <cell r="L95">
            <v>10000</v>
          </cell>
          <cell r="M95">
            <v>0.3</v>
          </cell>
          <cell r="N95">
            <v>3000</v>
          </cell>
        </row>
        <row r="96">
          <cell r="G96" t="str">
            <v>Dưa Leo Nhật</v>
          </cell>
          <cell r="H96" t="str">
            <v>Kg</v>
          </cell>
          <cell r="I96" t="str">
            <v>Dưa Leo Nhật Kg 25/11/2024</v>
          </cell>
          <cell r="J96">
            <v>20</v>
          </cell>
          <cell r="K96" t="str">
            <v>Dưa Leo Nhật 25/11/2024</v>
          </cell>
          <cell r="L96">
            <v>10000</v>
          </cell>
          <cell r="M96">
            <v>0.6</v>
          </cell>
          <cell r="N96">
            <v>6000</v>
          </cell>
        </row>
        <row r="97">
          <cell r="G97" t="str">
            <v>Bí Đao Xanh</v>
          </cell>
          <cell r="H97" t="str">
            <v>Kg</v>
          </cell>
          <cell r="I97" t="str">
            <v>Bí Đao Xanh Kg 25/11/2024</v>
          </cell>
          <cell r="J97">
            <v>14</v>
          </cell>
          <cell r="K97" t="str">
            <v>Bí Đao Xanh 25/11/2024</v>
          </cell>
          <cell r="L97">
            <v>8000</v>
          </cell>
          <cell r="M97">
            <v>0.4</v>
          </cell>
          <cell r="N97">
            <v>3200</v>
          </cell>
        </row>
        <row r="98">
          <cell r="G98" t="str">
            <v>Cà Rốt Baby</v>
          </cell>
          <cell r="H98" t="str">
            <v>Kg</v>
          </cell>
          <cell r="I98" t="str">
            <v>Cà Rốt Baby Kg 25/11/2024</v>
          </cell>
          <cell r="J98">
            <v>12</v>
          </cell>
          <cell r="K98" t="str">
            <v>Cà Rốt Baby 25/11/2024</v>
          </cell>
          <cell r="L98">
            <v>42000</v>
          </cell>
          <cell r="M98">
            <v>0.2</v>
          </cell>
          <cell r="N98">
            <v>8400</v>
          </cell>
        </row>
        <row r="99">
          <cell r="G99" t="str">
            <v>Cải Kale</v>
          </cell>
          <cell r="H99" t="str">
            <v>Kg</v>
          </cell>
          <cell r="I99" t="str">
            <v>Cải Kale Kg 25/11/2024</v>
          </cell>
          <cell r="J99">
            <v>2.25</v>
          </cell>
          <cell r="K99" t="str">
            <v>Cải Kale 25/11/2024</v>
          </cell>
          <cell r="L99">
            <v>31000</v>
          </cell>
          <cell r="M99">
            <v>0.3</v>
          </cell>
          <cell r="N99">
            <v>9300</v>
          </cell>
        </row>
        <row r="100">
          <cell r="G100" t="str">
            <v>Bông Cải Xanh Baby</v>
          </cell>
          <cell r="H100" t="str">
            <v>Kg</v>
          </cell>
          <cell r="I100" t="str">
            <v>Bông Cải Xanh Baby Kg 25/11/2024</v>
          </cell>
          <cell r="J100">
            <v>14</v>
          </cell>
          <cell r="K100" t="str">
            <v>Bông Cải Xanh Baby 25/11/2024</v>
          </cell>
          <cell r="L100">
            <v>53000</v>
          </cell>
          <cell r="M100">
            <v>0.2</v>
          </cell>
          <cell r="N100">
            <v>10600</v>
          </cell>
        </row>
        <row r="101">
          <cell r="G101" t="str">
            <v>Cà Chua Beef Trung</v>
          </cell>
          <cell r="H101" t="str">
            <v>Kg</v>
          </cell>
          <cell r="I101" t="str">
            <v>Cà Chua Beef Trung Kg 25/11/2024</v>
          </cell>
          <cell r="J101">
            <v>25</v>
          </cell>
          <cell r="K101" t="str">
            <v>Cà Chua Beef Trung 25/11/2024</v>
          </cell>
          <cell r="L101">
            <v>18000</v>
          </cell>
          <cell r="M101">
            <v>0.5</v>
          </cell>
          <cell r="N101">
            <v>9000</v>
          </cell>
        </row>
        <row r="102">
          <cell r="G102" t="str">
            <v>Cà Chua Beef Trung</v>
          </cell>
          <cell r="H102" t="str">
            <v>Kg</v>
          </cell>
          <cell r="I102" t="str">
            <v>Cà Chua Beef Trung Kg 25/11/2024</v>
          </cell>
          <cell r="J102">
            <v>100</v>
          </cell>
          <cell r="K102" t="str">
            <v>Cà Chua Beef Trung 25/11/2024</v>
          </cell>
          <cell r="L102">
            <v>15000</v>
          </cell>
          <cell r="M102">
            <v>0.5</v>
          </cell>
          <cell r="N102">
            <v>7500</v>
          </cell>
        </row>
        <row r="103">
          <cell r="G103" t="str">
            <v>Cà Chua Socola</v>
          </cell>
          <cell r="H103" t="str">
            <v>Kg</v>
          </cell>
          <cell r="I103" t="str">
            <v>Cà Chua Socola Kg 25/11/2024</v>
          </cell>
          <cell r="J103">
            <v>36</v>
          </cell>
          <cell r="K103" t="str">
            <v>Cà Chua Socola 25/11/2024</v>
          </cell>
          <cell r="L103">
            <v>38500</v>
          </cell>
          <cell r="M103">
            <v>0.3</v>
          </cell>
          <cell r="N103">
            <v>11550</v>
          </cell>
        </row>
        <row r="104">
          <cell r="G104" t="str">
            <v>Cải Kale</v>
          </cell>
          <cell r="H104" t="str">
            <v>Kg</v>
          </cell>
          <cell r="I104" t="str">
            <v>Cải Kale Kg 25/11/2024</v>
          </cell>
          <cell r="J104">
            <v>16.8</v>
          </cell>
          <cell r="K104" t="str">
            <v>Cải Kale 25/11/2024</v>
          </cell>
          <cell r="L104">
            <v>25500</v>
          </cell>
          <cell r="M104">
            <v>0.3</v>
          </cell>
          <cell r="N104">
            <v>7650</v>
          </cell>
        </row>
        <row r="105">
          <cell r="G105" t="str">
            <v>Bí Ngòi Xanh</v>
          </cell>
          <cell r="H105" t="str">
            <v>Kg</v>
          </cell>
          <cell r="I105" t="str">
            <v>Bí Ngòi Xanh Kg 26/11/2024</v>
          </cell>
          <cell r="J105">
            <v>20</v>
          </cell>
          <cell r="K105" t="str">
            <v>Bí Ngòi Xanh 26/11/2024</v>
          </cell>
          <cell r="L105">
            <v>10000</v>
          </cell>
          <cell r="M105">
            <v>0.3</v>
          </cell>
          <cell r="N105">
            <v>3000</v>
          </cell>
        </row>
        <row r="106">
          <cell r="G106" t="str">
            <v>Bí Ngòi Xanh</v>
          </cell>
          <cell r="H106" t="str">
            <v>Kg</v>
          </cell>
          <cell r="I106" t="str">
            <v>Bí Ngòi Xanh Kg 26/11/2024</v>
          </cell>
          <cell r="J106">
            <v>83</v>
          </cell>
          <cell r="K106" t="str">
            <v>Bí Ngòi Xanh 26/11/2024</v>
          </cell>
          <cell r="L106">
            <v>10000</v>
          </cell>
          <cell r="M106">
            <v>0.3</v>
          </cell>
          <cell r="N106">
            <v>3000</v>
          </cell>
        </row>
        <row r="107">
          <cell r="I107" t="str">
            <v xml:space="preserve">  Tổng cộng</v>
          </cell>
          <cell r="J107">
            <v>16759.2</v>
          </cell>
          <cell r="K107" t="str">
            <v>Tổng cộng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6C5D5DC-9235-46A3-A5E2-ED52320BCF48}" name="Table10" displayName="Table10" ref="A1:I59" totalsRowCount="1">
  <autoFilter ref="A1:I58" xr:uid="{96C5D5DC-9235-46A3-A5E2-ED52320BCF48}"/>
  <tableColumns count="9">
    <tableColumn id="1" xr3:uid="{56E5923F-92FD-4189-A48D-AEE573E8B587}" name="TÊN MẶT HÀNG"/>
    <tableColumn id="2" xr3:uid="{A65959D1-D631-4AE3-8963-1167833C00E4}" name="ĐƠN VỊ"/>
    <tableColumn id="3" xr3:uid="{017848AF-64F0-4028-9EA1-2A388CED2FB8}" name="SL"/>
    <tableColumn id="6" xr3:uid="{B2F3156F-4F4B-4D48-843E-61BB8A092D95}" name="NGÀY LẤY GIÁ"/>
    <tableColumn id="5" xr3:uid="{6570E7E0-359A-43DF-83C7-462A4A5C3CBB}" name="CỘT PHỤ" dataDxfId="59">
      <calculatedColumnFormula>Table10[[#This Row],[TÊN MẶT HÀNG]]&amp;" "&amp;TEXT(Table10[[#This Row],[NGÀY LẤY GIÁ]],"dd/mm/yyyy")</calculatedColumnFormula>
    </tableColumn>
    <tableColumn id="4" xr3:uid="{C0F64B9D-1FE0-438B-9F50-925283F24B8B}" name="ĐƠN GIÁ" dataDxfId="58" totalsRowDxfId="57" dataCellStyle="Comma" totalsRowCellStyle="Comma">
      <calculatedColumnFormula>VLOOKUP(Table10[[#This Row],[CỘT PHỤ]],'[1]TIỀN MUA PHỤ'!$A:$B,2,0)</calculatedColumnFormula>
    </tableColumn>
    <tableColumn id="7" xr3:uid="{0AC04838-5CF9-440A-8589-9610F5AA9E32}" name="THÀNH TIỀN" totalsRowFunction="custom" dataDxfId="56" totalsRowDxfId="55">
      <calculatedColumnFormula>Table10[[#This Row],[SL]]*Table10[[#This Row],[ĐƠN GIÁ]]</calculatedColumnFormula>
      <totalsRowFormula>SUM(Table10[THÀNH TIỀN])</totalsRowFormula>
    </tableColumn>
    <tableColumn id="8" xr3:uid="{6D56C98D-46A4-42B5-B7B0-67CBE73C810E}" name="Column1" dataDxfId="54" totalsRowDxfId="53" dataCellStyle="Comma" totalsRowCellStyle="Comma"/>
    <tableColumn id="9" xr3:uid="{F82CF31C-83F2-4AE4-AA65-5A5D10F71E1F}" name="Column2" dataDxfId="52" totalsRowDxfId="51" dataCellStyle="Comma" totalsRowCellStyle="Comm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9CB547-94C8-4951-86B9-C74809BEF1D2}" name="Table9" displayName="Table9" ref="A1:I72" totalsRowCount="1">
  <autoFilter ref="A1:I71" xr:uid="{7F9CB547-94C8-4951-86B9-C74809BEF1D2}"/>
  <tableColumns count="9">
    <tableColumn id="1" xr3:uid="{87C56D5B-03DF-4748-B4E3-D831B00DF9B1}" name="TÊN MẶT HÀNG"/>
    <tableColumn id="2" xr3:uid="{9C52C45F-FF7B-431D-90B9-1197045410B0}" name="ĐƠN VỊ"/>
    <tableColumn id="3" xr3:uid="{A85459FB-C988-427C-B140-C8B528F99EFE}" name="SL"/>
    <tableColumn id="6" xr3:uid="{6BE3B7A8-D1BB-41AB-81A6-29F0C899578E}" name="NGÀY LẤY GIÁ"/>
    <tableColumn id="7" xr3:uid="{4DC8A72F-2113-4BA6-A0F7-A6AC2DAD2540}" name="CỘT PHỤ" dataDxfId="50" totalsRowDxfId="49">
      <calculatedColumnFormula>Table9[[#This Row],[TÊN MẶT HÀNG]]&amp;" "&amp;TEXT(Table9[[#This Row],[NGÀY LẤY GIÁ]],"dd/mm/yyyy")</calculatedColumnFormula>
    </tableColumn>
    <tableColumn id="4" xr3:uid="{FC2CFC58-03DF-44A1-9D83-1EB27DA0716D}" name="ĐƠN GIÁ" dataDxfId="48" totalsRowDxfId="47" dataCellStyle="Comma" totalsRowCellStyle="Comma">
      <calculatedColumnFormula>VLOOKUP(Table9[[#This Row],[CỘT PHỤ]],'[1]TIỀN MUA PHỤ'!$A:$B,2,0)</calculatedColumnFormula>
    </tableColumn>
    <tableColumn id="5" xr3:uid="{A82F94A6-05FB-492C-8F02-702CB4157735}" name="TỔNG" totalsRowFunction="custom" dataDxfId="46" totalsRowDxfId="45">
      <calculatedColumnFormula>Table9[[#This Row],[SL]]*Table9[[#This Row],[ĐƠN GIÁ]]</calculatedColumnFormula>
      <totalsRowFormula>SUM(Table9[TỔNG])</totalsRowFormula>
    </tableColumn>
    <tableColumn id="8" xr3:uid="{61FB1697-0297-4E1B-B1E4-8D61E518691F}" name="fixed number" dataDxfId="44" dataCellStyle="Comma"/>
    <tableColumn id="9" xr3:uid="{9005AB61-F811-4575-B59E-8D379FF8C9B9}" name="Column2" dataDxfId="43" dataCellStyle="Comm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F28998E-4E2E-47F7-B0FC-73A46D1FB948}" name="Table689" displayName="Table689" ref="A1:G62" totalsRowCount="1">
  <autoFilter ref="A1:G61" xr:uid="{8B022F60-8C1F-4AFB-B7C4-C43B5A2231FB}"/>
  <tableColumns count="7">
    <tableColumn id="1" xr3:uid="{ABA032D4-4389-4A55-9AD2-E9B64CEC1703}" name="MẶT HÀNG"/>
    <tableColumn id="2" xr3:uid="{53905F10-0939-46BC-A383-6FCAB332EB15}" name="ĐVT"/>
    <tableColumn id="3" xr3:uid="{15D291A3-062A-4DE3-9B2C-2D91B86D00FE}" name="NT"/>
    <tableColumn id="4" xr3:uid="{873551B0-B101-489D-A01E-316C83B4638F}" name="TMART"/>
    <tableColumn id="5" xr3:uid="{9BD1E0F7-E576-4E56-83EA-34640241C0A6}" name="TỔNG" dataDxfId="42">
      <calculatedColumnFormula>SUM(Table689[[#This Row],[NT]]+Table689[[#This Row],[TMART]])</calculatedColumnFormula>
    </tableColumn>
    <tableColumn id="6" xr3:uid="{72B132D3-B1B0-4973-95A3-7636C7F6900D}" name="ĐƠN GIÁ" dataDxfId="41" totalsRowDxfId="40" dataCellStyle="Comma"/>
    <tableColumn id="7" xr3:uid="{7A43A7F5-A78F-4DFB-8141-B1E452361B03}" name="THÀNH TIỀN" totalsRowFunction="custom" dataDxfId="39" totalsRowDxfId="38">
      <calculatedColumnFormula>Table689[[#This Row],[ĐƠN GIÁ]]*Table689[[#This Row],[TỔNG]]</calculatedColumnFormula>
      <totalsRowFormula>SUM(Table689[THÀNH TIỀN])</totalsRow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9A166C1-9323-4BCE-AE87-A8A36AB95C8B}" name="Table68" displayName="Table68" ref="A1:H78" totalsRowCount="1">
  <autoFilter ref="A1:H77" xr:uid="{8B022F60-8C1F-4AFB-B7C4-C43B5A2231FB}"/>
  <sortState xmlns:xlrd2="http://schemas.microsoft.com/office/spreadsheetml/2017/richdata2" ref="A2:H77">
    <sortCondition ref="A1:A77"/>
  </sortState>
  <tableColumns count="8">
    <tableColumn id="1" xr3:uid="{E7FA2DFB-B390-4D84-90EE-AC94A7EA1D38}" name="MẶT HÀNG"/>
    <tableColumn id="2" xr3:uid="{43EF0026-DFE3-471B-8E6C-52E13B8D0E9D}" name="ĐVT"/>
    <tableColumn id="3" xr3:uid="{4E64E62A-27D2-4B76-BFF5-47779C6072A9}" name="NT"/>
    <tableColumn id="4" xr3:uid="{1238915F-1B99-45EA-A857-660618253BCD}" name="SÓI"/>
    <tableColumn id="8" xr3:uid="{538C40F6-1E2D-4FB9-AAFD-95131071E490}" name="TMART"/>
    <tableColumn id="5" xr3:uid="{68183763-4D6F-4CAA-90EB-14DC30F86DDC}" name="TỔNG" dataDxfId="37">
      <calculatedColumnFormula>Table68[[#This Row],[NT]]+Table68[[#This Row],[SÓI]]+Table68[[#This Row],[TMART]]</calculatedColumnFormula>
    </tableColumn>
    <tableColumn id="6" xr3:uid="{BA359B28-8758-4DE7-9CBF-7C64BC7345F4}" name="ĐƠN GIÁ" dataDxfId="36" totalsRowDxfId="35" dataCellStyle="Comma" totalsRowCellStyle="Comma"/>
    <tableColumn id="7" xr3:uid="{6BB88179-FB55-4548-A6DB-95EA2BFF65B9}" name="THÀNH TIỀN" totalsRowFunction="custom" dataDxfId="34" totalsRowDxfId="33">
      <calculatedColumnFormula>Table68[[#This Row],[ĐƠN GIÁ]]*Table68[[#This Row],[TỔNG]]</calculatedColumnFormula>
      <totalsRowFormula>SUM(Table68[THÀNH TIỀN])</totalsRow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022F60-8C1F-4AFB-B7C4-C43B5A2231FB}" name="Table6" displayName="Table6" ref="A1:G70" totalsRowCount="1">
  <autoFilter ref="A1:G69" xr:uid="{8B022F60-8C1F-4AFB-B7C4-C43B5A2231FB}"/>
  <tableColumns count="7">
    <tableColumn id="1" xr3:uid="{FF0F4FC1-197B-43D0-BBA2-23637BC4BD81}" name="MẶT HÀNG"/>
    <tableColumn id="2" xr3:uid="{EBF3ED6C-A3B5-4136-AB06-36CA173E179C}" name="ĐVT"/>
    <tableColumn id="3" xr3:uid="{6C83D25D-CC08-4BBC-BBE6-9CDE5ED68B14}" name="NT"/>
    <tableColumn id="4" xr3:uid="{4F2278F7-D920-46C4-8A15-5DEBEA919BBA}" name="SÓI"/>
    <tableColumn id="5" xr3:uid="{E2B6AB1F-3522-419B-BDF7-A0D80DBA7D37}" name="TỔNG">
      <calculatedColumnFormula>C2+D2</calculatedColumnFormula>
    </tableColumn>
    <tableColumn id="6" xr3:uid="{9AAFF515-514A-4E27-97F1-4BE7123FCAC5}" name="ĐƠN GIÁ" dataDxfId="32" totalsRowDxfId="31" dataCellStyle="Comma" totalsRowCellStyle="Comma"/>
    <tableColumn id="7" xr3:uid="{2FC891D3-DE5D-4C30-9FBF-591EBD42BFBE}" name="THÀNH TIỀN" totalsRowFunction="custom" dataDxfId="30" totalsRowDxfId="29">
      <calculatedColumnFormula>Table6[[#This Row],[TỔNG]]*Table6[[#This Row],[ĐƠN GIÁ]]</calculatedColumnFormula>
      <totalsRowFormula>SUM(Table6[THÀNH TIỀN])</totalsRow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A6384D-AED2-49D8-BF0C-C58238F78AF7}" name="Table13456" displayName="Table13456" ref="A1:H59" totalsRowCount="1">
  <autoFilter ref="A1:H58" xr:uid="{811B1224-1F42-48E7-BC68-39F45D1FC436}"/>
  <sortState xmlns:xlrd2="http://schemas.microsoft.com/office/spreadsheetml/2017/richdata2" ref="A2:H58">
    <sortCondition ref="A1:A58"/>
  </sortState>
  <tableColumns count="8">
    <tableColumn id="1" xr3:uid="{AE0ACE3E-4842-467A-B895-D5A535DBFA43}" name="MẶT HÀNG"/>
    <tableColumn id="2" xr3:uid="{5C82CEA8-92D9-4D89-8875-CAAC0BC68C02}" name="ĐVT"/>
    <tableColumn id="3" xr3:uid="{82F4DBC7-356A-4096-84D4-72BE76D7D63E}" name="NT"/>
    <tableColumn id="4" xr3:uid="{D6888D16-9D5F-44B7-9C80-AA67380C11D3}" name="SÓI"/>
    <tableColumn id="5" xr3:uid="{5E0C4F2A-A197-4245-A7F7-C52D5A37366A}" name="TMART" dataDxfId="28"/>
    <tableColumn id="6" xr3:uid="{C3614C9C-D6C5-4619-996C-9C1081AA3AB7}" name="TỔNG" dataDxfId="27">
      <calculatedColumnFormula>Table13456[[#This Row],[NT]]+Table13456[[#This Row],[TMART]]</calculatedColumnFormula>
    </tableColumn>
    <tableColumn id="7" xr3:uid="{CF1870B7-6CCC-4415-A50B-5BD04026ED0F}" name="ĐƠN GIÁ" dataDxfId="26" totalsRowDxfId="25" dataCellStyle="Comma"/>
    <tableColumn id="8" xr3:uid="{523F99DD-66D5-43EF-970D-1D051485B20F}" name="TỔNG TIỀN" totalsRowFunction="custom" dataDxfId="24" totalsRowDxfId="23">
      <calculatedColumnFormula>Table13456[[#This Row],[TỔNG]]*Table13456[[#This Row],[ĐƠN GIÁ]]</calculatedColumnFormula>
      <totalsRowFormula>SUM(Table13456[TỔNG TIỀN])</totalsRow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3360D2-490E-484F-99E2-FBBB1A7C8D6E}" name="Table1345" displayName="Table1345" ref="A1:H71" totalsRowCount="1">
  <autoFilter ref="A1:H70" xr:uid="{811B1224-1F42-48E7-BC68-39F45D1FC436}"/>
  <sortState xmlns:xlrd2="http://schemas.microsoft.com/office/spreadsheetml/2017/richdata2" ref="A2:H70">
    <sortCondition ref="A1:A70"/>
  </sortState>
  <tableColumns count="8">
    <tableColumn id="1" xr3:uid="{29E5296C-39CA-4CEA-B0C5-1E06E13B7E32}" name="MẶT HÀNG"/>
    <tableColumn id="2" xr3:uid="{FB18B5B9-8218-4E96-B72B-3439691F90F7}" name="ĐVT"/>
    <tableColumn id="3" xr3:uid="{66B44947-7CDC-47A7-9F70-8B7F68BCA059}" name="NT"/>
    <tableColumn id="4" xr3:uid="{DB5B7712-D84D-4FE3-8D4B-9A241299D7A5}" name="SÓI"/>
    <tableColumn id="5" xr3:uid="{E1A21A49-12FC-4D05-9AC3-8816F01EFA4C}" name="TMART" dataDxfId="22"/>
    <tableColumn id="6" xr3:uid="{6F8698F8-8A71-45BD-9556-D4EA6BD26F4F}" name="TỔNG" dataDxfId="21">
      <calculatedColumnFormula>Table1345[[#This Row],[NT]]+Table1345[[#This Row],[SÓI]]+Table1345[[#This Row],[TMART]]</calculatedColumnFormula>
    </tableColumn>
    <tableColumn id="7" xr3:uid="{906611D4-1095-4CB2-829B-092FB6E7320E}" name="ĐƠN GIÁ" dataDxfId="20" totalsRowDxfId="19" dataCellStyle="Comma"/>
    <tableColumn id="8" xr3:uid="{C7CFD113-13E4-4BE2-A090-E01A34F73D16}" name="TỔNG TIỀN" totalsRowFunction="custom" dataDxfId="18" totalsRowDxfId="17">
      <calculatedColumnFormula>Table1345[[#This Row],[TỔNG]]*Table1345[[#This Row],[ĐƠN GIÁ]]</calculatedColumnFormula>
      <totalsRowFormula>SUM(Table1345[TỔNG TIỀN])</totalsRow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FD3A31-645C-4A7F-853F-6668D5599759}" name="Table134" displayName="Table134" ref="A1:H76" totalsRowCount="1">
  <autoFilter ref="A1:H75" xr:uid="{811B1224-1F42-48E7-BC68-39F45D1FC436}"/>
  <sortState xmlns:xlrd2="http://schemas.microsoft.com/office/spreadsheetml/2017/richdata2" ref="A2:H74">
    <sortCondition ref="A1:A74"/>
  </sortState>
  <tableColumns count="8">
    <tableColumn id="1" xr3:uid="{12C3E305-CC21-4C0A-8FAD-AF55BFE367B2}" name="MẶT HÀNG"/>
    <tableColumn id="2" xr3:uid="{151A6767-B71E-4225-B5EA-EA3E55AF48BC}" name="ĐVT"/>
    <tableColumn id="3" xr3:uid="{709C60E0-5692-48B2-8EBC-AA21919012C9}" name="NT"/>
    <tableColumn id="4" xr3:uid="{91FD4C36-B334-4013-A379-F0AD67663EBF}" name="SÓI"/>
    <tableColumn id="5" xr3:uid="{C9DA0D2F-629F-4F1D-92CF-8DA8E7A9058E}" name="TMART" dataDxfId="16"/>
    <tableColumn id="6" xr3:uid="{7F82138A-0542-482F-ABE9-1FD9D4F8440D}" name="TỔNG" dataDxfId="15">
      <calculatedColumnFormula>SUM(Table134[[#This Row],[NT]])</calculatedColumnFormula>
    </tableColumn>
    <tableColumn id="7" xr3:uid="{22015618-4048-4116-96C0-6F5B1D465FB7}" name="ĐƠN GIÁ" dataDxfId="14" totalsRowDxfId="13" dataCellStyle="Comma"/>
    <tableColumn id="8" xr3:uid="{ACF7C892-9024-4516-881C-82F5C15456CE}" name="TỔNG TIỀN" totalsRowFunction="custom" dataDxfId="12" totalsRowDxfId="11">
      <calculatedColumnFormula>Table134[[#This Row],[TỔNG]]*Table134[[#This Row],[ĐƠN GIÁ]]</calculatedColumnFormula>
      <totalsRowFormula>SUM(Table134[TỔNG TIỀN])</totalsRow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97BF71-4C8E-4D58-BF52-EB63F1ABDED6}" name="Table13" displayName="Table13" ref="A1:H76" totalsRowCount="1">
  <autoFilter ref="A1:H75" xr:uid="{811B1224-1F42-48E7-BC68-39F45D1FC436}">
    <filterColumn colId="1">
      <filters>
        <filter val="Gói"/>
        <filter val="Hộp"/>
        <filter val="Trái"/>
        <filter val="Trái 180gr"/>
        <filter val="Trái 280gr"/>
        <filter val="Túi"/>
        <filter val="Túi 150gr"/>
        <filter val="Vỉ"/>
      </filters>
    </filterColumn>
    <filterColumn colId="5">
      <filters>
        <filter val="10"/>
        <filter val="12"/>
        <filter val="13"/>
        <filter val="170"/>
        <filter val="172.5"/>
        <filter val="175"/>
        <filter val="177"/>
        <filter val="2"/>
        <filter val="20"/>
        <filter val="200"/>
        <filter val="23"/>
        <filter val="248"/>
        <filter val="25"/>
        <filter val="27"/>
        <filter val="299"/>
        <filter val="30"/>
        <filter val="301"/>
        <filter val="302"/>
        <filter val="306"/>
        <filter val="33"/>
        <filter val="35"/>
        <filter val="40"/>
        <filter val="41"/>
        <filter val="420"/>
        <filter val="43"/>
        <filter val="45"/>
        <filter val="48.5"/>
        <filter val="493"/>
        <filter val="5"/>
        <filter val="50"/>
        <filter val="52"/>
        <filter val="54"/>
        <filter val="55"/>
        <filter val="563"/>
        <filter val="59"/>
        <filter val="6"/>
        <filter val="6.5"/>
        <filter val="61"/>
        <filter val="66"/>
        <filter val="7"/>
        <filter val="72"/>
        <filter val="75"/>
        <filter val="78"/>
        <filter val="8"/>
        <filter val="80"/>
        <filter val="890"/>
        <filter val="9"/>
        <filter val="99"/>
      </filters>
    </filterColumn>
  </autoFilter>
  <sortState xmlns:xlrd2="http://schemas.microsoft.com/office/spreadsheetml/2017/richdata2" ref="A2:H75">
    <sortCondition ref="A1:A75"/>
  </sortState>
  <tableColumns count="8">
    <tableColumn id="1" xr3:uid="{AE51A67F-02C6-455A-8F4C-0EA9E6CE4178}" name="MẶT HÀNG"/>
    <tableColumn id="2" xr3:uid="{1A94BA10-F995-433F-A0DF-6A265913D32B}" name="ĐVT"/>
    <tableColumn id="3" xr3:uid="{9961C422-49D4-441B-BB93-1D85236027DD}" name="NT"/>
    <tableColumn id="4" xr3:uid="{155AF6B6-5BE6-4E27-804B-45D918FED15F}" name="SÓI"/>
    <tableColumn id="5" xr3:uid="{EB4BD271-5C43-4A5E-9103-678ABB6597F7}" name="TMART" dataDxfId="10"/>
    <tableColumn id="6" xr3:uid="{91B5CEEA-C01E-468B-8F22-8DC5957C018E}" name="TỔNG" dataDxfId="9">
      <calculatedColumnFormula>Table13[[#This Row],[NT]]+Table13[[#This Row],[TMART]]</calculatedColumnFormula>
    </tableColumn>
    <tableColumn id="7" xr3:uid="{EFCC344B-1A9F-4E45-9808-A095A8843CD6}" name="ĐƠN GIÁ" dataDxfId="8" totalsRowDxfId="7" dataCellStyle="Comma"/>
    <tableColumn id="8" xr3:uid="{E51EC51A-75D9-417C-9565-58424390EEE7}" name="TỔNG TIỀN" totalsRowFunction="custom" dataDxfId="6" totalsRowDxfId="5">
      <calculatedColumnFormula>Table13[[#This Row],[TỔNG]]*Table13[[#This Row],[ĐƠN GIÁ]]</calculatedColumnFormula>
      <totalsRowFormula>SUM(Table13[TỔNG TIỀN])</totalsRowFormula>
    </tableColumn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1B1224-1F42-48E7-BC68-39F45D1FC436}" name="Table1" displayName="Table1" ref="A1:H71" totalsRowCount="1">
  <autoFilter ref="A1:H70" xr:uid="{811B1224-1F42-48E7-BC68-39F45D1FC436}"/>
  <sortState xmlns:xlrd2="http://schemas.microsoft.com/office/spreadsheetml/2017/richdata2" ref="A2:F70">
    <sortCondition ref="A1:A70"/>
  </sortState>
  <tableColumns count="8">
    <tableColumn id="1" xr3:uid="{4A0BB336-788A-4E96-8E4F-D336889CA7E4}" name="MẶT HÀNG"/>
    <tableColumn id="2" xr3:uid="{39C019EA-BA4F-4BDF-956B-18CC2C5555F3}" name="ĐVT"/>
    <tableColumn id="3" xr3:uid="{F820EEF0-568B-4E39-8C06-307D73F015B9}" name="NT"/>
    <tableColumn id="4" xr3:uid="{0D31288E-87B7-4F0A-B93A-E7BC44FA684D}" name="SÓI"/>
    <tableColumn id="5" xr3:uid="{63C1E279-7C27-44EA-A05B-7B7572DB909B}" name="TMART"/>
    <tableColumn id="6" xr3:uid="{A82446A0-D800-4DA9-9393-F9E570A486C4}" name="TỔNG" dataDxfId="4">
      <calculatedColumnFormula>SUM(Table1[[#This Row],[NT]:[TMART]])</calculatedColumnFormula>
    </tableColumn>
    <tableColumn id="7" xr3:uid="{17AF406E-C449-49B7-8A1C-377984F11B29}" name="ĐƠN GIÁ" dataDxfId="3" totalsRowDxfId="2" dataCellStyle="Comma" totalsRowCellStyle="Comma"/>
    <tableColumn id="8" xr3:uid="{0DC9A81E-3304-48C8-983D-1F4B3E9FDED2}" name="TỔNG TIỀN" totalsRowFunction="custom" dataDxfId="1" totalsRowDxfId="0">
      <calculatedColumnFormula>Table1[[#This Row],[TỔNG]]*Table1[[#This Row],[ĐƠN GIÁ]]</calculatedColumnFormula>
      <totalsRowFormula>SUM(Table1[TỔNG TIỀN])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A539-B253-43D1-9A1F-42DF32171656}">
  <sheetPr filterMode="1"/>
  <dimension ref="A1:H131"/>
  <sheetViews>
    <sheetView tabSelected="1" workbookViewId="0">
      <selection activeCell="E32" sqref="E32"/>
    </sheetView>
  </sheetViews>
  <sheetFormatPr defaultRowHeight="14.4" x14ac:dyDescent="0.3"/>
  <cols>
    <col min="1" max="1" width="21.88671875" customWidth="1"/>
    <col min="4" max="4" width="10.5546875" bestFit="1" customWidth="1"/>
    <col min="5" max="5" width="40.109375" customWidth="1"/>
    <col min="6" max="6" width="11.33203125" style="1" bestFit="1" customWidth="1"/>
    <col min="8" max="8" width="13.88671875" style="1" bestFit="1" customWidth="1"/>
  </cols>
  <sheetData>
    <row r="1" spans="1:8" x14ac:dyDescent="0.3">
      <c r="A1" t="s">
        <v>1059</v>
      </c>
      <c r="B1" t="s">
        <v>5</v>
      </c>
      <c r="C1" t="s">
        <v>118</v>
      </c>
      <c r="E1" t="s">
        <v>1263</v>
      </c>
      <c r="H1" s="1">
        <f>SUM(H3:H103)</f>
        <v>63750350</v>
      </c>
    </row>
    <row r="2" spans="1:8" hidden="1" x14ac:dyDescent="0.3">
      <c r="A2" t="s">
        <v>1047</v>
      </c>
      <c r="B2" t="s">
        <v>507</v>
      </c>
      <c r="C2">
        <v>0</v>
      </c>
      <c r="F2"/>
      <c r="H2"/>
    </row>
    <row r="3" spans="1:8" ht="15.6" customHeight="1" x14ac:dyDescent="0.3">
      <c r="A3" t="s">
        <v>11</v>
      </c>
      <c r="B3" t="s">
        <v>507</v>
      </c>
      <c r="C3">
        <v>40</v>
      </c>
      <c r="D3" s="6">
        <v>45626</v>
      </c>
      <c r="E3" t="s">
        <v>1288</v>
      </c>
      <c r="F3" s="1">
        <f>VLOOKUP(E3,'[1]TIỀN MUA PHỤ'!$A:$B,2,0)</f>
        <v>18000</v>
      </c>
      <c r="G3">
        <v>18000</v>
      </c>
      <c r="H3" s="1">
        <f>C3*G3</f>
        <v>720000</v>
      </c>
    </row>
    <row r="4" spans="1:8" x14ac:dyDescent="0.3">
      <c r="A4" t="s">
        <v>12</v>
      </c>
      <c r="B4" t="s">
        <v>507</v>
      </c>
      <c r="C4">
        <v>50</v>
      </c>
      <c r="D4" s="6">
        <v>45626</v>
      </c>
      <c r="E4" t="s">
        <v>1289</v>
      </c>
      <c r="F4" s="1">
        <f>VLOOKUP(E4,'[1]TIỀN MUA PHỤ'!$A:$B,2,0)</f>
        <v>29000</v>
      </c>
      <c r="G4">
        <v>29000</v>
      </c>
      <c r="H4" s="1">
        <f>C4*G4</f>
        <v>1450000</v>
      </c>
    </row>
    <row r="5" spans="1:8" hidden="1" x14ac:dyDescent="0.3">
      <c r="A5" t="s">
        <v>12</v>
      </c>
      <c r="B5" t="s">
        <v>107</v>
      </c>
      <c r="C5">
        <v>0</v>
      </c>
      <c r="F5"/>
      <c r="H5"/>
    </row>
    <row r="6" spans="1:8" hidden="1" x14ac:dyDescent="0.3">
      <c r="A6" t="s">
        <v>15</v>
      </c>
      <c r="B6" t="s">
        <v>507</v>
      </c>
      <c r="C6">
        <v>0</v>
      </c>
      <c r="F6"/>
      <c r="H6"/>
    </row>
    <row r="7" spans="1:8" x14ac:dyDescent="0.3">
      <c r="A7" t="s">
        <v>45</v>
      </c>
      <c r="B7" t="s">
        <v>507</v>
      </c>
      <c r="C7">
        <v>200</v>
      </c>
      <c r="D7" s="6">
        <v>45626</v>
      </c>
      <c r="E7" t="s">
        <v>1290</v>
      </c>
      <c r="F7" s="1">
        <f>VLOOKUP(E7,'[1]TIỀN MUA PHỤ'!$A:$B,2,0)</f>
        <v>22000</v>
      </c>
      <c r="G7">
        <v>22000</v>
      </c>
      <c r="H7" s="1">
        <f t="shared" ref="H7:H8" si="0">C7*G7</f>
        <v>4400000</v>
      </c>
    </row>
    <row r="8" spans="1:8" x14ac:dyDescent="0.3">
      <c r="A8" t="s">
        <v>13</v>
      </c>
      <c r="B8" t="s">
        <v>507</v>
      </c>
      <c r="C8">
        <v>160</v>
      </c>
      <c r="D8" s="6">
        <v>45626</v>
      </c>
      <c r="E8" t="s">
        <v>1291</v>
      </c>
      <c r="F8" s="1">
        <f>VLOOKUP(E8,'[1]TIỀN MUA PHỤ'!$A:$B,2,0)</f>
        <v>31000</v>
      </c>
      <c r="G8">
        <v>31000</v>
      </c>
      <c r="H8" s="1">
        <f t="shared" si="0"/>
        <v>4960000</v>
      </c>
    </row>
    <row r="9" spans="1:8" hidden="1" x14ac:dyDescent="0.3">
      <c r="A9" t="s">
        <v>13</v>
      </c>
      <c r="B9" t="s">
        <v>22</v>
      </c>
      <c r="C9">
        <v>0</v>
      </c>
      <c r="F9"/>
      <c r="H9"/>
    </row>
    <row r="10" spans="1:8" hidden="1" x14ac:dyDescent="0.3">
      <c r="A10" t="s">
        <v>103</v>
      </c>
      <c r="B10" t="s">
        <v>507</v>
      </c>
      <c r="C10">
        <v>0</v>
      </c>
      <c r="F10"/>
      <c r="H10"/>
    </row>
    <row r="11" spans="1:8" x14ac:dyDescent="0.3">
      <c r="A11" t="s">
        <v>103</v>
      </c>
      <c r="B11" t="s">
        <v>48</v>
      </c>
      <c r="C11">
        <v>30</v>
      </c>
      <c r="D11" s="6">
        <v>45626</v>
      </c>
      <c r="E11" t="s">
        <v>1292</v>
      </c>
      <c r="F11" s="1">
        <f>VLOOKUP(E11,'[1]TIỀN MUA PHỤ'!$A:$B,2,0)</f>
        <v>9500</v>
      </c>
      <c r="G11">
        <v>9500</v>
      </c>
      <c r="H11" s="1">
        <f>C11*G11</f>
        <v>285000</v>
      </c>
    </row>
    <row r="12" spans="1:8" hidden="1" x14ac:dyDescent="0.3">
      <c r="A12" t="s">
        <v>87</v>
      </c>
      <c r="B12" t="s">
        <v>507</v>
      </c>
      <c r="C12">
        <v>0</v>
      </c>
      <c r="F12"/>
      <c r="H12"/>
    </row>
    <row r="13" spans="1:8" x14ac:dyDescent="0.3">
      <c r="A13" t="s">
        <v>87</v>
      </c>
      <c r="B13" t="s">
        <v>107</v>
      </c>
      <c r="C13">
        <v>100</v>
      </c>
      <c r="D13" s="6">
        <v>45626</v>
      </c>
      <c r="E13" t="s">
        <v>1293</v>
      </c>
      <c r="F13" s="1">
        <f>VLOOKUP(E13,'[1]TIỀN MUA PHỤ'!$A:$B,2,0)</f>
        <v>6500</v>
      </c>
      <c r="G13">
        <v>6500</v>
      </c>
      <c r="H13" s="1">
        <f t="shared" ref="H13:H14" si="1">C13*G13</f>
        <v>650000</v>
      </c>
    </row>
    <row r="14" spans="1:8" x14ac:dyDescent="0.3">
      <c r="A14" t="s">
        <v>50</v>
      </c>
      <c r="B14" t="s">
        <v>507</v>
      </c>
      <c r="C14">
        <v>100</v>
      </c>
      <c r="D14" s="6">
        <v>45626</v>
      </c>
      <c r="E14" t="s">
        <v>1294</v>
      </c>
      <c r="F14" s="1">
        <f>VLOOKUP(E14,'[1]TIỀN MUA PHỤ'!$A:$B,2,0)</f>
        <v>20000</v>
      </c>
      <c r="G14">
        <v>20000</v>
      </c>
      <c r="H14" s="1">
        <f t="shared" si="1"/>
        <v>2000000</v>
      </c>
    </row>
    <row r="15" spans="1:8" hidden="1" x14ac:dyDescent="0.3">
      <c r="A15" t="s">
        <v>50</v>
      </c>
      <c r="B15" t="s">
        <v>9</v>
      </c>
      <c r="C15">
        <v>0</v>
      </c>
      <c r="F15"/>
      <c r="H15"/>
    </row>
    <row r="16" spans="1:8" hidden="1" x14ac:dyDescent="0.3">
      <c r="A16" t="s">
        <v>41</v>
      </c>
      <c r="B16" t="s">
        <v>507</v>
      </c>
      <c r="C16">
        <v>0</v>
      </c>
      <c r="F16"/>
      <c r="H16"/>
    </row>
    <row r="17" spans="1:8" x14ac:dyDescent="0.3">
      <c r="A17" t="s">
        <v>41</v>
      </c>
      <c r="B17" t="s">
        <v>42</v>
      </c>
      <c r="C17">
        <v>250</v>
      </c>
      <c r="D17" s="6">
        <v>45626</v>
      </c>
      <c r="E17" t="s">
        <v>1295</v>
      </c>
      <c r="F17" s="1">
        <f>VLOOKUP(E17,'[1]TIỀN MUA PHỤ'!$A:$B,2,0)*0.3</f>
        <v>2400</v>
      </c>
      <c r="G17">
        <v>2400</v>
      </c>
      <c r="H17" s="1">
        <f>C17*G17</f>
        <v>600000</v>
      </c>
    </row>
    <row r="18" spans="1:8" hidden="1" x14ac:dyDescent="0.3">
      <c r="A18" t="s">
        <v>1043</v>
      </c>
      <c r="B18" t="s">
        <v>48</v>
      </c>
      <c r="C18">
        <v>0</v>
      </c>
      <c r="F18"/>
      <c r="H18"/>
    </row>
    <row r="19" spans="1:8" x14ac:dyDescent="0.3">
      <c r="A19" t="s">
        <v>28</v>
      </c>
      <c r="B19" t="s">
        <v>507</v>
      </c>
      <c r="C19">
        <v>15</v>
      </c>
      <c r="D19" s="6">
        <v>45626</v>
      </c>
      <c r="E19" t="s">
        <v>1296</v>
      </c>
      <c r="F19" s="1">
        <f>VLOOKUP(E19,'[1]TIỀN MUA PHỤ'!$A:$B,2,0)</f>
        <v>28000</v>
      </c>
      <c r="G19">
        <v>28000</v>
      </c>
      <c r="H19" s="1">
        <f t="shared" ref="H19:H21" si="2">C19*G19</f>
        <v>420000</v>
      </c>
    </row>
    <row r="20" spans="1:8" x14ac:dyDescent="0.3">
      <c r="A20" t="s">
        <v>28</v>
      </c>
      <c r="B20" t="s">
        <v>27</v>
      </c>
      <c r="C20">
        <v>200</v>
      </c>
      <c r="D20" s="6">
        <v>45626</v>
      </c>
      <c r="E20" t="s">
        <v>1296</v>
      </c>
      <c r="F20" s="1">
        <f>VLOOKUP(E20,'[1]TIỀN MUA PHỤ'!$A:$B,2,0)/5</f>
        <v>5600</v>
      </c>
      <c r="G20">
        <v>5600</v>
      </c>
      <c r="H20" s="1">
        <f t="shared" si="2"/>
        <v>1120000</v>
      </c>
    </row>
    <row r="21" spans="1:8" x14ac:dyDescent="0.3">
      <c r="A21" t="s">
        <v>20</v>
      </c>
      <c r="B21" t="s">
        <v>507</v>
      </c>
      <c r="C21">
        <v>90</v>
      </c>
      <c r="D21" s="6">
        <v>45626</v>
      </c>
      <c r="E21" t="s">
        <v>1297</v>
      </c>
      <c r="F21" s="1">
        <f>VLOOKUP(E21,'[1]TIỀN MUA PHỤ'!$A:$B,2,0)</f>
        <v>16000</v>
      </c>
      <c r="G21">
        <v>16000</v>
      </c>
      <c r="H21" s="1">
        <f t="shared" si="2"/>
        <v>1440000</v>
      </c>
    </row>
    <row r="22" spans="1:8" hidden="1" x14ac:dyDescent="0.3">
      <c r="A22" t="s">
        <v>20</v>
      </c>
      <c r="B22" t="s">
        <v>22</v>
      </c>
      <c r="C22">
        <v>0</v>
      </c>
      <c r="F22"/>
      <c r="H22"/>
    </row>
    <row r="23" spans="1:8" hidden="1" x14ac:dyDescent="0.3">
      <c r="A23" t="s">
        <v>58</v>
      </c>
      <c r="B23" t="s">
        <v>507</v>
      </c>
      <c r="C23">
        <v>0</v>
      </c>
      <c r="F23"/>
      <c r="H23"/>
    </row>
    <row r="24" spans="1:8" x14ac:dyDescent="0.3">
      <c r="A24" t="s">
        <v>58</v>
      </c>
      <c r="B24" t="s">
        <v>59</v>
      </c>
      <c r="C24">
        <v>800</v>
      </c>
      <c r="D24" s="6">
        <v>45626</v>
      </c>
      <c r="E24" t="s">
        <v>1298</v>
      </c>
      <c r="F24" s="1">
        <f>VLOOKUP(E24,'[1]TIỀN MUA PHỤ'!$A:$B,2,0)/4</f>
        <v>7500</v>
      </c>
      <c r="G24">
        <v>7500</v>
      </c>
      <c r="H24" s="1">
        <f t="shared" ref="H24:H25" si="3">C24*G24</f>
        <v>6000000</v>
      </c>
    </row>
    <row r="25" spans="1:8" x14ac:dyDescent="0.3">
      <c r="A25" t="s">
        <v>57</v>
      </c>
      <c r="B25" t="s">
        <v>507</v>
      </c>
      <c r="C25">
        <v>20</v>
      </c>
      <c r="D25" s="6">
        <v>45626</v>
      </c>
      <c r="E25" t="s">
        <v>1299</v>
      </c>
      <c r="F25" s="1">
        <f>VLOOKUP(E25,'[1]TIỀN MUA PHỤ'!$A:$B,2,0)</f>
        <v>44000</v>
      </c>
      <c r="G25">
        <v>44000</v>
      </c>
      <c r="H25" s="1">
        <f t="shared" si="3"/>
        <v>880000</v>
      </c>
    </row>
    <row r="26" spans="1:8" hidden="1" x14ac:dyDescent="0.3">
      <c r="A26" t="s">
        <v>57</v>
      </c>
      <c r="B26" t="s">
        <v>48</v>
      </c>
      <c r="C26">
        <v>0</v>
      </c>
      <c r="F26"/>
      <c r="H26"/>
    </row>
    <row r="27" spans="1:8" hidden="1" x14ac:dyDescent="0.3">
      <c r="A27" t="s">
        <v>47</v>
      </c>
      <c r="B27" t="s">
        <v>507</v>
      </c>
      <c r="C27">
        <v>0</v>
      </c>
      <c r="F27"/>
      <c r="H27"/>
    </row>
    <row r="28" spans="1:8" x14ac:dyDescent="0.3">
      <c r="A28" t="s">
        <v>47</v>
      </c>
      <c r="B28" t="s">
        <v>48</v>
      </c>
      <c r="C28">
        <v>59</v>
      </c>
      <c r="D28" s="6">
        <v>45626</v>
      </c>
      <c r="E28" t="s">
        <v>1300</v>
      </c>
      <c r="F28" s="1">
        <f>VLOOKUP(E28,'[1]TIỀN MUA PHỤ'!$A:$B,2,0)*0.3</f>
        <v>15450</v>
      </c>
      <c r="G28">
        <v>15450</v>
      </c>
      <c r="H28" s="1">
        <f>C28*G28</f>
        <v>911550</v>
      </c>
    </row>
    <row r="29" spans="1:8" hidden="1" x14ac:dyDescent="0.3">
      <c r="A29" t="s">
        <v>49</v>
      </c>
      <c r="B29" t="s">
        <v>507</v>
      </c>
      <c r="C29">
        <v>0</v>
      </c>
      <c r="F29"/>
      <c r="H29"/>
    </row>
    <row r="30" spans="1:8" x14ac:dyDescent="0.3">
      <c r="A30" t="s">
        <v>49</v>
      </c>
      <c r="B30" t="s">
        <v>106</v>
      </c>
      <c r="C30">
        <v>245</v>
      </c>
      <c r="D30" s="6">
        <v>45626</v>
      </c>
      <c r="E30" t="s">
        <v>1301</v>
      </c>
      <c r="F30" s="1">
        <f>VLOOKUP(E30,'[1]TIỀN MUA PHỤ'!$A:$B,2,0)</f>
        <v>14000</v>
      </c>
      <c r="G30">
        <v>14000</v>
      </c>
      <c r="H30" s="1">
        <f>C30*G30</f>
        <v>3430000</v>
      </c>
    </row>
    <row r="31" spans="1:8" hidden="1" x14ac:dyDescent="0.3">
      <c r="A31" t="s">
        <v>80</v>
      </c>
      <c r="B31" t="s">
        <v>507</v>
      </c>
      <c r="C31">
        <v>0</v>
      </c>
      <c r="F31"/>
      <c r="H31"/>
    </row>
    <row r="32" spans="1:8" x14ac:dyDescent="0.3">
      <c r="A32" t="s">
        <v>80</v>
      </c>
      <c r="B32" t="s">
        <v>44</v>
      </c>
      <c r="C32">
        <v>50</v>
      </c>
      <c r="D32" s="6">
        <v>45626</v>
      </c>
      <c r="E32" t="s">
        <v>1302</v>
      </c>
      <c r="F32" s="1">
        <f>VLOOKUP(E32,'[1]TIỀN MUA PHỤ'!$A:$B,2,0)*0.4</f>
        <v>2600</v>
      </c>
      <c r="G32">
        <v>2600</v>
      </c>
      <c r="H32" s="1">
        <f>C32*G32</f>
        <v>130000</v>
      </c>
    </row>
    <row r="33" spans="1:8" hidden="1" x14ac:dyDescent="0.3">
      <c r="A33" t="s">
        <v>43</v>
      </c>
      <c r="B33" t="s">
        <v>507</v>
      </c>
      <c r="C33">
        <v>0</v>
      </c>
      <c r="F33"/>
      <c r="H33"/>
    </row>
    <row r="34" spans="1:8" x14ac:dyDescent="0.3">
      <c r="A34" t="s">
        <v>43</v>
      </c>
      <c r="B34" t="s">
        <v>44</v>
      </c>
      <c r="C34">
        <v>200</v>
      </c>
      <c r="D34" s="6">
        <v>45626</v>
      </c>
      <c r="E34" t="s">
        <v>1303</v>
      </c>
      <c r="F34" s="1">
        <f>VLOOKUP(E34,'[1]TIỀN MUA PHỤ'!$A:$B,2,0)*0.3</f>
        <v>3000</v>
      </c>
      <c r="G34">
        <v>3000</v>
      </c>
      <c r="H34" s="1">
        <f t="shared" ref="H34:H35" si="4">C34*G34</f>
        <v>600000</v>
      </c>
    </row>
    <row r="35" spans="1:8" x14ac:dyDescent="0.3">
      <c r="A35" t="s">
        <v>113</v>
      </c>
      <c r="B35" t="s">
        <v>507</v>
      </c>
      <c r="C35">
        <v>17</v>
      </c>
      <c r="D35" s="6">
        <v>45626</v>
      </c>
      <c r="E35" t="s">
        <v>1304</v>
      </c>
      <c r="F35" s="1">
        <f>VLOOKUP(E35,'[1]TIỀN MUA PHỤ'!$A:$B,2,0)</f>
        <v>35000</v>
      </c>
      <c r="G35">
        <v>35000</v>
      </c>
      <c r="H35" s="1">
        <f t="shared" si="4"/>
        <v>595000</v>
      </c>
    </row>
    <row r="36" spans="1:8" hidden="1" x14ac:dyDescent="0.3">
      <c r="A36" t="s">
        <v>113</v>
      </c>
      <c r="B36" t="s">
        <v>22</v>
      </c>
      <c r="C36">
        <v>0</v>
      </c>
      <c r="F36"/>
      <c r="H36"/>
    </row>
    <row r="37" spans="1:8" hidden="1" x14ac:dyDescent="0.3">
      <c r="A37" t="s">
        <v>97</v>
      </c>
      <c r="B37" t="s">
        <v>507</v>
      </c>
      <c r="C37">
        <v>0</v>
      </c>
      <c r="F37"/>
      <c r="H37"/>
    </row>
    <row r="38" spans="1:8" x14ac:dyDescent="0.3">
      <c r="A38" t="s">
        <v>97</v>
      </c>
      <c r="B38" t="s">
        <v>22</v>
      </c>
      <c r="C38">
        <v>200</v>
      </c>
      <c r="D38" s="6">
        <v>45626</v>
      </c>
      <c r="E38" t="s">
        <v>1305</v>
      </c>
      <c r="F38" s="1">
        <v>18000</v>
      </c>
      <c r="G38">
        <v>18000</v>
      </c>
      <c r="H38" s="1">
        <f t="shared" ref="H38:H39" si="5">C38*G38</f>
        <v>3600000</v>
      </c>
    </row>
    <row r="39" spans="1:8" x14ac:dyDescent="0.3">
      <c r="A39" t="s">
        <v>14</v>
      </c>
      <c r="B39" t="s">
        <v>507</v>
      </c>
      <c r="C39">
        <v>50</v>
      </c>
      <c r="D39" s="6">
        <v>45626</v>
      </c>
      <c r="E39" t="s">
        <v>1306</v>
      </c>
      <c r="F39" s="1">
        <f>VLOOKUP(E39,'[1]TIỀN MUA PHỤ'!$A:$B,2,0)</f>
        <v>17500</v>
      </c>
      <c r="G39">
        <v>17500</v>
      </c>
      <c r="H39" s="1">
        <f t="shared" si="5"/>
        <v>875000</v>
      </c>
    </row>
    <row r="40" spans="1:8" hidden="1" x14ac:dyDescent="0.3">
      <c r="A40" t="s">
        <v>14</v>
      </c>
      <c r="B40" t="s">
        <v>22</v>
      </c>
      <c r="C40">
        <v>0</v>
      </c>
      <c r="F40"/>
      <c r="H40"/>
    </row>
    <row r="41" spans="1:8" x14ac:dyDescent="0.3">
      <c r="A41" t="s">
        <v>88</v>
      </c>
      <c r="B41" t="s">
        <v>507</v>
      </c>
      <c r="C41">
        <v>35</v>
      </c>
      <c r="D41" s="6">
        <v>45626</v>
      </c>
      <c r="E41" t="s">
        <v>1307</v>
      </c>
      <c r="F41" s="1">
        <v>5500</v>
      </c>
      <c r="G41">
        <v>5500</v>
      </c>
      <c r="H41" s="1">
        <f t="shared" ref="H41:H42" si="6">C41*G41</f>
        <v>192500</v>
      </c>
    </row>
    <row r="42" spans="1:8" x14ac:dyDescent="0.3">
      <c r="A42" t="s">
        <v>34</v>
      </c>
      <c r="B42" t="s">
        <v>507</v>
      </c>
      <c r="C42">
        <v>260</v>
      </c>
      <c r="D42" s="6">
        <v>45626</v>
      </c>
      <c r="E42" t="s">
        <v>1308</v>
      </c>
      <c r="F42" s="1">
        <f>VLOOKUP(E42,'[1]TIỀN MUA PHỤ'!$A:$B,2,0)</f>
        <v>14000</v>
      </c>
      <c r="G42">
        <v>14000</v>
      </c>
      <c r="H42" s="1">
        <f t="shared" si="6"/>
        <v>3640000</v>
      </c>
    </row>
    <row r="43" spans="1:8" hidden="1" x14ac:dyDescent="0.3">
      <c r="A43" t="s">
        <v>34</v>
      </c>
      <c r="B43" t="s">
        <v>22</v>
      </c>
      <c r="C43">
        <v>0</v>
      </c>
      <c r="F43"/>
      <c r="H43"/>
    </row>
    <row r="44" spans="1:8" hidden="1" x14ac:dyDescent="0.3">
      <c r="A44" t="s">
        <v>40</v>
      </c>
      <c r="B44" t="s">
        <v>507</v>
      </c>
      <c r="C44">
        <v>0</v>
      </c>
      <c r="F44"/>
      <c r="H44"/>
    </row>
    <row r="45" spans="1:8" x14ac:dyDescent="0.3">
      <c r="A45" t="s">
        <v>32</v>
      </c>
      <c r="B45" t="s">
        <v>507</v>
      </c>
      <c r="C45">
        <v>20</v>
      </c>
      <c r="D45" s="6">
        <v>45626</v>
      </c>
      <c r="E45" t="s">
        <v>1309</v>
      </c>
      <c r="F45" s="1">
        <f>VLOOKUP(E45,'[1]TIỀN MUA PHỤ'!$A:$B,2,0)</f>
        <v>60000</v>
      </c>
      <c r="G45">
        <v>60000</v>
      </c>
      <c r="H45" s="1">
        <f>C45*G45</f>
        <v>1200000</v>
      </c>
    </row>
    <row r="46" spans="1:8" hidden="1" x14ac:dyDescent="0.3">
      <c r="A46" t="s">
        <v>32</v>
      </c>
      <c r="B46" t="s">
        <v>1048</v>
      </c>
      <c r="C46">
        <v>0</v>
      </c>
      <c r="F46"/>
      <c r="H46"/>
    </row>
    <row r="47" spans="1:8" hidden="1" x14ac:dyDescent="0.3">
      <c r="A47" t="s">
        <v>53</v>
      </c>
      <c r="B47" t="s">
        <v>507</v>
      </c>
      <c r="C47">
        <v>0</v>
      </c>
      <c r="F47"/>
      <c r="H47"/>
    </row>
    <row r="48" spans="1:8" x14ac:dyDescent="0.3">
      <c r="A48" t="s">
        <v>53</v>
      </c>
      <c r="B48" t="s">
        <v>9</v>
      </c>
      <c r="C48">
        <v>700</v>
      </c>
      <c r="D48" s="6">
        <v>45626</v>
      </c>
      <c r="E48" t="s">
        <v>1310</v>
      </c>
      <c r="F48" s="1">
        <f>VLOOKUP(E48,'[1]TIỀN MUA PHỤ'!$A:$B,2,0)</f>
        <v>4500</v>
      </c>
      <c r="G48">
        <v>4500</v>
      </c>
      <c r="H48" s="1">
        <f t="shared" ref="H48:H49" si="7">C48*G48</f>
        <v>3150000</v>
      </c>
    </row>
    <row r="49" spans="1:8" x14ac:dyDescent="0.3">
      <c r="A49" t="s">
        <v>56</v>
      </c>
      <c r="B49" t="s">
        <v>507</v>
      </c>
      <c r="C49">
        <v>50</v>
      </c>
      <c r="D49" s="6">
        <v>45626</v>
      </c>
      <c r="E49" t="s">
        <v>1311</v>
      </c>
      <c r="F49" s="1">
        <f>VLOOKUP(E49,'[1]TIỀN MUA PHỤ'!$A:$B,2,0)</f>
        <v>4000</v>
      </c>
      <c r="G49">
        <v>4000</v>
      </c>
      <c r="H49" s="1">
        <f t="shared" si="7"/>
        <v>200000</v>
      </c>
    </row>
    <row r="50" spans="1:8" hidden="1" x14ac:dyDescent="0.3">
      <c r="A50" t="s">
        <v>26</v>
      </c>
      <c r="B50" t="s">
        <v>507</v>
      </c>
      <c r="C50">
        <v>0</v>
      </c>
      <c r="F50"/>
      <c r="H50"/>
    </row>
    <row r="51" spans="1:8" x14ac:dyDescent="0.3">
      <c r="A51" t="s">
        <v>26</v>
      </c>
      <c r="B51" t="s">
        <v>27</v>
      </c>
      <c r="C51">
        <v>200</v>
      </c>
      <c r="D51" s="6">
        <v>45626</v>
      </c>
      <c r="E51" t="s">
        <v>1312</v>
      </c>
      <c r="F51" s="1">
        <v>10000</v>
      </c>
      <c r="G51">
        <v>10000</v>
      </c>
      <c r="H51" s="1">
        <f>C51*G51</f>
        <v>2000000</v>
      </c>
    </row>
    <row r="52" spans="1:8" hidden="1" x14ac:dyDescent="0.3">
      <c r="A52" t="s">
        <v>26</v>
      </c>
      <c r="B52" t="s">
        <v>22</v>
      </c>
      <c r="C52">
        <v>0</v>
      </c>
      <c r="F52"/>
      <c r="H52"/>
    </row>
    <row r="53" spans="1:8" x14ac:dyDescent="0.3">
      <c r="A53" t="s">
        <v>33</v>
      </c>
      <c r="B53" t="s">
        <v>507</v>
      </c>
      <c r="C53">
        <v>10</v>
      </c>
      <c r="D53" s="6">
        <v>45626</v>
      </c>
      <c r="E53" t="s">
        <v>1313</v>
      </c>
      <c r="F53" s="1">
        <f>VLOOKUP(E53,'[1]TIỀN MUA PHỤ'!$A:$B,2,0)</f>
        <v>35000</v>
      </c>
      <c r="G53">
        <v>35000</v>
      </c>
      <c r="H53" s="1">
        <f>C53*G53</f>
        <v>350000</v>
      </c>
    </row>
    <row r="54" spans="1:8" hidden="1" x14ac:dyDescent="0.3">
      <c r="A54" t="s">
        <v>33</v>
      </c>
      <c r="B54" t="s">
        <v>85</v>
      </c>
      <c r="C54">
        <v>0</v>
      </c>
      <c r="F54"/>
      <c r="H54"/>
    </row>
    <row r="55" spans="1:8" hidden="1" x14ac:dyDescent="0.3">
      <c r="A55" t="s">
        <v>61</v>
      </c>
      <c r="B55" t="s">
        <v>507</v>
      </c>
      <c r="C55">
        <v>0</v>
      </c>
      <c r="F55"/>
      <c r="H55"/>
    </row>
    <row r="56" spans="1:8" x14ac:dyDescent="0.3">
      <c r="A56" t="s">
        <v>61</v>
      </c>
      <c r="B56" t="s">
        <v>59</v>
      </c>
      <c r="C56">
        <v>300</v>
      </c>
      <c r="D56" s="6">
        <v>45626</v>
      </c>
      <c r="E56" t="s">
        <v>1314</v>
      </c>
      <c r="F56" s="1">
        <f>VLOOKUP(E56,'[1]TIỀN MUA PHỤ'!$A:$B,2,0)/4</f>
        <v>3750</v>
      </c>
      <c r="G56">
        <v>3750</v>
      </c>
      <c r="H56" s="1">
        <f>C56*G56</f>
        <v>1125000</v>
      </c>
    </row>
    <row r="57" spans="1:8" hidden="1" x14ac:dyDescent="0.3">
      <c r="A57" t="s">
        <v>62</v>
      </c>
      <c r="B57" t="s">
        <v>507</v>
      </c>
      <c r="C57">
        <v>0</v>
      </c>
      <c r="F57"/>
      <c r="H57"/>
    </row>
    <row r="58" spans="1:8" x14ac:dyDescent="0.3">
      <c r="A58" t="s">
        <v>62</v>
      </c>
      <c r="B58" t="s">
        <v>59</v>
      </c>
      <c r="C58">
        <v>100</v>
      </c>
      <c r="D58" s="6">
        <v>45626</v>
      </c>
      <c r="E58" t="s">
        <v>1315</v>
      </c>
      <c r="F58" s="1">
        <f>VLOOKUP(E58,'[1]TIỀN MUA PHỤ'!$A:$B,2,0)/4</f>
        <v>7000</v>
      </c>
      <c r="G58">
        <v>7000</v>
      </c>
      <c r="H58" s="1">
        <f>C58*G58</f>
        <v>700000</v>
      </c>
    </row>
    <row r="59" spans="1:8" hidden="1" x14ac:dyDescent="0.3">
      <c r="A59" t="s">
        <v>29</v>
      </c>
      <c r="B59" t="s">
        <v>507</v>
      </c>
      <c r="C59">
        <v>0</v>
      </c>
      <c r="F59"/>
      <c r="H59"/>
    </row>
    <row r="60" spans="1:8" x14ac:dyDescent="0.3">
      <c r="A60" t="s">
        <v>29</v>
      </c>
      <c r="B60" t="s">
        <v>22</v>
      </c>
      <c r="C60">
        <v>500</v>
      </c>
      <c r="D60" s="6">
        <v>45626</v>
      </c>
      <c r="E60" t="s">
        <v>1316</v>
      </c>
      <c r="F60" s="1">
        <f>VLOOKUP(E60,'[1]TIỀN MUA PHỤ'!$A:$B,2,0)/20</f>
        <v>1800</v>
      </c>
      <c r="G60">
        <v>1800</v>
      </c>
      <c r="H60" s="1">
        <f t="shared" ref="H60:H62" si="8">C60*G60</f>
        <v>900000</v>
      </c>
    </row>
    <row r="61" spans="1:8" x14ac:dyDescent="0.3">
      <c r="A61" t="s">
        <v>38</v>
      </c>
      <c r="B61" t="s">
        <v>27</v>
      </c>
      <c r="C61">
        <v>30</v>
      </c>
      <c r="D61" s="6">
        <v>45626</v>
      </c>
      <c r="E61" t="s">
        <v>1317</v>
      </c>
      <c r="F61" s="1">
        <f>VLOOKUP(E61,'[1]TIỀN MUA PHỤ'!$A:$B,2,0)</f>
        <v>6800</v>
      </c>
      <c r="G61">
        <v>6800</v>
      </c>
      <c r="H61" s="1">
        <f t="shared" si="8"/>
        <v>204000</v>
      </c>
    </row>
    <row r="62" spans="1:8" x14ac:dyDescent="0.3">
      <c r="A62" t="s">
        <v>36</v>
      </c>
      <c r="B62" t="s">
        <v>27</v>
      </c>
      <c r="C62">
        <v>140</v>
      </c>
      <c r="D62" s="6">
        <v>45626</v>
      </c>
      <c r="E62" t="s">
        <v>1318</v>
      </c>
      <c r="F62" s="1">
        <f>VLOOKUP(E62,'[1]TIỀN MUA PHỤ'!$A:$B,2,0)</f>
        <v>6800</v>
      </c>
      <c r="G62">
        <v>6800</v>
      </c>
      <c r="H62" s="1">
        <f t="shared" si="8"/>
        <v>952000</v>
      </c>
    </row>
    <row r="63" spans="1:8" hidden="1" x14ac:dyDescent="0.3">
      <c r="A63" t="s">
        <v>18</v>
      </c>
      <c r="B63" t="s">
        <v>507</v>
      </c>
      <c r="C63">
        <v>0</v>
      </c>
      <c r="F63"/>
      <c r="H63"/>
    </row>
    <row r="64" spans="1:8" x14ac:dyDescent="0.3">
      <c r="A64" t="s">
        <v>18</v>
      </c>
      <c r="B64" t="s">
        <v>9</v>
      </c>
      <c r="C64">
        <v>93</v>
      </c>
      <c r="D64" s="6">
        <v>45626</v>
      </c>
      <c r="E64" t="s">
        <v>1319</v>
      </c>
      <c r="F64" s="1">
        <f>VLOOKUP(E64,'[1]TIỀN MUA PHỤ'!$A:$B,2,0)/5</f>
        <v>7600</v>
      </c>
      <c r="G64">
        <v>7600</v>
      </c>
      <c r="H64" s="1">
        <f>C64*G64</f>
        <v>706800</v>
      </c>
    </row>
    <row r="65" spans="1:8" hidden="1" x14ac:dyDescent="0.3">
      <c r="A65" t="s">
        <v>23</v>
      </c>
      <c r="B65" t="s">
        <v>507</v>
      </c>
      <c r="C65">
        <v>0</v>
      </c>
      <c r="F65"/>
      <c r="H65"/>
    </row>
    <row r="66" spans="1:8" x14ac:dyDescent="0.3">
      <c r="A66" t="s">
        <v>23</v>
      </c>
      <c r="B66" t="s">
        <v>22</v>
      </c>
      <c r="C66">
        <v>50</v>
      </c>
      <c r="D66" s="6">
        <v>45626</v>
      </c>
      <c r="E66" t="s">
        <v>1320</v>
      </c>
      <c r="F66" s="1">
        <f>VLOOKUP(E66,'[1]TIỀN MUA PHỤ'!$A:$B,2,0)*0.3</f>
        <v>7650</v>
      </c>
      <c r="G66">
        <v>7650</v>
      </c>
      <c r="H66" s="1">
        <f t="shared" ref="H66:H68" si="9">C66*G66</f>
        <v>382500</v>
      </c>
    </row>
    <row r="67" spans="1:8" x14ac:dyDescent="0.3">
      <c r="A67" t="s">
        <v>23</v>
      </c>
      <c r="B67" t="s">
        <v>24</v>
      </c>
      <c r="C67">
        <v>20</v>
      </c>
      <c r="D67" s="6">
        <v>45626</v>
      </c>
      <c r="E67" t="s">
        <v>1320</v>
      </c>
      <c r="F67" s="1">
        <f>F66/2</f>
        <v>3825</v>
      </c>
      <c r="G67">
        <v>3825</v>
      </c>
      <c r="H67" s="1">
        <f t="shared" si="9"/>
        <v>76500</v>
      </c>
    </row>
    <row r="68" spans="1:8" x14ac:dyDescent="0.3">
      <c r="A68" t="s">
        <v>6</v>
      </c>
      <c r="B68" t="s">
        <v>507</v>
      </c>
      <c r="C68">
        <v>50</v>
      </c>
      <c r="D68" s="6">
        <v>45626</v>
      </c>
      <c r="E68" t="s">
        <v>1321</v>
      </c>
      <c r="F68" s="1">
        <f>VLOOKUP(E68,'[1]TIỀN MUA PHỤ'!$A:$B,2,0)</f>
        <v>15000</v>
      </c>
      <c r="G68">
        <v>15000</v>
      </c>
      <c r="H68" s="1">
        <f t="shared" si="9"/>
        <v>750000</v>
      </c>
    </row>
    <row r="69" spans="1:8" hidden="1" x14ac:dyDescent="0.3">
      <c r="A69" t="s">
        <v>6</v>
      </c>
      <c r="B69" t="s">
        <v>22</v>
      </c>
      <c r="C69">
        <v>0</v>
      </c>
      <c r="F69"/>
      <c r="H69"/>
    </row>
    <row r="70" spans="1:8" hidden="1" x14ac:dyDescent="0.3">
      <c r="A70" t="s">
        <v>70</v>
      </c>
      <c r="B70" t="s">
        <v>507</v>
      </c>
      <c r="C70">
        <v>0</v>
      </c>
      <c r="F70"/>
      <c r="H70"/>
    </row>
    <row r="71" spans="1:8" x14ac:dyDescent="0.3">
      <c r="A71" t="s">
        <v>70</v>
      </c>
      <c r="B71" t="s">
        <v>106</v>
      </c>
      <c r="C71">
        <v>150</v>
      </c>
      <c r="D71" s="6">
        <v>45626</v>
      </c>
      <c r="E71" t="s">
        <v>1322</v>
      </c>
      <c r="F71" s="1">
        <f>VLOOKUP(E71,'[1]TIỀN MUA PHỤ'!$A:$B,2,0)</f>
        <v>8700</v>
      </c>
      <c r="G71">
        <v>8700</v>
      </c>
      <c r="H71" s="1">
        <f t="shared" ref="H71:H73" si="10">C71*G71</f>
        <v>1305000</v>
      </c>
    </row>
    <row r="72" spans="1:8" x14ac:dyDescent="0.3">
      <c r="A72" t="s">
        <v>89</v>
      </c>
      <c r="B72" t="s">
        <v>507</v>
      </c>
      <c r="C72">
        <v>60</v>
      </c>
      <c r="D72" s="6">
        <v>45626</v>
      </c>
      <c r="E72" t="s">
        <v>1323</v>
      </c>
      <c r="F72" s="1">
        <f>VLOOKUP(E72,'[1]TIỀN MUA PHỤ'!$A:$B,2,0)</f>
        <v>17000</v>
      </c>
      <c r="G72">
        <v>17000</v>
      </c>
      <c r="H72" s="1">
        <f t="shared" si="10"/>
        <v>1020000</v>
      </c>
    </row>
    <row r="73" spans="1:8" x14ac:dyDescent="0.3">
      <c r="A73" t="s">
        <v>89</v>
      </c>
      <c r="B73" t="s">
        <v>105</v>
      </c>
      <c r="C73">
        <v>173</v>
      </c>
      <c r="D73" s="6">
        <v>45626</v>
      </c>
      <c r="E73" t="s">
        <v>1323</v>
      </c>
      <c r="F73" s="1">
        <f>VLOOKUP(E73,'[1]TIỀN MUA PHỤ'!$A:$B,2,0)/2</f>
        <v>8500</v>
      </c>
      <c r="G73">
        <v>8500</v>
      </c>
      <c r="H73" s="1">
        <f t="shared" si="10"/>
        <v>1470500</v>
      </c>
    </row>
    <row r="74" spans="1:8" hidden="1" x14ac:dyDescent="0.3">
      <c r="A74" t="s">
        <v>8</v>
      </c>
      <c r="B74" t="s">
        <v>507</v>
      </c>
      <c r="C74">
        <v>0</v>
      </c>
      <c r="F74"/>
      <c r="H74"/>
    </row>
    <row r="75" spans="1:8" x14ac:dyDescent="0.3">
      <c r="A75" t="s">
        <v>8</v>
      </c>
      <c r="B75" t="s">
        <v>9</v>
      </c>
      <c r="C75">
        <v>60</v>
      </c>
      <c r="D75" s="6">
        <v>45626</v>
      </c>
      <c r="E75" t="s">
        <v>1324</v>
      </c>
      <c r="F75" s="1">
        <f>VLOOKUP(E75,'[1]TIỀN MUA PHỤ'!$A:$B,2,0)/5</f>
        <v>7600</v>
      </c>
      <c r="G75">
        <v>7600</v>
      </c>
      <c r="H75" s="1">
        <f>C75*G75</f>
        <v>456000</v>
      </c>
    </row>
    <row r="76" spans="1:8" hidden="1" x14ac:dyDescent="0.3">
      <c r="A76" t="s">
        <v>37</v>
      </c>
      <c r="B76" t="s">
        <v>507</v>
      </c>
      <c r="C76">
        <v>0</v>
      </c>
      <c r="F76"/>
      <c r="H76"/>
    </row>
    <row r="77" spans="1:8" x14ac:dyDescent="0.3">
      <c r="A77" t="s">
        <v>79</v>
      </c>
      <c r="B77" t="s">
        <v>507</v>
      </c>
      <c r="C77">
        <v>10</v>
      </c>
      <c r="D77" s="6">
        <v>45626</v>
      </c>
      <c r="E77" t="s">
        <v>1325</v>
      </c>
      <c r="F77" s="1">
        <f>VLOOKUP(E77,'[1]TIỀN MUA PHỤ'!$A:$B,2,0)</f>
        <v>10000</v>
      </c>
      <c r="G77">
        <v>10000</v>
      </c>
      <c r="H77" s="1">
        <f t="shared" ref="H77:H81" si="11">C77*G77</f>
        <v>100000</v>
      </c>
    </row>
    <row r="78" spans="1:8" x14ac:dyDescent="0.3">
      <c r="A78" t="s">
        <v>19</v>
      </c>
      <c r="B78" t="s">
        <v>507</v>
      </c>
      <c r="C78">
        <v>20</v>
      </c>
      <c r="D78" s="6">
        <v>45626</v>
      </c>
      <c r="E78" t="s">
        <v>1326</v>
      </c>
      <c r="F78" s="1">
        <f>VLOOKUP(E78,'[1]TIỀN MUA PHỤ'!$A:$B,2,0)</f>
        <v>11000</v>
      </c>
      <c r="G78">
        <v>11000</v>
      </c>
      <c r="H78" s="1">
        <f t="shared" si="11"/>
        <v>220000</v>
      </c>
    </row>
    <row r="79" spans="1:8" x14ac:dyDescent="0.3">
      <c r="A79" t="s">
        <v>67</v>
      </c>
      <c r="B79" t="s">
        <v>507</v>
      </c>
      <c r="C79">
        <v>60</v>
      </c>
      <c r="D79" s="6">
        <v>45626</v>
      </c>
      <c r="E79" t="s">
        <v>1327</v>
      </c>
      <c r="F79" s="1">
        <f>VLOOKUP(E79,'[1]TIỀN MUA PHỤ'!$A:$B,2,0)</f>
        <v>41000</v>
      </c>
      <c r="G79">
        <v>41000</v>
      </c>
      <c r="H79" s="1">
        <f t="shared" si="11"/>
        <v>2460000</v>
      </c>
    </row>
    <row r="80" spans="1:8" x14ac:dyDescent="0.3">
      <c r="A80" t="s">
        <v>17</v>
      </c>
      <c r="B80" t="s">
        <v>507</v>
      </c>
      <c r="C80">
        <v>30</v>
      </c>
      <c r="D80" s="6">
        <v>45626</v>
      </c>
      <c r="E80" t="s">
        <v>1328</v>
      </c>
      <c r="F80" s="1">
        <f>VLOOKUP(E80,'[1]TIỀN MUA PHỤ'!$A:$B,2,0)</f>
        <v>35000</v>
      </c>
      <c r="G80">
        <v>35000</v>
      </c>
      <c r="H80" s="1">
        <f t="shared" si="11"/>
        <v>1050000</v>
      </c>
    </row>
    <row r="81" spans="1:8" x14ac:dyDescent="0.3">
      <c r="A81" t="s">
        <v>25</v>
      </c>
      <c r="B81" t="s">
        <v>507</v>
      </c>
      <c r="C81">
        <v>25</v>
      </c>
      <c r="D81" s="6">
        <v>45626</v>
      </c>
      <c r="E81" t="s">
        <v>1329</v>
      </c>
      <c r="F81" s="1">
        <f>VLOOKUP(E81,'[1]TIỀN MUA PHỤ'!$A:$B,2,0)</f>
        <v>7000</v>
      </c>
      <c r="G81">
        <v>7000</v>
      </c>
      <c r="H81" s="1">
        <f t="shared" si="11"/>
        <v>175000</v>
      </c>
    </row>
    <row r="82" spans="1:8" hidden="1" x14ac:dyDescent="0.3">
      <c r="A82" t="s">
        <v>51</v>
      </c>
      <c r="B82" t="s">
        <v>507</v>
      </c>
      <c r="C82">
        <v>0</v>
      </c>
      <c r="F82"/>
      <c r="H82"/>
    </row>
    <row r="83" spans="1:8" x14ac:dyDescent="0.3">
      <c r="A83" t="s">
        <v>51</v>
      </c>
      <c r="B83" t="s">
        <v>9</v>
      </c>
      <c r="C83">
        <v>40</v>
      </c>
      <c r="D83" s="6">
        <v>45626</v>
      </c>
      <c r="E83" t="s">
        <v>1330</v>
      </c>
      <c r="F83" s="1">
        <f>VLOOKUP(E83,'[1]TIỀN MUA PHỤ'!$A:$B,2,0)/4</f>
        <v>6500</v>
      </c>
      <c r="G83">
        <v>6500</v>
      </c>
      <c r="H83" s="1">
        <f t="shared" ref="H83:H85" si="12">C83*G83</f>
        <v>260000</v>
      </c>
    </row>
    <row r="84" spans="1:8" x14ac:dyDescent="0.3">
      <c r="A84" t="s">
        <v>10</v>
      </c>
      <c r="B84" t="s">
        <v>507</v>
      </c>
      <c r="C84">
        <v>20</v>
      </c>
      <c r="D84" s="6">
        <v>45626</v>
      </c>
      <c r="E84" t="s">
        <v>1331</v>
      </c>
      <c r="F84" s="1">
        <f>VLOOKUP(E84,'[1]TIỀN MUA PHỤ'!$A:$B,2,0)</f>
        <v>4500</v>
      </c>
      <c r="G84">
        <v>4500</v>
      </c>
      <c r="H84" s="1">
        <f t="shared" si="12"/>
        <v>90000</v>
      </c>
    </row>
    <row r="85" spans="1:8" x14ac:dyDescent="0.3">
      <c r="A85" t="s">
        <v>91</v>
      </c>
      <c r="B85" t="s">
        <v>507</v>
      </c>
      <c r="C85">
        <v>30</v>
      </c>
      <c r="D85" s="6">
        <v>45626</v>
      </c>
      <c r="E85" t="s">
        <v>1332</v>
      </c>
      <c r="F85" s="1">
        <f>VLOOKUP(E85,'[1]TIỀN MUA PHỤ'!$A:$B,2,0)</f>
        <v>20000</v>
      </c>
      <c r="G85">
        <v>20000</v>
      </c>
      <c r="H85" s="1">
        <f t="shared" si="12"/>
        <v>600000</v>
      </c>
    </row>
    <row r="86" spans="1:8" hidden="1" x14ac:dyDescent="0.3">
      <c r="A86" t="s">
        <v>91</v>
      </c>
      <c r="B86" t="s">
        <v>22</v>
      </c>
      <c r="C86">
        <v>0</v>
      </c>
      <c r="F86"/>
      <c r="H86"/>
    </row>
    <row r="87" spans="1:8" x14ac:dyDescent="0.3">
      <c r="A87" t="s">
        <v>16</v>
      </c>
      <c r="B87" t="s">
        <v>507</v>
      </c>
      <c r="C87">
        <v>10</v>
      </c>
      <c r="D87" s="6">
        <v>45626</v>
      </c>
      <c r="E87" t="s">
        <v>1333</v>
      </c>
      <c r="F87" s="1">
        <f>VLOOKUP(E87,'[1]TIỀN MUA PHỤ'!$A:$B,2,0)</f>
        <v>13000</v>
      </c>
      <c r="G87">
        <v>13000</v>
      </c>
      <c r="H87" s="1">
        <f>C87*G87</f>
        <v>130000</v>
      </c>
    </row>
    <row r="88" spans="1:8" hidden="1" x14ac:dyDescent="0.3">
      <c r="A88" t="s">
        <v>55</v>
      </c>
      <c r="B88" t="s">
        <v>507</v>
      </c>
      <c r="C88">
        <v>0</v>
      </c>
      <c r="F88"/>
      <c r="H88"/>
    </row>
    <row r="89" spans="1:8" x14ac:dyDescent="0.3">
      <c r="A89" t="s">
        <v>55</v>
      </c>
      <c r="B89" t="s">
        <v>22</v>
      </c>
      <c r="C89">
        <v>60</v>
      </c>
      <c r="D89" s="6">
        <v>45626</v>
      </c>
      <c r="E89" t="s">
        <v>1334</v>
      </c>
      <c r="F89" s="1">
        <f>VLOOKUP(E89,'[1]TIỀN MUA PHỤ'!$A:$B,2,0)*0.6</f>
        <v>5400</v>
      </c>
      <c r="G89">
        <v>5400</v>
      </c>
      <c r="H89" s="1">
        <f>C89*G89</f>
        <v>324000</v>
      </c>
    </row>
    <row r="90" spans="1:8" hidden="1" x14ac:dyDescent="0.3">
      <c r="A90" t="s">
        <v>100</v>
      </c>
      <c r="B90" t="s">
        <v>507</v>
      </c>
      <c r="C90">
        <v>0</v>
      </c>
      <c r="F90"/>
      <c r="H90"/>
    </row>
    <row r="91" spans="1:8" hidden="1" x14ac:dyDescent="0.3">
      <c r="A91" t="s">
        <v>100</v>
      </c>
      <c r="B91" t="s">
        <v>22</v>
      </c>
      <c r="C91">
        <v>0</v>
      </c>
      <c r="F91"/>
      <c r="H91"/>
    </row>
    <row r="92" spans="1:8" x14ac:dyDescent="0.3">
      <c r="A92" t="s">
        <v>30</v>
      </c>
      <c r="B92" t="s">
        <v>507</v>
      </c>
      <c r="C92">
        <v>5</v>
      </c>
      <c r="D92" s="6">
        <v>45626</v>
      </c>
      <c r="E92" t="s">
        <v>1335</v>
      </c>
      <c r="F92" s="1">
        <f>VLOOKUP(E92,'[1]TIỀN MUA PHỤ'!$A:$B,2,0)</f>
        <v>14000</v>
      </c>
      <c r="G92">
        <v>14000</v>
      </c>
      <c r="H92" s="1">
        <f>C92*G92</f>
        <v>70000</v>
      </c>
    </row>
    <row r="93" spans="1:8" hidden="1" x14ac:dyDescent="0.3">
      <c r="A93" t="s">
        <v>31</v>
      </c>
      <c r="B93" t="s">
        <v>507</v>
      </c>
      <c r="C93">
        <v>0</v>
      </c>
      <c r="F93"/>
      <c r="H93"/>
    </row>
    <row r="94" spans="1:8" x14ac:dyDescent="0.3">
      <c r="A94" t="s">
        <v>31</v>
      </c>
      <c r="B94" t="s">
        <v>22</v>
      </c>
      <c r="C94">
        <v>20</v>
      </c>
      <c r="D94" s="6">
        <v>45626</v>
      </c>
      <c r="E94" t="s">
        <v>1336</v>
      </c>
      <c r="F94" s="1">
        <f>VLOOKUP(E94,'[1]TIỀN MUA PHỤ'!$A:$B,2,0)</f>
        <v>32000</v>
      </c>
      <c r="G94">
        <v>32000</v>
      </c>
      <c r="H94" s="1">
        <f>C94*G94</f>
        <v>640000</v>
      </c>
    </row>
    <row r="95" spans="1:8" hidden="1" x14ac:dyDescent="0.3">
      <c r="A95" t="s">
        <v>109</v>
      </c>
      <c r="B95" t="s">
        <v>507</v>
      </c>
      <c r="C95">
        <v>0</v>
      </c>
      <c r="F95"/>
      <c r="H95"/>
    </row>
    <row r="96" spans="1:8" x14ac:dyDescent="0.3">
      <c r="A96" t="s">
        <v>109</v>
      </c>
      <c r="B96" t="s">
        <v>9</v>
      </c>
      <c r="C96">
        <v>5</v>
      </c>
      <c r="D96" s="6">
        <v>45626</v>
      </c>
      <c r="E96" t="s">
        <v>1337</v>
      </c>
      <c r="F96" s="1">
        <v>20000</v>
      </c>
      <c r="G96">
        <v>20000</v>
      </c>
      <c r="H96" s="1">
        <f>C96*G96</f>
        <v>100000</v>
      </c>
    </row>
    <row r="97" spans="1:8" hidden="1" x14ac:dyDescent="0.3">
      <c r="A97" t="s">
        <v>60</v>
      </c>
      <c r="B97" t="s">
        <v>507</v>
      </c>
      <c r="C97">
        <v>0</v>
      </c>
      <c r="F97"/>
      <c r="H97"/>
    </row>
    <row r="98" spans="1:8" hidden="1" x14ac:dyDescent="0.3">
      <c r="A98" t="s">
        <v>60</v>
      </c>
      <c r="B98" t="s">
        <v>48</v>
      </c>
      <c r="C98">
        <v>0</v>
      </c>
      <c r="F98"/>
      <c r="H98"/>
    </row>
    <row r="99" spans="1:8" x14ac:dyDescent="0.3">
      <c r="A99" t="s">
        <v>39</v>
      </c>
      <c r="B99" t="s">
        <v>507</v>
      </c>
      <c r="C99">
        <v>30</v>
      </c>
      <c r="D99" s="6">
        <v>45626</v>
      </c>
      <c r="E99" t="s">
        <v>1338</v>
      </c>
      <c r="F99" s="1">
        <f>VLOOKUP(E99,'[1]TIỀN MUA PHỤ'!$A:$B,2,0)</f>
        <v>30000</v>
      </c>
      <c r="G99">
        <v>30000</v>
      </c>
      <c r="H99" s="1">
        <f t="shared" ref="H99:H100" si="13">C99*G99</f>
        <v>900000</v>
      </c>
    </row>
    <row r="100" spans="1:8" x14ac:dyDescent="0.3">
      <c r="A100" t="s">
        <v>82</v>
      </c>
      <c r="B100" t="s">
        <v>507</v>
      </c>
      <c r="C100">
        <v>2</v>
      </c>
      <c r="D100" s="6">
        <v>45626</v>
      </c>
      <c r="E100" t="s">
        <v>1339</v>
      </c>
      <c r="F100" s="1">
        <f>VLOOKUP(E100,'[1]TIỀN MUA PHỤ'!$A:$B,2,0)</f>
        <v>120000</v>
      </c>
      <c r="G100">
        <v>120000</v>
      </c>
      <c r="H100" s="1">
        <f t="shared" si="13"/>
        <v>240000</v>
      </c>
    </row>
    <row r="101" spans="1:8" hidden="1" x14ac:dyDescent="0.3">
      <c r="A101" t="s">
        <v>82</v>
      </c>
      <c r="B101" t="s">
        <v>22</v>
      </c>
      <c r="C101">
        <v>0</v>
      </c>
      <c r="F101"/>
      <c r="H101"/>
    </row>
    <row r="102" spans="1:8" x14ac:dyDescent="0.3">
      <c r="A102" t="s">
        <v>84</v>
      </c>
      <c r="B102" t="s">
        <v>27</v>
      </c>
      <c r="C102">
        <v>5</v>
      </c>
      <c r="D102" s="6">
        <v>45626</v>
      </c>
      <c r="E102" t="s">
        <v>1340</v>
      </c>
      <c r="F102" s="1">
        <f>VLOOKUP(E102,'[1]TIỀN MUA PHỤ'!$A:$B,2,0)</f>
        <v>6800</v>
      </c>
      <c r="G102">
        <v>6800</v>
      </c>
      <c r="H102" s="1">
        <f t="shared" ref="H102:H103" si="14">C102*G102</f>
        <v>34000</v>
      </c>
    </row>
    <row r="103" spans="1:8" x14ac:dyDescent="0.3">
      <c r="A103" t="s">
        <v>78</v>
      </c>
      <c r="B103" t="s">
        <v>507</v>
      </c>
      <c r="C103">
        <v>17</v>
      </c>
      <c r="D103" s="6">
        <v>45626</v>
      </c>
      <c r="E103" t="s">
        <v>1341</v>
      </c>
      <c r="F103" s="1">
        <f>VLOOKUP(E103,'[1]TIỀN MUA PHỤ'!$A:$B,2,0)</f>
        <v>30000</v>
      </c>
      <c r="G103">
        <v>30000</v>
      </c>
      <c r="H103" s="1">
        <f t="shared" si="14"/>
        <v>510000</v>
      </c>
    </row>
    <row r="104" spans="1:8" hidden="1" x14ac:dyDescent="0.3">
      <c r="A104" t="s">
        <v>126</v>
      </c>
      <c r="B104" t="s">
        <v>507</v>
      </c>
      <c r="C104">
        <v>0</v>
      </c>
      <c r="F104"/>
      <c r="H104"/>
    </row>
    <row r="105" spans="1:8" hidden="1" x14ac:dyDescent="0.3">
      <c r="A105" t="s">
        <v>104</v>
      </c>
      <c r="B105" t="s">
        <v>507</v>
      </c>
      <c r="C105">
        <v>0</v>
      </c>
      <c r="F105"/>
      <c r="H105"/>
    </row>
    <row r="106" spans="1:8" hidden="1" x14ac:dyDescent="0.3">
      <c r="A106" t="s">
        <v>104</v>
      </c>
      <c r="B106" t="s">
        <v>22</v>
      </c>
      <c r="C106">
        <v>0</v>
      </c>
      <c r="F106"/>
      <c r="H106"/>
    </row>
    <row r="107" spans="1:8" hidden="1" x14ac:dyDescent="0.3">
      <c r="A107" t="s">
        <v>95</v>
      </c>
      <c r="B107" t="s">
        <v>507</v>
      </c>
      <c r="C107">
        <v>0</v>
      </c>
      <c r="F107"/>
      <c r="H107"/>
    </row>
    <row r="108" spans="1:8" hidden="1" x14ac:dyDescent="0.3">
      <c r="A108" t="s">
        <v>95</v>
      </c>
      <c r="B108" t="s">
        <v>9</v>
      </c>
      <c r="C108">
        <v>0</v>
      </c>
      <c r="F108"/>
      <c r="H108"/>
    </row>
    <row r="109" spans="1:8" hidden="1" x14ac:dyDescent="0.3">
      <c r="A109" t="s">
        <v>72</v>
      </c>
      <c r="B109" t="s">
        <v>48</v>
      </c>
      <c r="C109">
        <v>0</v>
      </c>
      <c r="F109"/>
      <c r="H109"/>
    </row>
    <row r="110" spans="1:8" hidden="1" x14ac:dyDescent="0.3">
      <c r="A110" t="s">
        <v>73</v>
      </c>
      <c r="B110" t="s">
        <v>85</v>
      </c>
      <c r="C110">
        <v>0</v>
      </c>
      <c r="F110"/>
      <c r="H110"/>
    </row>
    <row r="111" spans="1:8" hidden="1" x14ac:dyDescent="0.3">
      <c r="A111" t="s">
        <v>83</v>
      </c>
      <c r="B111" t="s">
        <v>507</v>
      </c>
      <c r="C111">
        <v>0</v>
      </c>
      <c r="F111"/>
      <c r="H111"/>
    </row>
    <row r="112" spans="1:8" hidden="1" x14ac:dyDescent="0.3">
      <c r="A112" t="s">
        <v>83</v>
      </c>
      <c r="B112" t="s">
        <v>22</v>
      </c>
      <c r="C112">
        <v>0</v>
      </c>
      <c r="F112"/>
      <c r="H112"/>
    </row>
    <row r="113" spans="1:3" customFormat="1" hidden="1" x14ac:dyDescent="0.3">
      <c r="A113" t="s">
        <v>1042</v>
      </c>
      <c r="B113" t="s">
        <v>507</v>
      </c>
      <c r="C113">
        <v>0</v>
      </c>
    </row>
    <row r="114" spans="1:3" customFormat="1" hidden="1" x14ac:dyDescent="0.3">
      <c r="A114" t="s">
        <v>93</v>
      </c>
      <c r="B114" t="s">
        <v>507</v>
      </c>
      <c r="C114">
        <v>0</v>
      </c>
    </row>
    <row r="115" spans="1:3" customFormat="1" hidden="1" x14ac:dyDescent="0.3">
      <c r="A115" t="s">
        <v>93</v>
      </c>
      <c r="B115" t="s">
        <v>22</v>
      </c>
      <c r="C115">
        <v>0</v>
      </c>
    </row>
    <row r="116" spans="1:3" customFormat="1" hidden="1" x14ac:dyDescent="0.3">
      <c r="A116" t="s">
        <v>1041</v>
      </c>
      <c r="B116" t="s">
        <v>507</v>
      </c>
      <c r="C116">
        <v>0</v>
      </c>
    </row>
    <row r="117" spans="1:3" customFormat="1" hidden="1" x14ac:dyDescent="0.3">
      <c r="A117" t="s">
        <v>1051</v>
      </c>
      <c r="B117" t="s">
        <v>507</v>
      </c>
      <c r="C117">
        <v>0</v>
      </c>
    </row>
    <row r="118" spans="1:3" customFormat="1" hidden="1" x14ac:dyDescent="0.3">
      <c r="A118" t="s">
        <v>1062</v>
      </c>
      <c r="B118" t="s">
        <v>507</v>
      </c>
      <c r="C118">
        <v>0</v>
      </c>
    </row>
    <row r="119" spans="1:3" customFormat="1" hidden="1" x14ac:dyDescent="0.3">
      <c r="A119" t="s">
        <v>101</v>
      </c>
      <c r="B119" t="s">
        <v>507</v>
      </c>
      <c r="C119">
        <v>0</v>
      </c>
    </row>
    <row r="120" spans="1:3" customFormat="1" hidden="1" x14ac:dyDescent="0.3">
      <c r="A120" t="s">
        <v>101</v>
      </c>
      <c r="B120" t="s">
        <v>22</v>
      </c>
      <c r="C120">
        <v>0</v>
      </c>
    </row>
    <row r="121" spans="1:3" customFormat="1" hidden="1" x14ac:dyDescent="0.3">
      <c r="A121" t="s">
        <v>128</v>
      </c>
      <c r="B121" t="s">
        <v>507</v>
      </c>
      <c r="C121">
        <v>0</v>
      </c>
    </row>
    <row r="122" spans="1:3" customFormat="1" hidden="1" x14ac:dyDescent="0.3">
      <c r="A122" t="s">
        <v>35</v>
      </c>
      <c r="B122" t="s">
        <v>507</v>
      </c>
      <c r="C122">
        <v>0</v>
      </c>
    </row>
    <row r="123" spans="1:3" customFormat="1" hidden="1" x14ac:dyDescent="0.3">
      <c r="A123" t="s">
        <v>98</v>
      </c>
      <c r="B123" t="s">
        <v>507</v>
      </c>
      <c r="C123">
        <v>0</v>
      </c>
    </row>
    <row r="124" spans="1:3" customFormat="1" hidden="1" x14ac:dyDescent="0.3">
      <c r="A124" t="s">
        <v>64</v>
      </c>
      <c r="B124" t="s">
        <v>507</v>
      </c>
      <c r="C124">
        <v>0</v>
      </c>
    </row>
    <row r="125" spans="1:3" customFormat="1" hidden="1" x14ac:dyDescent="0.3">
      <c r="A125" t="s">
        <v>64</v>
      </c>
      <c r="B125" t="s">
        <v>59</v>
      </c>
      <c r="C125">
        <v>0</v>
      </c>
    </row>
    <row r="126" spans="1:3" customFormat="1" hidden="1" x14ac:dyDescent="0.3">
      <c r="A126" t="s">
        <v>66</v>
      </c>
      <c r="B126" t="s">
        <v>48</v>
      </c>
      <c r="C126">
        <v>0</v>
      </c>
    </row>
    <row r="127" spans="1:3" customFormat="1" hidden="1" x14ac:dyDescent="0.3">
      <c r="A127" t="s">
        <v>1050</v>
      </c>
      <c r="B127" t="s">
        <v>22</v>
      </c>
      <c r="C127">
        <v>0</v>
      </c>
    </row>
    <row r="128" spans="1:3" customFormat="1" hidden="1" x14ac:dyDescent="0.3">
      <c r="A128" t="s">
        <v>1046</v>
      </c>
      <c r="B128" t="s">
        <v>22</v>
      </c>
      <c r="C128">
        <v>0</v>
      </c>
    </row>
    <row r="129" spans="1:3" customFormat="1" hidden="1" x14ac:dyDescent="0.3">
      <c r="A129" t="s">
        <v>1052</v>
      </c>
      <c r="B129" t="s">
        <v>9</v>
      </c>
      <c r="C129">
        <v>0</v>
      </c>
    </row>
    <row r="130" spans="1:3" customFormat="1" hidden="1" x14ac:dyDescent="0.3">
      <c r="A130" t="s">
        <v>1049</v>
      </c>
      <c r="B130" t="s">
        <v>507</v>
      </c>
      <c r="C130">
        <v>0</v>
      </c>
    </row>
    <row r="131" spans="1:3" customFormat="1" hidden="1" x14ac:dyDescent="0.3">
      <c r="A131" t="s">
        <v>74</v>
      </c>
      <c r="B131" t="s">
        <v>507</v>
      </c>
      <c r="C131">
        <v>0</v>
      </c>
    </row>
  </sheetData>
  <autoFilter ref="A1:C131" xr:uid="{F7B1A539-B253-43D1-9A1F-42DF32171656}">
    <filterColumn colId="2">
      <filters>
        <filter val="10"/>
        <filter val="100"/>
        <filter val="140"/>
        <filter val="15"/>
        <filter val="150"/>
        <filter val="160"/>
        <filter val="17"/>
        <filter val="173"/>
        <filter val="2"/>
        <filter val="20"/>
        <filter val="200"/>
        <filter val="245"/>
        <filter val="25"/>
        <filter val="250"/>
        <filter val="260"/>
        <filter val="30"/>
        <filter val="300"/>
        <filter val="35"/>
        <filter val="40"/>
        <filter val="5"/>
        <filter val="50"/>
        <filter val="500"/>
        <filter val="59"/>
        <filter val="60"/>
        <filter val="700"/>
        <filter val="800"/>
        <filter val="90"/>
        <filter val="9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CC45-BE3D-43DA-A3D3-DBA41BE7821A}">
  <sheetPr filterMode="1"/>
  <dimension ref="A1:H128"/>
  <sheetViews>
    <sheetView workbookViewId="0">
      <selection activeCell="H1" sqref="H1"/>
    </sheetView>
  </sheetViews>
  <sheetFormatPr defaultRowHeight="14.4" x14ac:dyDescent="0.3"/>
  <cols>
    <col min="1" max="1" width="25.109375" customWidth="1"/>
    <col min="4" max="4" width="10.5546875" bestFit="1" customWidth="1"/>
    <col min="5" max="5" width="30.88671875" customWidth="1"/>
    <col min="6" max="6" width="11.33203125" bestFit="1" customWidth="1"/>
    <col min="8" max="8" width="12.77734375" style="1" bestFit="1" customWidth="1"/>
  </cols>
  <sheetData>
    <row r="1" spans="1:8" x14ac:dyDescent="0.3">
      <c r="A1" t="s">
        <v>1059</v>
      </c>
      <c r="B1" t="s">
        <v>5</v>
      </c>
      <c r="C1" t="s">
        <v>118</v>
      </c>
      <c r="E1" t="s">
        <v>1263</v>
      </c>
      <c r="H1" s="1">
        <f>SUM(H2:H97)</f>
        <v>59956550</v>
      </c>
    </row>
    <row r="2" spans="1:8" x14ac:dyDescent="0.3">
      <c r="A2" t="s">
        <v>56</v>
      </c>
      <c r="B2" t="s">
        <v>507</v>
      </c>
      <c r="C2">
        <v>40</v>
      </c>
      <c r="D2" s="6">
        <v>45625</v>
      </c>
      <c r="E2" t="s">
        <v>1238</v>
      </c>
      <c r="F2" s="1">
        <f>VLOOKUP(E2,'[1]TIỀN MUA PHỤ'!$A:$B,2,0)</f>
        <v>4000</v>
      </c>
      <c r="G2">
        <v>4000</v>
      </c>
      <c r="H2" s="1">
        <f>C2*G2</f>
        <v>160000</v>
      </c>
    </row>
    <row r="3" spans="1:8" hidden="1" x14ac:dyDescent="0.3">
      <c r="A3" t="s">
        <v>1047</v>
      </c>
      <c r="B3" t="s">
        <v>507</v>
      </c>
      <c r="C3">
        <v>0</v>
      </c>
      <c r="D3" s="6">
        <v>45625</v>
      </c>
      <c r="H3"/>
    </row>
    <row r="4" spans="1:8" x14ac:dyDescent="0.3">
      <c r="A4" t="s">
        <v>45</v>
      </c>
      <c r="B4" t="s">
        <v>507</v>
      </c>
      <c r="C4">
        <v>140</v>
      </c>
      <c r="D4" s="6">
        <v>45625</v>
      </c>
      <c r="E4" t="s">
        <v>1239</v>
      </c>
      <c r="F4" s="1">
        <f>VLOOKUP(E4,'[1]TIỀN MUA PHỤ'!$A:$B,2,0)</f>
        <v>19000</v>
      </c>
      <c r="G4">
        <v>19000</v>
      </c>
      <c r="H4" s="1">
        <f t="shared" ref="H4:H5" si="0">C4*G4</f>
        <v>2660000</v>
      </c>
    </row>
    <row r="5" spans="1:8" x14ac:dyDescent="0.3">
      <c r="A5" t="s">
        <v>50</v>
      </c>
      <c r="B5" t="s">
        <v>507</v>
      </c>
      <c r="C5">
        <v>100</v>
      </c>
      <c r="D5" s="6">
        <v>45625</v>
      </c>
      <c r="E5" t="s">
        <v>1240</v>
      </c>
      <c r="F5" s="1">
        <f>VLOOKUP(E5,'[1]TIỀN MUA PHỤ'!$A:$B,2,0)</f>
        <v>18000</v>
      </c>
      <c r="G5">
        <v>18000</v>
      </c>
      <c r="H5" s="1">
        <f t="shared" si="0"/>
        <v>1800000</v>
      </c>
    </row>
    <row r="6" spans="1:8" hidden="1" x14ac:dyDescent="0.3">
      <c r="A6" t="s">
        <v>50</v>
      </c>
      <c r="B6" t="s">
        <v>9</v>
      </c>
      <c r="C6">
        <v>0</v>
      </c>
      <c r="D6" s="6">
        <v>45625</v>
      </c>
      <c r="H6"/>
    </row>
    <row r="7" spans="1:8" hidden="1" x14ac:dyDescent="0.3">
      <c r="A7" t="s">
        <v>26</v>
      </c>
      <c r="B7" t="s">
        <v>507</v>
      </c>
      <c r="C7">
        <v>0</v>
      </c>
      <c r="D7" s="6">
        <v>45625</v>
      </c>
      <c r="H7"/>
    </row>
    <row r="8" spans="1:8" x14ac:dyDescent="0.3">
      <c r="A8" t="s">
        <v>26</v>
      </c>
      <c r="B8" t="s">
        <v>27</v>
      </c>
      <c r="C8">
        <v>200</v>
      </c>
      <c r="D8" s="6">
        <v>45625</v>
      </c>
      <c r="E8" t="s">
        <v>1241</v>
      </c>
      <c r="F8" s="1">
        <v>10000</v>
      </c>
      <c r="G8">
        <v>10000</v>
      </c>
      <c r="H8" s="1">
        <f>C8*G8</f>
        <v>2000000</v>
      </c>
    </row>
    <row r="9" spans="1:8" hidden="1" x14ac:dyDescent="0.3">
      <c r="A9" t="s">
        <v>26</v>
      </c>
      <c r="B9" t="s">
        <v>22</v>
      </c>
      <c r="C9">
        <v>0</v>
      </c>
      <c r="D9" s="6">
        <v>45625</v>
      </c>
      <c r="H9"/>
    </row>
    <row r="10" spans="1:8" hidden="1" x14ac:dyDescent="0.3">
      <c r="A10" t="s">
        <v>41</v>
      </c>
      <c r="B10" t="s">
        <v>507</v>
      </c>
      <c r="C10">
        <v>0</v>
      </c>
      <c r="D10" s="6">
        <v>45625</v>
      </c>
      <c r="H10"/>
    </row>
    <row r="11" spans="1:8" x14ac:dyDescent="0.3">
      <c r="A11" t="s">
        <v>41</v>
      </c>
      <c r="B11" t="s">
        <v>42</v>
      </c>
      <c r="C11">
        <v>400</v>
      </c>
      <c r="D11" s="6">
        <v>45625</v>
      </c>
      <c r="E11" t="s">
        <v>1242</v>
      </c>
      <c r="F11" s="1">
        <f>VLOOKUP(E11,'[1]TIỀN MUA PHỤ'!$A:$B,2,0)*0.3</f>
        <v>2400</v>
      </c>
      <c r="G11">
        <v>2400</v>
      </c>
      <c r="H11" s="1">
        <f>C11*G11</f>
        <v>960000</v>
      </c>
    </row>
    <row r="12" spans="1:8" hidden="1" x14ac:dyDescent="0.3">
      <c r="A12" t="s">
        <v>28</v>
      </c>
      <c r="B12" t="s">
        <v>507</v>
      </c>
      <c r="C12">
        <v>0</v>
      </c>
      <c r="D12" s="6">
        <v>45625</v>
      </c>
      <c r="H12"/>
    </row>
    <row r="13" spans="1:8" x14ac:dyDescent="0.3">
      <c r="A13" t="s">
        <v>28</v>
      </c>
      <c r="B13" t="s">
        <v>27</v>
      </c>
      <c r="C13">
        <v>300</v>
      </c>
      <c r="D13" s="6">
        <v>45625</v>
      </c>
      <c r="E13" t="s">
        <v>1243</v>
      </c>
      <c r="F13" s="1">
        <f>VLOOKUP(E13,'[1]TIỀN MUA PHỤ'!$A:$B,2,0)/5</f>
        <v>5800</v>
      </c>
      <c r="G13">
        <v>5800</v>
      </c>
      <c r="H13" s="1">
        <f t="shared" ref="H13:H14" si="1">C13*G13</f>
        <v>1740000</v>
      </c>
    </row>
    <row r="14" spans="1:8" x14ac:dyDescent="0.3">
      <c r="A14" t="s">
        <v>20</v>
      </c>
      <c r="B14" t="s">
        <v>507</v>
      </c>
      <c r="C14">
        <v>60</v>
      </c>
      <c r="D14" s="6">
        <v>45625</v>
      </c>
      <c r="E14" t="s">
        <v>1244</v>
      </c>
      <c r="F14" s="1">
        <f>VLOOKUP(E14,'[1]TIỀN MUA PHỤ'!$A:$B,2,0)</f>
        <v>16000</v>
      </c>
      <c r="G14">
        <v>16000</v>
      </c>
      <c r="H14" s="1">
        <f t="shared" si="1"/>
        <v>960000</v>
      </c>
    </row>
    <row r="15" spans="1:8" hidden="1" x14ac:dyDescent="0.3">
      <c r="A15" t="s">
        <v>20</v>
      </c>
      <c r="B15" t="s">
        <v>22</v>
      </c>
      <c r="C15">
        <v>0</v>
      </c>
      <c r="D15" s="6">
        <v>45625</v>
      </c>
      <c r="H15"/>
    </row>
    <row r="16" spans="1:8" hidden="1" x14ac:dyDescent="0.3">
      <c r="A16" t="s">
        <v>18</v>
      </c>
      <c r="B16" t="s">
        <v>507</v>
      </c>
      <c r="C16">
        <v>0</v>
      </c>
      <c r="D16" s="6">
        <v>45625</v>
      </c>
      <c r="H16"/>
    </row>
    <row r="17" spans="1:8" x14ac:dyDescent="0.3">
      <c r="A17" t="s">
        <v>18</v>
      </c>
      <c r="B17" t="s">
        <v>9</v>
      </c>
      <c r="C17">
        <v>55</v>
      </c>
      <c r="D17" s="6">
        <v>45625</v>
      </c>
      <c r="E17" t="s">
        <v>1245</v>
      </c>
      <c r="F17" s="1">
        <f>VLOOKUP(E17,'[1]TIỀN MUA PHỤ'!$A:$B,2,0)/5</f>
        <v>9400</v>
      </c>
      <c r="G17">
        <v>9400</v>
      </c>
      <c r="H17" s="1">
        <f>C17*G17</f>
        <v>517000</v>
      </c>
    </row>
    <row r="18" spans="1:8" hidden="1" x14ac:dyDescent="0.3">
      <c r="A18" t="s">
        <v>49</v>
      </c>
      <c r="B18" t="s">
        <v>507</v>
      </c>
      <c r="C18">
        <v>0</v>
      </c>
      <c r="D18" s="6">
        <v>45625</v>
      </c>
      <c r="H18"/>
    </row>
    <row r="19" spans="1:8" hidden="1" x14ac:dyDescent="0.3">
      <c r="A19" t="s">
        <v>49</v>
      </c>
      <c r="B19" t="s">
        <v>106</v>
      </c>
      <c r="C19">
        <v>0</v>
      </c>
      <c r="D19" s="6">
        <v>45625</v>
      </c>
      <c r="H19"/>
    </row>
    <row r="20" spans="1:8" hidden="1" x14ac:dyDescent="0.3">
      <c r="A20" t="s">
        <v>97</v>
      </c>
      <c r="B20" t="s">
        <v>507</v>
      </c>
      <c r="C20">
        <v>0</v>
      </c>
      <c r="D20" s="6">
        <v>45625</v>
      </c>
      <c r="H20"/>
    </row>
    <row r="21" spans="1:8" x14ac:dyDescent="0.3">
      <c r="A21" t="s">
        <v>97</v>
      </c>
      <c r="B21" t="s">
        <v>22</v>
      </c>
      <c r="C21">
        <v>443</v>
      </c>
      <c r="D21" s="6">
        <v>45625</v>
      </c>
      <c r="E21" t="s">
        <v>1246</v>
      </c>
      <c r="F21" s="1">
        <v>18000</v>
      </c>
      <c r="G21">
        <v>18000</v>
      </c>
      <c r="H21" s="1">
        <f t="shared" ref="H21:H22" si="2">C21*G21</f>
        <v>7974000</v>
      </c>
    </row>
    <row r="22" spans="1:8" x14ac:dyDescent="0.3">
      <c r="A22" t="s">
        <v>34</v>
      </c>
      <c r="B22" t="s">
        <v>507</v>
      </c>
      <c r="C22">
        <v>140</v>
      </c>
      <c r="D22" s="6">
        <v>45625</v>
      </c>
      <c r="E22" t="s">
        <v>1247</v>
      </c>
      <c r="F22" s="1">
        <f>VLOOKUP(E22,'[1]TIỀN MUA PHỤ'!$A:$B,2,0)</f>
        <v>14000</v>
      </c>
      <c r="G22">
        <v>14000</v>
      </c>
      <c r="H22" s="1">
        <f t="shared" si="2"/>
        <v>1960000</v>
      </c>
    </row>
    <row r="23" spans="1:8" hidden="1" x14ac:dyDescent="0.3">
      <c r="A23" t="s">
        <v>34</v>
      </c>
      <c r="B23" t="s">
        <v>22</v>
      </c>
      <c r="C23">
        <v>0</v>
      </c>
      <c r="D23" s="6">
        <v>45625</v>
      </c>
      <c r="H23"/>
    </row>
    <row r="24" spans="1:8" hidden="1" x14ac:dyDescent="0.3">
      <c r="A24" t="s">
        <v>23</v>
      </c>
      <c r="B24" t="s">
        <v>507</v>
      </c>
      <c r="C24">
        <v>0</v>
      </c>
      <c r="D24" s="6">
        <v>45625</v>
      </c>
      <c r="H24"/>
    </row>
    <row r="25" spans="1:8" x14ac:dyDescent="0.3">
      <c r="A25" t="s">
        <v>23</v>
      </c>
      <c r="B25" t="s">
        <v>22</v>
      </c>
      <c r="C25">
        <v>50</v>
      </c>
      <c r="D25" s="6">
        <v>45625</v>
      </c>
      <c r="E25" t="s">
        <v>1248</v>
      </c>
      <c r="F25" s="1">
        <f>VLOOKUP(E25,'[1]TIỀN MUA PHỤ'!$A:$B,2,0)*0.3</f>
        <v>7350</v>
      </c>
      <c r="G25">
        <v>7350</v>
      </c>
      <c r="H25" s="1">
        <f t="shared" ref="H25:H26" si="3">C25*G25</f>
        <v>367500</v>
      </c>
    </row>
    <row r="26" spans="1:8" x14ac:dyDescent="0.3">
      <c r="A26" t="s">
        <v>23</v>
      </c>
      <c r="B26" t="s">
        <v>24</v>
      </c>
      <c r="C26">
        <v>20</v>
      </c>
      <c r="D26" s="6">
        <v>45625</v>
      </c>
      <c r="E26" t="s">
        <v>1248</v>
      </c>
      <c r="F26" s="1">
        <f>F25/2</f>
        <v>3675</v>
      </c>
      <c r="G26">
        <v>3675</v>
      </c>
      <c r="H26" s="1">
        <f t="shared" si="3"/>
        <v>73500</v>
      </c>
    </row>
    <row r="27" spans="1:8" hidden="1" x14ac:dyDescent="0.3">
      <c r="A27" t="s">
        <v>80</v>
      </c>
      <c r="B27" t="s">
        <v>507</v>
      </c>
      <c r="C27">
        <v>0</v>
      </c>
      <c r="D27" s="6">
        <v>45625</v>
      </c>
      <c r="H27"/>
    </row>
    <row r="28" spans="1:8" x14ac:dyDescent="0.3">
      <c r="A28" t="s">
        <v>80</v>
      </c>
      <c r="B28" t="s">
        <v>44</v>
      </c>
      <c r="C28">
        <v>20</v>
      </c>
      <c r="D28" s="6">
        <v>45625</v>
      </c>
      <c r="E28" t="s">
        <v>1249</v>
      </c>
      <c r="F28" s="1">
        <f>VLOOKUP(E28,'[1]TIỀN MUA PHỤ'!$A:$B,2,0)*0.4</f>
        <v>2600</v>
      </c>
      <c r="G28">
        <v>2600</v>
      </c>
      <c r="H28" s="1">
        <f t="shared" ref="H28:H29" si="4">C28*G28</f>
        <v>52000</v>
      </c>
    </row>
    <row r="29" spans="1:8" x14ac:dyDescent="0.3">
      <c r="A29" t="s">
        <v>113</v>
      </c>
      <c r="B29" t="s">
        <v>507</v>
      </c>
      <c r="C29">
        <v>5</v>
      </c>
      <c r="D29" s="6">
        <v>45625</v>
      </c>
      <c r="E29" t="s">
        <v>1250</v>
      </c>
      <c r="F29" s="1">
        <f>VLOOKUP(E29,'[1]TIỀN MUA PHỤ'!$A:$B,2,0)</f>
        <v>35000</v>
      </c>
      <c r="G29">
        <v>35000</v>
      </c>
      <c r="H29" s="1">
        <f t="shared" si="4"/>
        <v>175000</v>
      </c>
    </row>
    <row r="30" spans="1:8" hidden="1" x14ac:dyDescent="0.3">
      <c r="A30" t="s">
        <v>113</v>
      </c>
      <c r="B30" t="s">
        <v>22</v>
      </c>
      <c r="C30">
        <v>0</v>
      </c>
      <c r="D30" s="6">
        <v>45625</v>
      </c>
      <c r="H30"/>
    </row>
    <row r="31" spans="1:8" hidden="1" x14ac:dyDescent="0.3">
      <c r="A31" t="s">
        <v>29</v>
      </c>
      <c r="B31" t="s">
        <v>507</v>
      </c>
      <c r="C31">
        <v>0</v>
      </c>
      <c r="D31" s="6">
        <v>45625</v>
      </c>
      <c r="H31"/>
    </row>
    <row r="32" spans="1:8" x14ac:dyDescent="0.3">
      <c r="A32" t="s">
        <v>29</v>
      </c>
      <c r="B32" t="s">
        <v>22</v>
      </c>
      <c r="C32">
        <v>800</v>
      </c>
      <c r="D32" s="6">
        <v>45625</v>
      </c>
      <c r="E32" t="s">
        <v>1251</v>
      </c>
      <c r="F32" s="1">
        <f>VLOOKUP(E32,'[1]TIỀN MUA PHỤ'!$A:$B,2,0)/20</f>
        <v>1800</v>
      </c>
      <c r="G32">
        <v>1800</v>
      </c>
      <c r="H32" s="1">
        <f t="shared" ref="H32:H33" si="5">C32*G32</f>
        <v>1440000</v>
      </c>
    </row>
    <row r="33" spans="1:8" x14ac:dyDescent="0.3">
      <c r="A33" t="s">
        <v>11</v>
      </c>
      <c r="B33" t="s">
        <v>507</v>
      </c>
      <c r="C33">
        <v>20</v>
      </c>
      <c r="D33" s="6">
        <v>45625</v>
      </c>
      <c r="E33" t="s">
        <v>1252</v>
      </c>
      <c r="F33" s="1">
        <f>VLOOKUP(E33,'[1]TIỀN MUA PHỤ'!$A:$B,2,0)</f>
        <v>18000</v>
      </c>
      <c r="G33">
        <v>18000</v>
      </c>
      <c r="H33" s="1">
        <f t="shared" si="5"/>
        <v>360000</v>
      </c>
    </row>
    <row r="34" spans="1:8" hidden="1" x14ac:dyDescent="0.3">
      <c r="A34" t="s">
        <v>12</v>
      </c>
      <c r="B34" t="s">
        <v>507</v>
      </c>
      <c r="C34">
        <v>0</v>
      </c>
      <c r="D34" s="6">
        <v>45625</v>
      </c>
      <c r="H34"/>
    </row>
    <row r="35" spans="1:8" hidden="1" x14ac:dyDescent="0.3">
      <c r="A35" t="s">
        <v>12</v>
      </c>
      <c r="B35" t="s">
        <v>107</v>
      </c>
      <c r="C35">
        <v>0</v>
      </c>
      <c r="D35" s="6">
        <v>45625</v>
      </c>
      <c r="H35"/>
    </row>
    <row r="36" spans="1:8" x14ac:dyDescent="0.3">
      <c r="A36" t="s">
        <v>14</v>
      </c>
      <c r="B36" t="s">
        <v>507</v>
      </c>
      <c r="C36">
        <v>100</v>
      </c>
      <c r="D36" s="6">
        <v>45625</v>
      </c>
      <c r="E36" t="s">
        <v>1253</v>
      </c>
      <c r="F36" s="1">
        <f>VLOOKUP(E36,'[1]TIỀN MUA PHỤ'!$A:$B,2,0)</f>
        <v>17500</v>
      </c>
      <c r="G36">
        <v>17500</v>
      </c>
      <c r="H36" s="1">
        <f>C36*G36</f>
        <v>1750000</v>
      </c>
    </row>
    <row r="37" spans="1:8" hidden="1" x14ac:dyDescent="0.3">
      <c r="A37" t="s">
        <v>14</v>
      </c>
      <c r="B37" t="s">
        <v>22</v>
      </c>
      <c r="C37">
        <v>0</v>
      </c>
      <c r="D37" s="6">
        <v>45625</v>
      </c>
      <c r="H37"/>
    </row>
    <row r="38" spans="1:8" hidden="1" x14ac:dyDescent="0.3">
      <c r="A38" t="s">
        <v>88</v>
      </c>
      <c r="B38" t="s">
        <v>507</v>
      </c>
      <c r="C38">
        <v>0</v>
      </c>
      <c r="D38" s="6">
        <v>45625</v>
      </c>
      <c r="H38"/>
    </row>
    <row r="39" spans="1:8" x14ac:dyDescent="0.3">
      <c r="A39" t="s">
        <v>40</v>
      </c>
      <c r="B39" t="s">
        <v>507</v>
      </c>
      <c r="C39">
        <v>50</v>
      </c>
      <c r="D39" s="6">
        <v>45625</v>
      </c>
      <c r="E39" t="s">
        <v>1254</v>
      </c>
      <c r="F39" s="1">
        <v>25000</v>
      </c>
      <c r="G39">
        <v>25000</v>
      </c>
      <c r="H39" s="1">
        <f>C39*G39</f>
        <v>1250000</v>
      </c>
    </row>
    <row r="40" spans="1:8" hidden="1" x14ac:dyDescent="0.3">
      <c r="A40" t="s">
        <v>15</v>
      </c>
      <c r="B40" t="s">
        <v>507</v>
      </c>
      <c r="C40">
        <v>0</v>
      </c>
      <c r="D40" s="6">
        <v>45625</v>
      </c>
      <c r="H40"/>
    </row>
    <row r="41" spans="1:8" x14ac:dyDescent="0.3">
      <c r="A41" t="s">
        <v>13</v>
      </c>
      <c r="B41" t="s">
        <v>507</v>
      </c>
      <c r="C41">
        <v>100</v>
      </c>
      <c r="D41" s="6">
        <v>45625</v>
      </c>
      <c r="E41" t="s">
        <v>1255</v>
      </c>
      <c r="F41" s="1">
        <v>23000</v>
      </c>
      <c r="G41">
        <v>23000</v>
      </c>
      <c r="H41" s="1">
        <f>C41*G41</f>
        <v>2300000</v>
      </c>
    </row>
    <row r="42" spans="1:8" hidden="1" x14ac:dyDescent="0.3">
      <c r="A42" t="s">
        <v>13</v>
      </c>
      <c r="B42" t="s">
        <v>22</v>
      </c>
      <c r="C42">
        <v>0</v>
      </c>
      <c r="D42" s="6">
        <v>45625</v>
      </c>
      <c r="H42"/>
    </row>
    <row r="43" spans="1:8" x14ac:dyDescent="0.3">
      <c r="A43" t="s">
        <v>32</v>
      </c>
      <c r="B43" t="s">
        <v>507</v>
      </c>
      <c r="C43">
        <v>40</v>
      </c>
      <c r="D43" s="6">
        <v>45625</v>
      </c>
      <c r="E43" t="s">
        <v>1256</v>
      </c>
      <c r="F43" s="1">
        <f>VLOOKUP(E43,'[1]TIỀN MUA PHỤ'!$A:$B,2,0)</f>
        <v>60000</v>
      </c>
      <c r="G43">
        <v>60000</v>
      </c>
      <c r="H43" s="1">
        <f>C43*G43</f>
        <v>2400000</v>
      </c>
    </row>
    <row r="44" spans="1:8" hidden="1" x14ac:dyDescent="0.3">
      <c r="A44" t="s">
        <v>32</v>
      </c>
      <c r="B44" t="s">
        <v>1048</v>
      </c>
      <c r="C44">
        <v>0</v>
      </c>
      <c r="D44" s="6">
        <v>45625</v>
      </c>
      <c r="H44"/>
    </row>
    <row r="45" spans="1:8" hidden="1" x14ac:dyDescent="0.3">
      <c r="A45" t="s">
        <v>53</v>
      </c>
      <c r="B45" t="s">
        <v>507</v>
      </c>
      <c r="C45">
        <v>0</v>
      </c>
      <c r="D45" s="6">
        <v>45625</v>
      </c>
      <c r="H45"/>
    </row>
    <row r="46" spans="1:8" x14ac:dyDescent="0.3">
      <c r="A46" t="s">
        <v>53</v>
      </c>
      <c r="B46" t="s">
        <v>9</v>
      </c>
      <c r="C46">
        <v>1105</v>
      </c>
      <c r="D46" s="6">
        <v>45625</v>
      </c>
      <c r="E46" t="s">
        <v>1257</v>
      </c>
      <c r="F46" s="1">
        <f>VLOOKUP(E46,'[1]TIỀN MUA PHỤ'!$A:$B,2,0)</f>
        <v>4500</v>
      </c>
      <c r="G46">
        <v>4500</v>
      </c>
      <c r="H46" s="1">
        <f>C46*G46</f>
        <v>4972500</v>
      </c>
    </row>
    <row r="47" spans="1:8" hidden="1" x14ac:dyDescent="0.3">
      <c r="A47" t="s">
        <v>103</v>
      </c>
      <c r="B47" t="s">
        <v>507</v>
      </c>
      <c r="C47">
        <v>0</v>
      </c>
      <c r="D47" s="6">
        <v>45625</v>
      </c>
      <c r="H47"/>
    </row>
    <row r="48" spans="1:8" x14ac:dyDescent="0.3">
      <c r="A48" t="s">
        <v>103</v>
      </c>
      <c r="B48" t="s">
        <v>48</v>
      </c>
      <c r="C48">
        <v>60</v>
      </c>
      <c r="D48" s="6">
        <v>45625</v>
      </c>
      <c r="E48" t="s">
        <v>1258</v>
      </c>
      <c r="F48" s="1">
        <f>VLOOKUP(E48,'[1]TIỀN MUA PHỤ'!$A:$B,2,0)</f>
        <v>9500</v>
      </c>
      <c r="G48">
        <v>9500</v>
      </c>
      <c r="H48" s="1">
        <f>C48*G48</f>
        <v>570000</v>
      </c>
    </row>
    <row r="49" spans="1:8" hidden="1" x14ac:dyDescent="0.3">
      <c r="A49" t="s">
        <v>87</v>
      </c>
      <c r="B49" t="s">
        <v>507</v>
      </c>
      <c r="C49">
        <v>0</v>
      </c>
      <c r="D49" s="6">
        <v>45625</v>
      </c>
      <c r="H49"/>
    </row>
    <row r="50" spans="1:8" x14ac:dyDescent="0.3">
      <c r="A50" t="s">
        <v>87</v>
      </c>
      <c r="B50" t="s">
        <v>107</v>
      </c>
      <c r="C50">
        <v>50</v>
      </c>
      <c r="D50" s="6">
        <v>45625</v>
      </c>
      <c r="E50" t="s">
        <v>1259</v>
      </c>
      <c r="F50" s="1">
        <f>VLOOKUP(E50,'[1]TIỀN MUA PHỤ'!$A:$B,2,0)</f>
        <v>6500</v>
      </c>
      <c r="G50">
        <v>6500</v>
      </c>
      <c r="H50" s="1">
        <f t="shared" ref="H50:H51" si="6">C50*G50</f>
        <v>325000</v>
      </c>
    </row>
    <row r="51" spans="1:8" x14ac:dyDescent="0.3">
      <c r="A51" t="s">
        <v>33</v>
      </c>
      <c r="B51" t="s">
        <v>507</v>
      </c>
      <c r="C51">
        <v>10</v>
      </c>
      <c r="D51" s="6">
        <v>45625</v>
      </c>
      <c r="E51" t="s">
        <v>1260</v>
      </c>
      <c r="F51" s="1">
        <f>VLOOKUP(E51,'[1]TIỀN MUA PHỤ'!$A:$B,2,0)</f>
        <v>35000</v>
      </c>
      <c r="G51">
        <v>35000</v>
      </c>
      <c r="H51" s="1">
        <f t="shared" si="6"/>
        <v>350000</v>
      </c>
    </row>
    <row r="52" spans="1:8" hidden="1" x14ac:dyDescent="0.3">
      <c r="A52" t="s">
        <v>33</v>
      </c>
      <c r="B52" t="s">
        <v>85</v>
      </c>
      <c r="C52">
        <v>0</v>
      </c>
      <c r="D52" s="6">
        <v>45625</v>
      </c>
      <c r="H52"/>
    </row>
    <row r="53" spans="1:8" hidden="1" x14ac:dyDescent="0.3">
      <c r="A53" t="s">
        <v>58</v>
      </c>
      <c r="B53" t="s">
        <v>507</v>
      </c>
      <c r="C53">
        <v>0</v>
      </c>
      <c r="D53" s="6">
        <v>45625</v>
      </c>
      <c r="H53"/>
    </row>
    <row r="54" spans="1:8" x14ac:dyDescent="0.3">
      <c r="A54" t="s">
        <v>58</v>
      </c>
      <c r="B54" t="s">
        <v>59</v>
      </c>
      <c r="C54">
        <v>500</v>
      </c>
      <c r="D54" s="6">
        <v>45625</v>
      </c>
      <c r="E54" t="s">
        <v>1261</v>
      </c>
      <c r="F54" s="1">
        <f>VLOOKUP(E54,'[1]TIỀN MUA PHỤ'!$A:$B,2,0)/4</f>
        <v>7500</v>
      </c>
      <c r="G54">
        <v>7500</v>
      </c>
      <c r="H54" s="1">
        <f>C54*G54</f>
        <v>3750000</v>
      </c>
    </row>
    <row r="55" spans="1:8" hidden="1" x14ac:dyDescent="0.3">
      <c r="A55" t="s">
        <v>61</v>
      </c>
      <c r="B55" t="s">
        <v>507</v>
      </c>
      <c r="C55">
        <v>0</v>
      </c>
      <c r="D55" s="6">
        <v>45625</v>
      </c>
      <c r="H55"/>
    </row>
    <row r="56" spans="1:8" x14ac:dyDescent="0.3">
      <c r="A56" t="s">
        <v>61</v>
      </c>
      <c r="B56" t="s">
        <v>59</v>
      </c>
      <c r="C56">
        <v>250</v>
      </c>
      <c r="D56" s="6">
        <v>45625</v>
      </c>
      <c r="E56" t="s">
        <v>1262</v>
      </c>
      <c r="F56" s="1">
        <f>VLOOKUP(E56,'[1]TIỀN MUA PHỤ'!$A:$B,2,0)/4</f>
        <v>3750</v>
      </c>
      <c r="G56">
        <v>3750</v>
      </c>
      <c r="H56" s="1">
        <f>C56*G56</f>
        <v>937500</v>
      </c>
    </row>
    <row r="57" spans="1:8" hidden="1" x14ac:dyDescent="0.3">
      <c r="A57" t="s">
        <v>62</v>
      </c>
      <c r="B57" t="s">
        <v>507</v>
      </c>
      <c r="C57">
        <v>0</v>
      </c>
      <c r="D57" s="6">
        <v>45625</v>
      </c>
      <c r="H57"/>
    </row>
    <row r="58" spans="1:8" x14ac:dyDescent="0.3">
      <c r="A58" t="s">
        <v>62</v>
      </c>
      <c r="B58" t="s">
        <v>59</v>
      </c>
      <c r="C58">
        <v>50</v>
      </c>
      <c r="D58" s="6">
        <v>45625</v>
      </c>
      <c r="E58" t="s">
        <v>1264</v>
      </c>
      <c r="F58" s="1">
        <f>VLOOKUP(E58,'[1]TIỀN MUA PHỤ'!$A:$B,2,0)/4</f>
        <v>7000</v>
      </c>
      <c r="G58">
        <v>7000</v>
      </c>
      <c r="H58" s="1">
        <f t="shared" ref="H58:H59" si="7">C58*G58</f>
        <v>350000</v>
      </c>
    </row>
    <row r="59" spans="1:8" x14ac:dyDescent="0.3">
      <c r="A59" t="s">
        <v>57</v>
      </c>
      <c r="B59" t="s">
        <v>507</v>
      </c>
      <c r="C59">
        <v>35</v>
      </c>
      <c r="D59" s="6">
        <v>45625</v>
      </c>
      <c r="E59" t="s">
        <v>1265</v>
      </c>
      <c r="F59" s="1">
        <f>VLOOKUP(E59,'[1]TIỀN MUA PHỤ'!$A:$B,2,0)</f>
        <v>44000</v>
      </c>
      <c r="G59">
        <v>44000</v>
      </c>
      <c r="H59" s="1">
        <f t="shared" si="7"/>
        <v>1540000</v>
      </c>
    </row>
    <row r="60" spans="1:8" hidden="1" x14ac:dyDescent="0.3">
      <c r="A60" t="s">
        <v>57</v>
      </c>
      <c r="B60" t="s">
        <v>48</v>
      </c>
      <c r="C60">
        <v>0</v>
      </c>
      <c r="D60" s="6">
        <v>45625</v>
      </c>
      <c r="H60"/>
    </row>
    <row r="61" spans="1:8" hidden="1" x14ac:dyDescent="0.3">
      <c r="A61" t="s">
        <v>47</v>
      </c>
      <c r="B61" t="s">
        <v>507</v>
      </c>
      <c r="C61">
        <v>0</v>
      </c>
      <c r="D61" s="6">
        <v>45625</v>
      </c>
      <c r="H61"/>
    </row>
    <row r="62" spans="1:8" ht="15" customHeight="1" x14ac:dyDescent="0.3">
      <c r="A62" t="s">
        <v>47</v>
      </c>
      <c r="B62" t="s">
        <v>48</v>
      </c>
      <c r="C62">
        <v>69</v>
      </c>
      <c r="D62" s="6">
        <v>45625</v>
      </c>
      <c r="E62" t="s">
        <v>1266</v>
      </c>
      <c r="F62" s="1">
        <f>VLOOKUP(E62,'[1]TIỀN MUA PHỤ'!$A:$B,2,0)*0.3</f>
        <v>15450</v>
      </c>
      <c r="G62">
        <v>15450</v>
      </c>
      <c r="H62" s="1">
        <f>C62*G62</f>
        <v>1066050</v>
      </c>
    </row>
    <row r="63" spans="1:8" hidden="1" x14ac:dyDescent="0.3">
      <c r="A63" t="s">
        <v>43</v>
      </c>
      <c r="B63" t="s">
        <v>507</v>
      </c>
      <c r="C63">
        <v>0</v>
      </c>
      <c r="D63" s="6">
        <v>45625</v>
      </c>
      <c r="H63"/>
    </row>
    <row r="64" spans="1:8" x14ac:dyDescent="0.3">
      <c r="A64" t="s">
        <v>43</v>
      </c>
      <c r="B64" t="s">
        <v>44</v>
      </c>
      <c r="C64">
        <v>200</v>
      </c>
      <c r="D64" s="6">
        <v>45625</v>
      </c>
      <c r="E64" t="s">
        <v>1267</v>
      </c>
      <c r="F64" s="1">
        <f>VLOOKUP(E64,'[1]TIỀN MUA PHỤ'!$A:$B,2,0)*0.3</f>
        <v>3000</v>
      </c>
      <c r="G64">
        <v>3000</v>
      </c>
      <c r="H64" s="1">
        <f t="shared" ref="H64:H65" si="8">C64*G64</f>
        <v>600000</v>
      </c>
    </row>
    <row r="65" spans="1:8" x14ac:dyDescent="0.3">
      <c r="A65" t="s">
        <v>6</v>
      </c>
      <c r="B65" t="s">
        <v>507</v>
      </c>
      <c r="C65">
        <v>20</v>
      </c>
      <c r="D65" s="6">
        <v>45625</v>
      </c>
      <c r="E65" t="s">
        <v>1268</v>
      </c>
      <c r="F65" s="1">
        <f>VLOOKUP(E65,'[1]TIỀN MUA PHỤ'!$A:$B,2,0)</f>
        <v>15000</v>
      </c>
      <c r="G65">
        <v>15000</v>
      </c>
      <c r="H65" s="1">
        <f t="shared" si="8"/>
        <v>300000</v>
      </c>
    </row>
    <row r="66" spans="1:8" hidden="1" x14ac:dyDescent="0.3">
      <c r="A66" t="s">
        <v>6</v>
      </c>
      <c r="B66" t="s">
        <v>22</v>
      </c>
      <c r="C66">
        <v>0</v>
      </c>
      <c r="D66" s="6">
        <v>45625</v>
      </c>
      <c r="H66"/>
    </row>
    <row r="67" spans="1:8" hidden="1" x14ac:dyDescent="0.3">
      <c r="A67" t="s">
        <v>70</v>
      </c>
      <c r="B67" t="s">
        <v>507</v>
      </c>
      <c r="C67">
        <v>0</v>
      </c>
      <c r="D67" s="6">
        <v>45625</v>
      </c>
      <c r="H67"/>
    </row>
    <row r="68" spans="1:8" x14ac:dyDescent="0.3">
      <c r="A68" t="s">
        <v>70</v>
      </c>
      <c r="B68" t="s">
        <v>106</v>
      </c>
      <c r="C68">
        <v>100</v>
      </c>
      <c r="D68" s="6">
        <v>45625</v>
      </c>
      <c r="E68" t="s">
        <v>1269</v>
      </c>
      <c r="F68" s="1">
        <f>VLOOKUP(E68,'[1]TIỀN MUA PHỤ'!$A:$B,2,0)</f>
        <v>8700</v>
      </c>
      <c r="G68">
        <v>8700</v>
      </c>
      <c r="H68" s="1">
        <f>C68*G68</f>
        <v>870000</v>
      </c>
    </row>
    <row r="69" spans="1:8" hidden="1" x14ac:dyDescent="0.3">
      <c r="A69" t="s">
        <v>1043</v>
      </c>
      <c r="B69" t="s">
        <v>48</v>
      </c>
      <c r="C69">
        <v>0</v>
      </c>
      <c r="D69" s="6">
        <v>45625</v>
      </c>
      <c r="H69"/>
    </row>
    <row r="70" spans="1:8" x14ac:dyDescent="0.3">
      <c r="A70" t="s">
        <v>38</v>
      </c>
      <c r="B70" t="s">
        <v>27</v>
      </c>
      <c r="C70">
        <v>20</v>
      </c>
      <c r="D70" s="6">
        <v>45625</v>
      </c>
      <c r="E70" t="s">
        <v>1270</v>
      </c>
      <c r="F70" s="1">
        <f>VLOOKUP(E70,'[1]TIỀN MUA PHỤ'!$A:$B,2,0)</f>
        <v>6800</v>
      </c>
      <c r="G70">
        <v>6800</v>
      </c>
      <c r="H70" s="1">
        <f t="shared" ref="H70:H71" si="9">C70*G70</f>
        <v>136000</v>
      </c>
    </row>
    <row r="71" spans="1:8" x14ac:dyDescent="0.3">
      <c r="A71" t="s">
        <v>36</v>
      </c>
      <c r="B71" t="s">
        <v>27</v>
      </c>
      <c r="C71">
        <v>100</v>
      </c>
      <c r="D71" s="6">
        <v>45625</v>
      </c>
      <c r="E71" t="s">
        <v>1271</v>
      </c>
      <c r="F71" s="1">
        <f>VLOOKUP(E71,'[1]TIỀN MUA PHỤ'!$A:$B,2,0)</f>
        <v>6800</v>
      </c>
      <c r="G71">
        <v>6800</v>
      </c>
      <c r="H71" s="1">
        <f t="shared" si="9"/>
        <v>680000</v>
      </c>
    </row>
    <row r="72" spans="1:8" hidden="1" x14ac:dyDescent="0.3">
      <c r="A72" t="s">
        <v>89</v>
      </c>
      <c r="B72" t="s">
        <v>507</v>
      </c>
      <c r="C72">
        <v>0</v>
      </c>
      <c r="D72" s="6">
        <v>45625</v>
      </c>
      <c r="H72"/>
    </row>
    <row r="73" spans="1:8" x14ac:dyDescent="0.3">
      <c r="A73" t="s">
        <v>89</v>
      </c>
      <c r="B73" t="s">
        <v>105</v>
      </c>
      <c r="C73">
        <v>300</v>
      </c>
      <c r="D73" s="6">
        <v>45625</v>
      </c>
      <c r="E73" t="s">
        <v>1272</v>
      </c>
      <c r="F73" s="1">
        <f>VLOOKUP(E73,'[1]TIỀN MUA PHỤ'!$A:$B,2,0)/2</f>
        <v>8500</v>
      </c>
      <c r="G73">
        <v>8500</v>
      </c>
      <c r="H73" s="1">
        <f>C73*G73</f>
        <v>2550000</v>
      </c>
    </row>
    <row r="74" spans="1:8" hidden="1" x14ac:dyDescent="0.3">
      <c r="A74" t="s">
        <v>8</v>
      </c>
      <c r="B74" t="s">
        <v>507</v>
      </c>
      <c r="C74">
        <v>0</v>
      </c>
      <c r="D74" s="6">
        <v>45625</v>
      </c>
      <c r="H74"/>
    </row>
    <row r="75" spans="1:8" x14ac:dyDescent="0.3">
      <c r="A75" t="s">
        <v>8</v>
      </c>
      <c r="B75" t="s">
        <v>9</v>
      </c>
      <c r="C75">
        <v>100</v>
      </c>
      <c r="D75" s="6">
        <v>45625</v>
      </c>
      <c r="E75" t="s">
        <v>1273</v>
      </c>
      <c r="F75" s="1">
        <f>VLOOKUP(E75,'[1]TIỀN MUA PHỤ'!$A:$B,2,0)/5</f>
        <v>7000</v>
      </c>
      <c r="G75">
        <v>7000</v>
      </c>
      <c r="H75" s="1">
        <f>C75*G75</f>
        <v>700000</v>
      </c>
    </row>
    <row r="76" spans="1:8" hidden="1" x14ac:dyDescent="0.3">
      <c r="A76" t="s">
        <v>37</v>
      </c>
      <c r="B76" t="s">
        <v>507</v>
      </c>
      <c r="C76">
        <v>0</v>
      </c>
      <c r="D76" s="6">
        <v>45625</v>
      </c>
      <c r="H76"/>
    </row>
    <row r="77" spans="1:8" x14ac:dyDescent="0.3">
      <c r="A77" t="s">
        <v>78</v>
      </c>
      <c r="B77" t="s">
        <v>507</v>
      </c>
      <c r="C77">
        <v>20</v>
      </c>
      <c r="D77" s="6">
        <v>45625</v>
      </c>
      <c r="E77" t="s">
        <v>1274</v>
      </c>
      <c r="F77" s="1">
        <f>VLOOKUP(E77,'[1]TIỀN MUA PHỤ'!$A:$B,2,0)</f>
        <v>30000</v>
      </c>
      <c r="G77">
        <v>30000</v>
      </c>
      <c r="H77" s="1">
        <f t="shared" ref="H77:H78" si="10">C77*G77</f>
        <v>600000</v>
      </c>
    </row>
    <row r="78" spans="1:8" x14ac:dyDescent="0.3">
      <c r="A78" t="s">
        <v>79</v>
      </c>
      <c r="B78" t="s">
        <v>507</v>
      </c>
      <c r="C78">
        <v>20</v>
      </c>
      <c r="D78" s="6">
        <v>45625</v>
      </c>
      <c r="E78" t="s">
        <v>1275</v>
      </c>
      <c r="F78" s="1">
        <f>VLOOKUP(E78,'[1]TIỀN MUA PHỤ'!$A:$B,2,0)</f>
        <v>10000</v>
      </c>
      <c r="G78">
        <v>10000</v>
      </c>
      <c r="H78" s="1">
        <f t="shared" si="10"/>
        <v>200000</v>
      </c>
    </row>
    <row r="79" spans="1:8" hidden="1" x14ac:dyDescent="0.3">
      <c r="A79" t="s">
        <v>126</v>
      </c>
      <c r="B79" t="s">
        <v>507</v>
      </c>
      <c r="C79">
        <v>0</v>
      </c>
      <c r="D79" s="6">
        <v>45625</v>
      </c>
      <c r="H79"/>
    </row>
    <row r="80" spans="1:8" x14ac:dyDescent="0.3">
      <c r="A80" t="s">
        <v>67</v>
      </c>
      <c r="B80" t="s">
        <v>507</v>
      </c>
      <c r="C80">
        <v>60</v>
      </c>
      <c r="D80" s="6">
        <v>45625</v>
      </c>
      <c r="E80" t="s">
        <v>1276</v>
      </c>
      <c r="F80" s="1">
        <f>VLOOKUP(E80,'[1]TIỀN MUA PHỤ'!$A:$B,2,0)</f>
        <v>41000</v>
      </c>
      <c r="G80">
        <v>41000</v>
      </c>
      <c r="H80" s="1">
        <f t="shared" ref="H80:H81" si="11">C80*G80</f>
        <v>2460000</v>
      </c>
    </row>
    <row r="81" spans="1:8" x14ac:dyDescent="0.3">
      <c r="A81" t="s">
        <v>17</v>
      </c>
      <c r="B81" t="s">
        <v>507</v>
      </c>
      <c r="C81">
        <v>20</v>
      </c>
      <c r="D81" s="6">
        <v>45625</v>
      </c>
      <c r="E81" t="s">
        <v>1277</v>
      </c>
      <c r="F81" s="1">
        <f>VLOOKUP(E81,'[1]TIỀN MUA PHỤ'!$A:$B,2,0)</f>
        <v>35000</v>
      </c>
      <c r="G81">
        <v>35000</v>
      </c>
      <c r="H81" s="1">
        <f t="shared" si="11"/>
        <v>700000</v>
      </c>
    </row>
    <row r="82" spans="1:8" hidden="1" x14ac:dyDescent="0.3">
      <c r="A82" t="s">
        <v>51</v>
      </c>
      <c r="B82" t="s">
        <v>507</v>
      </c>
      <c r="C82">
        <v>0</v>
      </c>
      <c r="D82" s="6">
        <v>45625</v>
      </c>
      <c r="H82"/>
    </row>
    <row r="83" spans="1:8" x14ac:dyDescent="0.3">
      <c r="A83" t="s">
        <v>51</v>
      </c>
      <c r="B83" t="s">
        <v>9</v>
      </c>
      <c r="C83">
        <v>15</v>
      </c>
      <c r="D83" s="6">
        <v>45625</v>
      </c>
      <c r="E83" t="s">
        <v>1278</v>
      </c>
      <c r="F83" s="1">
        <f>VLOOKUP(E83,'[1]TIỀN MUA PHỤ'!$A:$B,2,0)/4</f>
        <v>6500</v>
      </c>
      <c r="G83">
        <v>6500</v>
      </c>
      <c r="H83" s="1">
        <f t="shared" ref="H83:H84" si="12">C83*G83</f>
        <v>97500</v>
      </c>
    </row>
    <row r="84" spans="1:8" x14ac:dyDescent="0.3">
      <c r="A84" t="s">
        <v>16</v>
      </c>
      <c r="B84" t="s">
        <v>507</v>
      </c>
      <c r="C84">
        <v>20</v>
      </c>
      <c r="D84" s="6">
        <v>45625</v>
      </c>
      <c r="E84" t="s">
        <v>1279</v>
      </c>
      <c r="F84" s="1">
        <f>VLOOKUP(E84,'[1]TIỀN MUA PHỤ'!$A:$B,2,0)</f>
        <v>13000</v>
      </c>
      <c r="G84">
        <v>13000</v>
      </c>
      <c r="H84" s="1">
        <f t="shared" si="12"/>
        <v>260000</v>
      </c>
    </row>
    <row r="85" spans="1:8" hidden="1" x14ac:dyDescent="0.3">
      <c r="A85" t="s">
        <v>104</v>
      </c>
      <c r="B85" t="s">
        <v>507</v>
      </c>
      <c r="C85">
        <v>0</v>
      </c>
      <c r="D85" s="6">
        <v>45625</v>
      </c>
      <c r="H85"/>
    </row>
    <row r="86" spans="1:8" x14ac:dyDescent="0.3">
      <c r="A86" t="s">
        <v>104</v>
      </c>
      <c r="B86" t="s">
        <v>22</v>
      </c>
      <c r="C86">
        <v>20</v>
      </c>
      <c r="D86" s="6">
        <v>45625</v>
      </c>
      <c r="E86" t="s">
        <v>1280</v>
      </c>
      <c r="F86" s="1">
        <f>VLOOKUP(E86,'[1]TIỀN MUA PHỤ'!$A:$B,2,0)</f>
        <v>6000</v>
      </c>
      <c r="G86">
        <v>6000</v>
      </c>
      <c r="H86" s="1">
        <f t="shared" ref="H86:H89" si="13">C86*G86</f>
        <v>120000</v>
      </c>
    </row>
    <row r="87" spans="1:8" x14ac:dyDescent="0.3">
      <c r="A87" t="s">
        <v>72</v>
      </c>
      <c r="B87" t="s">
        <v>48</v>
      </c>
      <c r="C87">
        <v>15</v>
      </c>
      <c r="D87" s="6">
        <v>45625</v>
      </c>
      <c r="E87" t="s">
        <v>1281</v>
      </c>
      <c r="F87" s="1">
        <v>100000</v>
      </c>
      <c r="G87">
        <v>100000</v>
      </c>
      <c r="H87" s="1">
        <f t="shared" si="13"/>
        <v>1500000</v>
      </c>
    </row>
    <row r="88" spans="1:8" x14ac:dyDescent="0.3">
      <c r="A88" t="s">
        <v>101</v>
      </c>
      <c r="B88" t="s">
        <v>22</v>
      </c>
      <c r="C88">
        <v>10</v>
      </c>
      <c r="D88" s="6">
        <v>45625</v>
      </c>
      <c r="E88" t="s">
        <v>1282</v>
      </c>
      <c r="F88" s="1">
        <f>VLOOKUP(E88,'[1]TIỀN MUA PHỤ'!$A:$B,2,0)</f>
        <v>100000</v>
      </c>
      <c r="G88">
        <v>100000</v>
      </c>
      <c r="H88" s="1">
        <f t="shared" si="13"/>
        <v>1000000</v>
      </c>
    </row>
    <row r="89" spans="1:8" x14ac:dyDescent="0.3">
      <c r="A89" t="s">
        <v>60</v>
      </c>
      <c r="B89" t="s">
        <v>507</v>
      </c>
      <c r="C89">
        <v>15</v>
      </c>
      <c r="D89" s="6">
        <v>45625</v>
      </c>
      <c r="E89" t="s">
        <v>1283</v>
      </c>
      <c r="F89" s="1">
        <f>VLOOKUP(E89,'[1]TIỀN MUA PHỤ'!$A:$B,2,0)</f>
        <v>49000</v>
      </c>
      <c r="G89">
        <v>49000</v>
      </c>
      <c r="H89" s="1">
        <f t="shared" si="13"/>
        <v>735000</v>
      </c>
    </row>
    <row r="90" spans="1:8" hidden="1" x14ac:dyDescent="0.3">
      <c r="A90" t="s">
        <v>60</v>
      </c>
      <c r="B90" t="s">
        <v>48</v>
      </c>
      <c r="C90">
        <v>0</v>
      </c>
      <c r="D90" s="6">
        <v>45625</v>
      </c>
      <c r="H90"/>
    </row>
    <row r="91" spans="1:8" x14ac:dyDescent="0.3">
      <c r="A91" t="s">
        <v>35</v>
      </c>
      <c r="B91" t="s">
        <v>507</v>
      </c>
      <c r="C91">
        <v>30</v>
      </c>
      <c r="D91" s="6">
        <v>45625</v>
      </c>
      <c r="E91" t="s">
        <v>1284</v>
      </c>
      <c r="F91" s="1">
        <f>VLOOKUP(E91,'[1]TIỀN MUA PHỤ'!$A:$B,2,0)</f>
        <v>28000</v>
      </c>
      <c r="G91">
        <v>28000</v>
      </c>
      <c r="H91" s="1">
        <f t="shared" ref="H91:H93" si="14">C91*G91</f>
        <v>840000</v>
      </c>
    </row>
    <row r="92" spans="1:8" x14ac:dyDescent="0.3">
      <c r="A92" t="s">
        <v>39</v>
      </c>
      <c r="B92" t="s">
        <v>507</v>
      </c>
      <c r="C92">
        <v>20</v>
      </c>
      <c r="D92" s="6">
        <v>45625</v>
      </c>
      <c r="E92" t="s">
        <v>1285</v>
      </c>
      <c r="F92" s="1">
        <f>VLOOKUP(E92,'[1]TIỀN MUA PHỤ'!$A:$B,2,0)</f>
        <v>33000</v>
      </c>
      <c r="G92">
        <v>33000</v>
      </c>
      <c r="H92" s="1">
        <f t="shared" si="14"/>
        <v>660000</v>
      </c>
    </row>
    <row r="93" spans="1:8" x14ac:dyDescent="0.3">
      <c r="A93" t="s">
        <v>82</v>
      </c>
      <c r="B93" t="s">
        <v>507</v>
      </c>
      <c r="C93">
        <v>1</v>
      </c>
      <c r="D93" s="6">
        <v>45625</v>
      </c>
      <c r="E93" t="s">
        <v>1286</v>
      </c>
      <c r="F93" s="1">
        <f>VLOOKUP(E93,'[1]TIỀN MUA PHỤ'!$A:$B,2,0)</f>
        <v>120000</v>
      </c>
      <c r="G93">
        <v>120000</v>
      </c>
      <c r="H93" s="1">
        <f t="shared" si="14"/>
        <v>120000</v>
      </c>
    </row>
    <row r="94" spans="1:8" hidden="1" x14ac:dyDescent="0.3">
      <c r="A94" t="s">
        <v>82</v>
      </c>
      <c r="B94" t="s">
        <v>22</v>
      </c>
      <c r="C94">
        <v>0</v>
      </c>
      <c r="D94" s="6">
        <v>45625</v>
      </c>
      <c r="H94"/>
    </row>
    <row r="95" spans="1:8" hidden="1" x14ac:dyDescent="0.3">
      <c r="A95" t="s">
        <v>83</v>
      </c>
      <c r="B95" t="s">
        <v>507</v>
      </c>
      <c r="C95">
        <v>0</v>
      </c>
      <c r="D95" s="6">
        <v>45625</v>
      </c>
      <c r="H95"/>
    </row>
    <row r="96" spans="1:8" hidden="1" x14ac:dyDescent="0.3">
      <c r="A96" t="s">
        <v>83</v>
      </c>
      <c r="B96" t="s">
        <v>22</v>
      </c>
      <c r="C96">
        <v>0</v>
      </c>
      <c r="D96" s="6">
        <v>45625</v>
      </c>
      <c r="H96"/>
    </row>
    <row r="97" spans="1:8" x14ac:dyDescent="0.3">
      <c r="A97" t="s">
        <v>84</v>
      </c>
      <c r="B97" t="s">
        <v>27</v>
      </c>
      <c r="C97">
        <v>10</v>
      </c>
      <c r="D97" s="6">
        <v>45625</v>
      </c>
      <c r="E97" t="s">
        <v>1287</v>
      </c>
      <c r="F97" s="1">
        <f>VLOOKUP(E97,'[1]TIỀN MUA PHỤ'!$A:$B,2,0)</f>
        <v>6800</v>
      </c>
      <c r="G97">
        <v>6800</v>
      </c>
      <c r="H97" s="1">
        <f>C97*G97</f>
        <v>68000</v>
      </c>
    </row>
    <row r="98" spans="1:8" hidden="1" x14ac:dyDescent="0.3">
      <c r="A98" t="s">
        <v>19</v>
      </c>
      <c r="B98" t="s">
        <v>507</v>
      </c>
      <c r="C98">
        <v>0</v>
      </c>
      <c r="D98" s="6">
        <v>45625</v>
      </c>
      <c r="H98"/>
    </row>
    <row r="99" spans="1:8" hidden="1" x14ac:dyDescent="0.3">
      <c r="A99" t="s">
        <v>25</v>
      </c>
      <c r="B99" t="s">
        <v>507</v>
      </c>
      <c r="C99">
        <v>0</v>
      </c>
      <c r="D99" s="6">
        <v>45625</v>
      </c>
      <c r="H99"/>
    </row>
    <row r="100" spans="1:8" hidden="1" x14ac:dyDescent="0.3">
      <c r="A100" t="s">
        <v>10</v>
      </c>
      <c r="B100" t="s">
        <v>507</v>
      </c>
      <c r="C100">
        <v>0</v>
      </c>
      <c r="D100" s="6">
        <v>45625</v>
      </c>
      <c r="H100"/>
    </row>
    <row r="101" spans="1:8" hidden="1" x14ac:dyDescent="0.3">
      <c r="A101" t="s">
        <v>91</v>
      </c>
      <c r="B101" t="s">
        <v>507</v>
      </c>
      <c r="C101">
        <v>0</v>
      </c>
      <c r="D101" s="6">
        <v>45625</v>
      </c>
      <c r="H101"/>
    </row>
    <row r="102" spans="1:8" hidden="1" x14ac:dyDescent="0.3">
      <c r="A102" t="s">
        <v>91</v>
      </c>
      <c r="B102" t="s">
        <v>22</v>
      </c>
      <c r="C102">
        <v>0</v>
      </c>
      <c r="D102" s="6">
        <v>45625</v>
      </c>
      <c r="H102"/>
    </row>
    <row r="103" spans="1:8" hidden="1" x14ac:dyDescent="0.3">
      <c r="A103" t="s">
        <v>55</v>
      </c>
      <c r="B103" t="s">
        <v>507</v>
      </c>
      <c r="C103">
        <v>0</v>
      </c>
      <c r="D103" s="6">
        <v>45625</v>
      </c>
      <c r="H103"/>
    </row>
    <row r="104" spans="1:8" hidden="1" x14ac:dyDescent="0.3">
      <c r="A104" t="s">
        <v>55</v>
      </c>
      <c r="B104" t="s">
        <v>22</v>
      </c>
      <c r="C104">
        <v>0</v>
      </c>
      <c r="D104" s="6">
        <v>45625</v>
      </c>
      <c r="H104"/>
    </row>
    <row r="105" spans="1:8" hidden="1" x14ac:dyDescent="0.3">
      <c r="A105" t="s">
        <v>100</v>
      </c>
      <c r="B105" t="s">
        <v>507</v>
      </c>
      <c r="C105">
        <v>0</v>
      </c>
      <c r="D105" s="6">
        <v>45625</v>
      </c>
      <c r="H105"/>
    </row>
    <row r="106" spans="1:8" hidden="1" x14ac:dyDescent="0.3">
      <c r="A106" t="s">
        <v>100</v>
      </c>
      <c r="B106" t="s">
        <v>22</v>
      </c>
      <c r="C106">
        <v>0</v>
      </c>
      <c r="D106" s="6">
        <v>45625</v>
      </c>
      <c r="H106"/>
    </row>
    <row r="107" spans="1:8" hidden="1" x14ac:dyDescent="0.3">
      <c r="A107" t="s">
        <v>30</v>
      </c>
      <c r="B107" t="s">
        <v>507</v>
      </c>
      <c r="C107">
        <v>0</v>
      </c>
      <c r="D107" s="6">
        <v>45625</v>
      </c>
      <c r="H107"/>
    </row>
    <row r="108" spans="1:8" hidden="1" x14ac:dyDescent="0.3">
      <c r="A108" t="s">
        <v>31</v>
      </c>
      <c r="B108" t="s">
        <v>507</v>
      </c>
      <c r="C108">
        <v>0</v>
      </c>
      <c r="D108" s="6">
        <v>45625</v>
      </c>
      <c r="H108"/>
    </row>
    <row r="109" spans="1:8" hidden="1" x14ac:dyDescent="0.3">
      <c r="A109" t="s">
        <v>31</v>
      </c>
      <c r="B109" t="s">
        <v>22</v>
      </c>
      <c r="C109">
        <v>0</v>
      </c>
      <c r="D109" s="6">
        <v>45625</v>
      </c>
      <c r="H109"/>
    </row>
    <row r="110" spans="1:8" hidden="1" x14ac:dyDescent="0.3">
      <c r="A110" t="s">
        <v>109</v>
      </c>
      <c r="B110" t="s">
        <v>507</v>
      </c>
      <c r="C110">
        <v>0</v>
      </c>
      <c r="D110" s="6">
        <v>45625</v>
      </c>
      <c r="H110"/>
    </row>
    <row r="111" spans="1:8" hidden="1" x14ac:dyDescent="0.3">
      <c r="A111" t="s">
        <v>109</v>
      </c>
      <c r="B111" t="s">
        <v>9</v>
      </c>
      <c r="C111">
        <v>0</v>
      </c>
      <c r="D111" s="6">
        <v>45625</v>
      </c>
      <c r="H111"/>
    </row>
    <row r="112" spans="1:8" hidden="1" x14ac:dyDescent="0.3">
      <c r="A112" t="s">
        <v>102</v>
      </c>
      <c r="B112" t="s">
        <v>507</v>
      </c>
      <c r="C112">
        <v>0</v>
      </c>
      <c r="D112" s="6">
        <v>45625</v>
      </c>
      <c r="H112"/>
    </row>
    <row r="113" spans="1:4" customFormat="1" hidden="1" x14ac:dyDescent="0.3">
      <c r="A113" t="s">
        <v>93</v>
      </c>
      <c r="B113" t="s">
        <v>507</v>
      </c>
      <c r="C113">
        <v>0</v>
      </c>
      <c r="D113" s="6">
        <v>45625</v>
      </c>
    </row>
    <row r="114" spans="1:4" customFormat="1" hidden="1" x14ac:dyDescent="0.3">
      <c r="A114" t="s">
        <v>93</v>
      </c>
      <c r="B114" t="s">
        <v>22</v>
      </c>
      <c r="C114">
        <v>0</v>
      </c>
      <c r="D114" s="6">
        <v>45625</v>
      </c>
    </row>
    <row r="115" spans="1:4" customFormat="1" hidden="1" x14ac:dyDescent="0.3">
      <c r="A115" t="s">
        <v>95</v>
      </c>
      <c r="B115" t="s">
        <v>507</v>
      </c>
      <c r="C115">
        <v>0</v>
      </c>
      <c r="D115" s="6">
        <v>45625</v>
      </c>
    </row>
    <row r="116" spans="1:4" customFormat="1" hidden="1" x14ac:dyDescent="0.3">
      <c r="A116" t="s">
        <v>95</v>
      </c>
      <c r="B116" t="s">
        <v>9</v>
      </c>
      <c r="C116">
        <v>0</v>
      </c>
      <c r="D116" s="6">
        <v>45625</v>
      </c>
    </row>
    <row r="117" spans="1:4" customFormat="1" hidden="1" x14ac:dyDescent="0.3">
      <c r="A117" t="s">
        <v>1061</v>
      </c>
      <c r="B117" t="s">
        <v>507</v>
      </c>
      <c r="C117">
        <v>0</v>
      </c>
      <c r="D117" s="6">
        <v>45625</v>
      </c>
    </row>
    <row r="118" spans="1:4" customFormat="1" hidden="1" x14ac:dyDescent="0.3">
      <c r="A118" t="s">
        <v>64</v>
      </c>
      <c r="B118" t="s">
        <v>507</v>
      </c>
      <c r="C118">
        <v>0</v>
      </c>
      <c r="D118" s="6">
        <v>45625</v>
      </c>
    </row>
    <row r="119" spans="1:4" customFormat="1" hidden="1" x14ac:dyDescent="0.3">
      <c r="A119" t="s">
        <v>64</v>
      </c>
      <c r="B119" t="s">
        <v>59</v>
      </c>
      <c r="C119">
        <v>0</v>
      </c>
      <c r="D119" s="6">
        <v>45625</v>
      </c>
    </row>
    <row r="120" spans="1:4" customFormat="1" hidden="1" x14ac:dyDescent="0.3">
      <c r="A120" t="s">
        <v>128</v>
      </c>
      <c r="B120" t="s">
        <v>507</v>
      </c>
      <c r="C120">
        <v>0</v>
      </c>
      <c r="D120" s="6">
        <v>45625</v>
      </c>
    </row>
    <row r="121" spans="1:4" customFormat="1" hidden="1" x14ac:dyDescent="0.3">
      <c r="A121" t="s">
        <v>98</v>
      </c>
      <c r="B121" t="s">
        <v>507</v>
      </c>
      <c r="C121">
        <v>0</v>
      </c>
      <c r="D121" s="6">
        <v>45625</v>
      </c>
    </row>
    <row r="122" spans="1:4" customFormat="1" hidden="1" x14ac:dyDescent="0.3">
      <c r="A122" t="s">
        <v>74</v>
      </c>
      <c r="B122" t="s">
        <v>507</v>
      </c>
      <c r="C122">
        <v>0</v>
      </c>
      <c r="D122" s="6">
        <v>45625</v>
      </c>
    </row>
    <row r="123" spans="1:4" customFormat="1" hidden="1" x14ac:dyDescent="0.3">
      <c r="A123" t="s">
        <v>1050</v>
      </c>
      <c r="B123" t="s">
        <v>22</v>
      </c>
      <c r="C123">
        <v>0</v>
      </c>
      <c r="D123" s="6">
        <v>45625</v>
      </c>
    </row>
    <row r="124" spans="1:4" customFormat="1" hidden="1" x14ac:dyDescent="0.3">
      <c r="A124" t="s">
        <v>1046</v>
      </c>
      <c r="B124" t="s">
        <v>22</v>
      </c>
      <c r="C124">
        <v>0</v>
      </c>
      <c r="D124" s="6">
        <v>45625</v>
      </c>
    </row>
    <row r="125" spans="1:4" customFormat="1" hidden="1" x14ac:dyDescent="0.3">
      <c r="A125" t="s">
        <v>66</v>
      </c>
      <c r="B125" t="s">
        <v>48</v>
      </c>
      <c r="C125">
        <v>0</v>
      </c>
      <c r="D125" s="6">
        <v>45625</v>
      </c>
    </row>
    <row r="126" spans="1:4" customFormat="1" hidden="1" x14ac:dyDescent="0.3">
      <c r="A126" t="s">
        <v>1052</v>
      </c>
      <c r="B126" t="s">
        <v>9</v>
      </c>
      <c r="C126">
        <v>0</v>
      </c>
      <c r="D126" s="6">
        <v>45625</v>
      </c>
    </row>
    <row r="127" spans="1:4" customFormat="1" hidden="1" x14ac:dyDescent="0.3">
      <c r="A127" t="s">
        <v>73</v>
      </c>
      <c r="B127" t="s">
        <v>85</v>
      </c>
      <c r="C127">
        <v>0</v>
      </c>
      <c r="D127" s="6">
        <v>45625</v>
      </c>
    </row>
    <row r="128" spans="1:4" customFormat="1" hidden="1" x14ac:dyDescent="0.3">
      <c r="A128" t="s">
        <v>1049</v>
      </c>
      <c r="B128" t="s">
        <v>507</v>
      </c>
      <c r="C128">
        <v>0</v>
      </c>
      <c r="D128" s="6">
        <v>45625</v>
      </c>
    </row>
  </sheetData>
  <autoFilter ref="A1:D128" xr:uid="{C1B0CC45-BE3D-43DA-A3D3-DBA41BE7821A}">
    <filterColumn colId="2">
      <filters>
        <filter val="1"/>
        <filter val="10"/>
        <filter val="100"/>
        <filter val="1105"/>
        <filter val="140"/>
        <filter val="15"/>
        <filter val="20"/>
        <filter val="200"/>
        <filter val="250"/>
        <filter val="30"/>
        <filter val="300"/>
        <filter val="35"/>
        <filter val="40"/>
        <filter val="400"/>
        <filter val="443"/>
        <filter val="5"/>
        <filter val="50"/>
        <filter val="500"/>
        <filter val="55"/>
        <filter val="60"/>
        <filter val="69"/>
        <filter val="80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8D84-EA1E-4F3F-9F70-5803F9573CCA}">
  <sheetPr filterMode="1"/>
  <dimension ref="A1:H126"/>
  <sheetViews>
    <sheetView workbookViewId="0">
      <selection activeCell="H1" sqref="H1"/>
    </sheetView>
  </sheetViews>
  <sheetFormatPr defaultRowHeight="14.4" x14ac:dyDescent="0.3"/>
  <cols>
    <col min="1" max="1" width="23.77734375" customWidth="1"/>
    <col min="4" max="4" width="10.5546875" bestFit="1" customWidth="1"/>
    <col min="5" max="5" width="30" customWidth="1"/>
    <col min="6" max="6" width="11.33203125" style="1" bestFit="1" customWidth="1"/>
    <col min="8" max="8" width="13.88671875" style="1" bestFit="1" customWidth="1"/>
  </cols>
  <sheetData>
    <row r="1" spans="1:8" x14ac:dyDescent="0.3">
      <c r="A1" t="s">
        <v>1059</v>
      </c>
      <c r="B1" t="s">
        <v>5</v>
      </c>
      <c r="C1" s="9" t="s">
        <v>118</v>
      </c>
      <c r="D1" t="s">
        <v>130</v>
      </c>
      <c r="H1" s="1">
        <f>SUM(H2:H102)</f>
        <v>74548500</v>
      </c>
    </row>
    <row r="2" spans="1:8" x14ac:dyDescent="0.3">
      <c r="A2" t="s">
        <v>56</v>
      </c>
      <c r="B2" t="s">
        <v>507</v>
      </c>
      <c r="C2">
        <v>20</v>
      </c>
      <c r="D2" s="6">
        <v>45624</v>
      </c>
      <c r="E2" t="s">
        <v>1158</v>
      </c>
      <c r="F2" s="1">
        <f>VLOOKUP(E2,'[1]TIỀN MUA PHỤ'!$A:$B,2,0)</f>
        <v>4000</v>
      </c>
      <c r="G2">
        <v>4000</v>
      </c>
      <c r="H2" s="1">
        <f>C2*G2</f>
        <v>80000</v>
      </c>
    </row>
    <row r="3" spans="1:8" hidden="1" x14ac:dyDescent="0.3">
      <c r="A3" t="s">
        <v>58</v>
      </c>
      <c r="B3" t="s">
        <v>507</v>
      </c>
      <c r="C3">
        <v>0</v>
      </c>
      <c r="D3" s="6">
        <v>45624</v>
      </c>
      <c r="E3" t="s">
        <v>1159</v>
      </c>
      <c r="F3" s="1">
        <f>VLOOKUP(E3,'[1]TIỀN MUA PHỤ'!$A:$B,2,0)</f>
        <v>32000</v>
      </c>
      <c r="G3">
        <v>32000</v>
      </c>
      <c r="H3"/>
    </row>
    <row r="4" spans="1:8" x14ac:dyDescent="0.3">
      <c r="A4" t="s">
        <v>58</v>
      </c>
      <c r="B4" t="s">
        <v>59</v>
      </c>
      <c r="C4">
        <v>800</v>
      </c>
      <c r="D4" s="6">
        <v>45624</v>
      </c>
      <c r="E4" t="s">
        <v>1159</v>
      </c>
      <c r="F4" s="1">
        <f>VLOOKUP(E4,'[1]TIỀN MUA PHỤ'!$A:$B,2,0)/4</f>
        <v>8000</v>
      </c>
      <c r="G4">
        <v>8000</v>
      </c>
      <c r="H4" s="1">
        <f>C4*G4</f>
        <v>6400000</v>
      </c>
    </row>
    <row r="5" spans="1:8" hidden="1" x14ac:dyDescent="0.3">
      <c r="A5" t="s">
        <v>1047</v>
      </c>
      <c r="B5" t="s">
        <v>507</v>
      </c>
      <c r="C5">
        <v>0</v>
      </c>
      <c r="D5" s="6">
        <v>45624</v>
      </c>
      <c r="E5" t="s">
        <v>1160</v>
      </c>
      <c r="F5" s="1" t="e">
        <f>VLOOKUP(E5,'[1]TIỀN MUA PHỤ'!$A:$B,2,0)</f>
        <v>#N/A</v>
      </c>
      <c r="G5" t="e">
        <v>#N/A</v>
      </c>
      <c r="H5"/>
    </row>
    <row r="6" spans="1:8" x14ac:dyDescent="0.3">
      <c r="A6" t="s">
        <v>34</v>
      </c>
      <c r="B6" t="s">
        <v>507</v>
      </c>
      <c r="C6">
        <v>100</v>
      </c>
      <c r="D6" s="6">
        <v>45624</v>
      </c>
      <c r="E6" t="s">
        <v>1161</v>
      </c>
      <c r="F6" s="1">
        <f>VLOOKUP(E6,'[1]TIỀN MUA PHỤ'!$A:$B,2,0)</f>
        <v>14000</v>
      </c>
      <c r="G6">
        <v>14000</v>
      </c>
      <c r="H6" s="1">
        <f>C6*G6</f>
        <v>1400000</v>
      </c>
    </row>
    <row r="7" spans="1:8" hidden="1" x14ac:dyDescent="0.3">
      <c r="A7" t="s">
        <v>34</v>
      </c>
      <c r="B7" t="s">
        <v>22</v>
      </c>
      <c r="C7">
        <v>0</v>
      </c>
      <c r="D7" s="6">
        <v>45624</v>
      </c>
      <c r="E7" t="s">
        <v>1161</v>
      </c>
      <c r="F7" s="1">
        <f>VLOOKUP(E7,'[1]TIỀN MUA PHỤ'!$A:$B,2,0)</f>
        <v>14000</v>
      </c>
      <c r="G7">
        <v>14000</v>
      </c>
      <c r="H7"/>
    </row>
    <row r="8" spans="1:8" x14ac:dyDescent="0.3">
      <c r="A8" t="s">
        <v>45</v>
      </c>
      <c r="B8" t="s">
        <v>507</v>
      </c>
      <c r="C8">
        <v>300</v>
      </c>
      <c r="D8" s="6">
        <v>45624</v>
      </c>
      <c r="E8" t="s">
        <v>1162</v>
      </c>
      <c r="F8" s="1">
        <f>VLOOKUP(E8,'[1]TIỀN MUA PHỤ'!$A:$B,2,0)</f>
        <v>16000</v>
      </c>
      <c r="G8">
        <v>16000</v>
      </c>
      <c r="H8" s="1">
        <f>C8*G8</f>
        <v>4800000</v>
      </c>
    </row>
    <row r="9" spans="1:8" hidden="1" x14ac:dyDescent="0.3">
      <c r="A9" t="s">
        <v>53</v>
      </c>
      <c r="B9" t="s">
        <v>507</v>
      </c>
      <c r="C9">
        <v>0</v>
      </c>
      <c r="D9" s="6">
        <v>45624</v>
      </c>
      <c r="E9" t="s">
        <v>1163</v>
      </c>
      <c r="F9" s="1">
        <f>VLOOKUP(E9,'[1]TIỀN MUA PHỤ'!$A:$B,2,0)</f>
        <v>6000</v>
      </c>
      <c r="G9">
        <v>6000</v>
      </c>
      <c r="H9"/>
    </row>
    <row r="10" spans="1:8" x14ac:dyDescent="0.3">
      <c r="A10" t="s">
        <v>53</v>
      </c>
      <c r="B10" t="s">
        <v>9</v>
      </c>
      <c r="C10">
        <v>840</v>
      </c>
      <c r="D10" s="6">
        <v>45624</v>
      </c>
      <c r="E10" t="s">
        <v>1163</v>
      </c>
      <c r="F10" s="1">
        <f>VLOOKUP(E10,'[1]TIỀN MUA PHỤ'!$A:$B,2,0)</f>
        <v>6000</v>
      </c>
      <c r="G10">
        <v>6000</v>
      </c>
      <c r="H10" s="1">
        <f t="shared" ref="H10:H11" si="0">C10*G10</f>
        <v>5040000</v>
      </c>
    </row>
    <row r="11" spans="1:8" x14ac:dyDescent="0.3">
      <c r="A11" t="s">
        <v>50</v>
      </c>
      <c r="B11" t="s">
        <v>507</v>
      </c>
      <c r="C11">
        <v>100</v>
      </c>
      <c r="D11" s="6">
        <v>45624</v>
      </c>
      <c r="E11" t="s">
        <v>1164</v>
      </c>
      <c r="F11" s="1">
        <f>VLOOKUP(E11,'[1]TIỀN MUA PHỤ'!$A:$B,2,0)</f>
        <v>18000</v>
      </c>
      <c r="G11">
        <v>18000</v>
      </c>
      <c r="H11" s="1">
        <f t="shared" si="0"/>
        <v>1800000</v>
      </c>
    </row>
    <row r="12" spans="1:8" hidden="1" x14ac:dyDescent="0.3">
      <c r="A12" t="s">
        <v>50</v>
      </c>
      <c r="B12" t="s">
        <v>9</v>
      </c>
      <c r="C12">
        <v>0</v>
      </c>
      <c r="D12" s="6">
        <v>45624</v>
      </c>
      <c r="E12" t="s">
        <v>1164</v>
      </c>
      <c r="F12" s="1">
        <f>VLOOKUP(E12,'[1]TIỀN MUA PHỤ'!$A:$B,2,0)</f>
        <v>18000</v>
      </c>
      <c r="G12">
        <v>18000</v>
      </c>
      <c r="H12"/>
    </row>
    <row r="13" spans="1:8" hidden="1" x14ac:dyDescent="0.3">
      <c r="A13" t="s">
        <v>26</v>
      </c>
      <c r="B13" t="s">
        <v>507</v>
      </c>
      <c r="C13">
        <v>0</v>
      </c>
      <c r="D13" s="6">
        <v>45624</v>
      </c>
      <c r="E13" t="s">
        <v>1165</v>
      </c>
      <c r="F13" s="1">
        <f>VLOOKUP(E13,'[1]TIỀN MUA PHỤ'!$A:$B,2,0)</f>
        <v>20000</v>
      </c>
      <c r="G13">
        <v>20000</v>
      </c>
      <c r="H13"/>
    </row>
    <row r="14" spans="1:8" x14ac:dyDescent="0.3">
      <c r="A14" t="s">
        <v>26</v>
      </c>
      <c r="B14" t="s">
        <v>27</v>
      </c>
      <c r="C14">
        <v>300</v>
      </c>
      <c r="D14" s="6">
        <v>45624</v>
      </c>
      <c r="E14" t="s">
        <v>1165</v>
      </c>
      <c r="F14" s="1">
        <v>10000</v>
      </c>
      <c r="G14">
        <v>10000</v>
      </c>
      <c r="H14" s="1">
        <f>C14*G14</f>
        <v>3000000</v>
      </c>
    </row>
    <row r="15" spans="1:8" hidden="1" x14ac:dyDescent="0.3">
      <c r="A15" t="s">
        <v>26</v>
      </c>
      <c r="B15" t="s">
        <v>22</v>
      </c>
      <c r="C15">
        <v>0</v>
      </c>
      <c r="D15" s="6">
        <v>45624</v>
      </c>
      <c r="E15" t="s">
        <v>1165</v>
      </c>
      <c r="F15" s="1">
        <f>VLOOKUP(E15,'[1]TIỀN MUA PHỤ'!$A:$B,2,0)</f>
        <v>20000</v>
      </c>
      <c r="G15">
        <v>20000</v>
      </c>
      <c r="H15"/>
    </row>
    <row r="16" spans="1:8" x14ac:dyDescent="0.3">
      <c r="A16" t="s">
        <v>20</v>
      </c>
      <c r="B16" t="s">
        <v>507</v>
      </c>
      <c r="C16">
        <v>40</v>
      </c>
      <c r="D16" s="6">
        <v>45624</v>
      </c>
      <c r="E16" t="s">
        <v>1166</v>
      </c>
      <c r="F16" s="1">
        <f>VLOOKUP(E16,'[1]TIỀN MUA PHỤ'!$A:$B,2,0)</f>
        <v>16000</v>
      </c>
      <c r="G16">
        <v>16000</v>
      </c>
      <c r="H16" s="1">
        <f>C16*G16</f>
        <v>640000</v>
      </c>
    </row>
    <row r="17" spans="1:8" hidden="1" x14ac:dyDescent="0.3">
      <c r="A17" t="s">
        <v>20</v>
      </c>
      <c r="B17" t="s">
        <v>22</v>
      </c>
      <c r="C17">
        <v>0</v>
      </c>
      <c r="D17" s="6">
        <v>45624</v>
      </c>
      <c r="E17" t="s">
        <v>1166</v>
      </c>
      <c r="F17" s="1">
        <f>VLOOKUP(E17,'[1]TIỀN MUA PHỤ'!$A:$B,2,0)</f>
        <v>16000</v>
      </c>
      <c r="G17">
        <v>16000</v>
      </c>
      <c r="H17"/>
    </row>
    <row r="18" spans="1:8" x14ac:dyDescent="0.3">
      <c r="A18" t="s">
        <v>18</v>
      </c>
      <c r="B18" t="s">
        <v>507</v>
      </c>
      <c r="C18">
        <v>5</v>
      </c>
      <c r="D18" s="6">
        <v>45624</v>
      </c>
      <c r="E18" t="s">
        <v>1167</v>
      </c>
      <c r="F18" s="1">
        <f>VLOOKUP(E18,'[1]TIỀN MUA PHỤ'!$A:$B,2,0)</f>
        <v>47000</v>
      </c>
      <c r="G18">
        <v>47000</v>
      </c>
      <c r="H18" s="1">
        <f t="shared" ref="H18:H19" si="1">C18*G18</f>
        <v>235000</v>
      </c>
    </row>
    <row r="19" spans="1:8" x14ac:dyDescent="0.3">
      <c r="A19" t="s">
        <v>18</v>
      </c>
      <c r="B19" t="s">
        <v>9</v>
      </c>
      <c r="C19">
        <v>70</v>
      </c>
      <c r="D19" s="6">
        <v>45624</v>
      </c>
      <c r="E19" t="s">
        <v>1167</v>
      </c>
      <c r="F19" s="1">
        <f>VLOOKUP(E19,'[1]TIỀN MUA PHỤ'!$A:$B,2,0)/5</f>
        <v>9400</v>
      </c>
      <c r="G19">
        <v>9400</v>
      </c>
      <c r="H19" s="1">
        <f t="shared" si="1"/>
        <v>658000</v>
      </c>
    </row>
    <row r="20" spans="1:8" hidden="1" x14ac:dyDescent="0.3">
      <c r="A20" t="s">
        <v>49</v>
      </c>
      <c r="B20" t="s">
        <v>507</v>
      </c>
      <c r="C20">
        <v>0</v>
      </c>
      <c r="D20" s="6">
        <v>45624</v>
      </c>
      <c r="E20" t="s">
        <v>1168</v>
      </c>
      <c r="F20" s="1">
        <f>VLOOKUP(E20,'[1]TIỀN MUA PHỤ'!$A:$B,2,0)</f>
        <v>10000</v>
      </c>
      <c r="G20">
        <v>10000</v>
      </c>
      <c r="H20"/>
    </row>
    <row r="21" spans="1:8" x14ac:dyDescent="0.3">
      <c r="A21" t="s">
        <v>49</v>
      </c>
      <c r="B21" t="s">
        <v>106</v>
      </c>
      <c r="C21">
        <v>200</v>
      </c>
      <c r="D21" s="6">
        <v>45624</v>
      </c>
      <c r="E21" t="s">
        <v>1168</v>
      </c>
      <c r="F21" s="1">
        <v>12450</v>
      </c>
      <c r="G21">
        <v>12450</v>
      </c>
      <c r="H21" s="1">
        <f>C21*G21</f>
        <v>2490000</v>
      </c>
    </row>
    <row r="22" spans="1:8" hidden="1" x14ac:dyDescent="0.3">
      <c r="A22" t="s">
        <v>97</v>
      </c>
      <c r="B22" t="s">
        <v>507</v>
      </c>
      <c r="C22">
        <v>0</v>
      </c>
      <c r="D22" s="6">
        <v>45624</v>
      </c>
      <c r="E22" t="s">
        <v>1169</v>
      </c>
      <c r="F22" s="1">
        <f>VLOOKUP(E22,'[1]TIỀN MUA PHỤ'!$A:$B,2,0)</f>
        <v>55000</v>
      </c>
      <c r="G22">
        <v>55000</v>
      </c>
      <c r="H22"/>
    </row>
    <row r="23" spans="1:8" x14ac:dyDescent="0.3">
      <c r="A23" t="s">
        <v>97</v>
      </c>
      <c r="B23" t="s">
        <v>22</v>
      </c>
      <c r="C23">
        <v>300</v>
      </c>
      <c r="D23" s="6">
        <v>45624</v>
      </c>
      <c r="E23" t="s">
        <v>1169</v>
      </c>
      <c r="F23" s="1">
        <v>20000</v>
      </c>
      <c r="G23">
        <v>20000</v>
      </c>
      <c r="H23" s="1">
        <f>C23*G23</f>
        <v>6000000</v>
      </c>
    </row>
    <row r="24" spans="1:8" hidden="1" x14ac:dyDescent="0.3">
      <c r="A24" t="s">
        <v>41</v>
      </c>
      <c r="B24" t="s">
        <v>507</v>
      </c>
      <c r="C24">
        <v>0</v>
      </c>
      <c r="D24" s="6">
        <v>45624</v>
      </c>
      <c r="E24" t="s">
        <v>1170</v>
      </c>
      <c r="F24" s="1">
        <f>VLOOKUP(E24,'[1]TIỀN MUA PHỤ'!$A:$B,2,0)</f>
        <v>9000</v>
      </c>
      <c r="G24">
        <v>9000</v>
      </c>
      <c r="H24"/>
    </row>
    <row r="25" spans="1:8" x14ac:dyDescent="0.3">
      <c r="A25" t="s">
        <v>41</v>
      </c>
      <c r="B25" t="s">
        <v>42</v>
      </c>
      <c r="C25">
        <v>500</v>
      </c>
      <c r="D25" s="6">
        <v>45624</v>
      </c>
      <c r="E25" t="s">
        <v>1170</v>
      </c>
      <c r="F25" s="1">
        <f>VLOOKUP(E25,'[1]TIỀN MUA PHỤ'!$A:$B,2,0)*0.3</f>
        <v>2700</v>
      </c>
      <c r="G25">
        <v>2700</v>
      </c>
      <c r="H25" s="1">
        <f>C25*G25</f>
        <v>1350000</v>
      </c>
    </row>
    <row r="26" spans="1:8" hidden="1" x14ac:dyDescent="0.3">
      <c r="A26" t="s">
        <v>43</v>
      </c>
      <c r="B26" t="s">
        <v>507</v>
      </c>
      <c r="C26">
        <v>0</v>
      </c>
      <c r="D26" s="6">
        <v>45624</v>
      </c>
      <c r="E26" t="s">
        <v>1171</v>
      </c>
      <c r="F26" s="1">
        <f>VLOOKUP(E26,'[1]TIỀN MUA PHỤ'!$A:$B,2,0)</f>
        <v>10000</v>
      </c>
      <c r="G26">
        <v>10000</v>
      </c>
      <c r="H26"/>
    </row>
    <row r="27" spans="1:8" x14ac:dyDescent="0.3">
      <c r="A27" t="s">
        <v>43</v>
      </c>
      <c r="B27" t="s">
        <v>44</v>
      </c>
      <c r="C27">
        <v>460</v>
      </c>
      <c r="D27" s="6">
        <v>45624</v>
      </c>
      <c r="E27" t="s">
        <v>1171</v>
      </c>
      <c r="F27" s="1">
        <f>VLOOKUP(E27,'[1]TIỀN MUA PHỤ'!$A:$B,2,0)*0.3</f>
        <v>3000</v>
      </c>
      <c r="G27">
        <v>3000</v>
      </c>
      <c r="H27" s="1">
        <f t="shared" ref="H27:H28" si="2">C27*G27</f>
        <v>1380000</v>
      </c>
    </row>
    <row r="28" spans="1:8" x14ac:dyDescent="0.3">
      <c r="A28" t="s">
        <v>113</v>
      </c>
      <c r="B28" t="s">
        <v>507</v>
      </c>
      <c r="C28">
        <v>10</v>
      </c>
      <c r="D28" s="6">
        <v>45624</v>
      </c>
      <c r="E28" t="s">
        <v>1172</v>
      </c>
      <c r="F28" s="1">
        <f>VLOOKUP(E28,'[1]TIỀN MUA PHỤ'!$A:$B,2,0)</f>
        <v>35000</v>
      </c>
      <c r="G28">
        <v>35000</v>
      </c>
      <c r="H28" s="1">
        <f t="shared" si="2"/>
        <v>350000</v>
      </c>
    </row>
    <row r="29" spans="1:8" hidden="1" x14ac:dyDescent="0.3">
      <c r="A29" t="s">
        <v>113</v>
      </c>
      <c r="B29" t="s">
        <v>22</v>
      </c>
      <c r="C29">
        <v>0</v>
      </c>
      <c r="D29" s="6">
        <v>45624</v>
      </c>
      <c r="E29" t="s">
        <v>1172</v>
      </c>
      <c r="F29" s="1">
        <f>VLOOKUP(E29,'[1]TIỀN MUA PHỤ'!$A:$B,2,0)</f>
        <v>35000</v>
      </c>
      <c r="G29">
        <v>35000</v>
      </c>
      <c r="H29"/>
    </row>
    <row r="30" spans="1:8" hidden="1" x14ac:dyDescent="0.3">
      <c r="A30" t="s">
        <v>29</v>
      </c>
      <c r="B30" t="s">
        <v>507</v>
      </c>
      <c r="C30">
        <v>0</v>
      </c>
      <c r="D30" s="6">
        <v>45624</v>
      </c>
      <c r="E30" t="s">
        <v>1173</v>
      </c>
      <c r="F30" s="1">
        <f>VLOOKUP(E30,'[1]TIỀN MUA PHỤ'!$A:$B,2,0)</f>
        <v>38000</v>
      </c>
      <c r="G30">
        <v>38000</v>
      </c>
      <c r="H30"/>
    </row>
    <row r="31" spans="1:8" x14ac:dyDescent="0.3">
      <c r="A31" t="s">
        <v>29</v>
      </c>
      <c r="B31" t="s">
        <v>22</v>
      </c>
      <c r="C31">
        <v>400</v>
      </c>
      <c r="D31" s="6">
        <v>45624</v>
      </c>
      <c r="E31" t="s">
        <v>1173</v>
      </c>
      <c r="F31" s="1">
        <f>VLOOKUP(E31,'[1]TIỀN MUA PHỤ'!$A:$B,2,0)/20</f>
        <v>1900</v>
      </c>
      <c r="G31">
        <v>1900</v>
      </c>
      <c r="H31" s="1">
        <f>C31*G31</f>
        <v>760000</v>
      </c>
    </row>
    <row r="32" spans="1:8" hidden="1" x14ac:dyDescent="0.3">
      <c r="A32" t="s">
        <v>70</v>
      </c>
      <c r="B32" t="s">
        <v>507</v>
      </c>
      <c r="C32">
        <v>0</v>
      </c>
      <c r="D32" s="6">
        <v>45624</v>
      </c>
      <c r="E32" t="s">
        <v>1174</v>
      </c>
      <c r="F32" s="1">
        <f>VLOOKUP(E32,'[1]TIỀN MUA PHỤ'!$A:$B,2,0)</f>
        <v>8700</v>
      </c>
      <c r="G32">
        <v>8700</v>
      </c>
      <c r="H32"/>
    </row>
    <row r="33" spans="1:8" x14ac:dyDescent="0.3">
      <c r="A33" t="s">
        <v>70</v>
      </c>
      <c r="B33" t="s">
        <v>106</v>
      </c>
      <c r="C33">
        <v>150</v>
      </c>
      <c r="D33" s="6">
        <v>45624</v>
      </c>
      <c r="E33" t="s">
        <v>1174</v>
      </c>
      <c r="F33" s="1">
        <f>VLOOKUP(E33,'[1]TIỀN MUA PHỤ'!$A:$B,2,0)</f>
        <v>8700</v>
      </c>
      <c r="G33">
        <v>8700</v>
      </c>
      <c r="H33" s="1">
        <f t="shared" ref="H33:H36" si="3">C33*G33</f>
        <v>1305000</v>
      </c>
    </row>
    <row r="34" spans="1:8" x14ac:dyDescent="0.3">
      <c r="A34" t="s">
        <v>74</v>
      </c>
      <c r="B34" t="s">
        <v>507</v>
      </c>
      <c r="C34">
        <v>40</v>
      </c>
      <c r="D34" s="6">
        <v>45624</v>
      </c>
      <c r="E34" t="s">
        <v>1175</v>
      </c>
      <c r="F34" s="1">
        <v>14000</v>
      </c>
      <c r="G34">
        <v>14000</v>
      </c>
      <c r="H34" s="1">
        <f t="shared" si="3"/>
        <v>560000</v>
      </c>
    </row>
    <row r="35" spans="1:8" x14ac:dyDescent="0.3">
      <c r="A35" t="s">
        <v>11</v>
      </c>
      <c r="B35" t="s">
        <v>507</v>
      </c>
      <c r="C35">
        <v>30</v>
      </c>
      <c r="D35" s="6">
        <v>45624</v>
      </c>
      <c r="E35" t="s">
        <v>1176</v>
      </c>
      <c r="F35" s="1">
        <f>VLOOKUP(E35,'[1]TIỀN MUA PHỤ'!$A:$B,2,0)</f>
        <v>18000</v>
      </c>
      <c r="G35">
        <v>18000</v>
      </c>
      <c r="H35" s="1">
        <f t="shared" si="3"/>
        <v>540000</v>
      </c>
    </row>
    <row r="36" spans="1:8" x14ac:dyDescent="0.3">
      <c r="A36" t="s">
        <v>12</v>
      </c>
      <c r="B36" t="s">
        <v>507</v>
      </c>
      <c r="C36">
        <v>110</v>
      </c>
      <c r="D36" s="6">
        <v>45624</v>
      </c>
      <c r="E36" t="s">
        <v>1177</v>
      </c>
      <c r="F36" s="1">
        <v>21000</v>
      </c>
      <c r="G36">
        <v>21000</v>
      </c>
      <c r="H36" s="1">
        <f t="shared" si="3"/>
        <v>2310000</v>
      </c>
    </row>
    <row r="37" spans="1:8" hidden="1" x14ac:dyDescent="0.3">
      <c r="A37" t="s">
        <v>12</v>
      </c>
      <c r="B37" t="s">
        <v>107</v>
      </c>
      <c r="C37">
        <v>0</v>
      </c>
      <c r="D37" s="6">
        <v>45624</v>
      </c>
      <c r="E37" t="s">
        <v>1177</v>
      </c>
      <c r="F37" s="1" t="e">
        <f>VLOOKUP(E37,'[1]TIỀN MUA PHỤ'!$A:$B,2,0)</f>
        <v>#N/A</v>
      </c>
      <c r="G37" t="e">
        <v>#N/A</v>
      </c>
      <c r="H37"/>
    </row>
    <row r="38" spans="1:8" x14ac:dyDescent="0.3">
      <c r="A38" t="s">
        <v>14</v>
      </c>
      <c r="B38" t="s">
        <v>507</v>
      </c>
      <c r="C38">
        <v>150</v>
      </c>
      <c r="D38" s="6">
        <v>45624</v>
      </c>
      <c r="E38" t="s">
        <v>1178</v>
      </c>
      <c r="F38" s="1">
        <f>VLOOKUP(E38,'[1]TIỀN MUA PHỤ'!$A:$B,2,0)</f>
        <v>17000</v>
      </c>
      <c r="G38">
        <v>17000</v>
      </c>
      <c r="H38" s="1">
        <f>C38*G38</f>
        <v>2550000</v>
      </c>
    </row>
    <row r="39" spans="1:8" hidden="1" x14ac:dyDescent="0.3">
      <c r="A39" t="s">
        <v>14</v>
      </c>
      <c r="B39" t="s">
        <v>22</v>
      </c>
      <c r="C39">
        <v>0</v>
      </c>
      <c r="D39" s="6">
        <v>45624</v>
      </c>
      <c r="E39" t="s">
        <v>1178</v>
      </c>
      <c r="F39" s="1">
        <f>VLOOKUP(E39,'[1]TIỀN MUA PHỤ'!$A:$B,2,0)</f>
        <v>17000</v>
      </c>
      <c r="G39">
        <v>17000</v>
      </c>
      <c r="H39"/>
    </row>
    <row r="40" spans="1:8" x14ac:dyDescent="0.3">
      <c r="A40" t="s">
        <v>40</v>
      </c>
      <c r="B40" t="s">
        <v>507</v>
      </c>
      <c r="C40">
        <v>30</v>
      </c>
      <c r="D40" s="6">
        <v>45624</v>
      </c>
      <c r="E40" t="s">
        <v>1179</v>
      </c>
      <c r="F40" s="1">
        <v>26000</v>
      </c>
      <c r="G40">
        <v>26000</v>
      </c>
      <c r="H40" s="1">
        <f>C40*G40</f>
        <v>780000</v>
      </c>
    </row>
    <row r="41" spans="1:8" hidden="1" x14ac:dyDescent="0.3">
      <c r="A41" t="s">
        <v>15</v>
      </c>
      <c r="B41" t="s">
        <v>507</v>
      </c>
      <c r="C41">
        <v>0</v>
      </c>
      <c r="D41" s="6">
        <v>45624</v>
      </c>
      <c r="E41" t="s">
        <v>1180</v>
      </c>
      <c r="F41" s="1">
        <f>VLOOKUP(E41,'[1]TIỀN MUA PHỤ'!$A:$B,2,0)</f>
        <v>25000</v>
      </c>
      <c r="G41">
        <v>25000</v>
      </c>
      <c r="H41"/>
    </row>
    <row r="42" spans="1:8" x14ac:dyDescent="0.3">
      <c r="A42" t="s">
        <v>13</v>
      </c>
      <c r="B42" t="s">
        <v>507</v>
      </c>
      <c r="C42">
        <v>150</v>
      </c>
      <c r="D42" s="6">
        <v>45624</v>
      </c>
      <c r="E42" t="s">
        <v>1181</v>
      </c>
      <c r="F42" s="1">
        <v>23000</v>
      </c>
      <c r="G42">
        <v>23000</v>
      </c>
      <c r="H42" s="1">
        <f>C42*G42</f>
        <v>3450000</v>
      </c>
    </row>
    <row r="43" spans="1:8" hidden="1" x14ac:dyDescent="0.3">
      <c r="A43" t="s">
        <v>13</v>
      </c>
      <c r="B43" t="s">
        <v>22</v>
      </c>
      <c r="C43">
        <v>0</v>
      </c>
      <c r="D43" s="6">
        <v>45624</v>
      </c>
      <c r="E43" t="s">
        <v>1181</v>
      </c>
      <c r="F43" s="1" t="e">
        <f>VLOOKUP(E43,'[1]TIỀN MUA PHỤ'!$A:$B,2,0)</f>
        <v>#N/A</v>
      </c>
      <c r="G43" t="e">
        <v>#N/A</v>
      </c>
      <c r="H43"/>
    </row>
    <row r="44" spans="1:8" x14ac:dyDescent="0.3">
      <c r="A44" t="s">
        <v>32</v>
      </c>
      <c r="B44" t="s">
        <v>507</v>
      </c>
      <c r="C44">
        <v>60</v>
      </c>
      <c r="D44" s="6">
        <v>45624</v>
      </c>
      <c r="E44" t="s">
        <v>1182</v>
      </c>
      <c r="F44" s="1">
        <f>VLOOKUP(E44,'[1]TIỀN MUA PHỤ'!$A:$B,2,0)</f>
        <v>62000</v>
      </c>
      <c r="G44">
        <v>62000</v>
      </c>
      <c r="H44" s="1">
        <f>C44*G44</f>
        <v>3720000</v>
      </c>
    </row>
    <row r="45" spans="1:8" hidden="1" x14ac:dyDescent="0.3">
      <c r="A45" t="s">
        <v>32</v>
      </c>
      <c r="B45" t="s">
        <v>1048</v>
      </c>
      <c r="C45">
        <v>0</v>
      </c>
      <c r="D45" s="6">
        <v>45624</v>
      </c>
      <c r="E45" t="s">
        <v>1182</v>
      </c>
      <c r="F45" s="1">
        <f>VLOOKUP(E45,'[1]TIỀN MUA PHỤ'!$A:$B,2,0)</f>
        <v>62000</v>
      </c>
      <c r="G45">
        <v>62000</v>
      </c>
      <c r="H45"/>
    </row>
    <row r="46" spans="1:8" hidden="1" x14ac:dyDescent="0.3">
      <c r="A46" t="s">
        <v>103</v>
      </c>
      <c r="B46" t="s">
        <v>507</v>
      </c>
      <c r="C46">
        <v>0</v>
      </c>
      <c r="D46" s="6">
        <v>45624</v>
      </c>
      <c r="E46" t="s">
        <v>1183</v>
      </c>
      <c r="F46" s="1">
        <f>VLOOKUP(E46,'[1]TIỀN MUA PHỤ'!$A:$B,2,0)</f>
        <v>9500</v>
      </c>
      <c r="G46">
        <v>9500</v>
      </c>
      <c r="H46"/>
    </row>
    <row r="47" spans="1:8" x14ac:dyDescent="0.3">
      <c r="A47" t="s">
        <v>103</v>
      </c>
      <c r="B47" t="s">
        <v>48</v>
      </c>
      <c r="C47">
        <v>48</v>
      </c>
      <c r="D47" s="6">
        <v>45624</v>
      </c>
      <c r="E47" t="s">
        <v>1183</v>
      </c>
      <c r="F47" s="1">
        <f>VLOOKUP(E47,'[1]TIỀN MUA PHỤ'!$A:$B,2,0)</f>
        <v>9500</v>
      </c>
      <c r="G47">
        <v>9500</v>
      </c>
      <c r="H47" s="1">
        <f>C47*G47</f>
        <v>456000</v>
      </c>
    </row>
    <row r="48" spans="1:8" hidden="1" x14ac:dyDescent="0.3">
      <c r="A48" t="s">
        <v>87</v>
      </c>
      <c r="B48" t="s">
        <v>507</v>
      </c>
      <c r="C48">
        <v>0</v>
      </c>
      <c r="D48" s="6">
        <v>45624</v>
      </c>
      <c r="E48" t="s">
        <v>1184</v>
      </c>
      <c r="F48" s="1">
        <f>VLOOKUP(E48,'[1]TIỀN MUA PHỤ'!$A:$B,2,0)</f>
        <v>6500</v>
      </c>
      <c r="G48">
        <v>6500</v>
      </c>
      <c r="H48"/>
    </row>
    <row r="49" spans="1:8" x14ac:dyDescent="0.3">
      <c r="A49" t="s">
        <v>87</v>
      </c>
      <c r="B49" t="s">
        <v>107</v>
      </c>
      <c r="C49">
        <v>40</v>
      </c>
      <c r="D49" s="6">
        <v>45624</v>
      </c>
      <c r="E49" t="s">
        <v>1184</v>
      </c>
      <c r="F49" s="1">
        <f>VLOOKUP(E49,'[1]TIỀN MUA PHỤ'!$A:$B,2,0)</f>
        <v>6500</v>
      </c>
      <c r="G49">
        <v>6500</v>
      </c>
      <c r="H49" s="1">
        <f t="shared" ref="H49:H50" si="4">C49*G49</f>
        <v>260000</v>
      </c>
    </row>
    <row r="50" spans="1:8" x14ac:dyDescent="0.3">
      <c r="A50" t="s">
        <v>33</v>
      </c>
      <c r="B50" t="s">
        <v>507</v>
      </c>
      <c r="C50">
        <v>10</v>
      </c>
      <c r="D50" s="6">
        <v>45624</v>
      </c>
      <c r="E50" t="s">
        <v>1185</v>
      </c>
      <c r="F50" s="1">
        <f>VLOOKUP(E50,'[1]TIỀN MUA PHỤ'!$A:$B,2,0)</f>
        <v>35000</v>
      </c>
      <c r="G50">
        <v>35000</v>
      </c>
      <c r="H50" s="1">
        <f t="shared" si="4"/>
        <v>350000</v>
      </c>
    </row>
    <row r="51" spans="1:8" hidden="1" x14ac:dyDescent="0.3">
      <c r="A51" t="s">
        <v>33</v>
      </c>
      <c r="B51" t="s">
        <v>85</v>
      </c>
      <c r="C51">
        <v>0</v>
      </c>
      <c r="D51" s="6">
        <v>45624</v>
      </c>
      <c r="E51" t="s">
        <v>1185</v>
      </c>
      <c r="F51" s="1">
        <f>VLOOKUP(E51,'[1]TIỀN MUA PHỤ'!$A:$B,2,0)</f>
        <v>35000</v>
      </c>
      <c r="G51">
        <v>35000</v>
      </c>
      <c r="H51"/>
    </row>
    <row r="52" spans="1:8" hidden="1" x14ac:dyDescent="0.3">
      <c r="A52" t="s">
        <v>28</v>
      </c>
      <c r="B52" t="s">
        <v>507</v>
      </c>
      <c r="C52">
        <v>0</v>
      </c>
      <c r="D52" s="6">
        <v>45624</v>
      </c>
      <c r="E52" t="s">
        <v>1186</v>
      </c>
      <c r="F52" s="1">
        <f>VLOOKUP(E52,'[1]TIỀN MUA PHỤ'!$A:$B,2,0)</f>
        <v>30000</v>
      </c>
      <c r="G52">
        <v>30000</v>
      </c>
      <c r="H52"/>
    </row>
    <row r="53" spans="1:8" x14ac:dyDescent="0.3">
      <c r="A53" t="s">
        <v>28</v>
      </c>
      <c r="B53" t="s">
        <v>27</v>
      </c>
      <c r="C53">
        <v>100</v>
      </c>
      <c r="D53" s="6">
        <v>45624</v>
      </c>
      <c r="E53" t="s">
        <v>1186</v>
      </c>
      <c r="F53" s="1">
        <f>VLOOKUP(E53,'[1]TIỀN MUA PHỤ'!$A:$B,2,0)/5</f>
        <v>6000</v>
      </c>
      <c r="G53">
        <v>6000</v>
      </c>
      <c r="H53" s="1">
        <f>C53*G53</f>
        <v>600000</v>
      </c>
    </row>
    <row r="54" spans="1:8" hidden="1" x14ac:dyDescent="0.3">
      <c r="A54" t="s">
        <v>61</v>
      </c>
      <c r="B54" t="s">
        <v>507</v>
      </c>
      <c r="C54">
        <v>0</v>
      </c>
      <c r="D54" s="6">
        <v>45624</v>
      </c>
      <c r="E54" t="s">
        <v>1187</v>
      </c>
      <c r="F54" s="1">
        <f>VLOOKUP(E54,'[1]TIỀN MUA PHỤ'!$A:$B,2,0)</f>
        <v>17000</v>
      </c>
      <c r="G54">
        <v>17000</v>
      </c>
      <c r="H54"/>
    </row>
    <row r="55" spans="1:8" x14ac:dyDescent="0.3">
      <c r="A55" t="s">
        <v>61</v>
      </c>
      <c r="B55" t="s">
        <v>59</v>
      </c>
      <c r="C55">
        <v>260</v>
      </c>
      <c r="D55" s="6">
        <v>45624</v>
      </c>
      <c r="E55" t="s">
        <v>1187</v>
      </c>
      <c r="F55" s="1">
        <f>VLOOKUP(E55,'[1]TIỀN MUA PHỤ'!$A:$B,2,0)/4</f>
        <v>4250</v>
      </c>
      <c r="G55">
        <v>4250</v>
      </c>
      <c r="H55" s="1">
        <f>C55*G55</f>
        <v>1105000</v>
      </c>
    </row>
    <row r="56" spans="1:8" hidden="1" x14ac:dyDescent="0.3">
      <c r="A56" t="s">
        <v>62</v>
      </c>
      <c r="B56" t="s">
        <v>507</v>
      </c>
      <c r="C56">
        <v>0</v>
      </c>
      <c r="D56" s="6">
        <v>45624</v>
      </c>
      <c r="E56" t="s">
        <v>1188</v>
      </c>
      <c r="F56" s="1">
        <f>VLOOKUP(E56,'[1]TIỀN MUA PHỤ'!$A:$B,2,0)</f>
        <v>28000</v>
      </c>
      <c r="G56">
        <v>28000</v>
      </c>
      <c r="H56"/>
    </row>
    <row r="57" spans="1:8" x14ac:dyDescent="0.3">
      <c r="A57" t="s">
        <v>62</v>
      </c>
      <c r="B57" t="s">
        <v>59</v>
      </c>
      <c r="C57">
        <v>200</v>
      </c>
      <c r="D57" s="6">
        <v>45624</v>
      </c>
      <c r="E57" t="s">
        <v>1188</v>
      </c>
      <c r="F57" s="1">
        <f>VLOOKUP(E57,'[1]TIỀN MUA PHỤ'!$A:$B,2,0)/4</f>
        <v>7000</v>
      </c>
      <c r="G57">
        <v>7000</v>
      </c>
      <c r="H57" s="1">
        <f>C57*G57</f>
        <v>1400000</v>
      </c>
    </row>
    <row r="58" spans="1:8" hidden="1" x14ac:dyDescent="0.3">
      <c r="A58" t="s">
        <v>57</v>
      </c>
      <c r="B58" t="s">
        <v>507</v>
      </c>
      <c r="C58">
        <v>0</v>
      </c>
      <c r="D58" s="6">
        <v>45624</v>
      </c>
      <c r="E58" t="s">
        <v>1189</v>
      </c>
      <c r="F58" s="1" t="e">
        <f>VLOOKUP(E58,'[1]TIỀN MUA PHỤ'!$A:$B,2,0)</f>
        <v>#N/A</v>
      </c>
      <c r="G58" t="e">
        <v>#N/A</v>
      </c>
      <c r="H58"/>
    </row>
    <row r="59" spans="1:8" hidden="1" x14ac:dyDescent="0.3">
      <c r="A59" t="s">
        <v>57</v>
      </c>
      <c r="B59" t="s">
        <v>48</v>
      </c>
      <c r="C59">
        <v>0</v>
      </c>
      <c r="D59" s="6">
        <v>45624</v>
      </c>
      <c r="E59" t="s">
        <v>1189</v>
      </c>
      <c r="F59" s="1" t="e">
        <f>VLOOKUP(E59,'[1]TIỀN MUA PHỤ'!$A:$B,2,0)</f>
        <v>#N/A</v>
      </c>
      <c r="G59" t="e">
        <v>#N/A</v>
      </c>
      <c r="H59"/>
    </row>
    <row r="60" spans="1:8" hidden="1" x14ac:dyDescent="0.3">
      <c r="A60" t="s">
        <v>47</v>
      </c>
      <c r="B60" t="s">
        <v>507</v>
      </c>
      <c r="C60">
        <v>0</v>
      </c>
      <c r="D60" s="6">
        <v>45624</v>
      </c>
      <c r="E60" t="s">
        <v>1190</v>
      </c>
      <c r="F60" s="1">
        <f>VLOOKUP(E60,'[1]TIỀN MUA PHỤ'!$A:$B,2,0)</f>
        <v>51500</v>
      </c>
      <c r="G60">
        <v>51500</v>
      </c>
      <c r="H60"/>
    </row>
    <row r="61" spans="1:8" x14ac:dyDescent="0.3">
      <c r="A61" t="s">
        <v>47</v>
      </c>
      <c r="B61" t="s">
        <v>48</v>
      </c>
      <c r="C61">
        <v>30</v>
      </c>
      <c r="D61" s="6">
        <v>45624</v>
      </c>
      <c r="E61" t="s">
        <v>1190</v>
      </c>
      <c r="F61" s="1">
        <f>VLOOKUP(E61,'[1]TIỀN MUA PHỤ'!$A:$B,2,0)*0.3</f>
        <v>15450</v>
      </c>
      <c r="G61">
        <v>15450</v>
      </c>
      <c r="H61" s="1">
        <f>C61*G61</f>
        <v>463500</v>
      </c>
    </row>
    <row r="62" spans="1:8" hidden="1" x14ac:dyDescent="0.3">
      <c r="A62" t="s">
        <v>23</v>
      </c>
      <c r="B62" t="s">
        <v>507</v>
      </c>
      <c r="C62">
        <v>0</v>
      </c>
      <c r="D62" s="6">
        <v>45624</v>
      </c>
      <c r="E62" t="s">
        <v>1191</v>
      </c>
      <c r="F62" s="1">
        <f>VLOOKUP(E62,'[1]TIỀN MUA PHỤ'!$A:$B,2,0)</f>
        <v>25500</v>
      </c>
      <c r="G62">
        <v>25500</v>
      </c>
      <c r="H62"/>
    </row>
    <row r="63" spans="1:8" x14ac:dyDescent="0.3">
      <c r="A63" t="s">
        <v>23</v>
      </c>
      <c r="B63" t="s">
        <v>22</v>
      </c>
      <c r="C63">
        <v>200</v>
      </c>
      <c r="D63" s="6">
        <v>45624</v>
      </c>
      <c r="E63" t="s">
        <v>1191</v>
      </c>
      <c r="F63" s="1">
        <f>VLOOKUP(E63,'[1]TIỀN MUA PHỤ'!$A:$B,2,0)*0.3</f>
        <v>7650</v>
      </c>
      <c r="G63">
        <v>7650</v>
      </c>
      <c r="H63" s="1">
        <f t="shared" ref="H63:H64" si="5">C63*G63</f>
        <v>1530000</v>
      </c>
    </row>
    <row r="64" spans="1:8" x14ac:dyDescent="0.3">
      <c r="A64" t="s">
        <v>23</v>
      </c>
      <c r="B64" t="s">
        <v>24</v>
      </c>
      <c r="C64">
        <v>20</v>
      </c>
      <c r="D64" s="6">
        <v>45624</v>
      </c>
      <c r="E64" t="s">
        <v>1191</v>
      </c>
      <c r="F64" s="1">
        <f>VLOOKUP(E64,'[1]TIỀN MUA PHỤ'!$A:$B,2,0)*0.15</f>
        <v>3825</v>
      </c>
      <c r="G64">
        <v>3825</v>
      </c>
      <c r="H64" s="1">
        <f t="shared" si="5"/>
        <v>76500</v>
      </c>
    </row>
    <row r="65" spans="1:8" hidden="1" x14ac:dyDescent="0.3">
      <c r="A65" t="s">
        <v>80</v>
      </c>
      <c r="B65" t="s">
        <v>507</v>
      </c>
      <c r="C65">
        <v>0</v>
      </c>
      <c r="D65" s="6">
        <v>45624</v>
      </c>
      <c r="E65" t="s">
        <v>1192</v>
      </c>
      <c r="F65" s="1">
        <f>VLOOKUP(E65,'[1]TIỀN MUA PHỤ'!$A:$B,2,0)</f>
        <v>7500</v>
      </c>
      <c r="G65">
        <v>7500</v>
      </c>
      <c r="H65"/>
    </row>
    <row r="66" spans="1:8" x14ac:dyDescent="0.3">
      <c r="A66" t="s">
        <v>80</v>
      </c>
      <c r="B66" t="s">
        <v>44</v>
      </c>
      <c r="C66">
        <v>43</v>
      </c>
      <c r="D66" s="6">
        <v>45624</v>
      </c>
      <c r="E66" t="s">
        <v>1192</v>
      </c>
      <c r="F66" s="1">
        <f>VLOOKUP(E66,'[1]TIỀN MUA PHỤ'!$A:$B,2,0)*0.4</f>
        <v>3000</v>
      </c>
      <c r="G66">
        <v>3000</v>
      </c>
      <c r="H66" s="1">
        <f t="shared" ref="H66:H70" si="6">C66*G66</f>
        <v>129000</v>
      </c>
    </row>
    <row r="67" spans="1:8" x14ac:dyDescent="0.3">
      <c r="A67" t="s">
        <v>38</v>
      </c>
      <c r="B67" t="s">
        <v>27</v>
      </c>
      <c r="C67">
        <v>20</v>
      </c>
      <c r="D67" s="6">
        <v>45624</v>
      </c>
      <c r="E67" t="s">
        <v>1193</v>
      </c>
      <c r="F67" s="1">
        <f>VLOOKUP(E67,'[1]TIỀN MUA PHỤ'!$A:$B,2,0)</f>
        <v>6800</v>
      </c>
      <c r="G67">
        <v>6800</v>
      </c>
      <c r="H67" s="1">
        <f t="shared" si="6"/>
        <v>136000</v>
      </c>
    </row>
    <row r="68" spans="1:8" x14ac:dyDescent="0.3">
      <c r="A68" t="s">
        <v>36</v>
      </c>
      <c r="B68" t="s">
        <v>27</v>
      </c>
      <c r="C68">
        <v>50</v>
      </c>
      <c r="D68" s="6">
        <v>45624</v>
      </c>
      <c r="E68" t="s">
        <v>1194</v>
      </c>
      <c r="F68" s="1">
        <f>VLOOKUP(E68,'[1]TIỀN MUA PHỤ'!$A:$B,2,0)</f>
        <v>6800</v>
      </c>
      <c r="G68">
        <v>6800</v>
      </c>
      <c r="H68" s="1">
        <f t="shared" si="6"/>
        <v>340000</v>
      </c>
    </row>
    <row r="69" spans="1:8" x14ac:dyDescent="0.3">
      <c r="A69" t="s">
        <v>31</v>
      </c>
      <c r="B69" t="s">
        <v>22</v>
      </c>
      <c r="C69">
        <v>30</v>
      </c>
      <c r="D69" s="6">
        <v>45624</v>
      </c>
      <c r="E69" t="s">
        <v>1195</v>
      </c>
      <c r="F69" s="1">
        <f>VLOOKUP(E69,'[1]TIỀN MUA PHỤ'!$A:$B,2,0)</f>
        <v>32000</v>
      </c>
      <c r="G69">
        <v>32000</v>
      </c>
      <c r="H69" s="1">
        <f t="shared" si="6"/>
        <v>960000</v>
      </c>
    </row>
    <row r="70" spans="1:8" x14ac:dyDescent="0.3">
      <c r="A70" t="s">
        <v>73</v>
      </c>
      <c r="B70" t="s">
        <v>85</v>
      </c>
      <c r="C70">
        <v>40</v>
      </c>
      <c r="D70" s="6">
        <v>45624</v>
      </c>
      <c r="E70" t="s">
        <v>1196</v>
      </c>
      <c r="F70" s="1">
        <f>VLOOKUP(E70,'[1]TIỀN MUA PHỤ'!$A:$B,2,0)</f>
        <v>25000</v>
      </c>
      <c r="G70">
        <v>25000</v>
      </c>
      <c r="H70" s="1">
        <f t="shared" si="6"/>
        <v>1000000</v>
      </c>
    </row>
    <row r="71" spans="1:8" hidden="1" x14ac:dyDescent="0.3">
      <c r="A71" t="s">
        <v>88</v>
      </c>
      <c r="B71" t="s">
        <v>507</v>
      </c>
      <c r="C71">
        <v>0</v>
      </c>
      <c r="D71" s="6">
        <v>45624</v>
      </c>
      <c r="E71" t="s">
        <v>1197</v>
      </c>
      <c r="F71" s="1" t="e">
        <f>VLOOKUP(E71,'[1]TIỀN MUA PHỤ'!$A:$B,2,0)</f>
        <v>#N/A</v>
      </c>
      <c r="G71" t="e">
        <v>#N/A</v>
      </c>
      <c r="H71"/>
    </row>
    <row r="72" spans="1:8" x14ac:dyDescent="0.3">
      <c r="A72" t="s">
        <v>6</v>
      </c>
      <c r="B72" t="s">
        <v>507</v>
      </c>
      <c r="C72">
        <v>60</v>
      </c>
      <c r="D72" s="6">
        <v>45624</v>
      </c>
      <c r="E72" t="s">
        <v>1198</v>
      </c>
      <c r="F72" s="1">
        <f>VLOOKUP(E72,'[1]TIỀN MUA PHỤ'!$A:$B,2,0)</f>
        <v>15000</v>
      </c>
      <c r="G72">
        <v>15000</v>
      </c>
      <c r="H72" s="1">
        <f>C72*G72</f>
        <v>900000</v>
      </c>
    </row>
    <row r="73" spans="1:8" hidden="1" x14ac:dyDescent="0.3">
      <c r="A73" t="s">
        <v>6</v>
      </c>
      <c r="B73" t="s">
        <v>22</v>
      </c>
      <c r="C73">
        <v>0</v>
      </c>
      <c r="D73" s="6">
        <v>45624</v>
      </c>
      <c r="E73" t="s">
        <v>1198</v>
      </c>
      <c r="F73" s="1">
        <f>VLOOKUP(E73,'[1]TIỀN MUA PHỤ'!$A:$B,2,0)</f>
        <v>15000</v>
      </c>
      <c r="G73">
        <v>15000</v>
      </c>
      <c r="H73"/>
    </row>
    <row r="74" spans="1:8" x14ac:dyDescent="0.3">
      <c r="A74" t="s">
        <v>35</v>
      </c>
      <c r="B74" t="s">
        <v>507</v>
      </c>
      <c r="C74">
        <v>30</v>
      </c>
      <c r="D74" s="6">
        <v>45624</v>
      </c>
      <c r="E74" t="s">
        <v>1199</v>
      </c>
      <c r="F74" s="1">
        <f>VLOOKUP(E74,'[1]TIỀN MUA PHỤ'!$A:$B,2,0)</f>
        <v>28000</v>
      </c>
      <c r="G74">
        <v>28000</v>
      </c>
      <c r="H74" s="1">
        <f>C74*G74</f>
        <v>840000</v>
      </c>
    </row>
    <row r="75" spans="1:8" hidden="1" x14ac:dyDescent="0.3">
      <c r="A75" t="s">
        <v>64</v>
      </c>
      <c r="B75" t="s">
        <v>507</v>
      </c>
      <c r="C75">
        <v>0</v>
      </c>
      <c r="D75" s="6">
        <v>45624</v>
      </c>
      <c r="E75" t="s">
        <v>1200</v>
      </c>
      <c r="F75" s="1" t="e">
        <f>VLOOKUP(E75,'[1]TIỀN MUA PHỤ'!$A:$B,2,0)</f>
        <v>#N/A</v>
      </c>
      <c r="G75" t="e">
        <v>#N/A</v>
      </c>
      <c r="H75"/>
    </row>
    <row r="76" spans="1:8" hidden="1" x14ac:dyDescent="0.3">
      <c r="A76" t="s">
        <v>64</v>
      </c>
      <c r="B76" t="s">
        <v>59</v>
      </c>
      <c r="C76">
        <v>0</v>
      </c>
      <c r="D76" s="6">
        <v>45624</v>
      </c>
      <c r="E76" t="s">
        <v>1200</v>
      </c>
      <c r="F76" s="1" t="e">
        <f>VLOOKUP(E76,'[1]TIỀN MUA PHỤ'!$A:$B,2,0)</f>
        <v>#N/A</v>
      </c>
      <c r="G76" t="e">
        <v>#N/A</v>
      </c>
      <c r="H76"/>
    </row>
    <row r="77" spans="1:8" hidden="1" x14ac:dyDescent="0.3">
      <c r="A77" t="s">
        <v>104</v>
      </c>
      <c r="B77" t="s">
        <v>507</v>
      </c>
      <c r="C77">
        <v>0</v>
      </c>
      <c r="D77" s="6">
        <v>45624</v>
      </c>
      <c r="E77" t="s">
        <v>1201</v>
      </c>
      <c r="F77" s="1">
        <f>VLOOKUP(E77,'[1]TIỀN MUA PHỤ'!$A:$B,2,0)</f>
        <v>6000</v>
      </c>
      <c r="G77">
        <v>6000</v>
      </c>
      <c r="H77"/>
    </row>
    <row r="78" spans="1:8" hidden="1" x14ac:dyDescent="0.3">
      <c r="A78" t="s">
        <v>104</v>
      </c>
      <c r="B78" t="s">
        <v>22</v>
      </c>
      <c r="C78">
        <v>0</v>
      </c>
      <c r="D78" s="6">
        <v>45624</v>
      </c>
      <c r="E78" t="s">
        <v>1201</v>
      </c>
      <c r="F78" s="1">
        <f>VLOOKUP(E78,'[1]TIỀN MUA PHỤ'!$A:$B,2,0)</f>
        <v>6000</v>
      </c>
      <c r="G78">
        <v>6000</v>
      </c>
      <c r="H78"/>
    </row>
    <row r="79" spans="1:8" hidden="1" x14ac:dyDescent="0.3">
      <c r="A79" t="s">
        <v>112</v>
      </c>
      <c r="B79" t="s">
        <v>507</v>
      </c>
      <c r="C79">
        <v>0</v>
      </c>
      <c r="D79" s="6">
        <v>45624</v>
      </c>
      <c r="E79" t="s">
        <v>1202</v>
      </c>
      <c r="F79" s="1">
        <f>VLOOKUP(E79,'[1]TIỀN MUA PHỤ'!$A:$B,2,0)</f>
        <v>12000</v>
      </c>
      <c r="G79">
        <v>12000</v>
      </c>
      <c r="H79"/>
    </row>
    <row r="80" spans="1:8" hidden="1" x14ac:dyDescent="0.3">
      <c r="A80" t="s">
        <v>109</v>
      </c>
      <c r="B80" t="s">
        <v>507</v>
      </c>
      <c r="C80">
        <v>0</v>
      </c>
      <c r="D80" s="6">
        <v>45624</v>
      </c>
      <c r="E80" t="s">
        <v>1203</v>
      </c>
      <c r="F80" s="1" t="e">
        <f>VLOOKUP(E80,'[1]TIỀN MUA PHỤ'!$A:$B,2,0)</f>
        <v>#N/A</v>
      </c>
      <c r="G80" t="e">
        <v>#N/A</v>
      </c>
      <c r="H80"/>
    </row>
    <row r="81" spans="1:8" x14ac:dyDescent="0.3">
      <c r="A81" t="s">
        <v>109</v>
      </c>
      <c r="B81" t="s">
        <v>9</v>
      </c>
      <c r="C81">
        <v>40</v>
      </c>
      <c r="D81" s="6">
        <v>45624</v>
      </c>
      <c r="E81" t="s">
        <v>1203</v>
      </c>
      <c r="F81" s="1">
        <v>23000</v>
      </c>
      <c r="G81">
        <v>23000</v>
      </c>
      <c r="H81" s="1">
        <f>C81*G81</f>
        <v>920000</v>
      </c>
    </row>
    <row r="82" spans="1:8" hidden="1" x14ac:dyDescent="0.3">
      <c r="A82" t="s">
        <v>89</v>
      </c>
      <c r="B82" t="s">
        <v>507</v>
      </c>
      <c r="C82">
        <v>0</v>
      </c>
      <c r="D82" s="6">
        <v>45624</v>
      </c>
      <c r="E82" t="s">
        <v>1204</v>
      </c>
      <c r="F82" s="1">
        <f>VLOOKUP(E82,'[1]TIỀN MUA PHỤ'!$A:$B,2,0)</f>
        <v>16000</v>
      </c>
      <c r="G82">
        <v>16000</v>
      </c>
      <c r="H82"/>
    </row>
    <row r="83" spans="1:8" x14ac:dyDescent="0.3">
      <c r="A83" t="s">
        <v>89</v>
      </c>
      <c r="B83" t="s">
        <v>105</v>
      </c>
      <c r="C83">
        <v>200</v>
      </c>
      <c r="D83" s="6">
        <v>45624</v>
      </c>
      <c r="E83" t="s">
        <v>1204</v>
      </c>
      <c r="F83" s="1">
        <v>8000</v>
      </c>
      <c r="G83">
        <v>8000</v>
      </c>
      <c r="H83" s="1">
        <f>C83*G83</f>
        <v>1600000</v>
      </c>
    </row>
    <row r="84" spans="1:8" hidden="1" x14ac:dyDescent="0.3">
      <c r="A84" t="s">
        <v>8</v>
      </c>
      <c r="B84" t="s">
        <v>507</v>
      </c>
      <c r="C84">
        <v>0</v>
      </c>
      <c r="D84" s="6">
        <v>45624</v>
      </c>
      <c r="E84" t="s">
        <v>1205</v>
      </c>
      <c r="F84" s="1">
        <f>VLOOKUP(E84,'[1]TIỀN MUA PHỤ'!$A:$B,2,0)</f>
        <v>35000</v>
      </c>
      <c r="G84">
        <v>35000</v>
      </c>
      <c r="H84"/>
    </row>
    <row r="85" spans="1:8" x14ac:dyDescent="0.3">
      <c r="A85" t="s">
        <v>8</v>
      </c>
      <c r="B85" t="s">
        <v>9</v>
      </c>
      <c r="C85">
        <v>100</v>
      </c>
      <c r="D85" s="6">
        <v>45624</v>
      </c>
      <c r="E85" t="s">
        <v>1205</v>
      </c>
      <c r="F85" s="1">
        <f>VLOOKUP(E85,'[1]TIỀN MUA PHỤ'!$A:$B,2,0)/5</f>
        <v>7000</v>
      </c>
      <c r="G85">
        <v>7000</v>
      </c>
      <c r="H85" s="1">
        <f>C85*G85</f>
        <v>700000</v>
      </c>
    </row>
    <row r="86" spans="1:8" hidden="1" x14ac:dyDescent="0.3">
      <c r="A86" t="s">
        <v>37</v>
      </c>
      <c r="B86" t="s">
        <v>507</v>
      </c>
      <c r="C86">
        <v>0</v>
      </c>
      <c r="D86" s="6">
        <v>45624</v>
      </c>
      <c r="E86" t="s">
        <v>1206</v>
      </c>
      <c r="F86" s="1">
        <f>VLOOKUP(E86,'[1]TIỀN MUA PHỤ'!$A:$B,2,0)</f>
        <v>28000</v>
      </c>
      <c r="G86">
        <v>28000</v>
      </c>
      <c r="H86"/>
    </row>
    <row r="87" spans="1:8" hidden="1" x14ac:dyDescent="0.3">
      <c r="A87" t="s">
        <v>67</v>
      </c>
      <c r="B87" t="s">
        <v>507</v>
      </c>
      <c r="C87">
        <v>0</v>
      </c>
      <c r="D87" s="6">
        <v>45624</v>
      </c>
      <c r="E87" t="s">
        <v>1207</v>
      </c>
      <c r="F87" s="1">
        <f>VLOOKUP(E87,'[1]TIỀN MUA PHỤ'!$A:$B,2,0)</f>
        <v>41000</v>
      </c>
      <c r="G87">
        <v>41000</v>
      </c>
      <c r="H87"/>
    </row>
    <row r="88" spans="1:8" hidden="1" x14ac:dyDescent="0.3">
      <c r="A88" t="s">
        <v>51</v>
      </c>
      <c r="B88" t="s">
        <v>507</v>
      </c>
      <c r="C88">
        <v>0</v>
      </c>
      <c r="D88" s="6">
        <v>45624</v>
      </c>
      <c r="E88" t="s">
        <v>1208</v>
      </c>
      <c r="F88" s="1">
        <f>VLOOKUP(E88,'[1]TIỀN MUA PHỤ'!$A:$B,2,0)</f>
        <v>26000</v>
      </c>
      <c r="G88">
        <v>26000</v>
      </c>
      <c r="H88"/>
    </row>
    <row r="89" spans="1:8" x14ac:dyDescent="0.3">
      <c r="A89" t="s">
        <v>51</v>
      </c>
      <c r="B89" t="s">
        <v>9</v>
      </c>
      <c r="C89">
        <v>27</v>
      </c>
      <c r="D89" s="6">
        <v>45624</v>
      </c>
      <c r="E89" t="s">
        <v>1208</v>
      </c>
      <c r="F89" s="1">
        <f>VLOOKUP(E89,'[1]TIỀN MUA PHỤ'!$A:$B,2,0)/4</f>
        <v>6500</v>
      </c>
      <c r="G89">
        <v>6500</v>
      </c>
      <c r="H89" s="1">
        <f t="shared" ref="H89:H90" si="7">C89*G89</f>
        <v>175500</v>
      </c>
    </row>
    <row r="90" spans="1:8" x14ac:dyDescent="0.3">
      <c r="A90" t="s">
        <v>91</v>
      </c>
      <c r="B90" t="s">
        <v>507</v>
      </c>
      <c r="C90">
        <v>30</v>
      </c>
      <c r="D90" s="6">
        <v>45624</v>
      </c>
      <c r="E90" t="s">
        <v>1209</v>
      </c>
      <c r="F90" s="1">
        <f>VLOOKUP(E90,'[1]TIỀN MUA PHỤ'!$A:$B,2,0)</f>
        <v>20000</v>
      </c>
      <c r="G90">
        <v>20000</v>
      </c>
      <c r="H90" s="1">
        <f t="shared" si="7"/>
        <v>600000</v>
      </c>
    </row>
    <row r="91" spans="1:8" hidden="1" x14ac:dyDescent="0.3">
      <c r="A91" t="s">
        <v>91</v>
      </c>
      <c r="B91" t="s">
        <v>22</v>
      </c>
      <c r="C91">
        <v>0</v>
      </c>
      <c r="D91" s="6">
        <v>45624</v>
      </c>
      <c r="E91" t="s">
        <v>1209</v>
      </c>
      <c r="F91" s="1">
        <f>VLOOKUP(E91,'[1]TIỀN MUA PHỤ'!$A:$B,2,0)</f>
        <v>20000</v>
      </c>
      <c r="G91">
        <v>20000</v>
      </c>
      <c r="H91"/>
    </row>
    <row r="92" spans="1:8" x14ac:dyDescent="0.3">
      <c r="A92" t="s">
        <v>93</v>
      </c>
      <c r="B92" t="s">
        <v>507</v>
      </c>
      <c r="C92">
        <v>200</v>
      </c>
      <c r="D92" s="6">
        <v>45624</v>
      </c>
      <c r="E92" t="s">
        <v>1210</v>
      </c>
      <c r="F92" s="1">
        <f>VLOOKUP(E92,'[1]TIỀN MUA PHỤ'!$A:$B,2,0)</f>
        <v>15000</v>
      </c>
      <c r="G92">
        <v>15000</v>
      </c>
      <c r="H92" s="1">
        <f>C92*G92</f>
        <v>3000000</v>
      </c>
    </row>
    <row r="93" spans="1:8" hidden="1" x14ac:dyDescent="0.3">
      <c r="A93" t="s">
        <v>93</v>
      </c>
      <c r="B93" t="s">
        <v>22</v>
      </c>
      <c r="C93">
        <v>0</v>
      </c>
      <c r="D93" s="6">
        <v>45624</v>
      </c>
      <c r="E93" t="s">
        <v>1210</v>
      </c>
      <c r="F93" s="1">
        <f>VLOOKUP(E93,'[1]TIỀN MUA PHỤ'!$A:$B,2,0)</f>
        <v>15000</v>
      </c>
      <c r="G93">
        <v>15000</v>
      </c>
      <c r="H93"/>
    </row>
    <row r="94" spans="1:8" x14ac:dyDescent="0.3">
      <c r="A94" t="s">
        <v>95</v>
      </c>
      <c r="B94" t="s">
        <v>507</v>
      </c>
      <c r="C94">
        <v>10</v>
      </c>
      <c r="D94" s="6">
        <v>45624</v>
      </c>
      <c r="E94" t="s">
        <v>1211</v>
      </c>
      <c r="F94" s="1">
        <f>VLOOKUP(E94,'[1]TIỀN MUA PHỤ'!$A:$B,2,0)</f>
        <v>80000</v>
      </c>
      <c r="G94">
        <v>80000</v>
      </c>
      <c r="H94" s="1">
        <f>C94*G94</f>
        <v>800000</v>
      </c>
    </row>
    <row r="95" spans="1:8" hidden="1" x14ac:dyDescent="0.3">
      <c r="A95" t="s">
        <v>95</v>
      </c>
      <c r="B95" t="s">
        <v>9</v>
      </c>
      <c r="C95">
        <v>0</v>
      </c>
      <c r="D95" s="6">
        <v>45624</v>
      </c>
      <c r="E95" t="s">
        <v>1211</v>
      </c>
      <c r="F95" s="1">
        <f>VLOOKUP(E95,'[1]TIỀN MUA PHỤ'!$A:$B,2,0)</f>
        <v>80000</v>
      </c>
      <c r="G95">
        <v>80000</v>
      </c>
      <c r="H95"/>
    </row>
    <row r="96" spans="1:8" x14ac:dyDescent="0.3">
      <c r="A96" t="s">
        <v>72</v>
      </c>
      <c r="B96" t="s">
        <v>48</v>
      </c>
      <c r="C96">
        <v>20</v>
      </c>
      <c r="D96" s="6">
        <v>45624</v>
      </c>
      <c r="E96" t="s">
        <v>1212</v>
      </c>
      <c r="F96" s="1">
        <v>100000</v>
      </c>
      <c r="G96">
        <v>100000</v>
      </c>
      <c r="H96" s="1">
        <f t="shared" ref="H96:H97" si="8">C96*G96</f>
        <v>2000000</v>
      </c>
    </row>
    <row r="97" spans="1:8" x14ac:dyDescent="0.3">
      <c r="A97" t="s">
        <v>60</v>
      </c>
      <c r="B97" t="s">
        <v>507</v>
      </c>
      <c r="C97">
        <v>25</v>
      </c>
      <c r="D97" s="6">
        <v>45624</v>
      </c>
      <c r="E97" t="s">
        <v>1213</v>
      </c>
      <c r="F97" s="1">
        <f>VLOOKUP(E97,'[1]TIỀN MUA PHỤ'!$A:$B,2,0)</f>
        <v>49000</v>
      </c>
      <c r="G97">
        <v>49000</v>
      </c>
      <c r="H97" s="1">
        <f t="shared" si="8"/>
        <v>1225000</v>
      </c>
    </row>
    <row r="98" spans="1:8" hidden="1" x14ac:dyDescent="0.3">
      <c r="A98" t="s">
        <v>60</v>
      </c>
      <c r="B98" t="s">
        <v>48</v>
      </c>
      <c r="C98">
        <v>0</v>
      </c>
      <c r="D98" s="6">
        <v>45624</v>
      </c>
      <c r="E98" t="s">
        <v>1213</v>
      </c>
      <c r="F98" s="1">
        <f>VLOOKUP(E98,'[1]TIỀN MUA PHỤ'!$A:$B,2,0)</f>
        <v>49000</v>
      </c>
      <c r="G98">
        <v>49000</v>
      </c>
      <c r="H98"/>
    </row>
    <row r="99" spans="1:8" x14ac:dyDescent="0.3">
      <c r="A99" t="s">
        <v>39</v>
      </c>
      <c r="B99" t="s">
        <v>507</v>
      </c>
      <c r="C99">
        <v>30</v>
      </c>
      <c r="D99" s="6">
        <v>45624</v>
      </c>
      <c r="E99" t="s">
        <v>1214</v>
      </c>
      <c r="F99" s="1">
        <f>VLOOKUP(E99,'[1]TIỀN MUA PHỤ'!$A:$B,2,0)</f>
        <v>33000</v>
      </c>
      <c r="G99">
        <v>33000</v>
      </c>
      <c r="H99" s="1">
        <f t="shared" ref="H99:H100" si="9">C99*G99</f>
        <v>990000</v>
      </c>
    </row>
    <row r="100" spans="1:8" x14ac:dyDescent="0.3">
      <c r="A100" t="s">
        <v>82</v>
      </c>
      <c r="B100" t="s">
        <v>507</v>
      </c>
      <c r="C100">
        <v>3</v>
      </c>
      <c r="D100" s="6">
        <v>45624</v>
      </c>
      <c r="E100" t="s">
        <v>1215</v>
      </c>
      <c r="F100" s="1">
        <f>VLOOKUP(E100,'[1]TIỀN MUA PHỤ'!$A:$B,2,0)</f>
        <v>120000</v>
      </c>
      <c r="G100">
        <v>120000</v>
      </c>
      <c r="H100" s="1">
        <f t="shared" si="9"/>
        <v>360000</v>
      </c>
    </row>
    <row r="101" spans="1:8" hidden="1" x14ac:dyDescent="0.3">
      <c r="A101" t="s">
        <v>82</v>
      </c>
      <c r="B101" t="s">
        <v>22</v>
      </c>
      <c r="C101">
        <v>0</v>
      </c>
      <c r="D101" s="6">
        <v>45624</v>
      </c>
      <c r="E101" t="s">
        <v>1215</v>
      </c>
      <c r="F101" s="1">
        <f>VLOOKUP(E101,'[1]TIỀN MUA PHỤ'!$A:$B,2,0)</f>
        <v>120000</v>
      </c>
      <c r="G101">
        <v>120000</v>
      </c>
      <c r="H101"/>
    </row>
    <row r="102" spans="1:8" x14ac:dyDescent="0.3">
      <c r="A102" t="s">
        <v>84</v>
      </c>
      <c r="B102" t="s">
        <v>27</v>
      </c>
      <c r="C102">
        <v>5</v>
      </c>
      <c r="D102" s="6">
        <v>45624</v>
      </c>
      <c r="E102" t="s">
        <v>1216</v>
      </c>
      <c r="F102" s="1">
        <f>VLOOKUP(E102,'[1]TIỀN MUA PHỤ'!$A:$B,2,0)</f>
        <v>6800</v>
      </c>
      <c r="G102">
        <v>6800</v>
      </c>
      <c r="H102" s="1">
        <f>C102*G102</f>
        <v>34000</v>
      </c>
    </row>
    <row r="103" spans="1:8" hidden="1" x14ac:dyDescent="0.3">
      <c r="A103" t="s">
        <v>78</v>
      </c>
      <c r="B103" t="s">
        <v>507</v>
      </c>
      <c r="C103">
        <v>0</v>
      </c>
      <c r="D103" s="6">
        <v>45624</v>
      </c>
      <c r="E103" t="s">
        <v>1217</v>
      </c>
      <c r="F103" s="1">
        <f>VLOOKUP(E103,'[1]TIỀN MUA PHỤ'!$A:$B,2,0)</f>
        <v>30000</v>
      </c>
      <c r="G103">
        <v>30000</v>
      </c>
      <c r="H103"/>
    </row>
    <row r="104" spans="1:8" hidden="1" x14ac:dyDescent="0.3">
      <c r="A104" t="s">
        <v>79</v>
      </c>
      <c r="B104" t="s">
        <v>507</v>
      </c>
      <c r="C104">
        <v>0</v>
      </c>
      <c r="D104" s="6">
        <v>45624</v>
      </c>
      <c r="E104" t="s">
        <v>1218</v>
      </c>
      <c r="F104" s="1">
        <f>VLOOKUP(E104,'[1]TIỀN MUA PHỤ'!$A:$B,2,0)</f>
        <v>10000</v>
      </c>
      <c r="G104">
        <v>10000</v>
      </c>
      <c r="H104"/>
    </row>
    <row r="105" spans="1:8" hidden="1" x14ac:dyDescent="0.3">
      <c r="A105" t="s">
        <v>126</v>
      </c>
      <c r="B105" t="s">
        <v>507</v>
      </c>
      <c r="C105">
        <v>0</v>
      </c>
      <c r="D105" s="6">
        <v>45624</v>
      </c>
      <c r="E105" t="s">
        <v>1219</v>
      </c>
      <c r="F105" s="1" t="e">
        <f>VLOOKUP(E105,'[1]TIỀN MUA PHỤ'!$A:$B,2,0)</f>
        <v>#N/A</v>
      </c>
      <c r="G105" t="e">
        <v>#N/A</v>
      </c>
      <c r="H105"/>
    </row>
    <row r="106" spans="1:8" hidden="1" x14ac:dyDescent="0.3">
      <c r="A106" t="s">
        <v>17</v>
      </c>
      <c r="B106" t="s">
        <v>507</v>
      </c>
      <c r="C106">
        <v>0</v>
      </c>
      <c r="D106" s="6">
        <v>45624</v>
      </c>
      <c r="E106" t="s">
        <v>1220</v>
      </c>
      <c r="F106" s="1">
        <f>VLOOKUP(E106,'[1]TIỀN MUA PHỤ'!$A:$B,2,0)</f>
        <v>32000</v>
      </c>
      <c r="G106">
        <v>32000</v>
      </c>
      <c r="H106"/>
    </row>
    <row r="107" spans="1:8" hidden="1" x14ac:dyDescent="0.3">
      <c r="A107" t="s">
        <v>16</v>
      </c>
      <c r="B107" t="s">
        <v>507</v>
      </c>
      <c r="C107">
        <v>0</v>
      </c>
      <c r="D107" s="6">
        <v>45624</v>
      </c>
      <c r="E107" t="s">
        <v>1221</v>
      </c>
      <c r="F107" s="1">
        <f>VLOOKUP(E107,'[1]TIỀN MUA PHỤ'!$A:$B,2,0)</f>
        <v>13000</v>
      </c>
      <c r="G107">
        <v>13000</v>
      </c>
      <c r="H107"/>
    </row>
    <row r="108" spans="1:8" hidden="1" x14ac:dyDescent="0.3">
      <c r="A108" t="s">
        <v>101</v>
      </c>
      <c r="B108" t="s">
        <v>22</v>
      </c>
      <c r="C108">
        <v>0</v>
      </c>
      <c r="D108" s="6">
        <v>45624</v>
      </c>
      <c r="E108" t="s">
        <v>1222</v>
      </c>
      <c r="F108" s="1" t="e">
        <f>VLOOKUP(E108,'[1]TIỀN MUA PHỤ'!$A:$B,2,0)</f>
        <v>#N/A</v>
      </c>
      <c r="G108" t="e">
        <v>#N/A</v>
      </c>
      <c r="H108"/>
    </row>
    <row r="109" spans="1:8" hidden="1" x14ac:dyDescent="0.3">
      <c r="A109" t="s">
        <v>83</v>
      </c>
      <c r="B109" t="s">
        <v>507</v>
      </c>
      <c r="C109">
        <v>0</v>
      </c>
      <c r="D109" s="6">
        <v>45624</v>
      </c>
      <c r="E109" t="s">
        <v>1223</v>
      </c>
      <c r="F109" s="1" t="e">
        <f>VLOOKUP(E109,'[1]TIỀN MUA PHỤ'!$A:$B,2,0)</f>
        <v>#N/A</v>
      </c>
      <c r="G109" t="e">
        <v>#N/A</v>
      </c>
      <c r="H109"/>
    </row>
    <row r="110" spans="1:8" hidden="1" x14ac:dyDescent="0.3">
      <c r="A110" t="s">
        <v>83</v>
      </c>
      <c r="B110" t="s">
        <v>22</v>
      </c>
      <c r="C110">
        <v>0</v>
      </c>
      <c r="D110" s="6">
        <v>45624</v>
      </c>
      <c r="E110" t="s">
        <v>1223</v>
      </c>
      <c r="F110" s="1" t="e">
        <f>VLOOKUP(E110,'[1]TIỀN MUA PHỤ'!$A:$B,2,0)</f>
        <v>#N/A</v>
      </c>
      <c r="G110" t="e">
        <v>#N/A</v>
      </c>
      <c r="H110"/>
    </row>
    <row r="111" spans="1:8" hidden="1" x14ac:dyDescent="0.3">
      <c r="A111" t="s">
        <v>19</v>
      </c>
      <c r="B111" t="s">
        <v>507</v>
      </c>
      <c r="C111">
        <v>0</v>
      </c>
      <c r="D111" s="6">
        <v>45624</v>
      </c>
      <c r="E111" t="s">
        <v>1224</v>
      </c>
      <c r="F111" s="1">
        <f>VLOOKUP(E111,'[1]TIỀN MUA PHỤ'!$A:$B,2,0)</f>
        <v>11000</v>
      </c>
      <c r="G111">
        <v>11000</v>
      </c>
      <c r="H111"/>
    </row>
    <row r="112" spans="1:8" hidden="1" x14ac:dyDescent="0.3">
      <c r="A112" t="s">
        <v>25</v>
      </c>
      <c r="B112" t="s">
        <v>507</v>
      </c>
      <c r="C112">
        <v>0</v>
      </c>
      <c r="D112" s="6">
        <v>45624</v>
      </c>
      <c r="E112" t="s">
        <v>1225</v>
      </c>
      <c r="F112" s="1">
        <f>VLOOKUP(E112,'[1]TIỀN MUA PHỤ'!$A:$B,2,0)</f>
        <v>7000</v>
      </c>
      <c r="G112">
        <v>7000</v>
      </c>
      <c r="H112"/>
    </row>
    <row r="113" spans="1:7" customFormat="1" hidden="1" x14ac:dyDescent="0.3">
      <c r="A113" t="s">
        <v>10</v>
      </c>
      <c r="B113" t="s">
        <v>507</v>
      </c>
      <c r="C113">
        <v>0</v>
      </c>
      <c r="D113" s="6">
        <v>45624</v>
      </c>
      <c r="E113" t="s">
        <v>1226</v>
      </c>
      <c r="F113" s="1">
        <f>VLOOKUP(E113,'[1]TIỀN MUA PHỤ'!$A:$B,2,0)</f>
        <v>5500</v>
      </c>
      <c r="G113">
        <v>5500</v>
      </c>
    </row>
    <row r="114" spans="1:7" customFormat="1" hidden="1" x14ac:dyDescent="0.3">
      <c r="A114" t="s">
        <v>55</v>
      </c>
      <c r="B114" t="s">
        <v>507</v>
      </c>
      <c r="C114">
        <v>0</v>
      </c>
      <c r="D114" s="6">
        <v>45624</v>
      </c>
      <c r="E114" t="s">
        <v>1227</v>
      </c>
      <c r="F114" s="1">
        <f>VLOOKUP(E114,'[1]TIỀN MUA PHỤ'!$A:$B,2,0)</f>
        <v>9000</v>
      </c>
      <c r="G114">
        <v>9000</v>
      </c>
    </row>
    <row r="115" spans="1:7" customFormat="1" hidden="1" x14ac:dyDescent="0.3">
      <c r="A115" t="s">
        <v>55</v>
      </c>
      <c r="B115" t="s">
        <v>22</v>
      </c>
      <c r="C115">
        <v>0</v>
      </c>
      <c r="D115" s="6">
        <v>45624</v>
      </c>
      <c r="E115" t="s">
        <v>1227</v>
      </c>
      <c r="F115" s="1">
        <f>VLOOKUP(E115,'[1]TIỀN MUA PHỤ'!$A:$B,2,0)</f>
        <v>9000</v>
      </c>
      <c r="G115">
        <v>9000</v>
      </c>
    </row>
    <row r="116" spans="1:7" customFormat="1" hidden="1" x14ac:dyDescent="0.3">
      <c r="A116" t="s">
        <v>100</v>
      </c>
      <c r="B116" t="s">
        <v>507</v>
      </c>
      <c r="C116">
        <v>0</v>
      </c>
      <c r="D116" s="6">
        <v>45624</v>
      </c>
      <c r="E116" t="s">
        <v>1228</v>
      </c>
      <c r="F116" s="1" t="e">
        <f>VLOOKUP(E116,'[1]TIỀN MUA PHỤ'!$A:$B,2,0)</f>
        <v>#N/A</v>
      </c>
      <c r="G116" t="e">
        <v>#N/A</v>
      </c>
    </row>
    <row r="117" spans="1:7" customFormat="1" hidden="1" x14ac:dyDescent="0.3">
      <c r="A117" t="s">
        <v>100</v>
      </c>
      <c r="B117" t="s">
        <v>22</v>
      </c>
      <c r="C117">
        <v>0</v>
      </c>
      <c r="D117" s="6">
        <v>45624</v>
      </c>
      <c r="E117" t="s">
        <v>1228</v>
      </c>
      <c r="F117" s="1" t="e">
        <f>VLOOKUP(E117,'[1]TIỀN MUA PHỤ'!$A:$B,2,0)</f>
        <v>#N/A</v>
      </c>
      <c r="G117" t="e">
        <v>#N/A</v>
      </c>
    </row>
    <row r="118" spans="1:7" customFormat="1" hidden="1" x14ac:dyDescent="0.3">
      <c r="A118" t="s">
        <v>30</v>
      </c>
      <c r="B118" t="s">
        <v>507</v>
      </c>
      <c r="C118">
        <v>0</v>
      </c>
      <c r="D118" s="6">
        <v>45624</v>
      </c>
      <c r="E118" t="s">
        <v>1229</v>
      </c>
      <c r="F118" s="1">
        <f>VLOOKUP(E118,'[1]TIỀN MUA PHỤ'!$A:$B,2,0)</f>
        <v>14000</v>
      </c>
      <c r="G118">
        <v>14000</v>
      </c>
    </row>
    <row r="119" spans="1:7" customFormat="1" hidden="1" x14ac:dyDescent="0.3">
      <c r="A119" t="s">
        <v>128</v>
      </c>
      <c r="B119" t="s">
        <v>507</v>
      </c>
      <c r="C119">
        <v>0</v>
      </c>
      <c r="D119" s="6">
        <v>45624</v>
      </c>
      <c r="E119" t="s">
        <v>1230</v>
      </c>
      <c r="F119" s="1" t="e">
        <f>VLOOKUP(E119,'[1]TIỀN MUA PHỤ'!$A:$B,2,0)</f>
        <v>#N/A</v>
      </c>
      <c r="G119" t="e">
        <v>#N/A</v>
      </c>
    </row>
    <row r="120" spans="1:7" customFormat="1" hidden="1" x14ac:dyDescent="0.3">
      <c r="A120" t="s">
        <v>98</v>
      </c>
      <c r="B120" t="s">
        <v>507</v>
      </c>
      <c r="C120">
        <v>0</v>
      </c>
      <c r="D120" s="6">
        <v>45624</v>
      </c>
      <c r="E120" t="s">
        <v>1231</v>
      </c>
      <c r="F120" s="1">
        <f>VLOOKUP(E120,'[1]TIỀN MUA PHỤ'!$A:$B,2,0)</f>
        <v>28000</v>
      </c>
      <c r="G120">
        <v>28000</v>
      </c>
    </row>
    <row r="121" spans="1:7" customFormat="1" hidden="1" x14ac:dyDescent="0.3">
      <c r="A121" t="s">
        <v>1043</v>
      </c>
      <c r="B121" t="s">
        <v>48</v>
      </c>
      <c r="C121">
        <v>0</v>
      </c>
      <c r="D121" s="6">
        <v>45624</v>
      </c>
      <c r="E121" t="s">
        <v>1232</v>
      </c>
      <c r="F121" s="1" t="e">
        <f>VLOOKUP(E121,'[1]TIỀN MUA PHỤ'!$A:$B,2,0)</f>
        <v>#N/A</v>
      </c>
      <c r="G121" t="e">
        <v>#N/A</v>
      </c>
    </row>
    <row r="122" spans="1:7" customFormat="1" hidden="1" x14ac:dyDescent="0.3">
      <c r="A122" t="s">
        <v>1060</v>
      </c>
      <c r="B122" t="s">
        <v>507</v>
      </c>
      <c r="C122">
        <v>0</v>
      </c>
      <c r="D122" s="6">
        <v>45624</v>
      </c>
      <c r="E122" t="s">
        <v>1233</v>
      </c>
      <c r="F122" s="1" t="e">
        <f>VLOOKUP(E122,'[1]TIỀN MUA PHỤ'!$A:$B,2,0)</f>
        <v>#N/A</v>
      </c>
      <c r="G122" t="e">
        <v>#N/A</v>
      </c>
    </row>
    <row r="123" spans="1:7" customFormat="1" hidden="1" x14ac:dyDescent="0.3">
      <c r="A123" t="s">
        <v>1050</v>
      </c>
      <c r="B123" t="s">
        <v>22</v>
      </c>
      <c r="C123">
        <v>0</v>
      </c>
      <c r="D123" s="6">
        <v>45624</v>
      </c>
      <c r="E123" t="s">
        <v>1234</v>
      </c>
      <c r="F123" s="1" t="e">
        <f>VLOOKUP(E123,'[1]TIỀN MUA PHỤ'!$A:$B,2,0)</f>
        <v>#N/A</v>
      </c>
      <c r="G123" t="e">
        <v>#N/A</v>
      </c>
    </row>
    <row r="124" spans="1:7" customFormat="1" hidden="1" x14ac:dyDescent="0.3">
      <c r="A124" t="s">
        <v>1046</v>
      </c>
      <c r="B124" t="s">
        <v>22</v>
      </c>
      <c r="C124">
        <v>0</v>
      </c>
      <c r="D124" s="6">
        <v>45624</v>
      </c>
      <c r="E124" t="s">
        <v>1235</v>
      </c>
      <c r="F124" s="1" t="e">
        <f>VLOOKUP(E124,'[1]TIỀN MUA PHỤ'!$A:$B,2,0)</f>
        <v>#N/A</v>
      </c>
      <c r="G124" t="e">
        <v>#N/A</v>
      </c>
    </row>
    <row r="125" spans="1:7" customFormat="1" hidden="1" x14ac:dyDescent="0.3">
      <c r="A125" t="s">
        <v>1052</v>
      </c>
      <c r="B125" t="s">
        <v>9</v>
      </c>
      <c r="C125">
        <v>0</v>
      </c>
      <c r="D125" s="6">
        <v>45624</v>
      </c>
      <c r="E125" t="s">
        <v>1236</v>
      </c>
      <c r="F125" s="1" t="e">
        <f>VLOOKUP(E125,'[1]TIỀN MUA PHỤ'!$A:$B,2,0)</f>
        <v>#N/A</v>
      </c>
      <c r="G125" t="e">
        <v>#N/A</v>
      </c>
    </row>
    <row r="126" spans="1:7" customFormat="1" hidden="1" x14ac:dyDescent="0.3">
      <c r="A126" t="s">
        <v>1049</v>
      </c>
      <c r="B126" t="s">
        <v>507</v>
      </c>
      <c r="C126">
        <v>0</v>
      </c>
      <c r="D126" s="6">
        <v>45624</v>
      </c>
      <c r="E126" t="s">
        <v>1237</v>
      </c>
      <c r="F126" s="1" t="e">
        <f>VLOOKUP(E126,'[1]TIỀN MUA PHỤ'!$A:$B,2,0)</f>
        <v>#N/A</v>
      </c>
      <c r="G126" t="e">
        <v>#N/A</v>
      </c>
    </row>
  </sheetData>
  <autoFilter ref="A1:F126" xr:uid="{CC6A8D84-EA1E-4F3F-9F70-5803F9573CCA}">
    <filterColumn colId="2">
      <filters>
        <filter val="10"/>
        <filter val="100"/>
        <filter val="110"/>
        <filter val="150"/>
        <filter val="20"/>
        <filter val="200"/>
        <filter val="25"/>
        <filter val="260"/>
        <filter val="27"/>
        <filter val="3"/>
        <filter val="30"/>
        <filter val="300"/>
        <filter val="40"/>
        <filter val="400"/>
        <filter val="43"/>
        <filter val="460"/>
        <filter val="48"/>
        <filter val="5"/>
        <filter val="50"/>
        <filter val="500"/>
        <filter val="60"/>
        <filter val="70"/>
        <filter val="800"/>
        <filter val="84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CABD-7CA6-4AF9-80B6-64CECDB042DC}">
  <sheetPr filterMode="1"/>
  <dimension ref="A1:H132"/>
  <sheetViews>
    <sheetView workbookViewId="0">
      <selection activeCell="F26" sqref="F26"/>
    </sheetView>
  </sheetViews>
  <sheetFormatPr defaultRowHeight="14.4" x14ac:dyDescent="0.3"/>
  <cols>
    <col min="1" max="1" width="25.33203125" customWidth="1"/>
    <col min="4" max="4" width="10.5546875" bestFit="1" customWidth="1"/>
    <col min="5" max="5" width="27.5546875" customWidth="1"/>
    <col min="6" max="6" width="10.33203125" style="1" bestFit="1" customWidth="1"/>
    <col min="8" max="8" width="12.77734375" style="1" bestFit="1" customWidth="1"/>
  </cols>
  <sheetData>
    <row r="1" spans="1:8" x14ac:dyDescent="0.3">
      <c r="H1" s="1">
        <f>SUM(H2:H132)</f>
        <v>48280500</v>
      </c>
    </row>
    <row r="2" spans="1:8" x14ac:dyDescent="0.3">
      <c r="A2" t="s">
        <v>78</v>
      </c>
      <c r="B2" t="s">
        <v>507</v>
      </c>
      <c r="C2">
        <v>20</v>
      </c>
      <c r="D2" s="6">
        <v>45623</v>
      </c>
      <c r="E2" t="s">
        <v>1109</v>
      </c>
      <c r="F2" s="1">
        <f>VLOOKUP(E2,'[1]TIỀN MUA PHỤ'!$A:$B,2,0)</f>
        <v>30000</v>
      </c>
      <c r="G2">
        <v>30000</v>
      </c>
      <c r="H2" s="1">
        <f>C2*G2</f>
        <v>600000</v>
      </c>
    </row>
    <row r="3" spans="1:8" x14ac:dyDescent="0.3">
      <c r="A3" t="s">
        <v>79</v>
      </c>
      <c r="B3" t="s">
        <v>507</v>
      </c>
      <c r="C3">
        <v>20</v>
      </c>
      <c r="D3" s="6">
        <v>45623</v>
      </c>
      <c r="E3" t="s">
        <v>1110</v>
      </c>
      <c r="F3" s="1">
        <f>VLOOKUP(E3,'[1]TIỀN MUA PHỤ'!$A:$B,2,0)</f>
        <v>10000</v>
      </c>
      <c r="G3">
        <v>10000</v>
      </c>
      <c r="H3" s="1">
        <f>C3*G3</f>
        <v>200000</v>
      </c>
    </row>
    <row r="4" spans="1:8" hidden="1" x14ac:dyDescent="0.3">
      <c r="A4" t="s">
        <v>19</v>
      </c>
      <c r="B4" t="s">
        <v>507</v>
      </c>
      <c r="C4">
        <v>0</v>
      </c>
      <c r="F4"/>
      <c r="H4"/>
    </row>
    <row r="5" spans="1:8" hidden="1" x14ac:dyDescent="0.3">
      <c r="A5" t="s">
        <v>80</v>
      </c>
      <c r="B5" t="s">
        <v>507</v>
      </c>
      <c r="C5">
        <v>0</v>
      </c>
      <c r="F5"/>
      <c r="H5"/>
    </row>
    <row r="6" spans="1:8" ht="15.6" customHeight="1" x14ac:dyDescent="0.3">
      <c r="A6" t="s">
        <v>80</v>
      </c>
      <c r="B6" t="s">
        <v>44</v>
      </c>
      <c r="C6">
        <v>30</v>
      </c>
      <c r="D6" s="6">
        <v>45623</v>
      </c>
      <c r="E6" t="s">
        <v>1111</v>
      </c>
      <c r="F6" s="1">
        <f>VLOOKUP(E6,'[1]TIỀN MUA PHỤ'!$A:$B,2,0)*0.4</f>
        <v>3000</v>
      </c>
      <c r="G6">
        <v>3000</v>
      </c>
      <c r="H6" s="1">
        <f>C6*G6</f>
        <v>90000</v>
      </c>
    </row>
    <row r="7" spans="1:8" hidden="1" x14ac:dyDescent="0.3">
      <c r="A7" t="s">
        <v>88</v>
      </c>
      <c r="B7" t="s">
        <v>507</v>
      </c>
      <c r="C7">
        <v>0</v>
      </c>
      <c r="F7"/>
      <c r="H7"/>
    </row>
    <row r="8" spans="1:8" hidden="1" x14ac:dyDescent="0.3">
      <c r="A8" t="s">
        <v>126</v>
      </c>
      <c r="B8" t="s">
        <v>507</v>
      </c>
      <c r="C8">
        <v>0</v>
      </c>
      <c r="F8"/>
      <c r="H8"/>
    </row>
    <row r="9" spans="1:8" x14ac:dyDescent="0.3">
      <c r="A9" t="s">
        <v>41</v>
      </c>
      <c r="B9" t="s">
        <v>42</v>
      </c>
      <c r="C9">
        <v>300</v>
      </c>
      <c r="D9" s="6">
        <v>45623</v>
      </c>
      <c r="E9" t="s">
        <v>1112</v>
      </c>
      <c r="F9" s="1">
        <f>VLOOKUP(E9,'[1]TIỀN MUA PHỤ'!$A:$B,2,0)*0.3</f>
        <v>2700</v>
      </c>
      <c r="G9">
        <v>2700</v>
      </c>
      <c r="H9" s="1">
        <f>C9*G9</f>
        <v>810000</v>
      </c>
    </row>
    <row r="10" spans="1:8" hidden="1" x14ac:dyDescent="0.3">
      <c r="A10" t="s">
        <v>41</v>
      </c>
      <c r="B10" t="s">
        <v>507</v>
      </c>
      <c r="C10">
        <v>0</v>
      </c>
      <c r="F10"/>
      <c r="H10"/>
    </row>
    <row r="11" spans="1:8" x14ac:dyDescent="0.3">
      <c r="A11" t="s">
        <v>43</v>
      </c>
      <c r="B11" t="s">
        <v>507</v>
      </c>
      <c r="C11">
        <v>20</v>
      </c>
      <c r="D11" s="6">
        <v>45623</v>
      </c>
      <c r="E11" t="s">
        <v>1113</v>
      </c>
      <c r="F11" s="1">
        <f>VLOOKUP(E11,'[1]TIỀN MUA PHỤ'!$A:$B,2,0)</f>
        <v>10000</v>
      </c>
      <c r="G11">
        <v>10000</v>
      </c>
      <c r="H11" s="1">
        <f t="shared" ref="H11:H13" si="0">C11*G11</f>
        <v>200000</v>
      </c>
    </row>
    <row r="12" spans="1:8" x14ac:dyDescent="0.3">
      <c r="A12" t="s">
        <v>43</v>
      </c>
      <c r="B12" t="s">
        <v>44</v>
      </c>
      <c r="C12">
        <v>187</v>
      </c>
      <c r="D12" s="6">
        <v>45623</v>
      </c>
      <c r="E12" t="s">
        <v>1113</v>
      </c>
      <c r="F12" s="1">
        <f>VLOOKUP(E12,'[1]TIỀN MUA PHỤ'!$A:$B,2,0)*0.3</f>
        <v>3000</v>
      </c>
      <c r="G12">
        <v>3000</v>
      </c>
      <c r="H12" s="1">
        <f t="shared" si="0"/>
        <v>561000</v>
      </c>
    </row>
    <row r="13" spans="1:8" x14ac:dyDescent="0.3">
      <c r="A13" t="s">
        <v>67</v>
      </c>
      <c r="B13" t="s">
        <v>507</v>
      </c>
      <c r="C13">
        <v>80</v>
      </c>
      <c r="D13" s="6">
        <v>45623</v>
      </c>
      <c r="E13" t="s">
        <v>1114</v>
      </c>
      <c r="F13" s="1">
        <f>VLOOKUP(E13,'[1]TIỀN MUA PHỤ'!$A:$B,2,0)</f>
        <v>41000</v>
      </c>
      <c r="G13">
        <v>41000</v>
      </c>
      <c r="H13" s="1">
        <f t="shared" si="0"/>
        <v>3280000</v>
      </c>
    </row>
    <row r="14" spans="1:8" hidden="1" x14ac:dyDescent="0.3">
      <c r="A14" t="s">
        <v>75</v>
      </c>
      <c r="B14" t="s">
        <v>507</v>
      </c>
      <c r="C14">
        <v>0</v>
      </c>
      <c r="F14"/>
      <c r="H14"/>
    </row>
    <row r="15" spans="1:8" x14ac:dyDescent="0.3">
      <c r="A15" t="s">
        <v>17</v>
      </c>
      <c r="B15" t="s">
        <v>507</v>
      </c>
      <c r="C15">
        <v>25</v>
      </c>
      <c r="D15" s="6">
        <v>45623</v>
      </c>
      <c r="E15" t="s">
        <v>1115</v>
      </c>
      <c r="F15" s="1">
        <f>VLOOKUP(E15,'[1]TIỀN MUA PHỤ'!$A:$B,2,0)</f>
        <v>32000</v>
      </c>
      <c r="G15">
        <v>32000</v>
      </c>
      <c r="H15" s="1">
        <f>C15*G15</f>
        <v>800000</v>
      </c>
    </row>
    <row r="16" spans="1:8" hidden="1" x14ac:dyDescent="0.3">
      <c r="A16" t="s">
        <v>18</v>
      </c>
      <c r="B16" t="s">
        <v>507</v>
      </c>
      <c r="C16">
        <v>0</v>
      </c>
      <c r="F16"/>
      <c r="H16"/>
    </row>
    <row r="17" spans="1:8" x14ac:dyDescent="0.3">
      <c r="A17" t="s">
        <v>18</v>
      </c>
      <c r="B17" t="s">
        <v>1055</v>
      </c>
      <c r="C17">
        <v>15</v>
      </c>
      <c r="D17" s="6">
        <v>45623</v>
      </c>
      <c r="E17" t="s">
        <v>1116</v>
      </c>
      <c r="F17" s="1">
        <f>VLOOKUP(E17,'[1]TIỀN MUA PHỤ'!$A:$B,2,0)/10</f>
        <v>4700</v>
      </c>
      <c r="G17">
        <v>4700</v>
      </c>
      <c r="H17" s="1">
        <f t="shared" ref="H17:H18" si="1">C17*G17</f>
        <v>70500</v>
      </c>
    </row>
    <row r="18" spans="1:8" x14ac:dyDescent="0.3">
      <c r="A18" t="s">
        <v>45</v>
      </c>
      <c r="B18" t="s">
        <v>507</v>
      </c>
      <c r="C18">
        <v>220</v>
      </c>
      <c r="D18" s="6">
        <v>45623</v>
      </c>
      <c r="E18" t="s">
        <v>1117</v>
      </c>
      <c r="F18" s="1">
        <f>VLOOKUP(E18,'[1]TIỀN MUA PHỤ'!$A:$B,2,0)</f>
        <v>16000</v>
      </c>
      <c r="G18">
        <v>16000</v>
      </c>
      <c r="H18" s="1">
        <f t="shared" si="1"/>
        <v>3520000</v>
      </c>
    </row>
    <row r="19" spans="1:8" hidden="1" x14ac:dyDescent="0.3">
      <c r="A19" t="s">
        <v>89</v>
      </c>
      <c r="B19" t="s">
        <v>507</v>
      </c>
      <c r="C19">
        <v>0</v>
      </c>
      <c r="F19"/>
      <c r="H19"/>
    </row>
    <row r="20" spans="1:8" x14ac:dyDescent="0.3">
      <c r="A20" t="s">
        <v>89</v>
      </c>
      <c r="B20" t="s">
        <v>105</v>
      </c>
      <c r="C20">
        <v>160</v>
      </c>
      <c r="D20" s="6">
        <v>45623</v>
      </c>
      <c r="E20" t="s">
        <v>1118</v>
      </c>
      <c r="F20" s="1">
        <f>VLOOKUP(E20,'[1]TIỀN MUA PHỤ'!$A:$B,2,0)/2</f>
        <v>7500</v>
      </c>
      <c r="G20">
        <v>7500</v>
      </c>
      <c r="H20" s="1">
        <f>C20*G20</f>
        <v>1200000</v>
      </c>
    </row>
    <row r="21" spans="1:8" hidden="1" x14ac:dyDescent="0.3">
      <c r="A21" t="s">
        <v>70</v>
      </c>
      <c r="B21" t="s">
        <v>507</v>
      </c>
      <c r="C21">
        <v>0</v>
      </c>
      <c r="F21"/>
      <c r="H21"/>
    </row>
    <row r="22" spans="1:8" x14ac:dyDescent="0.3">
      <c r="A22" t="s">
        <v>70</v>
      </c>
      <c r="B22" t="s">
        <v>106</v>
      </c>
      <c r="C22">
        <v>150</v>
      </c>
      <c r="D22" s="6">
        <v>45623</v>
      </c>
      <c r="E22" t="s">
        <v>1119</v>
      </c>
      <c r="F22" s="1">
        <f>VLOOKUP(E22,'[1]TIỀN MUA PHỤ'!$A:$B,2,0)</f>
        <v>8700</v>
      </c>
      <c r="G22">
        <v>8700</v>
      </c>
      <c r="H22" s="1">
        <f>C22*G22</f>
        <v>1305000</v>
      </c>
    </row>
    <row r="23" spans="1:8" hidden="1" x14ac:dyDescent="0.3">
      <c r="A23" t="s">
        <v>47</v>
      </c>
      <c r="B23" t="s">
        <v>507</v>
      </c>
      <c r="C23">
        <v>0</v>
      </c>
      <c r="F23"/>
      <c r="H23"/>
    </row>
    <row r="24" spans="1:8" x14ac:dyDescent="0.3">
      <c r="A24" t="s">
        <v>47</v>
      </c>
      <c r="B24" t="s">
        <v>1056</v>
      </c>
      <c r="C24">
        <v>50</v>
      </c>
      <c r="D24" s="6">
        <v>45623</v>
      </c>
      <c r="E24" t="s">
        <v>1120</v>
      </c>
      <c r="F24" s="1">
        <f>VLOOKUP(E24,'[1]TIỀN MUA PHỤ'!$A:$B,2,0)*0.3</f>
        <v>15450</v>
      </c>
      <c r="G24">
        <v>15450</v>
      </c>
      <c r="H24" s="1">
        <f>C24*G24</f>
        <v>772500</v>
      </c>
    </row>
    <row r="25" spans="1:8" hidden="1" x14ac:dyDescent="0.3">
      <c r="A25" t="s">
        <v>49</v>
      </c>
      <c r="B25" t="s">
        <v>507</v>
      </c>
      <c r="C25">
        <v>0</v>
      </c>
      <c r="F25"/>
      <c r="H25"/>
    </row>
    <row r="26" spans="1:8" x14ac:dyDescent="0.3">
      <c r="A26" t="s">
        <v>49</v>
      </c>
      <c r="B26" t="s">
        <v>106</v>
      </c>
      <c r="C26">
        <v>120</v>
      </c>
      <c r="D26" s="6">
        <v>45623</v>
      </c>
      <c r="E26" t="s">
        <v>1121</v>
      </c>
      <c r="F26" s="1">
        <f>VLOOKUP(E26,'[1]TIỀN MUA PHỤ'!$A:$B,2,0)*0.3</f>
        <v>12450</v>
      </c>
      <c r="G26">
        <v>12450</v>
      </c>
      <c r="H26" s="1">
        <f t="shared" ref="H26:H27" si="2">C26*G26</f>
        <v>1494000</v>
      </c>
    </row>
    <row r="27" spans="1:8" x14ac:dyDescent="0.3">
      <c r="A27" t="s">
        <v>50</v>
      </c>
      <c r="B27" t="s">
        <v>507</v>
      </c>
      <c r="C27">
        <v>80</v>
      </c>
      <c r="D27" s="6">
        <v>45623</v>
      </c>
      <c r="E27" t="s">
        <v>1122</v>
      </c>
      <c r="F27" s="1">
        <f>VLOOKUP(E27,'[1]TIỀN MUA PHỤ'!$A:$B,2,0)</f>
        <v>17000</v>
      </c>
      <c r="G27">
        <v>17000</v>
      </c>
      <c r="H27" s="1">
        <f t="shared" si="2"/>
        <v>1360000</v>
      </c>
    </row>
    <row r="28" spans="1:8" hidden="1" x14ac:dyDescent="0.3">
      <c r="A28" t="s">
        <v>50</v>
      </c>
      <c r="B28" t="s">
        <v>1055</v>
      </c>
      <c r="C28">
        <v>0</v>
      </c>
      <c r="F28"/>
      <c r="H28"/>
    </row>
    <row r="29" spans="1:8" x14ac:dyDescent="0.3">
      <c r="A29" t="s">
        <v>6</v>
      </c>
      <c r="B29" t="s">
        <v>507</v>
      </c>
      <c r="C29">
        <v>40</v>
      </c>
      <c r="D29" s="6">
        <v>45623</v>
      </c>
      <c r="E29" t="s">
        <v>1123</v>
      </c>
      <c r="F29" s="1">
        <f>VLOOKUP(E29,'[1]TIỀN MUA PHỤ'!$A:$B,2,0)</f>
        <v>14000</v>
      </c>
      <c r="G29">
        <v>14000</v>
      </c>
      <c r="H29" s="1">
        <f>C29*G29</f>
        <v>560000</v>
      </c>
    </row>
    <row r="30" spans="1:8" hidden="1" x14ac:dyDescent="0.3">
      <c r="A30" t="s">
        <v>6</v>
      </c>
      <c r="B30" t="s">
        <v>1057</v>
      </c>
      <c r="C30">
        <v>0</v>
      </c>
      <c r="F30"/>
      <c r="H30"/>
    </row>
    <row r="31" spans="1:8" hidden="1" x14ac:dyDescent="0.3">
      <c r="A31" t="s">
        <v>8</v>
      </c>
      <c r="B31" t="s">
        <v>507</v>
      </c>
      <c r="C31">
        <v>0</v>
      </c>
      <c r="F31"/>
      <c r="H31"/>
    </row>
    <row r="32" spans="1:8" x14ac:dyDescent="0.3">
      <c r="A32" t="s">
        <v>8</v>
      </c>
      <c r="B32" t="s">
        <v>1055</v>
      </c>
      <c r="C32">
        <v>80</v>
      </c>
      <c r="D32" s="6">
        <v>45623</v>
      </c>
      <c r="E32" t="s">
        <v>1124</v>
      </c>
      <c r="F32" s="1">
        <f>VLOOKUP(E32,'[1]TIỀN MUA PHỤ'!$A:$B,2,0)/5</f>
        <v>8000</v>
      </c>
      <c r="G32">
        <v>8000</v>
      </c>
      <c r="H32" s="1">
        <f>C32*G32</f>
        <v>640000</v>
      </c>
    </row>
    <row r="33" spans="1:8" hidden="1" x14ac:dyDescent="0.3">
      <c r="A33" t="s">
        <v>1043</v>
      </c>
      <c r="B33" t="s">
        <v>1056</v>
      </c>
      <c r="C33">
        <v>0</v>
      </c>
      <c r="F33"/>
      <c r="H33"/>
    </row>
    <row r="34" spans="1:8" x14ac:dyDescent="0.3">
      <c r="A34" t="s">
        <v>20</v>
      </c>
      <c r="B34" t="s">
        <v>507</v>
      </c>
      <c r="C34">
        <v>40</v>
      </c>
      <c r="D34" s="6">
        <v>45623</v>
      </c>
      <c r="E34" t="s">
        <v>1125</v>
      </c>
      <c r="F34" s="1">
        <f>VLOOKUP(E34,'[1]TIỀN MUA PHỤ'!$A:$B,2,0)</f>
        <v>16000</v>
      </c>
      <c r="G34">
        <v>16000</v>
      </c>
      <c r="H34" s="1">
        <f>C34*G34</f>
        <v>640000</v>
      </c>
    </row>
    <row r="35" spans="1:8" hidden="1" x14ac:dyDescent="0.3">
      <c r="A35" t="s">
        <v>20</v>
      </c>
      <c r="B35" t="s">
        <v>1057</v>
      </c>
      <c r="C35">
        <v>0</v>
      </c>
      <c r="F35"/>
      <c r="H35"/>
    </row>
    <row r="36" spans="1:8" hidden="1" x14ac:dyDescent="0.3">
      <c r="A36" t="s">
        <v>21</v>
      </c>
      <c r="B36" t="s">
        <v>507</v>
      </c>
      <c r="C36">
        <v>0</v>
      </c>
      <c r="F36"/>
      <c r="H36"/>
    </row>
    <row r="37" spans="1:8" hidden="1" x14ac:dyDescent="0.3">
      <c r="A37" t="s">
        <v>23</v>
      </c>
      <c r="B37" t="s">
        <v>507</v>
      </c>
      <c r="C37">
        <v>0</v>
      </c>
      <c r="F37"/>
      <c r="H37"/>
    </row>
    <row r="38" spans="1:8" x14ac:dyDescent="0.3">
      <c r="A38" t="s">
        <v>23</v>
      </c>
      <c r="B38" t="s">
        <v>1057</v>
      </c>
      <c r="C38">
        <v>150</v>
      </c>
      <c r="D38" s="6">
        <v>45623</v>
      </c>
      <c r="E38" t="s">
        <v>1126</v>
      </c>
      <c r="F38" s="1">
        <f>VLOOKUP(E38,'[1]TIỀN MUA PHỤ'!$A:$B,2,0)*0.3</f>
        <v>6900</v>
      </c>
      <c r="G38">
        <v>6900</v>
      </c>
      <c r="H38" s="1">
        <f>C38*G38</f>
        <v>1035000</v>
      </c>
    </row>
    <row r="39" spans="1:8" hidden="1" x14ac:dyDescent="0.3">
      <c r="A39" t="s">
        <v>23</v>
      </c>
      <c r="B39" t="s">
        <v>24</v>
      </c>
      <c r="C39">
        <v>0</v>
      </c>
      <c r="F39"/>
      <c r="H39"/>
    </row>
    <row r="40" spans="1:8" hidden="1" x14ac:dyDescent="0.3">
      <c r="A40" t="s">
        <v>25</v>
      </c>
      <c r="B40" t="s">
        <v>507</v>
      </c>
      <c r="C40">
        <v>0</v>
      </c>
      <c r="F40"/>
      <c r="H40"/>
    </row>
    <row r="41" spans="1:8" hidden="1" x14ac:dyDescent="0.3">
      <c r="A41" t="s">
        <v>26</v>
      </c>
      <c r="B41" t="s">
        <v>507</v>
      </c>
      <c r="C41">
        <v>0</v>
      </c>
      <c r="F41"/>
      <c r="H41"/>
    </row>
    <row r="42" spans="1:8" hidden="1" x14ac:dyDescent="0.3">
      <c r="A42" t="s">
        <v>26</v>
      </c>
      <c r="B42" t="s">
        <v>1057</v>
      </c>
      <c r="C42">
        <v>0</v>
      </c>
      <c r="F42"/>
      <c r="H42"/>
    </row>
    <row r="43" spans="1:8" x14ac:dyDescent="0.3">
      <c r="A43" t="s">
        <v>26</v>
      </c>
      <c r="B43" t="s">
        <v>27</v>
      </c>
      <c r="C43">
        <v>160</v>
      </c>
      <c r="D43" s="6">
        <v>45623</v>
      </c>
      <c r="E43" t="s">
        <v>1127</v>
      </c>
      <c r="F43" s="1">
        <v>10000</v>
      </c>
      <c r="G43">
        <v>10000</v>
      </c>
      <c r="H43" s="1">
        <f>C43*G43</f>
        <v>1600000</v>
      </c>
    </row>
    <row r="44" spans="1:8" hidden="1" x14ac:dyDescent="0.3">
      <c r="A44" t="s">
        <v>51</v>
      </c>
      <c r="B44" t="s">
        <v>507</v>
      </c>
      <c r="C44">
        <v>0</v>
      </c>
      <c r="F44"/>
      <c r="H44"/>
    </row>
    <row r="45" spans="1:8" x14ac:dyDescent="0.3">
      <c r="A45" t="s">
        <v>51</v>
      </c>
      <c r="B45" t="s">
        <v>1055</v>
      </c>
      <c r="C45">
        <v>27</v>
      </c>
      <c r="D45" s="6">
        <v>45623</v>
      </c>
      <c r="E45" t="s">
        <v>1128</v>
      </c>
      <c r="F45" s="1">
        <f>VLOOKUP(E45,'[1]TIỀN MUA PHỤ'!$A:$B,2,0)/4</f>
        <v>6500</v>
      </c>
      <c r="G45">
        <v>6500</v>
      </c>
      <c r="H45" s="1">
        <f>C45*G45</f>
        <v>175500</v>
      </c>
    </row>
    <row r="46" spans="1:8" hidden="1" x14ac:dyDescent="0.3">
      <c r="A46" t="s">
        <v>1044</v>
      </c>
      <c r="B46" t="s">
        <v>507</v>
      </c>
      <c r="C46">
        <v>0</v>
      </c>
      <c r="F46"/>
      <c r="H46"/>
    </row>
    <row r="47" spans="1:8" hidden="1" x14ac:dyDescent="0.3">
      <c r="A47" t="s">
        <v>103</v>
      </c>
      <c r="B47" t="s">
        <v>507</v>
      </c>
      <c r="C47">
        <v>0</v>
      </c>
      <c r="F47"/>
      <c r="H47"/>
    </row>
    <row r="48" spans="1:8" x14ac:dyDescent="0.3">
      <c r="A48" t="s">
        <v>103</v>
      </c>
      <c r="B48" t="s">
        <v>1056</v>
      </c>
      <c r="C48">
        <v>60</v>
      </c>
      <c r="D48" s="6">
        <v>45623</v>
      </c>
      <c r="E48" t="s">
        <v>1129</v>
      </c>
      <c r="F48" s="1">
        <f>VLOOKUP(E48,'[1]TIỀN MUA PHỤ'!$A:$B,2,0)</f>
        <v>9500</v>
      </c>
      <c r="G48">
        <v>9500</v>
      </c>
      <c r="H48" s="1">
        <f t="shared" ref="H48:H50" si="3">C48*G48</f>
        <v>570000</v>
      </c>
    </row>
    <row r="49" spans="1:8" x14ac:dyDescent="0.3">
      <c r="A49" t="s">
        <v>10</v>
      </c>
      <c r="B49" t="s">
        <v>507</v>
      </c>
      <c r="C49">
        <v>20</v>
      </c>
      <c r="D49" s="6">
        <v>45623</v>
      </c>
      <c r="E49" t="s">
        <v>1130</v>
      </c>
      <c r="F49" s="1">
        <f>VLOOKUP(E49,'[1]TIỀN MUA PHỤ'!$A:$B,2,0)</f>
        <v>5500</v>
      </c>
      <c r="G49">
        <v>5500</v>
      </c>
      <c r="H49" s="1">
        <f t="shared" si="3"/>
        <v>110000</v>
      </c>
    </row>
    <row r="50" spans="1:8" x14ac:dyDescent="0.3">
      <c r="A50" t="s">
        <v>11</v>
      </c>
      <c r="B50" t="s">
        <v>507</v>
      </c>
      <c r="C50">
        <v>40</v>
      </c>
      <c r="D50" s="6">
        <v>45623</v>
      </c>
      <c r="E50" t="s">
        <v>1131</v>
      </c>
      <c r="F50" s="1">
        <f>VLOOKUP(E50,'[1]TIỀN MUA PHỤ'!$A:$B,2,0)</f>
        <v>18000</v>
      </c>
      <c r="G50">
        <v>18000</v>
      </c>
      <c r="H50" s="1">
        <f t="shared" si="3"/>
        <v>720000</v>
      </c>
    </row>
    <row r="51" spans="1:8" hidden="1" x14ac:dyDescent="0.3">
      <c r="A51" t="s">
        <v>12</v>
      </c>
      <c r="B51" t="s">
        <v>507</v>
      </c>
      <c r="C51">
        <v>0</v>
      </c>
      <c r="F51"/>
      <c r="H51"/>
    </row>
    <row r="52" spans="1:8" hidden="1" x14ac:dyDescent="0.3">
      <c r="A52" t="s">
        <v>12</v>
      </c>
      <c r="B52" t="s">
        <v>107</v>
      </c>
      <c r="C52">
        <v>0</v>
      </c>
      <c r="F52"/>
      <c r="H52"/>
    </row>
    <row r="53" spans="1:8" hidden="1" x14ac:dyDescent="0.3">
      <c r="A53" t="s">
        <v>91</v>
      </c>
      <c r="B53" t="s">
        <v>507</v>
      </c>
      <c r="C53">
        <v>0</v>
      </c>
      <c r="F53"/>
      <c r="H53"/>
    </row>
    <row r="54" spans="1:8" hidden="1" x14ac:dyDescent="0.3">
      <c r="A54" t="s">
        <v>91</v>
      </c>
      <c r="B54" t="s">
        <v>1057</v>
      </c>
      <c r="C54">
        <v>0</v>
      </c>
      <c r="F54"/>
      <c r="H54"/>
    </row>
    <row r="55" spans="1:8" x14ac:dyDescent="0.3">
      <c r="A55" t="s">
        <v>13</v>
      </c>
      <c r="B55" t="s">
        <v>507</v>
      </c>
      <c r="C55">
        <v>100</v>
      </c>
      <c r="D55" s="6">
        <v>45623</v>
      </c>
      <c r="E55" t="s">
        <v>1132</v>
      </c>
      <c r="F55" s="1">
        <v>23000</v>
      </c>
      <c r="G55">
        <v>23000</v>
      </c>
      <c r="H55" s="1">
        <f>C55*G55</f>
        <v>2300000</v>
      </c>
    </row>
    <row r="56" spans="1:8" hidden="1" x14ac:dyDescent="0.3">
      <c r="A56" t="s">
        <v>13</v>
      </c>
      <c r="B56" t="s">
        <v>1057</v>
      </c>
      <c r="C56">
        <v>0</v>
      </c>
      <c r="F56"/>
      <c r="H56"/>
    </row>
    <row r="57" spans="1:8" x14ac:dyDescent="0.3">
      <c r="A57" t="s">
        <v>14</v>
      </c>
      <c r="B57" t="s">
        <v>507</v>
      </c>
      <c r="C57">
        <v>100</v>
      </c>
      <c r="D57" s="6">
        <v>45623</v>
      </c>
      <c r="E57" t="s">
        <v>1133</v>
      </c>
      <c r="F57" s="1">
        <f>VLOOKUP(E57,'[1]TIỀN MUA PHỤ'!$A:$B,2,0)</f>
        <v>16000</v>
      </c>
      <c r="G57">
        <v>16000</v>
      </c>
      <c r="H57" s="1">
        <f>C57*G57</f>
        <v>1600000</v>
      </c>
    </row>
    <row r="58" spans="1:8" hidden="1" x14ac:dyDescent="0.3">
      <c r="A58" t="s">
        <v>14</v>
      </c>
      <c r="B58" t="s">
        <v>1057</v>
      </c>
      <c r="C58">
        <v>0</v>
      </c>
      <c r="F58"/>
      <c r="H58"/>
    </row>
    <row r="59" spans="1:8" hidden="1" x14ac:dyDescent="0.3">
      <c r="A59" t="s">
        <v>15</v>
      </c>
      <c r="B59" t="s">
        <v>507</v>
      </c>
      <c r="C59">
        <v>0</v>
      </c>
      <c r="F59"/>
      <c r="H59"/>
    </row>
    <row r="60" spans="1:8" hidden="1" x14ac:dyDescent="0.3">
      <c r="A60" t="s">
        <v>127</v>
      </c>
      <c r="B60" t="s">
        <v>507</v>
      </c>
      <c r="C60">
        <v>0</v>
      </c>
      <c r="F60"/>
      <c r="H60"/>
    </row>
    <row r="61" spans="1:8" hidden="1" x14ac:dyDescent="0.3">
      <c r="A61" t="s">
        <v>93</v>
      </c>
      <c r="B61" t="s">
        <v>507</v>
      </c>
      <c r="C61">
        <v>0</v>
      </c>
      <c r="F61"/>
      <c r="H61"/>
    </row>
    <row r="62" spans="1:8" hidden="1" x14ac:dyDescent="0.3">
      <c r="A62" t="s">
        <v>93</v>
      </c>
      <c r="B62" t="s">
        <v>1057</v>
      </c>
      <c r="C62">
        <v>0</v>
      </c>
      <c r="F62"/>
      <c r="H62"/>
    </row>
    <row r="63" spans="1:8" hidden="1" x14ac:dyDescent="0.3">
      <c r="A63" t="s">
        <v>16</v>
      </c>
      <c r="B63" t="s">
        <v>507</v>
      </c>
      <c r="C63">
        <v>0</v>
      </c>
      <c r="F63"/>
      <c r="H63"/>
    </row>
    <row r="64" spans="1:8" hidden="1" x14ac:dyDescent="0.3">
      <c r="A64" t="s">
        <v>104</v>
      </c>
      <c r="B64" t="s">
        <v>507</v>
      </c>
      <c r="C64">
        <v>0</v>
      </c>
      <c r="F64"/>
      <c r="H64"/>
    </row>
    <row r="65" spans="1:8" hidden="1" x14ac:dyDescent="0.3">
      <c r="A65" t="s">
        <v>104</v>
      </c>
      <c r="B65" t="s">
        <v>1057</v>
      </c>
      <c r="C65">
        <v>0</v>
      </c>
      <c r="F65"/>
      <c r="H65"/>
    </row>
    <row r="66" spans="1:8" hidden="1" x14ac:dyDescent="0.3">
      <c r="A66" t="s">
        <v>87</v>
      </c>
      <c r="B66" t="s">
        <v>507</v>
      </c>
      <c r="C66">
        <v>0</v>
      </c>
      <c r="F66"/>
      <c r="H66"/>
    </row>
    <row r="67" spans="1:8" x14ac:dyDescent="0.3">
      <c r="A67" t="s">
        <v>87</v>
      </c>
      <c r="B67" t="s">
        <v>107</v>
      </c>
      <c r="C67">
        <v>40</v>
      </c>
      <c r="D67" s="6">
        <v>45623</v>
      </c>
      <c r="E67" t="s">
        <v>1134</v>
      </c>
      <c r="F67" s="1">
        <f>VLOOKUP(E67,'[1]TIỀN MUA PHỤ'!$A:$B,2,0)</f>
        <v>6500</v>
      </c>
      <c r="G67">
        <v>6500</v>
      </c>
      <c r="H67" s="1">
        <f t="shared" ref="H67:H68" si="4">C67*G67</f>
        <v>260000</v>
      </c>
    </row>
    <row r="68" spans="1:8" x14ac:dyDescent="0.3">
      <c r="A68" t="s">
        <v>95</v>
      </c>
      <c r="B68" t="s">
        <v>507</v>
      </c>
      <c r="C68">
        <v>4</v>
      </c>
      <c r="D68" s="6">
        <v>45623</v>
      </c>
      <c r="E68" t="s">
        <v>1135</v>
      </c>
      <c r="F68" s="1">
        <f>VLOOKUP(E68,'[1]TIỀN MUA PHỤ'!$A:$B,2,0)</f>
        <v>80000</v>
      </c>
      <c r="G68">
        <v>80000</v>
      </c>
      <c r="H68" s="1">
        <f t="shared" si="4"/>
        <v>320000</v>
      </c>
    </row>
    <row r="69" spans="1:8" hidden="1" x14ac:dyDescent="0.3">
      <c r="A69" t="s">
        <v>95</v>
      </c>
      <c r="B69" t="s">
        <v>1055</v>
      </c>
      <c r="C69">
        <v>0</v>
      </c>
      <c r="F69"/>
      <c r="H69"/>
    </row>
    <row r="70" spans="1:8" hidden="1" x14ac:dyDescent="0.3">
      <c r="A70" t="s">
        <v>1046</v>
      </c>
      <c r="B70" t="s">
        <v>1057</v>
      </c>
      <c r="C70">
        <v>0</v>
      </c>
      <c r="F70"/>
      <c r="H70"/>
    </row>
    <row r="71" spans="1:8" hidden="1" x14ac:dyDescent="0.3">
      <c r="A71" t="s">
        <v>53</v>
      </c>
      <c r="B71" t="s">
        <v>507</v>
      </c>
      <c r="C71">
        <v>0</v>
      </c>
      <c r="F71"/>
      <c r="H71"/>
    </row>
    <row r="72" spans="1:8" x14ac:dyDescent="0.3">
      <c r="A72" t="s">
        <v>53</v>
      </c>
      <c r="B72" t="s">
        <v>1055</v>
      </c>
      <c r="C72">
        <v>500</v>
      </c>
      <c r="D72" s="6">
        <v>45623</v>
      </c>
      <c r="E72" t="s">
        <v>1136</v>
      </c>
      <c r="F72" s="1">
        <f>VLOOKUP(E72,'[1]TIỀN MUA PHỤ'!$A:$B,2,0)</f>
        <v>6000</v>
      </c>
      <c r="G72">
        <v>6000</v>
      </c>
      <c r="H72" s="1">
        <f>C72*G72</f>
        <v>3000000</v>
      </c>
    </row>
    <row r="73" spans="1:8" hidden="1" x14ac:dyDescent="0.3">
      <c r="A73" t="s">
        <v>55</v>
      </c>
      <c r="B73" t="s">
        <v>507</v>
      </c>
      <c r="C73">
        <v>0</v>
      </c>
      <c r="F73"/>
      <c r="H73"/>
    </row>
    <row r="74" spans="1:8" x14ac:dyDescent="0.3">
      <c r="A74" t="s">
        <v>55</v>
      </c>
      <c r="B74" t="s">
        <v>1057</v>
      </c>
      <c r="C74">
        <v>30</v>
      </c>
      <c r="D74" s="6">
        <v>45623</v>
      </c>
      <c r="E74" t="s">
        <v>1137</v>
      </c>
      <c r="F74" s="1">
        <f>VLOOKUP(E74,'[1]TIỀN MUA PHỤ'!$A:$B,2,0)*0.6</f>
        <v>5400</v>
      </c>
      <c r="G74">
        <v>5400</v>
      </c>
      <c r="H74" s="1">
        <f t="shared" ref="H74:H75" si="5">C74*G74</f>
        <v>162000</v>
      </c>
    </row>
    <row r="75" spans="1:8" x14ac:dyDescent="0.3">
      <c r="A75" t="s">
        <v>56</v>
      </c>
      <c r="B75" t="s">
        <v>507</v>
      </c>
      <c r="C75">
        <v>20</v>
      </c>
      <c r="D75" s="6">
        <v>45623</v>
      </c>
      <c r="E75" t="s">
        <v>1138</v>
      </c>
      <c r="F75" s="1">
        <f>VLOOKUP(E75,'[1]TIỀN MUA PHỤ'!$A:$B,2,0)</f>
        <v>4000</v>
      </c>
      <c r="G75">
        <v>4000</v>
      </c>
      <c r="H75" s="1">
        <f t="shared" si="5"/>
        <v>80000</v>
      </c>
    </row>
    <row r="76" spans="1:8" hidden="1" x14ac:dyDescent="0.3">
      <c r="A76" t="s">
        <v>28</v>
      </c>
      <c r="B76" t="s">
        <v>507</v>
      </c>
      <c r="C76">
        <v>0</v>
      </c>
      <c r="F76"/>
      <c r="H76"/>
    </row>
    <row r="77" spans="1:8" x14ac:dyDescent="0.3">
      <c r="A77" t="s">
        <v>28</v>
      </c>
      <c r="B77" t="s">
        <v>27</v>
      </c>
      <c r="C77">
        <v>80</v>
      </c>
      <c r="D77" s="6">
        <v>45623</v>
      </c>
      <c r="E77" t="s">
        <v>1139</v>
      </c>
      <c r="F77" s="1">
        <f>VLOOKUP(E77,'[1]TIỀN MUA PHỤ'!$A:$B,2,0)/5</f>
        <v>6000</v>
      </c>
      <c r="G77">
        <v>6000</v>
      </c>
      <c r="H77" s="1">
        <f>C77*G77</f>
        <v>480000</v>
      </c>
    </row>
    <row r="78" spans="1:8" hidden="1" x14ac:dyDescent="0.3">
      <c r="A78" t="s">
        <v>1047</v>
      </c>
      <c r="B78" t="s">
        <v>507</v>
      </c>
      <c r="C78">
        <v>0</v>
      </c>
      <c r="F78"/>
      <c r="H78"/>
    </row>
    <row r="79" spans="1:8" hidden="1" x14ac:dyDescent="0.3">
      <c r="A79" t="s">
        <v>72</v>
      </c>
      <c r="B79" t="s">
        <v>507</v>
      </c>
      <c r="C79">
        <v>0</v>
      </c>
      <c r="F79"/>
      <c r="H79"/>
    </row>
    <row r="80" spans="1:8" hidden="1" x14ac:dyDescent="0.3">
      <c r="A80" t="s">
        <v>72</v>
      </c>
      <c r="B80" t="s">
        <v>1056</v>
      </c>
      <c r="C80">
        <v>0</v>
      </c>
      <c r="F80"/>
      <c r="H80"/>
    </row>
    <row r="81" spans="1:8" hidden="1" x14ac:dyDescent="0.3">
      <c r="A81" t="s">
        <v>73</v>
      </c>
      <c r="B81" t="s">
        <v>85</v>
      </c>
      <c r="C81">
        <v>0</v>
      </c>
      <c r="F81"/>
      <c r="H81"/>
    </row>
    <row r="82" spans="1:8" x14ac:dyDescent="0.3">
      <c r="A82" t="s">
        <v>100</v>
      </c>
      <c r="B82" t="s">
        <v>507</v>
      </c>
      <c r="C82">
        <v>1</v>
      </c>
      <c r="D82" s="6">
        <v>45623</v>
      </c>
      <c r="E82" t="s">
        <v>1140</v>
      </c>
      <c r="F82" s="1">
        <f>VLOOKUP(E82,'[1]TIỀN MUA PHỤ'!$A:$B,2,0)</f>
        <v>100000</v>
      </c>
      <c r="G82">
        <v>100000</v>
      </c>
      <c r="H82" s="1">
        <f>C82*G82</f>
        <v>100000</v>
      </c>
    </row>
    <row r="83" spans="1:8" hidden="1" x14ac:dyDescent="0.3">
      <c r="A83" t="s">
        <v>100</v>
      </c>
      <c r="B83" t="s">
        <v>1057</v>
      </c>
      <c r="C83">
        <v>0</v>
      </c>
      <c r="F83"/>
      <c r="H83"/>
    </row>
    <row r="84" spans="1:8" hidden="1" x14ac:dyDescent="0.3">
      <c r="A84" t="s">
        <v>29</v>
      </c>
      <c r="B84" t="s">
        <v>507</v>
      </c>
      <c r="C84">
        <v>0</v>
      </c>
      <c r="F84"/>
      <c r="H84"/>
    </row>
    <row r="85" spans="1:8" x14ac:dyDescent="0.3">
      <c r="A85" t="s">
        <v>29</v>
      </c>
      <c r="B85" t="s">
        <v>1057</v>
      </c>
      <c r="C85">
        <v>200</v>
      </c>
      <c r="D85" s="6">
        <v>45623</v>
      </c>
      <c r="E85" t="s">
        <v>1141</v>
      </c>
      <c r="F85" s="1">
        <f>VLOOKUP(E85,'[1]TIỀN MUA PHỤ'!$A:$B,2,0)/20</f>
        <v>1800</v>
      </c>
      <c r="G85">
        <v>1800</v>
      </c>
      <c r="H85" s="1">
        <f>C85*G85</f>
        <v>360000</v>
      </c>
    </row>
    <row r="86" spans="1:8" hidden="1" x14ac:dyDescent="0.3">
      <c r="A86" t="s">
        <v>30</v>
      </c>
      <c r="B86" t="s">
        <v>507</v>
      </c>
      <c r="C86">
        <v>0</v>
      </c>
      <c r="F86"/>
      <c r="H86"/>
    </row>
    <row r="87" spans="1:8" hidden="1" x14ac:dyDescent="0.3">
      <c r="A87" t="s">
        <v>101</v>
      </c>
      <c r="B87" t="s">
        <v>1057</v>
      </c>
      <c r="C87">
        <v>0</v>
      </c>
      <c r="F87"/>
      <c r="H87"/>
    </row>
    <row r="88" spans="1:8" hidden="1" x14ac:dyDescent="0.3">
      <c r="A88" t="s">
        <v>31</v>
      </c>
      <c r="B88" t="s">
        <v>1057</v>
      </c>
      <c r="C88">
        <v>0</v>
      </c>
      <c r="F88"/>
      <c r="H88"/>
    </row>
    <row r="89" spans="1:8" x14ac:dyDescent="0.3">
      <c r="A89" t="s">
        <v>32</v>
      </c>
      <c r="B89" t="s">
        <v>507</v>
      </c>
      <c r="C89">
        <v>30</v>
      </c>
      <c r="D89" s="6">
        <v>45623</v>
      </c>
      <c r="E89" t="s">
        <v>1142</v>
      </c>
      <c r="F89" s="1">
        <f>VLOOKUP(E89,'[1]TIỀN MUA PHỤ'!$A:$B,2,0)</f>
        <v>62000</v>
      </c>
      <c r="G89">
        <v>62000</v>
      </c>
      <c r="H89" s="1">
        <f>C89*G89</f>
        <v>1860000</v>
      </c>
    </row>
    <row r="90" spans="1:8" hidden="1" x14ac:dyDescent="0.3">
      <c r="A90" t="s">
        <v>32</v>
      </c>
      <c r="B90" t="s">
        <v>1048</v>
      </c>
      <c r="C90">
        <v>0</v>
      </c>
      <c r="F90"/>
      <c r="H90"/>
    </row>
    <row r="91" spans="1:8" hidden="1" x14ac:dyDescent="0.3">
      <c r="A91" t="s">
        <v>1049</v>
      </c>
      <c r="B91" t="s">
        <v>507</v>
      </c>
      <c r="C91">
        <v>0</v>
      </c>
      <c r="F91"/>
      <c r="H91"/>
    </row>
    <row r="92" spans="1:8" hidden="1" x14ac:dyDescent="0.3">
      <c r="A92" t="s">
        <v>1050</v>
      </c>
      <c r="B92" t="s">
        <v>1057</v>
      </c>
      <c r="C92">
        <v>0</v>
      </c>
      <c r="F92"/>
      <c r="H92"/>
    </row>
    <row r="93" spans="1:8" hidden="1" x14ac:dyDescent="0.3">
      <c r="A93" t="s">
        <v>109</v>
      </c>
      <c r="B93" t="s">
        <v>1055</v>
      </c>
      <c r="C93">
        <v>0</v>
      </c>
      <c r="F93"/>
      <c r="H93"/>
    </row>
    <row r="94" spans="1:8" x14ac:dyDescent="0.3">
      <c r="A94" t="s">
        <v>57</v>
      </c>
      <c r="B94" t="s">
        <v>507</v>
      </c>
      <c r="C94">
        <v>30</v>
      </c>
      <c r="D94" s="6">
        <v>45623</v>
      </c>
      <c r="E94" t="s">
        <v>1143</v>
      </c>
      <c r="F94" s="1">
        <f>VLOOKUP(E94,'[1]TIỀN MUA PHỤ'!$A:$B,2,0)</f>
        <v>44000</v>
      </c>
      <c r="G94">
        <v>44000</v>
      </c>
      <c r="H94" s="1">
        <f>C94*G94</f>
        <v>1320000</v>
      </c>
    </row>
    <row r="95" spans="1:8" hidden="1" x14ac:dyDescent="0.3">
      <c r="A95" t="s">
        <v>57</v>
      </c>
      <c r="B95" t="s">
        <v>1056</v>
      </c>
      <c r="C95">
        <v>0</v>
      </c>
      <c r="F95"/>
      <c r="H95"/>
    </row>
    <row r="96" spans="1:8" hidden="1" x14ac:dyDescent="0.3">
      <c r="A96" t="s">
        <v>58</v>
      </c>
      <c r="B96" t="s">
        <v>507</v>
      </c>
      <c r="C96">
        <v>0</v>
      </c>
      <c r="F96"/>
      <c r="H96"/>
    </row>
    <row r="97" spans="1:8" x14ac:dyDescent="0.3">
      <c r="A97" t="s">
        <v>58</v>
      </c>
      <c r="B97" t="s">
        <v>59</v>
      </c>
      <c r="C97">
        <v>350</v>
      </c>
      <c r="D97" s="6">
        <v>45623</v>
      </c>
      <c r="E97" t="s">
        <v>1144</v>
      </c>
      <c r="F97" s="1">
        <f>VLOOKUP(E97,'[1]TIỀN MUA PHỤ'!$A:$B,2,0)/4</f>
        <v>8000</v>
      </c>
      <c r="G97">
        <v>8000</v>
      </c>
      <c r="H97" s="1">
        <f t="shared" ref="H97:H98" si="6">C97*G97</f>
        <v>2800000</v>
      </c>
    </row>
    <row r="98" spans="1:8" x14ac:dyDescent="0.3">
      <c r="A98" t="s">
        <v>60</v>
      </c>
      <c r="B98" t="s">
        <v>507</v>
      </c>
      <c r="C98">
        <v>9</v>
      </c>
      <c r="D98" s="6">
        <v>45623</v>
      </c>
      <c r="E98" t="s">
        <v>1145</v>
      </c>
      <c r="F98" s="1">
        <f>VLOOKUP(E98,'[1]TIỀN MUA PHỤ'!$A:$B,2,0)</f>
        <v>49000</v>
      </c>
      <c r="G98">
        <v>49000</v>
      </c>
      <c r="H98" s="1">
        <f t="shared" si="6"/>
        <v>441000</v>
      </c>
    </row>
    <row r="99" spans="1:8" hidden="1" x14ac:dyDescent="0.3">
      <c r="A99" t="s">
        <v>60</v>
      </c>
      <c r="B99" t="s">
        <v>1056</v>
      </c>
      <c r="C99">
        <v>0</v>
      </c>
      <c r="F99"/>
      <c r="H99"/>
    </row>
    <row r="100" spans="1:8" hidden="1" x14ac:dyDescent="0.3">
      <c r="A100" t="s">
        <v>61</v>
      </c>
      <c r="B100" t="s">
        <v>507</v>
      </c>
      <c r="C100">
        <v>0</v>
      </c>
      <c r="F100"/>
      <c r="H100"/>
    </row>
    <row r="101" spans="1:8" x14ac:dyDescent="0.3">
      <c r="A101" t="s">
        <v>61</v>
      </c>
      <c r="B101" t="s">
        <v>59</v>
      </c>
      <c r="C101">
        <v>150</v>
      </c>
      <c r="D101" s="6">
        <v>45623</v>
      </c>
      <c r="E101" t="s">
        <v>1146</v>
      </c>
      <c r="F101" s="1">
        <f>VLOOKUP(E101,'[1]TIỀN MUA PHỤ'!$A:$B,2,0)/4</f>
        <v>4250</v>
      </c>
      <c r="G101">
        <v>4250</v>
      </c>
      <c r="H101" s="1">
        <f>C101*G101</f>
        <v>637500</v>
      </c>
    </row>
    <row r="102" spans="1:8" hidden="1" x14ac:dyDescent="0.3">
      <c r="A102" t="s">
        <v>62</v>
      </c>
      <c r="B102" t="s">
        <v>507</v>
      </c>
      <c r="C102">
        <v>0</v>
      </c>
      <c r="F102"/>
      <c r="H102"/>
    </row>
    <row r="103" spans="1:8" x14ac:dyDescent="0.3">
      <c r="A103" t="s">
        <v>62</v>
      </c>
      <c r="B103" t="s">
        <v>59</v>
      </c>
      <c r="C103">
        <v>50</v>
      </c>
      <c r="D103" s="6">
        <v>45623</v>
      </c>
      <c r="E103" t="s">
        <v>1147</v>
      </c>
      <c r="F103" s="1">
        <f>VLOOKUP(E103,'[1]TIỀN MUA PHỤ'!$A:$B,2,0)/4</f>
        <v>6750</v>
      </c>
      <c r="G103">
        <v>6750</v>
      </c>
      <c r="H103" s="1">
        <f>C103*G103</f>
        <v>337500</v>
      </c>
    </row>
    <row r="104" spans="1:8" hidden="1" x14ac:dyDescent="0.3">
      <c r="A104" t="s">
        <v>97</v>
      </c>
      <c r="B104" t="s">
        <v>507</v>
      </c>
      <c r="C104">
        <v>0</v>
      </c>
      <c r="F104"/>
      <c r="H104"/>
    </row>
    <row r="105" spans="1:8" x14ac:dyDescent="0.3">
      <c r="A105" t="s">
        <v>97</v>
      </c>
      <c r="B105" t="s">
        <v>1057</v>
      </c>
      <c r="C105">
        <v>200</v>
      </c>
      <c r="D105" s="6">
        <v>45623</v>
      </c>
      <c r="E105" t="s">
        <v>1148</v>
      </c>
      <c r="F105" s="1">
        <v>20000</v>
      </c>
      <c r="G105">
        <v>20000</v>
      </c>
      <c r="H105" s="1">
        <f t="shared" ref="H105:H106" si="7">C105*G105</f>
        <v>4000000</v>
      </c>
    </row>
    <row r="106" spans="1:8" x14ac:dyDescent="0.3">
      <c r="A106" t="s">
        <v>33</v>
      </c>
      <c r="B106" t="s">
        <v>507</v>
      </c>
      <c r="C106">
        <v>5</v>
      </c>
      <c r="D106" s="6">
        <v>45623</v>
      </c>
      <c r="E106" t="s">
        <v>1149</v>
      </c>
      <c r="F106" s="1">
        <f>VLOOKUP(E106,'[1]TIỀN MUA PHỤ'!$A:$B,2,0)</f>
        <v>35000</v>
      </c>
      <c r="G106">
        <v>35000</v>
      </c>
      <c r="H106" s="1">
        <f t="shared" si="7"/>
        <v>175000</v>
      </c>
    </row>
    <row r="107" spans="1:8" hidden="1" x14ac:dyDescent="0.3">
      <c r="A107" t="s">
        <v>33</v>
      </c>
      <c r="B107" t="s">
        <v>85</v>
      </c>
      <c r="C107">
        <v>0</v>
      </c>
      <c r="F107"/>
      <c r="H107"/>
    </row>
    <row r="108" spans="1:8" hidden="1" x14ac:dyDescent="0.3">
      <c r="A108" t="s">
        <v>1052</v>
      </c>
      <c r="B108" t="s">
        <v>1055</v>
      </c>
      <c r="C108">
        <v>0</v>
      </c>
      <c r="F108"/>
      <c r="H108"/>
    </row>
    <row r="109" spans="1:8" hidden="1" x14ac:dyDescent="0.3">
      <c r="A109" t="s">
        <v>1058</v>
      </c>
      <c r="B109" t="s">
        <v>44</v>
      </c>
      <c r="C109">
        <v>0</v>
      </c>
      <c r="F109"/>
      <c r="H109"/>
    </row>
    <row r="110" spans="1:8" hidden="1" x14ac:dyDescent="0.3">
      <c r="A110" t="s">
        <v>1053</v>
      </c>
      <c r="B110" t="s">
        <v>507</v>
      </c>
      <c r="C110">
        <v>0</v>
      </c>
      <c r="F110"/>
      <c r="H110"/>
    </row>
    <row r="111" spans="1:8" hidden="1" x14ac:dyDescent="0.3">
      <c r="A111" t="s">
        <v>64</v>
      </c>
      <c r="B111" t="s">
        <v>507</v>
      </c>
      <c r="C111">
        <v>0</v>
      </c>
      <c r="F111"/>
      <c r="H111"/>
    </row>
    <row r="112" spans="1:8" hidden="1" x14ac:dyDescent="0.3">
      <c r="A112" t="s">
        <v>64</v>
      </c>
      <c r="B112" t="s">
        <v>59</v>
      </c>
      <c r="C112">
        <v>0</v>
      </c>
      <c r="F112"/>
      <c r="H112"/>
    </row>
    <row r="113" spans="1:8" hidden="1" x14ac:dyDescent="0.3">
      <c r="A113" t="s">
        <v>1054</v>
      </c>
      <c r="B113" t="s">
        <v>1055</v>
      </c>
      <c r="C113">
        <v>0</v>
      </c>
      <c r="F113"/>
      <c r="H113"/>
    </row>
    <row r="114" spans="1:8" hidden="1" x14ac:dyDescent="0.3">
      <c r="A114" t="s">
        <v>66</v>
      </c>
      <c r="B114" t="s">
        <v>1056</v>
      </c>
      <c r="C114">
        <v>0</v>
      </c>
      <c r="F114"/>
      <c r="H114"/>
    </row>
    <row r="115" spans="1:8" hidden="1" x14ac:dyDescent="0.3">
      <c r="A115" t="s">
        <v>128</v>
      </c>
      <c r="B115" t="s">
        <v>507</v>
      </c>
      <c r="C115">
        <v>0</v>
      </c>
      <c r="F115"/>
      <c r="H115"/>
    </row>
    <row r="116" spans="1:8" x14ac:dyDescent="0.3">
      <c r="A116" t="s">
        <v>113</v>
      </c>
      <c r="B116" t="s">
        <v>507</v>
      </c>
      <c r="C116">
        <v>10</v>
      </c>
      <c r="D116" s="6">
        <v>45623</v>
      </c>
      <c r="E116" t="s">
        <v>1150</v>
      </c>
      <c r="F116" s="1">
        <f>VLOOKUP(E116,'[1]TIỀN MUA PHỤ'!$A:$B,2,0)</f>
        <v>35000</v>
      </c>
      <c r="G116">
        <v>35000</v>
      </c>
      <c r="H116" s="1">
        <f>C116*G116</f>
        <v>350000</v>
      </c>
    </row>
    <row r="117" spans="1:8" hidden="1" x14ac:dyDescent="0.3">
      <c r="A117" t="s">
        <v>113</v>
      </c>
      <c r="B117" t="s">
        <v>1057</v>
      </c>
      <c r="C117">
        <v>0</v>
      </c>
      <c r="F117"/>
      <c r="H117"/>
    </row>
    <row r="118" spans="1:8" x14ac:dyDescent="0.3">
      <c r="A118" t="s">
        <v>34</v>
      </c>
      <c r="B118" t="s">
        <v>507</v>
      </c>
      <c r="C118">
        <v>80</v>
      </c>
      <c r="D118" s="6">
        <v>45623</v>
      </c>
      <c r="E118" t="s">
        <v>1151</v>
      </c>
      <c r="F118" s="1">
        <f>VLOOKUP(E118,'[1]TIỀN MUA PHỤ'!$A:$B,2,0)</f>
        <v>14000</v>
      </c>
      <c r="G118">
        <v>14000</v>
      </c>
      <c r="H118" s="1">
        <f>C118*G118</f>
        <v>1120000</v>
      </c>
    </row>
    <row r="119" spans="1:8" hidden="1" x14ac:dyDescent="0.3">
      <c r="A119" t="s">
        <v>34</v>
      </c>
      <c r="B119" t="s">
        <v>1057</v>
      </c>
      <c r="C119">
        <v>0</v>
      </c>
      <c r="F119"/>
      <c r="H119"/>
    </row>
    <row r="120" spans="1:8" hidden="1" x14ac:dyDescent="0.3">
      <c r="A120" t="s">
        <v>74</v>
      </c>
      <c r="B120" t="s">
        <v>507</v>
      </c>
      <c r="C120">
        <v>0</v>
      </c>
      <c r="F120"/>
      <c r="H120"/>
    </row>
    <row r="121" spans="1:8" hidden="1" x14ac:dyDescent="0.3">
      <c r="A121" t="s">
        <v>35</v>
      </c>
      <c r="B121" t="s">
        <v>507</v>
      </c>
      <c r="C121">
        <v>0</v>
      </c>
      <c r="F121"/>
      <c r="H121"/>
    </row>
    <row r="122" spans="1:8" x14ac:dyDescent="0.3">
      <c r="A122" t="s">
        <v>36</v>
      </c>
      <c r="B122" t="s">
        <v>27</v>
      </c>
      <c r="C122">
        <v>200</v>
      </c>
      <c r="D122" s="6">
        <v>45623</v>
      </c>
      <c r="E122" t="s">
        <v>1152</v>
      </c>
      <c r="F122" s="1">
        <f>VLOOKUP(E122,'[1]TIỀN MUA PHỤ'!$A:$B,2,0)</f>
        <v>6800</v>
      </c>
      <c r="G122">
        <v>6800</v>
      </c>
      <c r="H122" s="1">
        <f t="shared" ref="H122:H123" si="8">C122*G122</f>
        <v>1360000</v>
      </c>
    </row>
    <row r="123" spans="1:8" x14ac:dyDescent="0.3">
      <c r="A123" t="s">
        <v>40</v>
      </c>
      <c r="B123" t="s">
        <v>507</v>
      </c>
      <c r="C123">
        <v>60</v>
      </c>
      <c r="D123" s="6">
        <v>45623</v>
      </c>
      <c r="E123" t="s">
        <v>1153</v>
      </c>
      <c r="F123" s="1">
        <v>26000</v>
      </c>
      <c r="G123">
        <v>26000</v>
      </c>
      <c r="H123" s="1">
        <f t="shared" si="8"/>
        <v>1560000</v>
      </c>
    </row>
    <row r="124" spans="1:8" hidden="1" x14ac:dyDescent="0.3">
      <c r="A124" t="s">
        <v>37</v>
      </c>
      <c r="B124" t="s">
        <v>507</v>
      </c>
      <c r="C124">
        <v>0</v>
      </c>
      <c r="F124"/>
      <c r="H124"/>
    </row>
    <row r="125" spans="1:8" x14ac:dyDescent="0.3">
      <c r="A125" t="s">
        <v>38</v>
      </c>
      <c r="B125" t="s">
        <v>27</v>
      </c>
      <c r="C125">
        <v>20</v>
      </c>
      <c r="D125" s="6">
        <v>45623</v>
      </c>
      <c r="E125" t="s">
        <v>1154</v>
      </c>
      <c r="F125" s="1">
        <f>VLOOKUP(E125,'[1]TIỀN MUA PHỤ'!$A:$B,2,0)</f>
        <v>6800</v>
      </c>
      <c r="G125">
        <v>6800</v>
      </c>
      <c r="H125" s="1">
        <f t="shared" ref="H125:H126" si="9">C125*G125</f>
        <v>136000</v>
      </c>
    </row>
    <row r="126" spans="1:8" x14ac:dyDescent="0.3">
      <c r="A126" t="s">
        <v>39</v>
      </c>
      <c r="B126" t="s">
        <v>507</v>
      </c>
      <c r="C126">
        <v>30</v>
      </c>
      <c r="D126" s="6">
        <v>45623</v>
      </c>
      <c r="E126" t="s">
        <v>1155</v>
      </c>
      <c r="F126" s="1">
        <f>VLOOKUP(E126,'[1]TIỀN MUA PHỤ'!$A:$B,2,0)</f>
        <v>33000</v>
      </c>
      <c r="G126">
        <v>33000</v>
      </c>
      <c r="H126" s="1">
        <f t="shared" si="9"/>
        <v>990000</v>
      </c>
    </row>
    <row r="127" spans="1:8" hidden="1" x14ac:dyDescent="0.3">
      <c r="A127" t="s">
        <v>82</v>
      </c>
      <c r="B127" t="s">
        <v>507</v>
      </c>
      <c r="C127">
        <v>0</v>
      </c>
      <c r="F127"/>
      <c r="H127"/>
    </row>
    <row r="128" spans="1:8" hidden="1" x14ac:dyDescent="0.3">
      <c r="A128" t="s">
        <v>82</v>
      </c>
      <c r="B128" t="s">
        <v>1057</v>
      </c>
      <c r="C128">
        <v>0</v>
      </c>
      <c r="F128"/>
      <c r="H128"/>
    </row>
    <row r="129" spans="1:8" x14ac:dyDescent="0.3">
      <c r="A129" t="s">
        <v>83</v>
      </c>
      <c r="B129" t="s">
        <v>507</v>
      </c>
      <c r="C129">
        <v>6</v>
      </c>
      <c r="D129" s="6">
        <v>45623</v>
      </c>
      <c r="E129" t="s">
        <v>1156</v>
      </c>
      <c r="F129" s="1">
        <f>VLOOKUP(E129,'[1]TIỀN MUA PHỤ'!$A:$B,2,0)</f>
        <v>25000</v>
      </c>
      <c r="G129">
        <v>25000</v>
      </c>
      <c r="H129" s="1">
        <f>C129*G129</f>
        <v>150000</v>
      </c>
    </row>
    <row r="130" spans="1:8" hidden="1" x14ac:dyDescent="0.3">
      <c r="A130" t="s">
        <v>83</v>
      </c>
      <c r="B130" t="s">
        <v>1057</v>
      </c>
      <c r="C130">
        <v>0</v>
      </c>
      <c r="F130"/>
      <c r="H130"/>
    </row>
    <row r="131" spans="1:8" hidden="1" x14ac:dyDescent="0.3">
      <c r="A131" t="s">
        <v>98</v>
      </c>
      <c r="B131" t="s">
        <v>507</v>
      </c>
      <c r="C131">
        <v>0</v>
      </c>
      <c r="F131"/>
      <c r="H131"/>
    </row>
    <row r="132" spans="1:8" x14ac:dyDescent="0.3">
      <c r="A132" t="s">
        <v>84</v>
      </c>
      <c r="B132" t="s">
        <v>27</v>
      </c>
      <c r="C132">
        <v>10</v>
      </c>
      <c r="D132" s="6">
        <v>45623</v>
      </c>
      <c r="E132" t="s">
        <v>1157</v>
      </c>
      <c r="F132" s="1">
        <f>VLOOKUP(E132,'[1]TIỀN MUA PHỤ'!$A:$B,2,0)</f>
        <v>6800</v>
      </c>
      <c r="G132">
        <v>6800</v>
      </c>
      <c r="H132" s="1">
        <f>C132*G132</f>
        <v>68000</v>
      </c>
    </row>
  </sheetData>
  <autoFilter ref="A1:C132" xr:uid="{8CC7CABD-7CA6-4AF9-80B6-64CECDB042DC}">
    <filterColumn colId="2">
      <filters>
        <filter val="1"/>
        <filter val="10"/>
        <filter val="100"/>
        <filter val="120"/>
        <filter val="15"/>
        <filter val="150"/>
        <filter val="160"/>
        <filter val="187"/>
        <filter val="20"/>
        <filter val="200"/>
        <filter val="220"/>
        <filter val="25"/>
        <filter val="27"/>
        <filter val="30"/>
        <filter val="300"/>
        <filter val="350"/>
        <filter val="4"/>
        <filter val="40"/>
        <filter val="5"/>
        <filter val="50"/>
        <filter val="500"/>
        <filter val="6"/>
        <filter val="60"/>
        <filter val="80"/>
        <filter val="9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E160-F0C2-4439-9965-0516D48AB56B}">
  <sheetPr filterMode="1"/>
  <dimension ref="A1:H137"/>
  <sheetViews>
    <sheetView workbookViewId="0">
      <selection activeCell="H1" sqref="H1"/>
    </sheetView>
  </sheetViews>
  <sheetFormatPr defaultRowHeight="14.4" x14ac:dyDescent="0.3"/>
  <cols>
    <col min="1" max="1" width="22.88671875" customWidth="1"/>
    <col min="4" max="4" width="10.5546875" bestFit="1" customWidth="1"/>
    <col min="5" max="5" width="28" customWidth="1"/>
    <col min="6" max="6" width="9.33203125" style="1" bestFit="1" customWidth="1"/>
    <col min="7" max="8" width="11.33203125" style="1" bestFit="1" customWidth="1"/>
  </cols>
  <sheetData>
    <row r="1" spans="1:8" x14ac:dyDescent="0.3">
      <c r="A1" t="s">
        <v>1040</v>
      </c>
      <c r="B1" t="s">
        <v>5</v>
      </c>
      <c r="C1" t="s">
        <v>118</v>
      </c>
      <c r="D1" t="s">
        <v>130</v>
      </c>
      <c r="H1" s="1">
        <f>SUM(H6:H137)</f>
        <v>42283350</v>
      </c>
    </row>
    <row r="2" spans="1:8" hidden="1" x14ac:dyDescent="0.3">
      <c r="A2" t="s">
        <v>78</v>
      </c>
      <c r="B2" t="s">
        <v>507</v>
      </c>
      <c r="C2">
        <v>0</v>
      </c>
      <c r="F2"/>
      <c r="G2"/>
      <c r="H2"/>
    </row>
    <row r="3" spans="1:8" hidden="1" x14ac:dyDescent="0.3">
      <c r="A3" t="s">
        <v>79</v>
      </c>
      <c r="B3" t="s">
        <v>507</v>
      </c>
      <c r="C3">
        <v>0</v>
      </c>
      <c r="F3"/>
      <c r="G3"/>
      <c r="H3"/>
    </row>
    <row r="4" spans="1:8" hidden="1" x14ac:dyDescent="0.3">
      <c r="A4" t="s">
        <v>19</v>
      </c>
      <c r="B4" t="s">
        <v>507</v>
      </c>
      <c r="C4">
        <v>0</v>
      </c>
      <c r="F4"/>
      <c r="G4"/>
      <c r="H4"/>
    </row>
    <row r="5" spans="1:8" hidden="1" x14ac:dyDescent="0.3">
      <c r="A5" t="s">
        <v>80</v>
      </c>
      <c r="B5" t="s">
        <v>507</v>
      </c>
      <c r="C5">
        <v>0</v>
      </c>
      <c r="F5"/>
      <c r="G5"/>
      <c r="H5"/>
    </row>
    <row r="6" spans="1:8" x14ac:dyDescent="0.3">
      <c r="A6" t="s">
        <v>80</v>
      </c>
      <c r="B6" t="s">
        <v>44</v>
      </c>
      <c r="C6">
        <v>40</v>
      </c>
      <c r="D6" s="6">
        <v>45622</v>
      </c>
      <c r="E6" t="s">
        <v>1063</v>
      </c>
      <c r="F6" s="1">
        <f>VLOOKUP(E6,'[1]TIỀN MUA PHỤ'!$A:$B,2,0)*0.4</f>
        <v>3600</v>
      </c>
      <c r="G6" s="1">
        <v>3600</v>
      </c>
      <c r="H6" s="1">
        <f>C6*G6</f>
        <v>144000</v>
      </c>
    </row>
    <row r="7" spans="1:8" hidden="1" x14ac:dyDescent="0.3">
      <c r="A7" t="s">
        <v>126</v>
      </c>
      <c r="B7" t="s">
        <v>507</v>
      </c>
      <c r="C7">
        <v>0</v>
      </c>
      <c r="F7"/>
      <c r="G7"/>
      <c r="H7"/>
    </row>
    <row r="8" spans="1:8" x14ac:dyDescent="0.3">
      <c r="A8" t="s">
        <v>41</v>
      </c>
      <c r="B8" t="s">
        <v>507</v>
      </c>
      <c r="C8">
        <v>70</v>
      </c>
      <c r="D8" s="6">
        <v>45622</v>
      </c>
      <c r="E8" t="s">
        <v>1064</v>
      </c>
      <c r="F8" s="1">
        <f>VLOOKUP(E8,'[1]TIỀN MUA PHỤ'!$A:$B,2,0)</f>
        <v>10000</v>
      </c>
      <c r="G8" s="1">
        <v>10000</v>
      </c>
      <c r="H8" s="1">
        <f t="shared" ref="H8:H9" si="0">C8*G8</f>
        <v>700000</v>
      </c>
    </row>
    <row r="9" spans="1:8" x14ac:dyDescent="0.3">
      <c r="A9" t="s">
        <v>41</v>
      </c>
      <c r="B9" t="s">
        <v>42</v>
      </c>
      <c r="C9">
        <v>240</v>
      </c>
      <c r="D9" s="6">
        <v>45622</v>
      </c>
      <c r="E9" t="s">
        <v>1064</v>
      </c>
      <c r="F9" s="1">
        <f>VLOOKUP(E9,'[1]TIỀN MUA PHỤ'!$A:$B,2,0)*0.3</f>
        <v>3000</v>
      </c>
      <c r="G9" s="1">
        <v>3000</v>
      </c>
      <c r="H9" s="1">
        <f t="shared" si="0"/>
        <v>720000</v>
      </c>
    </row>
    <row r="10" spans="1:8" hidden="1" x14ac:dyDescent="0.3">
      <c r="A10" t="s">
        <v>43</v>
      </c>
      <c r="B10" t="s">
        <v>507</v>
      </c>
      <c r="C10">
        <v>0</v>
      </c>
      <c r="F10"/>
      <c r="G10"/>
      <c r="H10"/>
    </row>
    <row r="11" spans="1:8" x14ac:dyDescent="0.3">
      <c r="A11" t="s">
        <v>43</v>
      </c>
      <c r="B11" t="s">
        <v>44</v>
      </c>
      <c r="C11">
        <v>160</v>
      </c>
      <c r="D11" s="6">
        <v>45622</v>
      </c>
      <c r="E11" t="s">
        <v>1065</v>
      </c>
      <c r="F11" s="1">
        <f>VLOOKUP(E11,'[1]TIỀN MUA PHỤ'!$A:$B,2,0)*0.3</f>
        <v>3000</v>
      </c>
      <c r="G11" s="1">
        <v>3000</v>
      </c>
      <c r="H11" s="1">
        <f>C11*G11</f>
        <v>480000</v>
      </c>
    </row>
    <row r="12" spans="1:8" hidden="1" x14ac:dyDescent="0.3">
      <c r="A12" t="s">
        <v>67</v>
      </c>
      <c r="B12" t="s">
        <v>507</v>
      </c>
      <c r="C12">
        <v>0</v>
      </c>
      <c r="F12"/>
      <c r="G12"/>
      <c r="H12"/>
    </row>
    <row r="13" spans="1:8" hidden="1" x14ac:dyDescent="0.3">
      <c r="A13" t="s">
        <v>75</v>
      </c>
      <c r="B13" t="s">
        <v>507</v>
      </c>
      <c r="C13">
        <v>0</v>
      </c>
      <c r="F13"/>
      <c r="G13"/>
      <c r="H13"/>
    </row>
    <row r="14" spans="1:8" hidden="1" x14ac:dyDescent="0.3">
      <c r="A14" t="s">
        <v>1041</v>
      </c>
      <c r="B14" t="s">
        <v>507</v>
      </c>
      <c r="C14">
        <v>0</v>
      </c>
      <c r="F14"/>
      <c r="G14"/>
      <c r="H14"/>
    </row>
    <row r="15" spans="1:8" x14ac:dyDescent="0.3">
      <c r="A15" t="s">
        <v>17</v>
      </c>
      <c r="B15" t="s">
        <v>507</v>
      </c>
      <c r="C15">
        <v>65</v>
      </c>
      <c r="D15" s="6">
        <v>45622</v>
      </c>
      <c r="E15" t="s">
        <v>1066</v>
      </c>
      <c r="F15" s="1">
        <f>VLOOKUP(E15,'[1]TIỀN MUA PHỤ'!$A:$B,2,0)</f>
        <v>32000</v>
      </c>
      <c r="G15" s="1">
        <v>32000</v>
      </c>
      <c r="H15" s="1">
        <f t="shared" ref="H15:H16" si="1">C15*G15</f>
        <v>2080000</v>
      </c>
    </row>
    <row r="16" spans="1:8" x14ac:dyDescent="0.3">
      <c r="A16" t="s">
        <v>18</v>
      </c>
      <c r="B16" t="s">
        <v>507</v>
      </c>
      <c r="C16">
        <v>8</v>
      </c>
      <c r="D16" s="6">
        <v>45622</v>
      </c>
      <c r="E16" t="s">
        <v>1067</v>
      </c>
      <c r="F16" s="1">
        <f>VLOOKUP(E16,'[1]TIỀN MUA PHỤ'!$A:$B,2,0)</f>
        <v>47000</v>
      </c>
      <c r="G16" s="1">
        <v>47000</v>
      </c>
      <c r="H16" s="1">
        <f t="shared" si="1"/>
        <v>376000</v>
      </c>
    </row>
    <row r="17" spans="1:8" hidden="1" x14ac:dyDescent="0.3">
      <c r="A17" t="s">
        <v>18</v>
      </c>
      <c r="B17" t="s">
        <v>9</v>
      </c>
      <c r="C17">
        <v>0</v>
      </c>
      <c r="F17"/>
      <c r="G17"/>
      <c r="H17"/>
    </row>
    <row r="18" spans="1:8" x14ac:dyDescent="0.3">
      <c r="A18" t="s">
        <v>45</v>
      </c>
      <c r="B18" t="s">
        <v>507</v>
      </c>
      <c r="C18">
        <v>80</v>
      </c>
      <c r="D18" s="6">
        <v>45622</v>
      </c>
      <c r="E18" t="s">
        <v>1068</v>
      </c>
      <c r="F18" s="1">
        <f>VLOOKUP(E18,'[1]TIỀN MUA PHỤ'!$A:$B,2,0)</f>
        <v>16000</v>
      </c>
      <c r="G18" s="1">
        <v>16000</v>
      </c>
      <c r="H18" s="1">
        <f t="shared" ref="H18:H20" si="2">C18*G18</f>
        <v>1280000</v>
      </c>
    </row>
    <row r="19" spans="1:8" x14ac:dyDescent="0.3">
      <c r="A19" t="s">
        <v>89</v>
      </c>
      <c r="B19" t="s">
        <v>507</v>
      </c>
      <c r="C19">
        <v>50</v>
      </c>
      <c r="D19" s="6">
        <v>45622</v>
      </c>
      <c r="E19" t="s">
        <v>1069</v>
      </c>
      <c r="F19" s="1">
        <f>VLOOKUP(E19,'[1]TIỀN MUA PHỤ'!$A:$B,2,0)</f>
        <v>16000</v>
      </c>
      <c r="G19" s="1">
        <v>16000</v>
      </c>
      <c r="H19" s="1">
        <f t="shared" si="2"/>
        <v>800000</v>
      </c>
    </row>
    <row r="20" spans="1:8" x14ac:dyDescent="0.3">
      <c r="A20" t="s">
        <v>89</v>
      </c>
      <c r="B20" t="s">
        <v>105</v>
      </c>
      <c r="C20">
        <v>200</v>
      </c>
      <c r="D20" s="6">
        <v>45622</v>
      </c>
      <c r="E20" t="s">
        <v>1069</v>
      </c>
      <c r="F20" s="1">
        <f>VLOOKUP(E20,'[1]TIỀN MUA PHỤ'!$A:$B,2,0)/2</f>
        <v>8000</v>
      </c>
      <c r="G20" s="1">
        <v>8000</v>
      </c>
      <c r="H20" s="1">
        <f t="shared" si="2"/>
        <v>1600000</v>
      </c>
    </row>
    <row r="21" spans="1:8" hidden="1" x14ac:dyDescent="0.3">
      <c r="A21" t="s">
        <v>70</v>
      </c>
      <c r="B21" t="s">
        <v>507</v>
      </c>
      <c r="C21">
        <v>0</v>
      </c>
      <c r="F21"/>
      <c r="G21"/>
      <c r="H21"/>
    </row>
    <row r="22" spans="1:8" x14ac:dyDescent="0.3">
      <c r="A22" t="s">
        <v>70</v>
      </c>
      <c r="B22" t="s">
        <v>106</v>
      </c>
      <c r="C22">
        <v>240</v>
      </c>
      <c r="D22" s="6">
        <v>45622</v>
      </c>
      <c r="E22" t="s">
        <v>1070</v>
      </c>
      <c r="F22" s="1">
        <f>VLOOKUP(E22,'[1]TIỀN MUA PHỤ'!$A:$B,2,0)</f>
        <v>8700</v>
      </c>
      <c r="G22" s="1">
        <v>8700</v>
      </c>
      <c r="H22" s="1">
        <f>C22*G22</f>
        <v>2088000</v>
      </c>
    </row>
    <row r="23" spans="1:8" hidden="1" x14ac:dyDescent="0.3">
      <c r="A23" t="s">
        <v>47</v>
      </c>
      <c r="B23" t="s">
        <v>507</v>
      </c>
      <c r="C23">
        <v>0</v>
      </c>
      <c r="F23"/>
      <c r="G23"/>
      <c r="H23"/>
    </row>
    <row r="24" spans="1:8" x14ac:dyDescent="0.3">
      <c r="A24" t="s">
        <v>47</v>
      </c>
      <c r="B24" t="s">
        <v>48</v>
      </c>
      <c r="C24">
        <v>50</v>
      </c>
      <c r="D24" s="6">
        <v>45622</v>
      </c>
      <c r="E24" t="s">
        <v>1071</v>
      </c>
      <c r="F24" s="1">
        <f>VLOOKUP(E24,'[1]TIỀN MUA PHỤ'!$A:$B,2,0)*0.3</f>
        <v>14250</v>
      </c>
      <c r="G24" s="1">
        <v>14250</v>
      </c>
      <c r="H24" s="1">
        <f>C24*G24</f>
        <v>712500</v>
      </c>
    </row>
    <row r="25" spans="1:8" hidden="1" x14ac:dyDescent="0.3">
      <c r="A25" t="s">
        <v>49</v>
      </c>
      <c r="B25" t="s">
        <v>507</v>
      </c>
      <c r="C25">
        <v>0</v>
      </c>
      <c r="F25"/>
      <c r="G25"/>
      <c r="H25"/>
    </row>
    <row r="26" spans="1:8" x14ac:dyDescent="0.3">
      <c r="A26" t="s">
        <v>49</v>
      </c>
      <c r="B26" t="s">
        <v>106</v>
      </c>
      <c r="C26">
        <v>20</v>
      </c>
      <c r="D26" s="6">
        <v>45622</v>
      </c>
      <c r="E26" t="s">
        <v>1072</v>
      </c>
      <c r="F26" s="1">
        <f>VLOOKUP(E26,'[1]TIỀN MUA PHỤ'!$A:$B,2,0)*0.3</f>
        <v>11400</v>
      </c>
      <c r="G26" s="1">
        <v>11400</v>
      </c>
      <c r="H26" s="1">
        <f t="shared" ref="H26:H27" si="3">C26*G26</f>
        <v>228000</v>
      </c>
    </row>
    <row r="27" spans="1:8" x14ac:dyDescent="0.3">
      <c r="A27" t="s">
        <v>50</v>
      </c>
      <c r="B27" t="s">
        <v>507</v>
      </c>
      <c r="C27">
        <v>100</v>
      </c>
      <c r="D27" s="6">
        <v>45622</v>
      </c>
      <c r="E27" t="s">
        <v>1073</v>
      </c>
      <c r="F27" s="1">
        <f>VLOOKUP(E27,'[1]TIỀN MUA PHỤ'!$A:$B,2,0)</f>
        <v>21000</v>
      </c>
      <c r="G27" s="1">
        <v>21000</v>
      </c>
      <c r="H27" s="1">
        <f t="shared" si="3"/>
        <v>2100000</v>
      </c>
    </row>
    <row r="28" spans="1:8" hidden="1" x14ac:dyDescent="0.3">
      <c r="A28" t="s">
        <v>50</v>
      </c>
      <c r="B28" t="s">
        <v>9</v>
      </c>
      <c r="C28">
        <v>0</v>
      </c>
      <c r="F28"/>
      <c r="G28"/>
      <c r="H28"/>
    </row>
    <row r="29" spans="1:8" x14ac:dyDescent="0.3">
      <c r="A29" t="s">
        <v>6</v>
      </c>
      <c r="B29" t="s">
        <v>507</v>
      </c>
      <c r="C29">
        <v>20</v>
      </c>
      <c r="D29" s="6">
        <v>45622</v>
      </c>
      <c r="E29" t="s">
        <v>1074</v>
      </c>
      <c r="F29" s="1">
        <f>VLOOKUP(E29,'[1]TIỀN MUA PHỤ'!$A:$B,2,0)</f>
        <v>13500</v>
      </c>
      <c r="G29" s="1">
        <v>13500</v>
      </c>
      <c r="H29" s="1">
        <f>C29*G29</f>
        <v>270000</v>
      </c>
    </row>
    <row r="30" spans="1:8" hidden="1" x14ac:dyDescent="0.3">
      <c r="A30" t="s">
        <v>6</v>
      </c>
      <c r="B30" t="s">
        <v>22</v>
      </c>
      <c r="C30">
        <v>0</v>
      </c>
      <c r="F30"/>
      <c r="G30"/>
      <c r="H30"/>
    </row>
    <row r="31" spans="1:8" hidden="1" x14ac:dyDescent="0.3">
      <c r="A31" t="s">
        <v>8</v>
      </c>
      <c r="B31" t="s">
        <v>507</v>
      </c>
      <c r="C31">
        <v>0</v>
      </c>
      <c r="F31"/>
      <c r="G31"/>
      <c r="H31"/>
    </row>
    <row r="32" spans="1:8" x14ac:dyDescent="0.3">
      <c r="A32" t="s">
        <v>8</v>
      </c>
      <c r="B32" t="s">
        <v>9</v>
      </c>
      <c r="C32">
        <v>120</v>
      </c>
      <c r="D32" s="6">
        <v>45622</v>
      </c>
      <c r="E32" t="s">
        <v>1075</v>
      </c>
      <c r="F32" s="1">
        <f>VLOOKUP(E32,'[1]TIỀN MUA PHỤ'!$A:$B,2,0)/5</f>
        <v>8000</v>
      </c>
      <c r="G32" s="1">
        <v>8000</v>
      </c>
      <c r="H32" s="1">
        <f t="shared" ref="H32:H33" si="4">C32*G32</f>
        <v>960000</v>
      </c>
    </row>
    <row r="33" spans="1:8" x14ac:dyDescent="0.3">
      <c r="A33" t="s">
        <v>1042</v>
      </c>
      <c r="B33" t="s">
        <v>507</v>
      </c>
      <c r="C33">
        <v>40</v>
      </c>
      <c r="D33" s="6">
        <v>45622</v>
      </c>
      <c r="E33" t="s">
        <v>1076</v>
      </c>
      <c r="F33" s="1">
        <f>VLOOKUP(E33,'[1]TIỀN MUA PHỤ'!$A:$B,2,0)</f>
        <v>11000</v>
      </c>
      <c r="G33" s="1">
        <v>11000</v>
      </c>
      <c r="H33" s="1">
        <f t="shared" si="4"/>
        <v>440000</v>
      </c>
    </row>
    <row r="34" spans="1:8" hidden="1" x14ac:dyDescent="0.3">
      <c r="A34" t="s">
        <v>129</v>
      </c>
      <c r="B34" t="s">
        <v>507</v>
      </c>
      <c r="C34">
        <v>0</v>
      </c>
      <c r="F34"/>
      <c r="G34"/>
      <c r="H34"/>
    </row>
    <row r="35" spans="1:8" hidden="1" x14ac:dyDescent="0.3">
      <c r="A35" t="s">
        <v>1043</v>
      </c>
      <c r="B35" t="s">
        <v>48</v>
      </c>
      <c r="C35">
        <v>0</v>
      </c>
      <c r="F35"/>
      <c r="G35"/>
      <c r="H35"/>
    </row>
    <row r="36" spans="1:8" x14ac:dyDescent="0.3">
      <c r="A36" t="s">
        <v>20</v>
      </c>
      <c r="B36" t="s">
        <v>507</v>
      </c>
      <c r="C36">
        <v>40</v>
      </c>
      <c r="D36" s="6">
        <v>45622</v>
      </c>
      <c r="E36" t="s">
        <v>1077</v>
      </c>
      <c r="F36" s="1">
        <f>VLOOKUP(E36,'[1]TIỀN MUA PHỤ'!$A:$B,2,0)</f>
        <v>17000</v>
      </c>
      <c r="G36" s="1">
        <v>17000</v>
      </c>
      <c r="H36" s="1">
        <f>C36*G36</f>
        <v>680000</v>
      </c>
    </row>
    <row r="37" spans="1:8" hidden="1" x14ac:dyDescent="0.3">
      <c r="A37" t="s">
        <v>20</v>
      </c>
      <c r="B37" t="s">
        <v>22</v>
      </c>
      <c r="C37">
        <v>0</v>
      </c>
      <c r="F37"/>
      <c r="G37"/>
      <c r="H37"/>
    </row>
    <row r="38" spans="1:8" hidden="1" x14ac:dyDescent="0.3">
      <c r="A38" t="s">
        <v>21</v>
      </c>
      <c r="B38" t="s">
        <v>507</v>
      </c>
      <c r="C38">
        <v>0</v>
      </c>
      <c r="F38"/>
      <c r="G38"/>
      <c r="H38"/>
    </row>
    <row r="39" spans="1:8" hidden="1" x14ac:dyDescent="0.3">
      <c r="A39" t="s">
        <v>23</v>
      </c>
      <c r="B39" t="s">
        <v>507</v>
      </c>
      <c r="C39">
        <v>0</v>
      </c>
      <c r="F39"/>
      <c r="G39"/>
      <c r="H39"/>
    </row>
    <row r="40" spans="1:8" x14ac:dyDescent="0.3">
      <c r="A40" t="s">
        <v>23</v>
      </c>
      <c r="B40" t="s">
        <v>22</v>
      </c>
      <c r="C40">
        <v>105</v>
      </c>
      <c r="D40" s="6">
        <v>45622</v>
      </c>
      <c r="E40" t="s">
        <v>1078</v>
      </c>
      <c r="F40" s="1">
        <f>VLOOKUP(E40,'[1]TIỀN MUA PHỤ'!$A:$B,2,0)*0.3</f>
        <v>6900</v>
      </c>
      <c r="G40" s="1">
        <v>6900</v>
      </c>
      <c r="H40" s="1">
        <f t="shared" ref="H40:H41" si="5">C40*G40</f>
        <v>724500</v>
      </c>
    </row>
    <row r="41" spans="1:8" x14ac:dyDescent="0.3">
      <c r="A41" t="s">
        <v>23</v>
      </c>
      <c r="B41" t="s">
        <v>24</v>
      </c>
      <c r="C41">
        <v>15</v>
      </c>
      <c r="D41" s="6">
        <v>45622</v>
      </c>
      <c r="E41" t="s">
        <v>1078</v>
      </c>
      <c r="F41" s="1">
        <f>F40/2</f>
        <v>3450</v>
      </c>
      <c r="G41" s="1">
        <v>3450</v>
      </c>
      <c r="H41" s="1">
        <f t="shared" si="5"/>
        <v>51750</v>
      </c>
    </row>
    <row r="42" spans="1:8" hidden="1" x14ac:dyDescent="0.3">
      <c r="A42" t="s">
        <v>25</v>
      </c>
      <c r="B42" t="s">
        <v>507</v>
      </c>
      <c r="C42">
        <v>0</v>
      </c>
      <c r="F42"/>
      <c r="G42"/>
      <c r="H42"/>
    </row>
    <row r="43" spans="1:8" x14ac:dyDescent="0.3">
      <c r="A43" t="s">
        <v>26</v>
      </c>
      <c r="B43" t="s">
        <v>507</v>
      </c>
      <c r="C43">
        <v>80</v>
      </c>
      <c r="D43" s="6">
        <v>45622</v>
      </c>
      <c r="E43" t="s">
        <v>1079</v>
      </c>
      <c r="F43" s="1">
        <v>20000</v>
      </c>
      <c r="G43" s="1">
        <v>20000</v>
      </c>
      <c r="H43" s="1">
        <f t="shared" ref="H43:H44" si="6">C43*G43</f>
        <v>1600000</v>
      </c>
    </row>
    <row r="44" spans="1:8" x14ac:dyDescent="0.3">
      <c r="A44" t="s">
        <v>26</v>
      </c>
      <c r="B44" t="s">
        <v>27</v>
      </c>
      <c r="C44">
        <v>200</v>
      </c>
      <c r="D44" s="6">
        <v>45622</v>
      </c>
      <c r="E44" t="s">
        <v>1079</v>
      </c>
      <c r="F44" s="1">
        <v>10000</v>
      </c>
      <c r="G44" s="1">
        <v>10000</v>
      </c>
      <c r="H44" s="1">
        <f t="shared" si="6"/>
        <v>2000000</v>
      </c>
    </row>
    <row r="45" spans="1:8" hidden="1" x14ac:dyDescent="0.3">
      <c r="A45" t="s">
        <v>26</v>
      </c>
      <c r="B45" t="s">
        <v>22</v>
      </c>
      <c r="C45">
        <v>0</v>
      </c>
      <c r="F45"/>
      <c r="G45"/>
      <c r="H45"/>
    </row>
    <row r="46" spans="1:8" hidden="1" x14ac:dyDescent="0.3">
      <c r="A46" t="s">
        <v>51</v>
      </c>
      <c r="B46" t="s">
        <v>507</v>
      </c>
      <c r="C46">
        <v>0</v>
      </c>
      <c r="F46"/>
      <c r="G46"/>
      <c r="H46"/>
    </row>
    <row r="47" spans="1:8" x14ac:dyDescent="0.3">
      <c r="A47" t="s">
        <v>51</v>
      </c>
      <c r="B47" t="s">
        <v>9</v>
      </c>
      <c r="C47">
        <v>31</v>
      </c>
      <c r="D47" s="6">
        <v>45622</v>
      </c>
      <c r="E47" t="s">
        <v>1080</v>
      </c>
      <c r="F47" s="1">
        <f>VLOOKUP(E47,'[1]TIỀN MUA PHỤ'!$A:$B,2,0)/4</f>
        <v>6500</v>
      </c>
      <c r="G47" s="1">
        <v>6500</v>
      </c>
      <c r="H47" s="1">
        <f>C47*G47</f>
        <v>201500</v>
      </c>
    </row>
    <row r="48" spans="1:8" hidden="1" x14ac:dyDescent="0.3">
      <c r="A48" t="s">
        <v>1044</v>
      </c>
      <c r="B48" t="s">
        <v>507</v>
      </c>
      <c r="C48">
        <v>0</v>
      </c>
      <c r="F48"/>
      <c r="G48"/>
      <c r="H48"/>
    </row>
    <row r="49" spans="1:8" hidden="1" x14ac:dyDescent="0.3">
      <c r="A49" t="s">
        <v>103</v>
      </c>
      <c r="B49" t="s">
        <v>507</v>
      </c>
      <c r="C49">
        <v>0</v>
      </c>
      <c r="F49"/>
      <c r="G49"/>
      <c r="H49"/>
    </row>
    <row r="50" spans="1:8" x14ac:dyDescent="0.3">
      <c r="A50" t="s">
        <v>103</v>
      </c>
      <c r="B50" t="s">
        <v>48</v>
      </c>
      <c r="C50">
        <v>12</v>
      </c>
      <c r="D50" s="6">
        <v>45622</v>
      </c>
      <c r="E50" t="s">
        <v>1081</v>
      </c>
      <c r="F50" s="1">
        <f>VLOOKUP(E50,'[1]TIỀN MUA PHỤ'!$A:$B,2,0)</f>
        <v>10000</v>
      </c>
      <c r="G50" s="1">
        <v>10000</v>
      </c>
      <c r="H50" s="1">
        <f>C50*G50</f>
        <v>120000</v>
      </c>
    </row>
    <row r="51" spans="1:8" hidden="1" x14ac:dyDescent="0.3">
      <c r="A51" t="s">
        <v>10</v>
      </c>
      <c r="B51" t="s">
        <v>507</v>
      </c>
      <c r="C51">
        <v>0</v>
      </c>
      <c r="F51"/>
      <c r="G51"/>
      <c r="H51"/>
    </row>
    <row r="52" spans="1:8" hidden="1" x14ac:dyDescent="0.3">
      <c r="A52" t="s">
        <v>11</v>
      </c>
      <c r="B52" t="s">
        <v>507</v>
      </c>
      <c r="C52">
        <v>0</v>
      </c>
      <c r="F52"/>
      <c r="G52"/>
      <c r="H52"/>
    </row>
    <row r="53" spans="1:8" x14ac:dyDescent="0.3">
      <c r="A53" t="s">
        <v>12</v>
      </c>
      <c r="B53" t="s">
        <v>507</v>
      </c>
      <c r="C53">
        <v>20</v>
      </c>
      <c r="D53" s="6">
        <v>45622</v>
      </c>
      <c r="E53" t="s">
        <v>1082</v>
      </c>
      <c r="F53" s="1">
        <v>21000</v>
      </c>
      <c r="G53" s="1">
        <v>21000</v>
      </c>
      <c r="H53" s="1">
        <f>C53*G53</f>
        <v>420000</v>
      </c>
    </row>
    <row r="54" spans="1:8" hidden="1" x14ac:dyDescent="0.3">
      <c r="A54" t="s">
        <v>12</v>
      </c>
      <c r="B54" t="s">
        <v>107</v>
      </c>
      <c r="C54">
        <v>0</v>
      </c>
      <c r="F54"/>
      <c r="G54"/>
      <c r="H54"/>
    </row>
    <row r="55" spans="1:8" x14ac:dyDescent="0.3">
      <c r="A55" t="s">
        <v>91</v>
      </c>
      <c r="B55" t="s">
        <v>507</v>
      </c>
      <c r="C55">
        <v>40</v>
      </c>
      <c r="D55" s="6">
        <v>45622</v>
      </c>
      <c r="E55" t="s">
        <v>1083</v>
      </c>
      <c r="F55" s="1">
        <f>VLOOKUP(E55,'[1]TIỀN MUA PHỤ'!$A:$B,2,0)</f>
        <v>20000</v>
      </c>
      <c r="G55" s="1">
        <v>20000</v>
      </c>
      <c r="H55" s="1">
        <f>C55*G55</f>
        <v>800000</v>
      </c>
    </row>
    <row r="56" spans="1:8" hidden="1" x14ac:dyDescent="0.3">
      <c r="A56" t="s">
        <v>91</v>
      </c>
      <c r="B56" t="s">
        <v>22</v>
      </c>
      <c r="C56">
        <v>0</v>
      </c>
      <c r="F56"/>
      <c r="G56"/>
      <c r="H56"/>
    </row>
    <row r="57" spans="1:8" hidden="1" x14ac:dyDescent="0.3">
      <c r="A57" t="s">
        <v>13</v>
      </c>
      <c r="B57" t="s">
        <v>507</v>
      </c>
      <c r="C57">
        <v>0</v>
      </c>
      <c r="F57"/>
      <c r="G57"/>
      <c r="H57"/>
    </row>
    <row r="58" spans="1:8" hidden="1" x14ac:dyDescent="0.3">
      <c r="A58" t="s">
        <v>13</v>
      </c>
      <c r="B58" t="s">
        <v>22</v>
      </c>
      <c r="C58">
        <v>0</v>
      </c>
      <c r="F58"/>
      <c r="G58"/>
      <c r="H58"/>
    </row>
    <row r="59" spans="1:8" hidden="1" x14ac:dyDescent="0.3">
      <c r="A59" t="s">
        <v>14</v>
      </c>
      <c r="B59" t="s">
        <v>507</v>
      </c>
      <c r="C59">
        <v>0</v>
      </c>
      <c r="F59"/>
      <c r="G59"/>
      <c r="H59"/>
    </row>
    <row r="60" spans="1:8" hidden="1" x14ac:dyDescent="0.3">
      <c r="A60" t="s">
        <v>14</v>
      </c>
      <c r="B60" t="s">
        <v>22</v>
      </c>
      <c r="C60">
        <v>0</v>
      </c>
      <c r="F60"/>
      <c r="G60"/>
      <c r="H60"/>
    </row>
    <row r="61" spans="1:8" hidden="1" x14ac:dyDescent="0.3">
      <c r="A61" t="s">
        <v>15</v>
      </c>
      <c r="B61" t="s">
        <v>507</v>
      </c>
      <c r="C61">
        <v>0</v>
      </c>
      <c r="F61"/>
      <c r="G61"/>
      <c r="H61"/>
    </row>
    <row r="62" spans="1:8" hidden="1" x14ac:dyDescent="0.3">
      <c r="A62" t="s">
        <v>127</v>
      </c>
      <c r="B62" t="s">
        <v>507</v>
      </c>
      <c r="C62">
        <v>0</v>
      </c>
      <c r="F62"/>
      <c r="G62"/>
      <c r="H62"/>
    </row>
    <row r="63" spans="1:8" hidden="1" x14ac:dyDescent="0.3">
      <c r="A63" t="s">
        <v>93</v>
      </c>
      <c r="B63" t="s">
        <v>507</v>
      </c>
      <c r="C63">
        <v>0</v>
      </c>
      <c r="F63"/>
      <c r="G63"/>
      <c r="H63"/>
    </row>
    <row r="64" spans="1:8" hidden="1" x14ac:dyDescent="0.3">
      <c r="A64" t="s">
        <v>93</v>
      </c>
      <c r="B64" t="s">
        <v>22</v>
      </c>
      <c r="C64">
        <v>0</v>
      </c>
      <c r="F64"/>
      <c r="G64"/>
      <c r="H64"/>
    </row>
    <row r="65" spans="1:8" hidden="1" x14ac:dyDescent="0.3">
      <c r="A65" t="s">
        <v>1045</v>
      </c>
      <c r="B65" t="s">
        <v>9</v>
      </c>
      <c r="C65">
        <v>0</v>
      </c>
      <c r="F65"/>
      <c r="G65"/>
      <c r="H65"/>
    </row>
    <row r="66" spans="1:8" hidden="1" x14ac:dyDescent="0.3">
      <c r="A66" t="s">
        <v>16</v>
      </c>
      <c r="B66" t="s">
        <v>507</v>
      </c>
      <c r="C66">
        <v>0</v>
      </c>
      <c r="F66"/>
      <c r="G66"/>
      <c r="H66"/>
    </row>
    <row r="67" spans="1:8" hidden="1" x14ac:dyDescent="0.3">
      <c r="A67" t="s">
        <v>104</v>
      </c>
      <c r="B67" t="s">
        <v>507</v>
      </c>
      <c r="C67">
        <v>0</v>
      </c>
      <c r="F67"/>
      <c r="G67"/>
      <c r="H67"/>
    </row>
    <row r="68" spans="1:8" x14ac:dyDescent="0.3">
      <c r="A68" t="s">
        <v>104</v>
      </c>
      <c r="B68" t="s">
        <v>22</v>
      </c>
      <c r="C68">
        <v>40</v>
      </c>
      <c r="D68" s="6">
        <v>45622</v>
      </c>
      <c r="E68" t="s">
        <v>1084</v>
      </c>
      <c r="F68" s="1">
        <f>VLOOKUP(E68,'[1]TIỀN MUA PHỤ'!$A:$B,2,0)</f>
        <v>6000</v>
      </c>
      <c r="G68" s="1">
        <v>6000</v>
      </c>
      <c r="H68" s="1">
        <f>C68*G68</f>
        <v>240000</v>
      </c>
    </row>
    <row r="69" spans="1:8" hidden="1" x14ac:dyDescent="0.3">
      <c r="A69" t="s">
        <v>87</v>
      </c>
      <c r="B69" t="s">
        <v>507</v>
      </c>
      <c r="C69">
        <v>0</v>
      </c>
      <c r="F69"/>
      <c r="G69"/>
      <c r="H69"/>
    </row>
    <row r="70" spans="1:8" x14ac:dyDescent="0.3">
      <c r="A70" t="s">
        <v>87</v>
      </c>
      <c r="B70" t="s">
        <v>107</v>
      </c>
      <c r="C70">
        <v>20</v>
      </c>
      <c r="D70" s="6">
        <v>45622</v>
      </c>
      <c r="E70" t="s">
        <v>1085</v>
      </c>
      <c r="F70" s="1">
        <f>VLOOKUP(E70,'[1]TIỀN MUA PHỤ'!$A:$B,2,0)</f>
        <v>6500</v>
      </c>
      <c r="G70" s="1">
        <v>6500</v>
      </c>
      <c r="H70" s="1">
        <f t="shared" ref="H70:H71" si="7">C70*G70</f>
        <v>130000</v>
      </c>
    </row>
    <row r="71" spans="1:8" x14ac:dyDescent="0.3">
      <c r="A71" t="s">
        <v>95</v>
      </c>
      <c r="B71" t="s">
        <v>507</v>
      </c>
      <c r="C71">
        <v>2</v>
      </c>
      <c r="D71" s="6">
        <v>45622</v>
      </c>
      <c r="E71" t="s">
        <v>1086</v>
      </c>
      <c r="F71" s="1">
        <v>80000</v>
      </c>
      <c r="G71" s="1">
        <v>80000</v>
      </c>
      <c r="H71" s="1">
        <f t="shared" si="7"/>
        <v>160000</v>
      </c>
    </row>
    <row r="72" spans="1:8" hidden="1" x14ac:dyDescent="0.3">
      <c r="A72" t="s">
        <v>95</v>
      </c>
      <c r="B72" t="s">
        <v>9</v>
      </c>
      <c r="C72">
        <v>0</v>
      </c>
      <c r="F72"/>
      <c r="G72"/>
      <c r="H72"/>
    </row>
    <row r="73" spans="1:8" hidden="1" x14ac:dyDescent="0.3">
      <c r="A73" t="s">
        <v>1046</v>
      </c>
      <c r="B73" t="s">
        <v>22</v>
      </c>
      <c r="C73">
        <v>0</v>
      </c>
      <c r="F73"/>
      <c r="G73"/>
      <c r="H73"/>
    </row>
    <row r="74" spans="1:8" hidden="1" x14ac:dyDescent="0.3">
      <c r="A74" t="s">
        <v>53</v>
      </c>
      <c r="B74" t="s">
        <v>507</v>
      </c>
      <c r="C74">
        <v>0</v>
      </c>
      <c r="F74"/>
      <c r="G74"/>
      <c r="H74"/>
    </row>
    <row r="75" spans="1:8" x14ac:dyDescent="0.3">
      <c r="A75" t="s">
        <v>53</v>
      </c>
      <c r="B75" t="s">
        <v>9</v>
      </c>
      <c r="C75">
        <v>740</v>
      </c>
      <c r="D75" s="6">
        <v>45622</v>
      </c>
      <c r="E75" t="s">
        <v>1087</v>
      </c>
      <c r="F75" s="1">
        <f>VLOOKUP(E75,'[1]TIỀN MUA PHỤ'!$A:$B,2,0)</f>
        <v>5000</v>
      </c>
      <c r="G75" s="1">
        <v>5000</v>
      </c>
      <c r="H75" s="1">
        <f>C75*G75</f>
        <v>3700000</v>
      </c>
    </row>
    <row r="76" spans="1:8" hidden="1" x14ac:dyDescent="0.3">
      <c r="A76" t="s">
        <v>55</v>
      </c>
      <c r="B76" t="s">
        <v>507</v>
      </c>
      <c r="C76">
        <v>0</v>
      </c>
      <c r="F76"/>
      <c r="G76"/>
      <c r="H76"/>
    </row>
    <row r="77" spans="1:8" x14ac:dyDescent="0.3">
      <c r="A77" t="s">
        <v>55</v>
      </c>
      <c r="B77" t="s">
        <v>22</v>
      </c>
      <c r="C77">
        <v>20</v>
      </c>
      <c r="D77" s="6">
        <v>45622</v>
      </c>
      <c r="E77" t="s">
        <v>1088</v>
      </c>
      <c r="F77" s="1">
        <f>VLOOKUP(E77,'[1]TIỀN MUA PHỤ'!$A:$B,2,0)*0.6</f>
        <v>6000</v>
      </c>
      <c r="G77" s="1">
        <v>6000</v>
      </c>
      <c r="H77" s="1">
        <f t="shared" ref="H77:H78" si="8">C77*G77</f>
        <v>120000</v>
      </c>
    </row>
    <row r="78" spans="1:8" x14ac:dyDescent="0.3">
      <c r="A78" t="s">
        <v>56</v>
      </c>
      <c r="B78" t="s">
        <v>507</v>
      </c>
      <c r="C78">
        <v>20</v>
      </c>
      <c r="D78" s="6">
        <v>45622</v>
      </c>
      <c r="E78" t="s">
        <v>1089</v>
      </c>
      <c r="F78" s="1">
        <f>VLOOKUP(E78,'[1]TIỀN MUA PHỤ'!$A:$B,2,0)</f>
        <v>3000</v>
      </c>
      <c r="G78" s="1">
        <v>3000</v>
      </c>
      <c r="H78" s="1">
        <f t="shared" si="8"/>
        <v>60000</v>
      </c>
    </row>
    <row r="79" spans="1:8" hidden="1" x14ac:dyDescent="0.3">
      <c r="A79" t="s">
        <v>28</v>
      </c>
      <c r="B79" t="s">
        <v>507</v>
      </c>
      <c r="C79">
        <v>0</v>
      </c>
      <c r="F79"/>
      <c r="G79"/>
      <c r="H79"/>
    </row>
    <row r="80" spans="1:8" x14ac:dyDescent="0.3">
      <c r="A80" t="s">
        <v>28</v>
      </c>
      <c r="B80" t="s">
        <v>27</v>
      </c>
      <c r="C80">
        <v>50</v>
      </c>
      <c r="D80" s="6">
        <v>45622</v>
      </c>
      <c r="E80" t="s">
        <v>1090</v>
      </c>
      <c r="F80" s="1">
        <f>VLOOKUP(E80,'[1]TIỀN MUA PHỤ'!$A:$B,2,0)/5</f>
        <v>6000</v>
      </c>
      <c r="G80" s="1">
        <v>6000</v>
      </c>
      <c r="H80" s="1">
        <f>C80*G80</f>
        <v>300000</v>
      </c>
    </row>
    <row r="81" spans="1:8" hidden="1" x14ac:dyDescent="0.3">
      <c r="A81" t="s">
        <v>1047</v>
      </c>
      <c r="B81" t="s">
        <v>507</v>
      </c>
      <c r="C81">
        <v>0</v>
      </c>
      <c r="F81"/>
      <c r="G81"/>
      <c r="H81"/>
    </row>
    <row r="82" spans="1:8" hidden="1" x14ac:dyDescent="0.3">
      <c r="A82" t="s">
        <v>72</v>
      </c>
      <c r="B82" t="s">
        <v>507</v>
      </c>
      <c r="C82">
        <v>0</v>
      </c>
      <c r="F82"/>
      <c r="G82"/>
      <c r="H82"/>
    </row>
    <row r="83" spans="1:8" hidden="1" x14ac:dyDescent="0.3">
      <c r="A83" t="s">
        <v>72</v>
      </c>
      <c r="B83" t="s">
        <v>48</v>
      </c>
      <c r="C83">
        <v>0</v>
      </c>
      <c r="F83"/>
      <c r="G83"/>
      <c r="H83"/>
    </row>
    <row r="84" spans="1:8" hidden="1" x14ac:dyDescent="0.3">
      <c r="A84" t="s">
        <v>73</v>
      </c>
      <c r="B84" t="s">
        <v>507</v>
      </c>
      <c r="C84">
        <v>0</v>
      </c>
      <c r="F84"/>
      <c r="G84"/>
      <c r="H84"/>
    </row>
    <row r="85" spans="1:8" hidden="1" x14ac:dyDescent="0.3">
      <c r="A85" t="s">
        <v>73</v>
      </c>
      <c r="B85" t="s">
        <v>85</v>
      </c>
      <c r="C85">
        <v>0</v>
      </c>
      <c r="F85"/>
      <c r="G85"/>
      <c r="H85"/>
    </row>
    <row r="86" spans="1:8" hidden="1" x14ac:dyDescent="0.3">
      <c r="A86" t="s">
        <v>100</v>
      </c>
      <c r="B86" t="s">
        <v>507</v>
      </c>
      <c r="C86">
        <v>0</v>
      </c>
      <c r="F86"/>
      <c r="G86"/>
      <c r="H86"/>
    </row>
    <row r="87" spans="1:8" hidden="1" x14ac:dyDescent="0.3">
      <c r="A87" t="s">
        <v>100</v>
      </c>
      <c r="B87" t="s">
        <v>22</v>
      </c>
      <c r="C87">
        <v>0</v>
      </c>
      <c r="F87"/>
      <c r="G87"/>
      <c r="H87"/>
    </row>
    <row r="88" spans="1:8" x14ac:dyDescent="0.3">
      <c r="A88" t="s">
        <v>29</v>
      </c>
      <c r="B88" t="s">
        <v>507</v>
      </c>
      <c r="C88">
        <v>12</v>
      </c>
      <c r="D88" s="6">
        <v>45622</v>
      </c>
      <c r="E88" t="s">
        <v>1091</v>
      </c>
      <c r="F88" s="1">
        <f>VLOOKUP(E88,'[1]TIỀN MUA PHỤ'!$A:$B,2,0)</f>
        <v>36000</v>
      </c>
      <c r="G88" s="1">
        <v>36000</v>
      </c>
      <c r="H88" s="1">
        <f t="shared" ref="H88:H90" si="9">C88*G88</f>
        <v>432000</v>
      </c>
    </row>
    <row r="89" spans="1:8" x14ac:dyDescent="0.3">
      <c r="A89" t="s">
        <v>29</v>
      </c>
      <c r="B89" t="s">
        <v>22</v>
      </c>
      <c r="C89">
        <v>601</v>
      </c>
      <c r="D89" s="6">
        <v>45622</v>
      </c>
      <c r="E89" t="s">
        <v>1091</v>
      </c>
      <c r="F89" s="1">
        <f>VLOOKUP(E89,'[1]TIỀN MUA PHỤ'!$A:$B,2,0)/20</f>
        <v>1800</v>
      </c>
      <c r="G89" s="1">
        <v>1800</v>
      </c>
      <c r="H89" s="1">
        <f t="shared" si="9"/>
        <v>1081800</v>
      </c>
    </row>
    <row r="90" spans="1:8" x14ac:dyDescent="0.3">
      <c r="A90" t="s">
        <v>30</v>
      </c>
      <c r="B90" t="s">
        <v>507</v>
      </c>
      <c r="C90">
        <v>10</v>
      </c>
      <c r="D90" s="6">
        <v>45622</v>
      </c>
      <c r="E90" t="s">
        <v>1092</v>
      </c>
      <c r="F90" s="1">
        <f>VLOOKUP(E90,'[1]TIỀN MUA PHỤ'!$A:$B,2,0)</f>
        <v>14000</v>
      </c>
      <c r="G90" s="1">
        <v>14000</v>
      </c>
      <c r="H90" s="1">
        <f t="shared" si="9"/>
        <v>140000</v>
      </c>
    </row>
    <row r="91" spans="1:8" hidden="1" x14ac:dyDescent="0.3">
      <c r="A91" t="s">
        <v>101</v>
      </c>
      <c r="B91" t="s">
        <v>22</v>
      </c>
      <c r="C91">
        <v>0</v>
      </c>
      <c r="F91"/>
      <c r="G91"/>
      <c r="H91"/>
    </row>
    <row r="92" spans="1:8" hidden="1" x14ac:dyDescent="0.3">
      <c r="A92" t="s">
        <v>31</v>
      </c>
      <c r="B92" t="s">
        <v>22</v>
      </c>
      <c r="C92">
        <v>0</v>
      </c>
      <c r="F92"/>
      <c r="G92"/>
      <c r="H92"/>
    </row>
    <row r="93" spans="1:8" x14ac:dyDescent="0.3">
      <c r="A93" t="s">
        <v>32</v>
      </c>
      <c r="B93" t="s">
        <v>507</v>
      </c>
      <c r="C93">
        <v>20</v>
      </c>
      <c r="D93" s="6">
        <v>45622</v>
      </c>
      <c r="E93" t="s">
        <v>1093</v>
      </c>
      <c r="F93" s="1">
        <f>VLOOKUP(E93,'[1]TIỀN MUA PHỤ'!$A:$B,2,0)</f>
        <v>63000</v>
      </c>
      <c r="G93" s="1">
        <v>63000</v>
      </c>
      <c r="H93" s="1">
        <f>C93*G93</f>
        <v>1260000</v>
      </c>
    </row>
    <row r="94" spans="1:8" hidden="1" x14ac:dyDescent="0.3">
      <c r="A94" t="s">
        <v>32</v>
      </c>
      <c r="B94" t="s">
        <v>1048</v>
      </c>
      <c r="C94">
        <v>0</v>
      </c>
      <c r="F94"/>
      <c r="G94"/>
      <c r="H94"/>
    </row>
    <row r="95" spans="1:8" hidden="1" x14ac:dyDescent="0.3">
      <c r="A95" t="s">
        <v>1049</v>
      </c>
      <c r="B95" t="s">
        <v>507</v>
      </c>
      <c r="C95">
        <v>0</v>
      </c>
      <c r="F95"/>
      <c r="G95"/>
      <c r="H95"/>
    </row>
    <row r="96" spans="1:8" hidden="1" x14ac:dyDescent="0.3">
      <c r="A96" t="s">
        <v>1050</v>
      </c>
      <c r="B96" t="s">
        <v>22</v>
      </c>
      <c r="C96">
        <v>0</v>
      </c>
      <c r="F96"/>
      <c r="G96"/>
      <c r="H96"/>
    </row>
    <row r="97" spans="1:8" x14ac:dyDescent="0.3">
      <c r="A97" t="s">
        <v>109</v>
      </c>
      <c r="B97" t="s">
        <v>507</v>
      </c>
      <c r="C97">
        <v>20</v>
      </c>
      <c r="D97" s="6">
        <v>45622</v>
      </c>
      <c r="E97" t="s">
        <v>1094</v>
      </c>
      <c r="F97" s="1">
        <v>23000</v>
      </c>
      <c r="G97" s="1">
        <v>23000</v>
      </c>
      <c r="H97" s="1">
        <f>C97*G97</f>
        <v>460000</v>
      </c>
    </row>
    <row r="98" spans="1:8" hidden="1" x14ac:dyDescent="0.3">
      <c r="A98" t="s">
        <v>109</v>
      </c>
      <c r="B98" t="s">
        <v>9</v>
      </c>
      <c r="C98">
        <v>0</v>
      </c>
      <c r="F98"/>
      <c r="G98"/>
      <c r="H98"/>
    </row>
    <row r="99" spans="1:8" x14ac:dyDescent="0.3">
      <c r="A99" t="s">
        <v>57</v>
      </c>
      <c r="B99" t="s">
        <v>507</v>
      </c>
      <c r="C99">
        <v>30</v>
      </c>
      <c r="D99" s="6">
        <v>45622</v>
      </c>
      <c r="E99" t="s">
        <v>1095</v>
      </c>
      <c r="F99" s="1">
        <f>VLOOKUP(E99,'[1]TIỀN MUA PHỤ'!$A:$B,2,0)</f>
        <v>44000</v>
      </c>
      <c r="G99" s="1">
        <v>44000</v>
      </c>
      <c r="H99" s="1">
        <f>C99*G99</f>
        <v>1320000</v>
      </c>
    </row>
    <row r="100" spans="1:8" hidden="1" x14ac:dyDescent="0.3">
      <c r="A100" t="s">
        <v>57</v>
      </c>
      <c r="B100" t="s">
        <v>48</v>
      </c>
      <c r="C100">
        <v>0</v>
      </c>
      <c r="F100"/>
      <c r="G100"/>
      <c r="H100"/>
    </row>
    <row r="101" spans="1:8" hidden="1" x14ac:dyDescent="0.3">
      <c r="A101" t="s">
        <v>58</v>
      </c>
      <c r="B101" t="s">
        <v>507</v>
      </c>
      <c r="C101">
        <v>0</v>
      </c>
      <c r="F101"/>
      <c r="G101"/>
      <c r="H101"/>
    </row>
    <row r="102" spans="1:8" x14ac:dyDescent="0.3">
      <c r="A102" t="s">
        <v>58</v>
      </c>
      <c r="B102" t="s">
        <v>59</v>
      </c>
      <c r="C102">
        <v>300</v>
      </c>
      <c r="D102" s="6">
        <v>45622</v>
      </c>
      <c r="E102" t="s">
        <v>1096</v>
      </c>
      <c r="F102" s="1">
        <f>VLOOKUP(E102,'[1]TIỀN MUA PHỤ'!$A:$B,2,0)/4</f>
        <v>7500</v>
      </c>
      <c r="G102" s="1">
        <v>7500</v>
      </c>
      <c r="H102" s="1">
        <f t="shared" ref="H102:H103" si="10">C102*G102</f>
        <v>2250000</v>
      </c>
    </row>
    <row r="103" spans="1:8" x14ac:dyDescent="0.3">
      <c r="A103" t="s">
        <v>60</v>
      </c>
      <c r="B103" t="s">
        <v>507</v>
      </c>
      <c r="C103">
        <v>10</v>
      </c>
      <c r="D103" s="6">
        <v>45622</v>
      </c>
      <c r="E103" t="s">
        <v>1097</v>
      </c>
      <c r="F103" s="1">
        <f>VLOOKUP(E103,'[1]TIỀN MUA PHỤ'!$A:$B,2,0)</f>
        <v>58000</v>
      </c>
      <c r="G103" s="1">
        <v>58000</v>
      </c>
      <c r="H103" s="1">
        <f t="shared" si="10"/>
        <v>580000</v>
      </c>
    </row>
    <row r="104" spans="1:8" hidden="1" x14ac:dyDescent="0.3">
      <c r="A104" t="s">
        <v>60</v>
      </c>
      <c r="B104" t="s">
        <v>48</v>
      </c>
      <c r="C104">
        <v>0</v>
      </c>
      <c r="F104"/>
      <c r="G104"/>
      <c r="H104"/>
    </row>
    <row r="105" spans="1:8" hidden="1" x14ac:dyDescent="0.3">
      <c r="A105" t="s">
        <v>61</v>
      </c>
      <c r="B105" t="s">
        <v>507</v>
      </c>
      <c r="C105">
        <v>0</v>
      </c>
      <c r="F105"/>
      <c r="G105"/>
      <c r="H105"/>
    </row>
    <row r="106" spans="1:8" x14ac:dyDescent="0.3">
      <c r="A106" t="s">
        <v>61</v>
      </c>
      <c r="B106" t="s">
        <v>59</v>
      </c>
      <c r="C106">
        <v>200</v>
      </c>
      <c r="D106" s="6">
        <v>45622</v>
      </c>
      <c r="E106" t="s">
        <v>1098</v>
      </c>
      <c r="F106" s="1">
        <f>VLOOKUP(E106,'[1]TIỀN MUA PHỤ'!$A:$B,2,0)/4</f>
        <v>4500</v>
      </c>
      <c r="G106" s="1">
        <v>4500</v>
      </c>
      <c r="H106" s="1">
        <f>C106*G106</f>
        <v>900000</v>
      </c>
    </row>
    <row r="107" spans="1:8" hidden="1" x14ac:dyDescent="0.3">
      <c r="A107" t="s">
        <v>62</v>
      </c>
      <c r="B107" t="s">
        <v>507</v>
      </c>
      <c r="C107">
        <v>0</v>
      </c>
      <c r="F107"/>
      <c r="G107"/>
      <c r="H107"/>
    </row>
    <row r="108" spans="1:8" hidden="1" x14ac:dyDescent="0.3">
      <c r="A108" t="s">
        <v>62</v>
      </c>
      <c r="B108" t="s">
        <v>59</v>
      </c>
      <c r="C108">
        <v>0</v>
      </c>
      <c r="F108"/>
      <c r="G108"/>
      <c r="H108"/>
    </row>
    <row r="109" spans="1:8" hidden="1" x14ac:dyDescent="0.3">
      <c r="A109" t="s">
        <v>1051</v>
      </c>
      <c r="B109" t="s">
        <v>507</v>
      </c>
      <c r="C109">
        <v>0</v>
      </c>
      <c r="F109"/>
      <c r="G109"/>
      <c r="H109"/>
    </row>
    <row r="110" spans="1:8" hidden="1" x14ac:dyDescent="0.3">
      <c r="A110" t="s">
        <v>97</v>
      </c>
      <c r="B110" t="s">
        <v>507</v>
      </c>
      <c r="C110">
        <v>0</v>
      </c>
      <c r="F110"/>
      <c r="G110"/>
      <c r="H110"/>
    </row>
    <row r="111" spans="1:8" x14ac:dyDescent="0.3">
      <c r="A111" t="s">
        <v>97</v>
      </c>
      <c r="B111" t="s">
        <v>22</v>
      </c>
      <c r="C111">
        <v>160</v>
      </c>
      <c r="D111" s="6">
        <v>45622</v>
      </c>
      <c r="E111" t="s">
        <v>1099</v>
      </c>
      <c r="F111" s="1">
        <f>VLOOKUP(E111,'[1]TIỀN MUA PHỤ'!$A:$B,2,0)</f>
        <v>20000</v>
      </c>
      <c r="G111" s="1">
        <v>20000</v>
      </c>
      <c r="H111" s="1">
        <f t="shared" ref="H111:H112" si="11">C111*G111</f>
        <v>3200000</v>
      </c>
    </row>
    <row r="112" spans="1:8" x14ac:dyDescent="0.3">
      <c r="A112" t="s">
        <v>33</v>
      </c>
      <c r="B112" t="s">
        <v>507</v>
      </c>
      <c r="C112">
        <v>6</v>
      </c>
      <c r="D112" s="6">
        <v>45622</v>
      </c>
      <c r="E112" t="s">
        <v>1100</v>
      </c>
      <c r="F112" s="1">
        <f>VLOOKUP(E112,'[1]TIỀN MUA PHỤ'!$A:$B,2,0)</f>
        <v>35000</v>
      </c>
      <c r="G112" s="1">
        <v>35000</v>
      </c>
      <c r="H112" s="1">
        <f t="shared" si="11"/>
        <v>210000</v>
      </c>
    </row>
    <row r="113" spans="1:8" hidden="1" x14ac:dyDescent="0.3">
      <c r="A113" t="s">
        <v>33</v>
      </c>
      <c r="B113" t="s">
        <v>85</v>
      </c>
      <c r="C113">
        <v>0</v>
      </c>
      <c r="F113"/>
      <c r="G113"/>
      <c r="H113"/>
    </row>
    <row r="114" spans="1:8" hidden="1" x14ac:dyDescent="0.3">
      <c r="A114" t="s">
        <v>1052</v>
      </c>
      <c r="B114" t="s">
        <v>9</v>
      </c>
      <c r="C114">
        <v>0</v>
      </c>
      <c r="F114"/>
      <c r="G114"/>
      <c r="H114"/>
    </row>
    <row r="115" spans="1:8" hidden="1" x14ac:dyDescent="0.3">
      <c r="A115" t="s">
        <v>1053</v>
      </c>
      <c r="B115" t="s">
        <v>507</v>
      </c>
      <c r="C115">
        <v>0</v>
      </c>
      <c r="F115"/>
      <c r="G115"/>
      <c r="H115"/>
    </row>
    <row r="116" spans="1:8" hidden="1" x14ac:dyDescent="0.3">
      <c r="A116" t="s">
        <v>64</v>
      </c>
      <c r="B116" t="s">
        <v>507</v>
      </c>
      <c r="C116">
        <v>0</v>
      </c>
      <c r="F116"/>
      <c r="G116"/>
      <c r="H116"/>
    </row>
    <row r="117" spans="1:8" hidden="1" x14ac:dyDescent="0.3">
      <c r="A117" t="s">
        <v>64</v>
      </c>
      <c r="B117" t="s">
        <v>59</v>
      </c>
      <c r="C117">
        <v>0</v>
      </c>
      <c r="F117"/>
      <c r="G117"/>
      <c r="H117"/>
    </row>
    <row r="118" spans="1:8" hidden="1" x14ac:dyDescent="0.3">
      <c r="A118" t="s">
        <v>1054</v>
      </c>
      <c r="B118" t="s">
        <v>9</v>
      </c>
      <c r="C118">
        <v>0</v>
      </c>
      <c r="F118"/>
      <c r="G118"/>
      <c r="H118"/>
    </row>
    <row r="119" spans="1:8" hidden="1" x14ac:dyDescent="0.3">
      <c r="A119" t="s">
        <v>66</v>
      </c>
      <c r="B119" t="s">
        <v>48</v>
      </c>
      <c r="C119">
        <v>0</v>
      </c>
      <c r="F119"/>
      <c r="G119"/>
      <c r="H119"/>
    </row>
    <row r="120" spans="1:8" hidden="1" x14ac:dyDescent="0.3">
      <c r="A120" t="s">
        <v>128</v>
      </c>
      <c r="B120" t="s">
        <v>507</v>
      </c>
      <c r="C120">
        <v>0</v>
      </c>
      <c r="F120"/>
      <c r="G120"/>
      <c r="H120"/>
    </row>
    <row r="121" spans="1:8" hidden="1" x14ac:dyDescent="0.3">
      <c r="A121" t="s">
        <v>113</v>
      </c>
      <c r="B121" t="s">
        <v>507</v>
      </c>
      <c r="C121">
        <v>0</v>
      </c>
      <c r="F121"/>
      <c r="G121"/>
      <c r="H121"/>
    </row>
    <row r="122" spans="1:8" x14ac:dyDescent="0.3">
      <c r="A122" t="s">
        <v>113</v>
      </c>
      <c r="B122" t="s">
        <v>22</v>
      </c>
      <c r="C122">
        <v>33</v>
      </c>
      <c r="D122" s="6">
        <v>45622</v>
      </c>
      <c r="E122" t="s">
        <v>1101</v>
      </c>
      <c r="F122" s="1">
        <f>VLOOKUP(E122,'[1]TIỀN MUA PHỤ'!$A:$B,2,0)*0.3</f>
        <v>10500</v>
      </c>
      <c r="G122" s="1">
        <v>10500</v>
      </c>
      <c r="H122" s="1">
        <f t="shared" ref="H122:H123" si="12">C122*G122</f>
        <v>346500</v>
      </c>
    </row>
    <row r="123" spans="1:8" x14ac:dyDescent="0.3">
      <c r="A123" t="s">
        <v>34</v>
      </c>
      <c r="B123" t="s">
        <v>507</v>
      </c>
      <c r="C123">
        <v>100</v>
      </c>
      <c r="D123" s="6">
        <v>45622</v>
      </c>
      <c r="E123" t="s">
        <v>1102</v>
      </c>
      <c r="F123" s="1">
        <v>14000</v>
      </c>
      <c r="G123" s="1">
        <v>14000</v>
      </c>
      <c r="H123" s="1">
        <f t="shared" si="12"/>
        <v>1400000</v>
      </c>
    </row>
    <row r="124" spans="1:8" hidden="1" x14ac:dyDescent="0.3">
      <c r="A124" t="s">
        <v>34</v>
      </c>
      <c r="B124" t="s">
        <v>22</v>
      </c>
      <c r="C124">
        <v>0</v>
      </c>
      <c r="F124"/>
      <c r="G124"/>
      <c r="H124"/>
    </row>
    <row r="125" spans="1:8" hidden="1" x14ac:dyDescent="0.3">
      <c r="A125" t="s">
        <v>74</v>
      </c>
      <c r="B125" t="s">
        <v>507</v>
      </c>
      <c r="C125">
        <v>0</v>
      </c>
      <c r="F125"/>
      <c r="G125"/>
      <c r="H125"/>
    </row>
    <row r="126" spans="1:8" hidden="1" x14ac:dyDescent="0.3">
      <c r="A126" t="s">
        <v>35</v>
      </c>
      <c r="B126" t="s">
        <v>507</v>
      </c>
      <c r="C126">
        <v>0</v>
      </c>
      <c r="F126"/>
      <c r="G126"/>
      <c r="H126"/>
    </row>
    <row r="127" spans="1:8" x14ac:dyDescent="0.3">
      <c r="A127" t="s">
        <v>36</v>
      </c>
      <c r="B127" t="s">
        <v>27</v>
      </c>
      <c r="C127">
        <v>100</v>
      </c>
      <c r="D127" s="6">
        <v>45622</v>
      </c>
      <c r="E127" t="s">
        <v>1103</v>
      </c>
      <c r="F127" s="1">
        <f>VLOOKUP(E127,'[1]TIỀN MUA PHỤ'!$A:$B,2,0)</f>
        <v>6800</v>
      </c>
      <c r="G127" s="1">
        <v>6800</v>
      </c>
      <c r="H127" s="1">
        <f t="shared" ref="H127:H128" si="13">C127*G127</f>
        <v>680000</v>
      </c>
    </row>
    <row r="128" spans="1:8" x14ac:dyDescent="0.3">
      <c r="A128" t="s">
        <v>40</v>
      </c>
      <c r="B128" t="s">
        <v>507</v>
      </c>
      <c r="C128">
        <v>30</v>
      </c>
      <c r="D128" s="6">
        <v>45622</v>
      </c>
      <c r="E128" t="s">
        <v>1104</v>
      </c>
      <c r="F128" s="1">
        <v>26000</v>
      </c>
      <c r="G128" s="1">
        <v>26000</v>
      </c>
      <c r="H128" s="1">
        <f t="shared" si="13"/>
        <v>780000</v>
      </c>
    </row>
    <row r="129" spans="1:8" hidden="1" x14ac:dyDescent="0.3">
      <c r="A129" t="s">
        <v>37</v>
      </c>
      <c r="B129" t="s">
        <v>507</v>
      </c>
      <c r="C129">
        <v>0</v>
      </c>
      <c r="F129"/>
      <c r="G129"/>
      <c r="H129"/>
    </row>
    <row r="130" spans="1:8" x14ac:dyDescent="0.3">
      <c r="A130" t="s">
        <v>38</v>
      </c>
      <c r="B130" t="s">
        <v>27</v>
      </c>
      <c r="C130">
        <v>20</v>
      </c>
      <c r="D130" s="6">
        <v>45622</v>
      </c>
      <c r="E130" t="s">
        <v>1105</v>
      </c>
      <c r="F130" s="1">
        <f>VLOOKUP(E130,'[1]TIỀN MUA PHỤ'!$A:$B,2,0)</f>
        <v>6800</v>
      </c>
      <c r="G130" s="1">
        <v>6800</v>
      </c>
      <c r="H130" s="1">
        <f t="shared" ref="H130:H132" si="14">C130*G130</f>
        <v>136000</v>
      </c>
    </row>
    <row r="131" spans="1:8" x14ac:dyDescent="0.3">
      <c r="A131" t="s">
        <v>39</v>
      </c>
      <c r="B131" t="s">
        <v>507</v>
      </c>
      <c r="C131">
        <v>20</v>
      </c>
      <c r="D131" s="6">
        <v>45622</v>
      </c>
      <c r="E131" t="s">
        <v>1106</v>
      </c>
      <c r="F131" s="1">
        <f>VLOOKUP(E131,'[1]TIỀN MUA PHỤ'!$A:$B,2,0)</f>
        <v>33000</v>
      </c>
      <c r="G131" s="1">
        <v>33000</v>
      </c>
      <c r="H131" s="1">
        <f t="shared" si="14"/>
        <v>660000</v>
      </c>
    </row>
    <row r="132" spans="1:8" x14ac:dyDescent="0.3">
      <c r="A132" t="s">
        <v>82</v>
      </c>
      <c r="B132" t="s">
        <v>507</v>
      </c>
      <c r="C132">
        <v>1</v>
      </c>
      <c r="D132" s="6">
        <v>45622</v>
      </c>
      <c r="E132" t="s">
        <v>1107</v>
      </c>
      <c r="F132" s="1">
        <f>VLOOKUP(E132,'[1]TIỀN MUA PHỤ'!$A:$B,2,0)</f>
        <v>120000</v>
      </c>
      <c r="G132" s="1">
        <v>120000</v>
      </c>
      <c r="H132" s="1">
        <f t="shared" si="14"/>
        <v>120000</v>
      </c>
    </row>
    <row r="133" spans="1:8" hidden="1" x14ac:dyDescent="0.3">
      <c r="A133" t="s">
        <v>82</v>
      </c>
      <c r="B133" t="s">
        <v>22</v>
      </c>
      <c r="C133">
        <v>0</v>
      </c>
      <c r="F133"/>
      <c r="G133"/>
      <c r="H133"/>
    </row>
    <row r="134" spans="1:8" hidden="1" x14ac:dyDescent="0.3">
      <c r="A134" t="s">
        <v>83</v>
      </c>
      <c r="B134" t="s">
        <v>507</v>
      </c>
      <c r="C134">
        <v>0</v>
      </c>
      <c r="F134"/>
      <c r="G134"/>
      <c r="H134"/>
    </row>
    <row r="135" spans="1:8" hidden="1" x14ac:dyDescent="0.3">
      <c r="A135" t="s">
        <v>83</v>
      </c>
      <c r="B135" t="s">
        <v>22</v>
      </c>
      <c r="C135">
        <v>0</v>
      </c>
      <c r="F135"/>
      <c r="G135"/>
      <c r="H135"/>
    </row>
    <row r="136" spans="1:8" hidden="1" x14ac:dyDescent="0.3">
      <c r="A136" t="s">
        <v>98</v>
      </c>
      <c r="B136" t="s">
        <v>507</v>
      </c>
      <c r="C136">
        <v>0</v>
      </c>
      <c r="F136"/>
      <c r="G136"/>
      <c r="H136"/>
    </row>
    <row r="137" spans="1:8" x14ac:dyDescent="0.3">
      <c r="A137" t="s">
        <v>84</v>
      </c>
      <c r="B137" t="s">
        <v>27</v>
      </c>
      <c r="C137">
        <v>6</v>
      </c>
      <c r="D137" s="6">
        <v>45622</v>
      </c>
      <c r="E137" t="s">
        <v>1108</v>
      </c>
      <c r="F137" s="1">
        <f>VLOOKUP(E137,'[1]TIỀN MUA PHỤ'!$A:$B,2,0)</f>
        <v>6800</v>
      </c>
      <c r="G137" s="1">
        <v>6800</v>
      </c>
      <c r="H137" s="1">
        <f>C137*G137</f>
        <v>40800</v>
      </c>
    </row>
  </sheetData>
  <autoFilter ref="A1:F137" xr:uid="{A31FE160-F0C2-4439-9965-0516D48AB56B}">
    <filterColumn colId="2">
      <filters>
        <filter val="1"/>
        <filter val="10"/>
        <filter val="100"/>
        <filter val="105"/>
        <filter val="12"/>
        <filter val="120"/>
        <filter val="15"/>
        <filter val="160"/>
        <filter val="2"/>
        <filter val="20"/>
        <filter val="200"/>
        <filter val="240"/>
        <filter val="30"/>
        <filter val="300"/>
        <filter val="31"/>
        <filter val="33"/>
        <filter val="40"/>
        <filter val="50"/>
        <filter val="6"/>
        <filter val="601"/>
        <filter val="65"/>
        <filter val="70"/>
        <filter val="740"/>
        <filter val="8"/>
        <filter val="80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CF12-0E50-406B-A5A1-1079FE1B8E90}">
  <dimension ref="A1:G43"/>
  <sheetViews>
    <sheetView workbookViewId="0">
      <selection activeCell="C1" sqref="C1"/>
    </sheetView>
  </sheetViews>
  <sheetFormatPr defaultRowHeight="14.4" x14ac:dyDescent="0.3"/>
  <cols>
    <col min="1" max="1" width="20" customWidth="1"/>
    <col min="4" max="4" width="10.5546875" bestFit="1" customWidth="1"/>
    <col min="5" max="5" width="32.44140625" customWidth="1"/>
    <col min="6" max="6" width="10.33203125" bestFit="1" customWidth="1"/>
    <col min="7" max="7" width="12.33203125" customWidth="1"/>
  </cols>
  <sheetData>
    <row r="1" spans="1:7" x14ac:dyDescent="0.3">
      <c r="A1" t="s">
        <v>56</v>
      </c>
      <c r="B1" t="s">
        <v>507</v>
      </c>
      <c r="C1">
        <v>20</v>
      </c>
      <c r="D1" s="6">
        <v>45621</v>
      </c>
      <c r="E1" t="s">
        <v>1001</v>
      </c>
      <c r="F1" s="1">
        <f>VLOOKUP(E1,'[1]TIỀN MUA PHỤ'!$A:$B,2,0)</f>
        <v>3000</v>
      </c>
      <c r="G1" s="2">
        <f>C1*F1</f>
        <v>60000</v>
      </c>
    </row>
    <row r="2" spans="1:7" x14ac:dyDescent="0.3">
      <c r="A2" t="s">
        <v>26</v>
      </c>
      <c r="B2" t="s">
        <v>27</v>
      </c>
      <c r="C2">
        <v>200</v>
      </c>
      <c r="D2" s="6">
        <v>45621</v>
      </c>
      <c r="E2" t="s">
        <v>1002</v>
      </c>
      <c r="F2" s="1">
        <v>10000</v>
      </c>
      <c r="G2" s="2">
        <f t="shared" ref="G2:G42" si="0">C2*F2</f>
        <v>2000000</v>
      </c>
    </row>
    <row r="3" spans="1:7" x14ac:dyDescent="0.3">
      <c r="A3" t="s">
        <v>41</v>
      </c>
      <c r="B3" t="s">
        <v>42</v>
      </c>
      <c r="C3">
        <v>500</v>
      </c>
      <c r="D3" s="6">
        <v>45621</v>
      </c>
      <c r="E3" t="s">
        <v>1003</v>
      </c>
      <c r="F3" s="1">
        <f>VLOOKUP(E3,'[1]TIỀN MUA PHỤ'!$A:$B,2,0)*0.3</f>
        <v>3000</v>
      </c>
      <c r="G3" s="2">
        <f t="shared" si="0"/>
        <v>1500000</v>
      </c>
    </row>
    <row r="4" spans="1:7" x14ac:dyDescent="0.3">
      <c r="A4" t="s">
        <v>20</v>
      </c>
      <c r="B4" t="s">
        <v>507</v>
      </c>
      <c r="C4">
        <v>80</v>
      </c>
      <c r="D4" s="6">
        <v>45621</v>
      </c>
      <c r="E4" t="s">
        <v>1004</v>
      </c>
      <c r="F4" s="1">
        <f>VLOOKUP(E4,'[1]TIỀN MUA PHỤ'!$A:$B,2,0)*0.3</f>
        <v>5100</v>
      </c>
      <c r="G4" s="2">
        <f t="shared" si="0"/>
        <v>408000</v>
      </c>
    </row>
    <row r="5" spans="1:7" x14ac:dyDescent="0.3">
      <c r="A5" t="s">
        <v>49</v>
      </c>
      <c r="B5" t="s">
        <v>507</v>
      </c>
      <c r="C5">
        <v>6</v>
      </c>
      <c r="D5" s="6">
        <v>45621</v>
      </c>
      <c r="E5" t="s">
        <v>1005</v>
      </c>
      <c r="F5" s="1">
        <f>VLOOKUP(E5,'[1]TIỀN MUA PHỤ'!$A:$B,2,0)</f>
        <v>38500</v>
      </c>
      <c r="G5" s="2">
        <f t="shared" si="0"/>
        <v>231000</v>
      </c>
    </row>
    <row r="6" spans="1:7" x14ac:dyDescent="0.3">
      <c r="A6" t="s">
        <v>49</v>
      </c>
      <c r="B6" t="s">
        <v>106</v>
      </c>
      <c r="C6">
        <v>172</v>
      </c>
      <c r="D6" s="6">
        <v>45621</v>
      </c>
      <c r="E6" t="s">
        <v>1005</v>
      </c>
      <c r="F6" s="1">
        <f>40000*0.3</f>
        <v>12000</v>
      </c>
      <c r="G6" s="2">
        <f t="shared" si="0"/>
        <v>2064000</v>
      </c>
    </row>
    <row r="7" spans="1:7" x14ac:dyDescent="0.3">
      <c r="A7" t="s">
        <v>80</v>
      </c>
      <c r="B7" t="s">
        <v>44</v>
      </c>
      <c r="C7">
        <v>20</v>
      </c>
      <c r="D7" s="6">
        <v>45621</v>
      </c>
      <c r="E7" t="s">
        <v>1006</v>
      </c>
      <c r="F7" s="1">
        <v>4000</v>
      </c>
      <c r="G7" s="2">
        <f t="shared" si="0"/>
        <v>80000</v>
      </c>
    </row>
    <row r="8" spans="1:7" x14ac:dyDescent="0.3">
      <c r="A8" t="s">
        <v>43</v>
      </c>
      <c r="B8" t="s">
        <v>44</v>
      </c>
      <c r="C8">
        <v>200</v>
      </c>
      <c r="D8" s="6">
        <v>45621</v>
      </c>
      <c r="E8" t="s">
        <v>1007</v>
      </c>
      <c r="F8" s="1">
        <f>VLOOKUP(E8,'[1]TIỀN MUA PHỤ'!$A:$B,2,0)*0.3</f>
        <v>3000</v>
      </c>
      <c r="G8" s="2">
        <f t="shared" si="0"/>
        <v>600000</v>
      </c>
    </row>
    <row r="9" spans="1:7" x14ac:dyDescent="0.3">
      <c r="A9" t="s">
        <v>97</v>
      </c>
      <c r="B9" t="s">
        <v>22</v>
      </c>
      <c r="C9">
        <v>200</v>
      </c>
      <c r="D9" s="6">
        <v>45621</v>
      </c>
      <c r="E9" t="s">
        <v>1008</v>
      </c>
      <c r="F9" s="1">
        <v>20000</v>
      </c>
      <c r="G9" s="2">
        <f t="shared" si="0"/>
        <v>4000000</v>
      </c>
    </row>
    <row r="10" spans="1:7" x14ac:dyDescent="0.3">
      <c r="A10" t="s">
        <v>18</v>
      </c>
      <c r="B10" t="s">
        <v>9</v>
      </c>
      <c r="C10">
        <v>70</v>
      </c>
      <c r="D10" s="6">
        <v>45621</v>
      </c>
      <c r="E10" t="s">
        <v>1009</v>
      </c>
      <c r="F10" s="1">
        <f>VLOOKUP(E10,'[1]TIỀN MUA PHỤ'!$A:$B,2,0)/5</f>
        <v>10600</v>
      </c>
      <c r="G10" s="2">
        <f t="shared" si="0"/>
        <v>742000</v>
      </c>
    </row>
    <row r="11" spans="1:7" x14ac:dyDescent="0.3">
      <c r="A11" t="s">
        <v>113</v>
      </c>
      <c r="B11" t="s">
        <v>507</v>
      </c>
      <c r="C11">
        <v>10</v>
      </c>
      <c r="D11" s="6">
        <v>45621</v>
      </c>
      <c r="E11" t="s">
        <v>1010</v>
      </c>
      <c r="F11" s="1">
        <f>VLOOKUP(E11,'[1]TIỀN MUA PHỤ'!$A:$B,2,0)</f>
        <v>35000</v>
      </c>
      <c r="G11" s="2">
        <f t="shared" si="0"/>
        <v>350000</v>
      </c>
    </row>
    <row r="12" spans="1:7" x14ac:dyDescent="0.3">
      <c r="A12" t="s">
        <v>29</v>
      </c>
      <c r="B12" t="s">
        <v>22</v>
      </c>
      <c r="C12">
        <v>300</v>
      </c>
      <c r="D12" s="6">
        <v>45621</v>
      </c>
      <c r="E12" t="s">
        <v>1011</v>
      </c>
      <c r="F12" s="1">
        <f>VLOOKUP(E12,'[1]TIỀN MUA PHỤ'!$A:$B,2,0)/20</f>
        <v>1800</v>
      </c>
      <c r="G12" s="2">
        <f t="shared" si="0"/>
        <v>540000</v>
      </c>
    </row>
    <row r="13" spans="1:7" x14ac:dyDescent="0.3">
      <c r="A13" t="s">
        <v>40</v>
      </c>
      <c r="B13" t="s">
        <v>507</v>
      </c>
      <c r="C13">
        <v>20</v>
      </c>
      <c r="D13" s="6">
        <v>45621</v>
      </c>
      <c r="E13" t="s">
        <v>1012</v>
      </c>
      <c r="F13" s="1">
        <v>28000</v>
      </c>
      <c r="G13" s="2">
        <f t="shared" si="0"/>
        <v>560000</v>
      </c>
    </row>
    <row r="14" spans="1:7" x14ac:dyDescent="0.3">
      <c r="A14" t="s">
        <v>32</v>
      </c>
      <c r="B14" t="s">
        <v>507</v>
      </c>
      <c r="C14">
        <v>40</v>
      </c>
      <c r="D14" s="6">
        <v>45621</v>
      </c>
      <c r="E14" t="s">
        <v>1013</v>
      </c>
      <c r="F14" s="1">
        <f>VLOOKUP(E14,'[1]TIỀN MUA PHỤ'!$A:$B,2,0)</f>
        <v>62000</v>
      </c>
      <c r="G14" s="2">
        <f t="shared" si="0"/>
        <v>2480000</v>
      </c>
    </row>
    <row r="15" spans="1:7" x14ac:dyDescent="0.3">
      <c r="A15" t="s">
        <v>87</v>
      </c>
      <c r="B15" t="s">
        <v>107</v>
      </c>
      <c r="C15">
        <v>20</v>
      </c>
      <c r="D15" s="6">
        <v>45621</v>
      </c>
      <c r="E15" t="s">
        <v>1014</v>
      </c>
      <c r="F15" s="1">
        <f>VLOOKUP(E15,'[1]TIỀN MUA PHỤ'!$A:$B,2,0)*3</f>
        <v>19500</v>
      </c>
      <c r="G15" s="2">
        <f t="shared" si="0"/>
        <v>390000</v>
      </c>
    </row>
    <row r="16" spans="1:7" x14ac:dyDescent="0.3">
      <c r="A16" t="s">
        <v>13</v>
      </c>
      <c r="B16" t="s">
        <v>507</v>
      </c>
      <c r="C16">
        <v>100</v>
      </c>
      <c r="D16" s="6">
        <v>45621</v>
      </c>
      <c r="E16" t="s">
        <v>1015</v>
      </c>
      <c r="F16" s="1">
        <v>26000</v>
      </c>
      <c r="G16" s="2">
        <f t="shared" si="0"/>
        <v>2600000</v>
      </c>
    </row>
    <row r="17" spans="1:7" x14ac:dyDescent="0.3">
      <c r="A17" t="s">
        <v>28</v>
      </c>
      <c r="B17" t="s">
        <v>27</v>
      </c>
      <c r="C17">
        <v>100</v>
      </c>
      <c r="D17" s="6">
        <v>45621</v>
      </c>
      <c r="E17" t="s">
        <v>1016</v>
      </c>
      <c r="F17" s="1">
        <f>VLOOKUP(E17,'[1]TIỀN MUA PHỤ'!$A:$B,2,0)/5</f>
        <v>6000</v>
      </c>
      <c r="G17" s="2">
        <f t="shared" si="0"/>
        <v>600000</v>
      </c>
    </row>
    <row r="18" spans="1:7" x14ac:dyDescent="0.3">
      <c r="A18" t="s">
        <v>61</v>
      </c>
      <c r="B18" t="s">
        <v>59</v>
      </c>
      <c r="C18">
        <v>250</v>
      </c>
      <c r="D18" s="6">
        <v>45621</v>
      </c>
      <c r="E18" t="s">
        <v>1017</v>
      </c>
      <c r="F18" s="1">
        <f>VLOOKUP(E18,'[1]TIỀN MUA PHỤ'!$A:$B,2,0)/4</f>
        <v>4500</v>
      </c>
      <c r="G18" s="2">
        <f t="shared" si="0"/>
        <v>1125000</v>
      </c>
    </row>
    <row r="19" spans="1:7" x14ac:dyDescent="0.3">
      <c r="A19" t="s">
        <v>62</v>
      </c>
      <c r="B19" t="s">
        <v>59</v>
      </c>
      <c r="C19">
        <v>150</v>
      </c>
      <c r="D19" s="6">
        <v>45621</v>
      </c>
      <c r="E19" t="s">
        <v>1018</v>
      </c>
      <c r="F19" s="1">
        <f>VLOOKUP(E19,'[1]TIỀN MUA PHỤ'!$A:$B,2,0)/4</f>
        <v>7000</v>
      </c>
      <c r="G19" s="2">
        <f t="shared" si="0"/>
        <v>1050000</v>
      </c>
    </row>
    <row r="20" spans="1:7" x14ac:dyDescent="0.3">
      <c r="A20" t="s">
        <v>57</v>
      </c>
      <c r="B20" t="s">
        <v>507</v>
      </c>
      <c r="C20">
        <v>25</v>
      </c>
      <c r="D20" s="6">
        <v>45621</v>
      </c>
      <c r="E20" t="s">
        <v>1019</v>
      </c>
      <c r="F20" s="1">
        <f>VLOOKUP(E20,'[1]TIỀN MUA PHỤ'!$A:$B,2,0)</f>
        <v>44000</v>
      </c>
      <c r="G20" s="2">
        <f t="shared" si="0"/>
        <v>1100000</v>
      </c>
    </row>
    <row r="21" spans="1:7" x14ac:dyDescent="0.3">
      <c r="A21" t="s">
        <v>47</v>
      </c>
      <c r="B21" t="s">
        <v>48</v>
      </c>
      <c r="C21">
        <v>90</v>
      </c>
      <c r="D21" s="6">
        <v>45621</v>
      </c>
      <c r="E21" t="s">
        <v>1020</v>
      </c>
      <c r="F21" s="1">
        <f>VLOOKUP(E21,'[1]TIỀN MUA PHỤ'!$A:$B,2,0)*0.3</f>
        <v>14100</v>
      </c>
      <c r="G21" s="2">
        <f t="shared" si="0"/>
        <v>1269000</v>
      </c>
    </row>
    <row r="22" spans="1:7" x14ac:dyDescent="0.3">
      <c r="A22" t="s">
        <v>23</v>
      </c>
      <c r="B22" t="s">
        <v>507</v>
      </c>
      <c r="C22">
        <v>15</v>
      </c>
      <c r="D22" s="6">
        <v>45621</v>
      </c>
      <c r="E22" t="s">
        <v>1021</v>
      </c>
      <c r="F22" s="1">
        <v>27000</v>
      </c>
      <c r="G22" s="2">
        <f t="shared" si="0"/>
        <v>405000</v>
      </c>
    </row>
    <row r="23" spans="1:7" x14ac:dyDescent="0.3">
      <c r="A23" t="s">
        <v>23</v>
      </c>
      <c r="B23" t="s">
        <v>22</v>
      </c>
      <c r="C23">
        <v>131</v>
      </c>
      <c r="D23" s="6">
        <v>45621</v>
      </c>
      <c r="E23" t="s">
        <v>1021</v>
      </c>
      <c r="F23" s="1">
        <v>9000</v>
      </c>
      <c r="G23" s="2">
        <f t="shared" si="0"/>
        <v>1179000</v>
      </c>
    </row>
    <row r="24" spans="1:7" x14ac:dyDescent="0.3">
      <c r="A24" t="s">
        <v>23</v>
      </c>
      <c r="B24" t="s">
        <v>24</v>
      </c>
      <c r="C24">
        <v>15</v>
      </c>
      <c r="D24" s="6">
        <v>45621</v>
      </c>
      <c r="E24" t="s">
        <v>1021</v>
      </c>
      <c r="F24" s="1">
        <v>4500</v>
      </c>
      <c r="G24" s="2">
        <f t="shared" si="0"/>
        <v>67500</v>
      </c>
    </row>
    <row r="25" spans="1:7" x14ac:dyDescent="0.3">
      <c r="A25" t="s">
        <v>6</v>
      </c>
      <c r="B25" t="s">
        <v>507</v>
      </c>
      <c r="C25">
        <v>108</v>
      </c>
      <c r="D25" s="6">
        <v>45621</v>
      </c>
      <c r="E25" t="s">
        <v>1022</v>
      </c>
      <c r="F25" s="1">
        <f>VLOOKUP(E25,'[1]TIỀN MUA PHỤ'!$A:$B,2,0)</f>
        <v>12500</v>
      </c>
      <c r="G25" s="2">
        <f t="shared" si="0"/>
        <v>1350000</v>
      </c>
    </row>
    <row r="26" spans="1:7" x14ac:dyDescent="0.3">
      <c r="A26" t="s">
        <v>70</v>
      </c>
      <c r="B26" t="s">
        <v>106</v>
      </c>
      <c r="C26">
        <v>100</v>
      </c>
      <c r="D26" s="6">
        <v>45621</v>
      </c>
      <c r="E26" t="s">
        <v>1023</v>
      </c>
      <c r="F26" s="1">
        <f>VLOOKUP(E26,'[1]TIỀN MUA PHỤ'!$A:$B,2,0)</f>
        <v>8700</v>
      </c>
      <c r="G26" s="2">
        <f t="shared" si="0"/>
        <v>870000</v>
      </c>
    </row>
    <row r="27" spans="1:7" x14ac:dyDescent="0.3">
      <c r="A27" t="s">
        <v>73</v>
      </c>
      <c r="B27" t="s">
        <v>507</v>
      </c>
      <c r="C27">
        <v>5</v>
      </c>
      <c r="D27" s="6">
        <v>45621</v>
      </c>
      <c r="E27" t="s">
        <v>1024</v>
      </c>
      <c r="F27" s="1">
        <f>VLOOKUP(E27,'[1]TIỀN MUA PHỤ'!$A:$B,2,0)</f>
        <v>27000</v>
      </c>
      <c r="G27" s="2">
        <f t="shared" si="0"/>
        <v>135000</v>
      </c>
    </row>
    <row r="28" spans="1:7" x14ac:dyDescent="0.3">
      <c r="A28" t="s">
        <v>34</v>
      </c>
      <c r="B28" t="s">
        <v>507</v>
      </c>
      <c r="C28">
        <v>100</v>
      </c>
      <c r="D28" s="6">
        <v>45621</v>
      </c>
      <c r="E28" t="s">
        <v>1025</v>
      </c>
      <c r="F28" s="1">
        <f>VLOOKUP(E28,'[1]TIỀN MUA PHỤ'!$A:$B,2,0)</f>
        <v>14000</v>
      </c>
      <c r="G28" s="2">
        <f t="shared" si="0"/>
        <v>1400000</v>
      </c>
    </row>
    <row r="29" spans="1:7" x14ac:dyDescent="0.3">
      <c r="A29" t="s">
        <v>53</v>
      </c>
      <c r="B29" t="s">
        <v>9</v>
      </c>
      <c r="C29">
        <v>820</v>
      </c>
      <c r="D29" s="6">
        <v>45621</v>
      </c>
      <c r="E29" t="s">
        <v>1026</v>
      </c>
      <c r="F29" s="1">
        <f>VLOOKUP(E29,'[1]TIỀN MUA PHỤ'!$A:$B,2,0)</f>
        <v>4000</v>
      </c>
      <c r="G29" s="2">
        <f t="shared" si="0"/>
        <v>3280000</v>
      </c>
    </row>
    <row r="30" spans="1:7" x14ac:dyDescent="0.3">
      <c r="A30" t="s">
        <v>58</v>
      </c>
      <c r="B30" t="s">
        <v>59</v>
      </c>
      <c r="C30">
        <v>100</v>
      </c>
      <c r="D30" s="6">
        <v>45621</v>
      </c>
      <c r="E30" t="s">
        <v>1027</v>
      </c>
      <c r="F30" s="1">
        <f>VLOOKUP(E30,'[1]TIỀN MUA PHỤ'!$A:$B,2,0)/4</f>
        <v>8750</v>
      </c>
      <c r="G30" s="2">
        <f t="shared" si="0"/>
        <v>875000</v>
      </c>
    </row>
    <row r="31" spans="1:7" x14ac:dyDescent="0.3">
      <c r="A31" t="s">
        <v>104</v>
      </c>
      <c r="B31" t="s">
        <v>22</v>
      </c>
      <c r="C31">
        <v>15</v>
      </c>
      <c r="D31" s="6">
        <v>45621</v>
      </c>
      <c r="E31" t="s">
        <v>1028</v>
      </c>
      <c r="F31" s="1">
        <f>VLOOKUP(E31,'[1]TIỀN MUA PHỤ'!$A:$B,2,0)</f>
        <v>6000</v>
      </c>
      <c r="G31" s="2">
        <f t="shared" si="0"/>
        <v>90000</v>
      </c>
    </row>
    <row r="32" spans="1:7" x14ac:dyDescent="0.3">
      <c r="A32" t="s">
        <v>93</v>
      </c>
      <c r="B32" t="s">
        <v>507</v>
      </c>
      <c r="C32">
        <v>50</v>
      </c>
      <c r="D32" s="6">
        <v>45621</v>
      </c>
      <c r="E32" t="s">
        <v>1029</v>
      </c>
      <c r="F32" s="1">
        <v>18000</v>
      </c>
      <c r="G32" s="2">
        <f t="shared" si="0"/>
        <v>900000</v>
      </c>
    </row>
    <row r="33" spans="1:7" x14ac:dyDescent="0.3">
      <c r="A33" t="s">
        <v>109</v>
      </c>
      <c r="B33" t="s">
        <v>9</v>
      </c>
      <c r="C33">
        <v>20</v>
      </c>
      <c r="D33" s="6">
        <v>45621</v>
      </c>
      <c r="E33" t="s">
        <v>1030</v>
      </c>
      <c r="F33" s="1">
        <v>22000</v>
      </c>
      <c r="G33" s="2">
        <f t="shared" si="0"/>
        <v>440000</v>
      </c>
    </row>
    <row r="34" spans="1:7" x14ac:dyDescent="0.3">
      <c r="A34" t="s">
        <v>17</v>
      </c>
      <c r="B34" t="s">
        <v>507</v>
      </c>
      <c r="C34">
        <v>20</v>
      </c>
      <c r="D34" s="6">
        <v>45621</v>
      </c>
      <c r="E34" t="s">
        <v>1031</v>
      </c>
      <c r="F34" s="1">
        <f>VLOOKUP(E34,'[1]TIỀN MUA PHỤ'!$A:$B,2,0)</f>
        <v>36000</v>
      </c>
      <c r="G34" s="2">
        <f t="shared" si="0"/>
        <v>720000</v>
      </c>
    </row>
    <row r="35" spans="1:7" x14ac:dyDescent="0.3">
      <c r="A35" t="s">
        <v>12</v>
      </c>
      <c r="B35" t="s">
        <v>507</v>
      </c>
      <c r="C35">
        <v>100</v>
      </c>
      <c r="D35" s="6">
        <v>45621</v>
      </c>
      <c r="E35" t="s">
        <v>1032</v>
      </c>
      <c r="F35" s="1">
        <f>VLOOKUP(E35,'[1]TIỀN MUA PHỤ'!$A:$B,2,0)</f>
        <v>21000</v>
      </c>
      <c r="G35" s="2">
        <f t="shared" si="0"/>
        <v>2100000</v>
      </c>
    </row>
    <row r="36" spans="1:7" x14ac:dyDescent="0.3">
      <c r="A36" t="s">
        <v>89</v>
      </c>
      <c r="B36" t="s">
        <v>105</v>
      </c>
      <c r="C36">
        <v>242</v>
      </c>
      <c r="D36" s="6">
        <v>45621</v>
      </c>
      <c r="E36" t="s">
        <v>1033</v>
      </c>
      <c r="F36" s="1">
        <v>9000</v>
      </c>
      <c r="G36" s="2">
        <f t="shared" si="0"/>
        <v>2178000</v>
      </c>
    </row>
    <row r="37" spans="1:7" x14ac:dyDescent="0.3">
      <c r="A37" t="s">
        <v>8</v>
      </c>
      <c r="B37" t="s">
        <v>9</v>
      </c>
      <c r="C37">
        <v>60</v>
      </c>
      <c r="D37" s="6">
        <v>45621</v>
      </c>
      <c r="E37" t="s">
        <v>1034</v>
      </c>
      <c r="F37" s="1">
        <f>VLOOKUP(E37,'[1]TIỀN MUA PHỤ'!$A:$B,2,0)/5</f>
        <v>8400</v>
      </c>
      <c r="G37" s="2">
        <f t="shared" si="0"/>
        <v>504000</v>
      </c>
    </row>
    <row r="38" spans="1:7" x14ac:dyDescent="0.3">
      <c r="A38" t="s">
        <v>78</v>
      </c>
      <c r="B38" t="s">
        <v>507</v>
      </c>
      <c r="C38">
        <v>15</v>
      </c>
      <c r="D38" s="6">
        <v>45621</v>
      </c>
      <c r="E38" t="s">
        <v>1035</v>
      </c>
      <c r="F38" s="1">
        <f>VLOOKUP(E38,'[1]TIỀN MUA PHỤ'!$A:$B,2,0)</f>
        <v>30000</v>
      </c>
      <c r="G38" s="2">
        <f t="shared" si="0"/>
        <v>450000</v>
      </c>
    </row>
    <row r="39" spans="1:7" x14ac:dyDescent="0.3">
      <c r="A39" t="s">
        <v>55</v>
      </c>
      <c r="B39" t="s">
        <v>22</v>
      </c>
      <c r="C39">
        <v>25</v>
      </c>
      <c r="D39" s="6">
        <v>45621</v>
      </c>
      <c r="E39" t="s">
        <v>1036</v>
      </c>
      <c r="F39" s="1">
        <v>6000</v>
      </c>
      <c r="G39" s="2">
        <f t="shared" si="0"/>
        <v>150000</v>
      </c>
    </row>
    <row r="40" spans="1:7" x14ac:dyDescent="0.3">
      <c r="A40" t="s">
        <v>36</v>
      </c>
      <c r="B40" t="s">
        <v>27</v>
      </c>
      <c r="C40">
        <v>50</v>
      </c>
      <c r="D40" s="6">
        <v>45621</v>
      </c>
      <c r="E40" t="s">
        <v>1037</v>
      </c>
      <c r="F40" s="1">
        <f>VLOOKUP(E40,'[1]TIỀN MUA PHỤ'!$A:$B,2,0)</f>
        <v>6800</v>
      </c>
      <c r="G40" s="2">
        <f t="shared" si="0"/>
        <v>340000</v>
      </c>
    </row>
    <row r="41" spans="1:7" x14ac:dyDescent="0.3">
      <c r="A41" t="s">
        <v>84</v>
      </c>
      <c r="B41" t="s">
        <v>27</v>
      </c>
      <c r="C41">
        <v>5</v>
      </c>
      <c r="D41" s="6">
        <v>45621</v>
      </c>
      <c r="E41" t="s">
        <v>1038</v>
      </c>
      <c r="F41" s="1">
        <f>VLOOKUP(E41,'[1]TIỀN MUA PHỤ'!$A:$B,2,0)</f>
        <v>6800</v>
      </c>
      <c r="G41" s="2">
        <f t="shared" si="0"/>
        <v>34000</v>
      </c>
    </row>
    <row r="42" spans="1:7" x14ac:dyDescent="0.3">
      <c r="A42" t="s">
        <v>67</v>
      </c>
      <c r="B42" t="s">
        <v>507</v>
      </c>
      <c r="C42">
        <v>40</v>
      </c>
      <c r="D42" s="6">
        <v>45621</v>
      </c>
      <c r="E42" t="s">
        <v>1039</v>
      </c>
      <c r="F42" s="1">
        <f>VLOOKUP(E42,'[1]TIỀN MUA PHỤ'!$A:$B,2,0)</f>
        <v>41000</v>
      </c>
      <c r="G42" s="2">
        <f t="shared" si="0"/>
        <v>1640000</v>
      </c>
    </row>
    <row r="43" spans="1:7" x14ac:dyDescent="0.3">
      <c r="G43" s="2">
        <f>SUM(G1:G42)</f>
        <v>42856500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6563-250D-43A6-9B63-9A86D6FDBBDB}">
  <dimension ref="A1:H49"/>
  <sheetViews>
    <sheetView workbookViewId="0">
      <selection activeCell="H1" sqref="H1"/>
    </sheetView>
  </sheetViews>
  <sheetFormatPr defaultRowHeight="14.4" x14ac:dyDescent="0.3"/>
  <cols>
    <col min="1" max="1" width="20" customWidth="1"/>
    <col min="4" max="4" width="10.5546875" bestFit="1" customWidth="1"/>
    <col min="6" max="6" width="10.33203125" style="1" bestFit="1" customWidth="1"/>
    <col min="7" max="7" width="11.33203125" style="1" bestFit="1" customWidth="1"/>
    <col min="8" max="8" width="12.77734375" style="1" bestFit="1" customWidth="1"/>
  </cols>
  <sheetData>
    <row r="1" spans="1:8" x14ac:dyDescent="0.3">
      <c r="H1" s="1">
        <f>SUM(H2:H49)</f>
        <v>47592450</v>
      </c>
    </row>
    <row r="2" spans="1:8" x14ac:dyDescent="0.3">
      <c r="A2" t="s">
        <v>41</v>
      </c>
      <c r="B2" t="s">
        <v>42</v>
      </c>
      <c r="C2">
        <v>376</v>
      </c>
      <c r="D2" s="6">
        <v>45620</v>
      </c>
      <c r="E2" t="s">
        <v>877</v>
      </c>
      <c r="F2" s="1">
        <v>3000</v>
      </c>
      <c r="G2" s="1">
        <v>3000</v>
      </c>
      <c r="H2" s="1">
        <f>C2*G2</f>
        <v>1128000</v>
      </c>
    </row>
    <row r="3" spans="1:8" x14ac:dyDescent="0.3">
      <c r="A3" t="s">
        <v>43</v>
      </c>
      <c r="B3" t="s">
        <v>44</v>
      </c>
      <c r="C3">
        <v>250</v>
      </c>
      <c r="D3" s="6">
        <v>45620</v>
      </c>
      <c r="E3" t="s">
        <v>900</v>
      </c>
      <c r="F3" s="1">
        <v>3000</v>
      </c>
      <c r="G3" s="1">
        <v>3000</v>
      </c>
      <c r="H3" s="1">
        <f t="shared" ref="H3:H49" si="0">C3*G3</f>
        <v>750000</v>
      </c>
    </row>
    <row r="4" spans="1:8" x14ac:dyDescent="0.3">
      <c r="A4" t="s">
        <v>18</v>
      </c>
      <c r="B4" t="s">
        <v>9</v>
      </c>
      <c r="C4">
        <v>50</v>
      </c>
      <c r="D4" s="6">
        <v>45620</v>
      </c>
      <c r="E4" t="s">
        <v>879</v>
      </c>
      <c r="F4" s="1">
        <v>10600</v>
      </c>
      <c r="G4" s="1">
        <v>10600</v>
      </c>
      <c r="H4" s="1">
        <f t="shared" si="0"/>
        <v>530000</v>
      </c>
    </row>
    <row r="5" spans="1:8" x14ac:dyDescent="0.3">
      <c r="A5" t="s">
        <v>89</v>
      </c>
      <c r="B5" t="s">
        <v>507</v>
      </c>
      <c r="C5">
        <v>110</v>
      </c>
      <c r="D5" s="6">
        <v>45620</v>
      </c>
      <c r="E5" t="s">
        <v>907</v>
      </c>
      <c r="F5">
        <f>VLOOKUP(E5,'[2]SỔ CHI TIẾT MUA HÀNG'!$I:$K,3,0)</f>
        <v>15000</v>
      </c>
      <c r="G5" s="1">
        <v>15000</v>
      </c>
      <c r="H5" s="1">
        <f t="shared" si="0"/>
        <v>1650000</v>
      </c>
    </row>
    <row r="6" spans="1:8" x14ac:dyDescent="0.3">
      <c r="A6" t="s">
        <v>89</v>
      </c>
      <c r="B6" t="s">
        <v>105</v>
      </c>
      <c r="C6">
        <v>200</v>
      </c>
      <c r="D6" s="6">
        <v>45620</v>
      </c>
      <c r="E6" t="s">
        <v>908</v>
      </c>
      <c r="F6" s="1">
        <f>16500/2</f>
        <v>8250</v>
      </c>
      <c r="G6" s="1">
        <v>8250</v>
      </c>
      <c r="H6" s="1">
        <f t="shared" si="0"/>
        <v>1650000</v>
      </c>
    </row>
    <row r="7" spans="1:8" x14ac:dyDescent="0.3">
      <c r="A7" t="s">
        <v>70</v>
      </c>
      <c r="B7" t="s">
        <v>507</v>
      </c>
      <c r="C7">
        <v>5</v>
      </c>
      <c r="D7" s="6">
        <v>45620</v>
      </c>
      <c r="E7" t="s">
        <v>902</v>
      </c>
      <c r="F7" s="1">
        <v>33000</v>
      </c>
      <c r="G7" s="1">
        <v>33000</v>
      </c>
      <c r="H7" s="1">
        <f t="shared" si="0"/>
        <v>165000</v>
      </c>
    </row>
    <row r="8" spans="1:8" x14ac:dyDescent="0.3">
      <c r="A8" t="s">
        <v>70</v>
      </c>
      <c r="B8" t="s">
        <v>106</v>
      </c>
      <c r="C8">
        <v>100</v>
      </c>
      <c r="D8" s="6">
        <v>45620</v>
      </c>
      <c r="E8" t="s">
        <v>903</v>
      </c>
      <c r="F8">
        <f>VLOOKUP(E8,'[2]SỔ CHI TIẾT MUA HÀNG'!$I:$K,3,0)</f>
        <v>10500</v>
      </c>
      <c r="G8" s="1">
        <v>10500</v>
      </c>
      <c r="H8" s="1">
        <f t="shared" si="0"/>
        <v>1050000</v>
      </c>
    </row>
    <row r="9" spans="1:8" x14ac:dyDescent="0.3">
      <c r="A9" t="s">
        <v>47</v>
      </c>
      <c r="B9" t="s">
        <v>48</v>
      </c>
      <c r="C9">
        <v>69</v>
      </c>
      <c r="D9" s="6">
        <v>45620</v>
      </c>
      <c r="E9" t="s">
        <v>896</v>
      </c>
      <c r="F9" s="1">
        <f>'2111'!H10</f>
        <v>15450</v>
      </c>
      <c r="G9" s="1">
        <v>15450</v>
      </c>
      <c r="H9" s="1">
        <f t="shared" si="0"/>
        <v>1066050</v>
      </c>
    </row>
    <row r="10" spans="1:8" x14ac:dyDescent="0.3">
      <c r="A10" t="s">
        <v>49</v>
      </c>
      <c r="B10" t="s">
        <v>106</v>
      </c>
      <c r="C10">
        <v>96</v>
      </c>
      <c r="D10" s="6">
        <v>45620</v>
      </c>
      <c r="E10" t="s">
        <v>897</v>
      </c>
      <c r="F10" s="1">
        <v>11550</v>
      </c>
      <c r="G10" s="1">
        <v>11550</v>
      </c>
      <c r="H10" s="1">
        <f t="shared" si="0"/>
        <v>1108800</v>
      </c>
    </row>
    <row r="11" spans="1:8" x14ac:dyDescent="0.3">
      <c r="A11" t="s">
        <v>50</v>
      </c>
      <c r="B11" t="s">
        <v>507</v>
      </c>
      <c r="C11">
        <v>100</v>
      </c>
      <c r="D11" s="6">
        <v>45620</v>
      </c>
      <c r="E11" t="s">
        <v>875</v>
      </c>
      <c r="F11">
        <f>VLOOKUP(E11,'[2]SỔ CHI TIẾT MUA HÀNG'!$I:$K,3,0)</f>
        <v>14000</v>
      </c>
      <c r="G11" s="1">
        <v>14000</v>
      </c>
      <c r="H11" s="1">
        <f t="shared" si="0"/>
        <v>1400000</v>
      </c>
    </row>
    <row r="12" spans="1:8" x14ac:dyDescent="0.3">
      <c r="A12" t="s">
        <v>6</v>
      </c>
      <c r="B12" t="s">
        <v>507</v>
      </c>
      <c r="C12">
        <v>60</v>
      </c>
      <c r="D12" s="6">
        <v>45620</v>
      </c>
      <c r="E12" t="s">
        <v>901</v>
      </c>
      <c r="F12" s="1">
        <v>12500</v>
      </c>
      <c r="G12" s="1">
        <v>12500</v>
      </c>
      <c r="H12" s="1">
        <f t="shared" si="0"/>
        <v>750000</v>
      </c>
    </row>
    <row r="13" spans="1:8" x14ac:dyDescent="0.3">
      <c r="A13" t="s">
        <v>8</v>
      </c>
      <c r="B13" t="s">
        <v>507</v>
      </c>
      <c r="C13">
        <v>5</v>
      </c>
      <c r="D13" s="6">
        <v>45620</v>
      </c>
      <c r="E13" t="s">
        <v>910</v>
      </c>
      <c r="F13">
        <f>VLOOKUP(E13,'[2]SỔ CHI TIẾT MUA HÀNG'!$I:$K,3,0)</f>
        <v>42000</v>
      </c>
      <c r="G13" s="1">
        <v>42000</v>
      </c>
      <c r="H13" s="1">
        <f t="shared" si="0"/>
        <v>210000</v>
      </c>
    </row>
    <row r="14" spans="1:8" x14ac:dyDescent="0.3">
      <c r="A14" t="s">
        <v>8</v>
      </c>
      <c r="B14" t="s">
        <v>9</v>
      </c>
      <c r="C14">
        <v>100</v>
      </c>
      <c r="D14" s="6">
        <v>45620</v>
      </c>
      <c r="E14" t="s">
        <v>911</v>
      </c>
      <c r="F14" s="1">
        <v>8400</v>
      </c>
      <c r="G14" s="1">
        <v>8400</v>
      </c>
      <c r="H14" s="1">
        <f t="shared" si="0"/>
        <v>840000</v>
      </c>
    </row>
    <row r="15" spans="1:8" x14ac:dyDescent="0.3">
      <c r="A15" t="s">
        <v>20</v>
      </c>
      <c r="B15" t="s">
        <v>507</v>
      </c>
      <c r="C15">
        <v>20</v>
      </c>
      <c r="D15" s="6">
        <v>45620</v>
      </c>
      <c r="E15" t="s">
        <v>878</v>
      </c>
      <c r="F15">
        <f>VLOOKUP(E15,'[2]SỔ CHI TIẾT MUA HÀNG'!$I:$K,3,0)</f>
        <v>20000</v>
      </c>
      <c r="G15" s="1">
        <v>20000</v>
      </c>
      <c r="H15" s="1">
        <f t="shared" si="0"/>
        <v>400000</v>
      </c>
    </row>
    <row r="16" spans="1:8" x14ac:dyDescent="0.3">
      <c r="A16" t="s">
        <v>23</v>
      </c>
      <c r="B16" t="s">
        <v>22</v>
      </c>
      <c r="C16">
        <v>50</v>
      </c>
      <c r="D16" s="6">
        <v>45620</v>
      </c>
      <c r="E16" t="s">
        <v>898</v>
      </c>
      <c r="F16" s="1">
        <v>8400</v>
      </c>
      <c r="G16" s="1">
        <v>8400</v>
      </c>
      <c r="H16" s="1">
        <f t="shared" si="0"/>
        <v>420000</v>
      </c>
    </row>
    <row r="17" spans="1:8" x14ac:dyDescent="0.3">
      <c r="A17" t="s">
        <v>23</v>
      </c>
      <c r="B17" t="s">
        <v>24</v>
      </c>
      <c r="C17">
        <v>15</v>
      </c>
      <c r="D17" s="6">
        <v>45620</v>
      </c>
      <c r="E17" t="s">
        <v>899</v>
      </c>
      <c r="F17" s="1">
        <v>4200</v>
      </c>
      <c r="G17" s="1">
        <v>4200</v>
      </c>
      <c r="H17" s="1">
        <f t="shared" si="0"/>
        <v>63000</v>
      </c>
    </row>
    <row r="18" spans="1:8" x14ac:dyDescent="0.3">
      <c r="A18" t="s">
        <v>26</v>
      </c>
      <c r="B18" t="s">
        <v>27</v>
      </c>
      <c r="C18">
        <v>180</v>
      </c>
      <c r="D18" s="6">
        <v>45620</v>
      </c>
      <c r="E18" t="s">
        <v>876</v>
      </c>
      <c r="F18" s="1">
        <v>10000</v>
      </c>
      <c r="G18" s="1">
        <v>10000</v>
      </c>
      <c r="H18" s="1">
        <f t="shared" si="0"/>
        <v>1800000</v>
      </c>
    </row>
    <row r="19" spans="1:8" x14ac:dyDescent="0.3">
      <c r="A19" t="s">
        <v>103</v>
      </c>
      <c r="B19" t="s">
        <v>48</v>
      </c>
      <c r="C19">
        <v>17</v>
      </c>
      <c r="D19" s="6">
        <v>45620</v>
      </c>
      <c r="E19" t="s">
        <v>890</v>
      </c>
      <c r="F19">
        <f>VLOOKUP(E19,'[2]SỔ CHI TIẾT MUA HÀNG'!$I:$K,3,0)</f>
        <v>11000</v>
      </c>
      <c r="G19" s="1">
        <v>11000</v>
      </c>
      <c r="H19" s="1">
        <f t="shared" si="0"/>
        <v>187000</v>
      </c>
    </row>
    <row r="20" spans="1:8" x14ac:dyDescent="0.3">
      <c r="A20" t="s">
        <v>12</v>
      </c>
      <c r="B20" t="s">
        <v>507</v>
      </c>
      <c r="C20">
        <v>45</v>
      </c>
      <c r="D20" s="6">
        <v>45620</v>
      </c>
      <c r="E20" t="s">
        <v>885</v>
      </c>
      <c r="F20" s="1">
        <v>20000</v>
      </c>
      <c r="G20" s="1">
        <v>20000</v>
      </c>
      <c r="H20" s="1">
        <f t="shared" si="0"/>
        <v>900000</v>
      </c>
    </row>
    <row r="21" spans="1:8" x14ac:dyDescent="0.3">
      <c r="A21" t="s">
        <v>13</v>
      </c>
      <c r="B21" t="s">
        <v>507</v>
      </c>
      <c r="C21">
        <v>100</v>
      </c>
      <c r="D21" s="6">
        <v>45620</v>
      </c>
      <c r="E21" t="s">
        <v>888</v>
      </c>
      <c r="F21" s="1">
        <v>26000</v>
      </c>
      <c r="G21" s="1">
        <v>26000</v>
      </c>
      <c r="H21" s="1">
        <f t="shared" si="0"/>
        <v>2600000</v>
      </c>
    </row>
    <row r="22" spans="1:8" x14ac:dyDescent="0.3">
      <c r="A22" t="s">
        <v>14</v>
      </c>
      <c r="B22" t="s">
        <v>507</v>
      </c>
      <c r="C22">
        <v>100</v>
      </c>
      <c r="D22" s="6">
        <v>45620</v>
      </c>
      <c r="E22" t="s">
        <v>886</v>
      </c>
      <c r="F22">
        <f>VLOOKUP(E22,'[2]SỔ CHI TIẾT MUA HÀNG'!$I:$K,3,0)</f>
        <v>17000</v>
      </c>
      <c r="G22" s="1">
        <v>17000</v>
      </c>
      <c r="H22" s="1">
        <f t="shared" si="0"/>
        <v>1700000</v>
      </c>
    </row>
    <row r="23" spans="1:8" x14ac:dyDescent="0.3">
      <c r="A23" t="s">
        <v>15</v>
      </c>
      <c r="B23" t="s">
        <v>507</v>
      </c>
      <c r="C23">
        <v>20</v>
      </c>
      <c r="D23" s="6">
        <v>45620</v>
      </c>
      <c r="E23" t="s">
        <v>914</v>
      </c>
      <c r="F23">
        <f>VLOOKUP(E23,'[2]SỔ CHI TIẾT MUA HÀNG'!$I:$K,3,0)</f>
        <v>30000</v>
      </c>
      <c r="G23" s="1">
        <v>30000</v>
      </c>
      <c r="H23" s="1">
        <f t="shared" si="0"/>
        <v>600000</v>
      </c>
    </row>
    <row r="24" spans="1:8" x14ac:dyDescent="0.3">
      <c r="A24" t="s">
        <v>93</v>
      </c>
      <c r="B24" t="s">
        <v>507</v>
      </c>
      <c r="C24">
        <v>30</v>
      </c>
      <c r="D24" s="6">
        <v>45620</v>
      </c>
      <c r="E24" t="s">
        <v>912</v>
      </c>
      <c r="F24">
        <f>VLOOKUP(E24,'[2]SỔ CHI TIẾT MUA HÀNG'!$I:$K,3,0)</f>
        <v>15000</v>
      </c>
      <c r="G24" s="1">
        <v>15000</v>
      </c>
      <c r="H24" s="1">
        <f t="shared" si="0"/>
        <v>450000</v>
      </c>
    </row>
    <row r="25" spans="1:8" x14ac:dyDescent="0.3">
      <c r="A25" t="s">
        <v>53</v>
      </c>
      <c r="B25" t="s">
        <v>9</v>
      </c>
      <c r="C25">
        <v>700</v>
      </c>
      <c r="D25" s="6">
        <v>45620</v>
      </c>
      <c r="E25" t="s">
        <v>906</v>
      </c>
      <c r="F25">
        <f>VLOOKUP(E25,'[2]SỔ CHI TIẾT MUA HÀNG'!$I:$K,3,0)</f>
        <v>6000</v>
      </c>
      <c r="G25" s="1">
        <v>6000</v>
      </c>
      <c r="H25" s="1">
        <f t="shared" si="0"/>
        <v>4200000</v>
      </c>
    </row>
    <row r="26" spans="1:8" x14ac:dyDescent="0.3">
      <c r="A26" t="s">
        <v>55</v>
      </c>
      <c r="B26" t="s">
        <v>22</v>
      </c>
      <c r="C26">
        <v>30</v>
      </c>
      <c r="D26" s="6">
        <v>45620</v>
      </c>
      <c r="E26" t="s">
        <v>915</v>
      </c>
      <c r="F26" s="1">
        <v>6000</v>
      </c>
      <c r="G26" s="1">
        <v>6000</v>
      </c>
      <c r="H26" s="1">
        <f t="shared" si="0"/>
        <v>180000</v>
      </c>
    </row>
    <row r="27" spans="1:8" x14ac:dyDescent="0.3">
      <c r="A27" t="s">
        <v>56</v>
      </c>
      <c r="B27" t="s">
        <v>507</v>
      </c>
      <c r="C27">
        <v>40</v>
      </c>
      <c r="D27" s="6">
        <v>45620</v>
      </c>
      <c r="E27" t="s">
        <v>874</v>
      </c>
      <c r="F27">
        <f>VLOOKUP(E27,'[2]SỔ CHI TIẾT MUA HÀNG'!$I:$K,3,0)</f>
        <v>3000</v>
      </c>
      <c r="G27" s="1">
        <v>3000</v>
      </c>
      <c r="H27" s="1">
        <f t="shared" si="0"/>
        <v>120000</v>
      </c>
    </row>
    <row r="28" spans="1:8" x14ac:dyDescent="0.3">
      <c r="A28" t="s">
        <v>28</v>
      </c>
      <c r="B28" t="s">
        <v>27</v>
      </c>
      <c r="C28">
        <v>100</v>
      </c>
      <c r="D28" s="6">
        <v>45620</v>
      </c>
      <c r="E28" t="s">
        <v>892</v>
      </c>
      <c r="F28" s="1">
        <f>33000/5</f>
        <v>6600</v>
      </c>
      <c r="G28" s="1">
        <v>6600</v>
      </c>
      <c r="H28" s="1">
        <f t="shared" si="0"/>
        <v>660000</v>
      </c>
    </row>
    <row r="29" spans="1:8" x14ac:dyDescent="0.3">
      <c r="A29" t="s">
        <v>73</v>
      </c>
      <c r="B29" t="s">
        <v>85</v>
      </c>
      <c r="C29">
        <v>10</v>
      </c>
      <c r="D29" s="6">
        <v>45620</v>
      </c>
      <c r="E29" t="s">
        <v>905</v>
      </c>
      <c r="F29" s="1">
        <v>7800</v>
      </c>
      <c r="G29" s="1">
        <v>7800</v>
      </c>
      <c r="H29" s="1">
        <f t="shared" si="0"/>
        <v>78000</v>
      </c>
    </row>
    <row r="30" spans="1:8" x14ac:dyDescent="0.3">
      <c r="A30" t="s">
        <v>29</v>
      </c>
      <c r="B30" t="s">
        <v>507</v>
      </c>
      <c r="C30">
        <v>16</v>
      </c>
      <c r="D30" s="6">
        <v>45620</v>
      </c>
      <c r="E30" t="s">
        <v>881</v>
      </c>
      <c r="F30">
        <f>VLOOKUP(E30,'[2]SỔ CHI TIẾT MUA HÀNG'!$I:$K,3,0)</f>
        <v>36000</v>
      </c>
      <c r="G30" s="1">
        <v>36000</v>
      </c>
      <c r="H30" s="1">
        <f t="shared" si="0"/>
        <v>576000</v>
      </c>
    </row>
    <row r="31" spans="1:8" x14ac:dyDescent="0.3">
      <c r="A31" t="s">
        <v>29</v>
      </c>
      <c r="B31" t="s">
        <v>22</v>
      </c>
      <c r="C31">
        <v>514</v>
      </c>
      <c r="D31" s="6">
        <v>45620</v>
      </c>
      <c r="E31" t="s">
        <v>882</v>
      </c>
      <c r="F31" s="1">
        <v>1900</v>
      </c>
      <c r="G31" s="1">
        <v>1900</v>
      </c>
      <c r="H31" s="1">
        <f t="shared" si="0"/>
        <v>976600</v>
      </c>
    </row>
    <row r="32" spans="1:8" x14ac:dyDescent="0.3">
      <c r="A32" t="s">
        <v>32</v>
      </c>
      <c r="B32" t="s">
        <v>507</v>
      </c>
      <c r="C32">
        <v>30</v>
      </c>
      <c r="D32" s="6">
        <v>45620</v>
      </c>
      <c r="E32" t="s">
        <v>889</v>
      </c>
      <c r="F32">
        <f>VLOOKUP(E32,'[2]SỔ CHI TIẾT MUA HÀNG'!$I:$K,3,0)</f>
        <v>62000</v>
      </c>
      <c r="G32" s="1">
        <v>62000</v>
      </c>
      <c r="H32" s="1">
        <f t="shared" si="0"/>
        <v>1860000</v>
      </c>
    </row>
    <row r="33" spans="1:8" x14ac:dyDescent="0.3">
      <c r="A33" t="s">
        <v>57</v>
      </c>
      <c r="B33" t="s">
        <v>507</v>
      </c>
      <c r="C33">
        <v>40</v>
      </c>
      <c r="D33" s="6">
        <v>45620</v>
      </c>
      <c r="E33" t="s">
        <v>895</v>
      </c>
      <c r="F33">
        <f>VLOOKUP(E33,'[2]SỔ CHI TIẾT MUA HÀNG'!$I:$K,3,0)</f>
        <v>44000</v>
      </c>
      <c r="G33" s="1">
        <v>44000</v>
      </c>
      <c r="H33" s="1">
        <f t="shared" si="0"/>
        <v>1760000</v>
      </c>
    </row>
    <row r="34" spans="1:8" x14ac:dyDescent="0.3">
      <c r="A34" t="s">
        <v>58</v>
      </c>
      <c r="B34" t="s">
        <v>59</v>
      </c>
      <c r="C34">
        <v>200</v>
      </c>
      <c r="D34" s="6">
        <v>45620</v>
      </c>
      <c r="E34" t="s">
        <v>909</v>
      </c>
      <c r="F34" s="1">
        <f>35000/4</f>
        <v>8750</v>
      </c>
      <c r="G34" s="1">
        <v>8750</v>
      </c>
      <c r="H34" s="1">
        <f t="shared" si="0"/>
        <v>1750000</v>
      </c>
    </row>
    <row r="35" spans="1:8" x14ac:dyDescent="0.3">
      <c r="A35" t="s">
        <v>61</v>
      </c>
      <c r="B35" t="s">
        <v>59</v>
      </c>
      <c r="C35">
        <v>200</v>
      </c>
      <c r="D35" s="6">
        <v>45620</v>
      </c>
      <c r="E35" t="s">
        <v>893</v>
      </c>
      <c r="F35" s="1">
        <f>18000/4</f>
        <v>4500</v>
      </c>
      <c r="G35" s="1">
        <v>4500</v>
      </c>
      <c r="H35" s="1">
        <f t="shared" si="0"/>
        <v>900000</v>
      </c>
    </row>
    <row r="36" spans="1:8" x14ac:dyDescent="0.3">
      <c r="A36" t="s">
        <v>62</v>
      </c>
      <c r="B36" t="s">
        <v>59</v>
      </c>
      <c r="C36">
        <v>100</v>
      </c>
      <c r="D36" s="6">
        <v>45620</v>
      </c>
      <c r="E36" t="s">
        <v>894</v>
      </c>
      <c r="F36" s="1">
        <f>28000/4</f>
        <v>7000</v>
      </c>
      <c r="G36" s="1">
        <v>7000</v>
      </c>
      <c r="H36" s="1">
        <f t="shared" si="0"/>
        <v>700000</v>
      </c>
    </row>
    <row r="37" spans="1:8" x14ac:dyDescent="0.3">
      <c r="A37" t="s">
        <v>97</v>
      </c>
      <c r="B37" t="s">
        <v>507</v>
      </c>
      <c r="C37">
        <v>30</v>
      </c>
      <c r="D37" s="6">
        <v>45620</v>
      </c>
      <c r="E37" t="s">
        <v>883</v>
      </c>
      <c r="F37">
        <f>VLOOKUP(E37,'[2]SỔ CHI TIẾT MUA HÀNG'!$I:$K,3,0)</f>
        <v>55000</v>
      </c>
      <c r="G37" s="1">
        <v>55000</v>
      </c>
      <c r="H37" s="1">
        <f t="shared" si="0"/>
        <v>1650000</v>
      </c>
    </row>
    <row r="38" spans="1:8" x14ac:dyDescent="0.3">
      <c r="A38" t="s">
        <v>97</v>
      </c>
      <c r="B38" t="s">
        <v>22</v>
      </c>
      <c r="C38">
        <v>150</v>
      </c>
      <c r="D38" s="6">
        <v>45620</v>
      </c>
      <c r="E38" t="s">
        <v>884</v>
      </c>
      <c r="F38">
        <f>VLOOKUP(E38,'[2]SỔ CHI TIẾT MUA HÀNG'!$I:$K,3,0)</f>
        <v>20000</v>
      </c>
      <c r="G38" s="1">
        <v>20000</v>
      </c>
      <c r="H38" s="1">
        <f t="shared" si="0"/>
        <v>3000000</v>
      </c>
    </row>
    <row r="39" spans="1:8" x14ac:dyDescent="0.3">
      <c r="A39" t="s">
        <v>33</v>
      </c>
      <c r="B39" t="s">
        <v>507</v>
      </c>
      <c r="C39">
        <v>6</v>
      </c>
      <c r="D39" s="6">
        <v>45620</v>
      </c>
      <c r="E39" t="s">
        <v>891</v>
      </c>
      <c r="F39">
        <f>VLOOKUP(E39,'[2]SỔ CHI TIẾT MUA HÀNG'!$I:$K,3,0)</f>
        <v>35000</v>
      </c>
      <c r="G39" s="1">
        <v>35000</v>
      </c>
      <c r="H39" s="1">
        <f t="shared" si="0"/>
        <v>210000</v>
      </c>
    </row>
    <row r="40" spans="1:8" x14ac:dyDescent="0.3">
      <c r="A40" t="s">
        <v>113</v>
      </c>
      <c r="B40" t="s">
        <v>22</v>
      </c>
      <c r="C40">
        <v>20</v>
      </c>
      <c r="D40" s="6">
        <v>45620</v>
      </c>
      <c r="E40" t="s">
        <v>880</v>
      </c>
      <c r="F40" s="1">
        <f>35000*0.3</f>
        <v>10500</v>
      </c>
      <c r="G40" s="1">
        <v>10500</v>
      </c>
      <c r="H40" s="1">
        <f t="shared" si="0"/>
        <v>210000</v>
      </c>
    </row>
    <row r="41" spans="1:8" x14ac:dyDescent="0.3">
      <c r="A41" t="s">
        <v>34</v>
      </c>
      <c r="B41" t="s">
        <v>507</v>
      </c>
      <c r="C41">
        <v>100</v>
      </c>
      <c r="D41" s="6">
        <v>45620</v>
      </c>
      <c r="E41" t="s">
        <v>913</v>
      </c>
      <c r="F41">
        <f>VLOOKUP(E41,'[2]SỔ CHI TIẾT MUA HÀNG'!$I:$K,3,0)</f>
        <v>14000</v>
      </c>
      <c r="G41" s="1">
        <v>14000</v>
      </c>
      <c r="H41" s="1">
        <f t="shared" si="0"/>
        <v>1400000</v>
      </c>
    </row>
    <row r="42" spans="1:8" x14ac:dyDescent="0.3">
      <c r="A42" t="s">
        <v>35</v>
      </c>
      <c r="B42" t="s">
        <v>507</v>
      </c>
      <c r="C42">
        <v>30</v>
      </c>
      <c r="D42" s="6">
        <v>45620</v>
      </c>
      <c r="E42" t="s">
        <v>904</v>
      </c>
      <c r="F42">
        <f>VLOOKUP(E42,'[2]SỔ CHI TIẾT MUA HÀNG'!$I:$K,3,0)</f>
        <v>28000</v>
      </c>
      <c r="G42" s="1">
        <v>28000</v>
      </c>
      <c r="H42" s="1">
        <f t="shared" si="0"/>
        <v>840000</v>
      </c>
    </row>
    <row r="43" spans="1:8" x14ac:dyDescent="0.3">
      <c r="A43" t="s">
        <v>36</v>
      </c>
      <c r="B43" t="s">
        <v>27</v>
      </c>
      <c r="C43">
        <v>200</v>
      </c>
      <c r="D43" s="6">
        <v>45620</v>
      </c>
      <c r="E43" t="s">
        <v>916</v>
      </c>
      <c r="F43">
        <f>VLOOKUP(E43,'[2]SỔ CHI TIẾT MUA HÀNG'!$I:$K,3,0)</f>
        <v>6800</v>
      </c>
      <c r="G43" s="1">
        <v>6800</v>
      </c>
      <c r="H43" s="1">
        <f t="shared" si="0"/>
        <v>1360000</v>
      </c>
    </row>
    <row r="44" spans="1:8" x14ac:dyDescent="0.3">
      <c r="A44" t="s">
        <v>40</v>
      </c>
      <c r="B44" t="s">
        <v>507</v>
      </c>
      <c r="C44">
        <v>60</v>
      </c>
      <c r="D44" s="6">
        <v>45620</v>
      </c>
      <c r="E44" t="s">
        <v>887</v>
      </c>
      <c r="F44" s="1">
        <v>28000</v>
      </c>
      <c r="G44" s="1">
        <v>28000</v>
      </c>
      <c r="H44" s="1">
        <f t="shared" si="0"/>
        <v>1680000</v>
      </c>
    </row>
    <row r="45" spans="1:8" x14ac:dyDescent="0.3">
      <c r="A45" t="s">
        <v>38</v>
      </c>
      <c r="B45" t="s">
        <v>27</v>
      </c>
      <c r="C45">
        <v>20</v>
      </c>
      <c r="D45" s="6">
        <v>45620</v>
      </c>
      <c r="E45" t="s">
        <v>917</v>
      </c>
      <c r="F45" s="1">
        <v>6800</v>
      </c>
      <c r="G45" s="1">
        <v>6800</v>
      </c>
      <c r="H45" s="1">
        <f t="shared" si="0"/>
        <v>136000</v>
      </c>
    </row>
    <row r="46" spans="1:8" x14ac:dyDescent="0.3">
      <c r="A46" t="s">
        <v>39</v>
      </c>
      <c r="B46" t="s">
        <v>507</v>
      </c>
      <c r="C46">
        <v>40</v>
      </c>
      <c r="D46" s="6">
        <v>45620</v>
      </c>
      <c r="E46" t="s">
        <v>918</v>
      </c>
      <c r="F46" s="1">
        <v>33000</v>
      </c>
      <c r="G46" s="1">
        <v>33000</v>
      </c>
      <c r="H46" s="1">
        <f t="shared" si="0"/>
        <v>1320000</v>
      </c>
    </row>
    <row r="47" spans="1:8" x14ac:dyDescent="0.3">
      <c r="A47" t="s">
        <v>82</v>
      </c>
      <c r="B47" t="s">
        <v>507</v>
      </c>
      <c r="C47">
        <v>2</v>
      </c>
      <c r="D47" s="6">
        <v>45620</v>
      </c>
      <c r="E47" t="s">
        <v>919</v>
      </c>
      <c r="F47">
        <f>VLOOKUP(E47,'[2]SỔ CHI TIẾT MUA HÀNG'!$I:$K,3,0)</f>
        <v>120000</v>
      </c>
      <c r="G47" s="1">
        <v>120000</v>
      </c>
      <c r="H47" s="1">
        <f t="shared" si="0"/>
        <v>240000</v>
      </c>
    </row>
    <row r="48" spans="1:8" x14ac:dyDescent="0.3">
      <c r="A48" t="s">
        <v>83</v>
      </c>
      <c r="B48" t="s">
        <v>507</v>
      </c>
      <c r="C48">
        <v>10</v>
      </c>
      <c r="D48" s="6">
        <v>45620</v>
      </c>
      <c r="E48" t="s">
        <v>920</v>
      </c>
      <c r="F48">
        <f>VLOOKUP(E48,'[2]SỔ CHI TIẾT MUA HÀNG'!$I:$K,3,0)</f>
        <v>30000</v>
      </c>
      <c r="G48" s="1">
        <v>30000</v>
      </c>
      <c r="H48" s="1">
        <f t="shared" si="0"/>
        <v>300000</v>
      </c>
    </row>
    <row r="49" spans="1:8" x14ac:dyDescent="0.3">
      <c r="A49" t="s">
        <v>84</v>
      </c>
      <c r="B49" t="s">
        <v>27</v>
      </c>
      <c r="C49">
        <v>10</v>
      </c>
      <c r="D49" s="6">
        <v>45620</v>
      </c>
      <c r="E49" t="s">
        <v>921</v>
      </c>
      <c r="F49">
        <f>VLOOKUP(E49,'[2]SỔ CHI TIẾT MUA HÀNG'!$I:$K,3,0)</f>
        <v>6800</v>
      </c>
      <c r="G49" s="1">
        <v>6800</v>
      </c>
      <c r="H49" s="1">
        <f t="shared" si="0"/>
        <v>68000</v>
      </c>
    </row>
  </sheetData>
  <autoFilter ref="A1:F49" xr:uid="{4C236563-250D-43A6-9B63-9A86D6FDBBD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841A-B176-4CB4-B72F-9ACF4001D650}">
  <dimension ref="A1:H47"/>
  <sheetViews>
    <sheetView workbookViewId="0">
      <selection activeCell="H1" sqref="H1"/>
    </sheetView>
  </sheetViews>
  <sheetFormatPr defaultRowHeight="14.4" x14ac:dyDescent="0.3"/>
  <cols>
    <col min="1" max="1" width="19.21875" customWidth="1"/>
    <col min="2" max="2" width="10.88671875" customWidth="1"/>
    <col min="4" max="4" width="11.21875" customWidth="1"/>
    <col min="5" max="5" width="9.5546875" customWidth="1"/>
    <col min="6" max="6" width="10.33203125" style="1" bestFit="1" customWidth="1"/>
    <col min="7" max="7" width="11.33203125" style="1" bestFit="1" customWidth="1"/>
    <col min="8" max="8" width="11.109375" customWidth="1"/>
  </cols>
  <sheetData>
    <row r="1" spans="1:8" x14ac:dyDescent="0.3">
      <c r="H1" s="2">
        <f>SUM(H2:H47)</f>
        <v>42164950</v>
      </c>
    </row>
    <row r="2" spans="1:8" x14ac:dyDescent="0.3">
      <c r="A2" t="s">
        <v>79</v>
      </c>
      <c r="B2" t="s">
        <v>507</v>
      </c>
      <c r="C2">
        <v>25</v>
      </c>
      <c r="D2" s="6">
        <v>45619</v>
      </c>
      <c r="E2" t="s">
        <v>869</v>
      </c>
      <c r="F2" s="1">
        <v>12000</v>
      </c>
      <c r="G2" s="1">
        <v>12000</v>
      </c>
      <c r="H2" s="2">
        <f>C2*G2</f>
        <v>300000</v>
      </c>
    </row>
    <row r="3" spans="1:8" x14ac:dyDescent="0.3">
      <c r="A3" t="s">
        <v>80</v>
      </c>
      <c r="B3" t="s">
        <v>44</v>
      </c>
      <c r="C3">
        <v>30</v>
      </c>
      <c r="D3" s="6">
        <v>45619</v>
      </c>
      <c r="E3" t="s">
        <v>854</v>
      </c>
      <c r="F3" s="1">
        <v>4000</v>
      </c>
      <c r="G3" s="1">
        <v>4000</v>
      </c>
      <c r="H3" s="2">
        <f t="shared" ref="H3:H47" si="0">C3*G3</f>
        <v>120000</v>
      </c>
    </row>
    <row r="4" spans="1:8" x14ac:dyDescent="0.3">
      <c r="A4" t="s">
        <v>41</v>
      </c>
      <c r="B4" t="s">
        <v>42</v>
      </c>
      <c r="C4">
        <v>250</v>
      </c>
      <c r="D4" s="6">
        <v>45619</v>
      </c>
      <c r="E4" t="s">
        <v>838</v>
      </c>
      <c r="F4" s="1">
        <v>3000</v>
      </c>
      <c r="G4" s="1">
        <v>3000</v>
      </c>
      <c r="H4" s="2">
        <f t="shared" si="0"/>
        <v>750000</v>
      </c>
    </row>
    <row r="5" spans="1:8" x14ac:dyDescent="0.3">
      <c r="A5" t="s">
        <v>43</v>
      </c>
      <c r="B5" t="s">
        <v>44</v>
      </c>
      <c r="C5">
        <v>150</v>
      </c>
      <c r="D5" s="6">
        <v>45619</v>
      </c>
      <c r="E5" t="s">
        <v>849</v>
      </c>
      <c r="F5" s="1">
        <v>3000</v>
      </c>
      <c r="G5" s="1">
        <v>3000</v>
      </c>
      <c r="H5" s="2">
        <f t="shared" si="0"/>
        <v>450000</v>
      </c>
    </row>
    <row r="6" spans="1:8" x14ac:dyDescent="0.3">
      <c r="A6" t="s">
        <v>18</v>
      </c>
      <c r="B6" t="s">
        <v>9</v>
      </c>
      <c r="C6">
        <v>50</v>
      </c>
      <c r="D6" s="6">
        <v>45619</v>
      </c>
      <c r="E6" t="s">
        <v>844</v>
      </c>
      <c r="F6" s="1">
        <v>11200</v>
      </c>
      <c r="G6" s="1">
        <v>11200</v>
      </c>
      <c r="H6" s="2">
        <f t="shared" si="0"/>
        <v>560000</v>
      </c>
    </row>
    <row r="7" spans="1:8" x14ac:dyDescent="0.3">
      <c r="A7" t="s">
        <v>45</v>
      </c>
      <c r="B7" t="s">
        <v>507</v>
      </c>
      <c r="C7">
        <v>150</v>
      </c>
      <c r="D7" s="6">
        <v>45619</v>
      </c>
      <c r="E7" t="s">
        <v>831</v>
      </c>
      <c r="F7">
        <f>VLOOKUP(E7,'[2]SỔ CHI TIẾT MUA HÀNG'!$I:$K,3,0)</f>
        <v>18000</v>
      </c>
      <c r="G7" s="1">
        <v>18000</v>
      </c>
      <c r="H7" s="2">
        <f t="shared" si="0"/>
        <v>2700000</v>
      </c>
    </row>
    <row r="8" spans="1:8" x14ac:dyDescent="0.3">
      <c r="A8" t="s">
        <v>89</v>
      </c>
      <c r="B8" t="s">
        <v>105</v>
      </c>
      <c r="C8">
        <v>100</v>
      </c>
      <c r="D8" s="6">
        <v>45619</v>
      </c>
      <c r="E8" t="s">
        <v>858</v>
      </c>
      <c r="F8" s="1">
        <f>16500/2</f>
        <v>8250</v>
      </c>
      <c r="G8" s="1">
        <v>8250</v>
      </c>
      <c r="H8" s="2">
        <f t="shared" si="0"/>
        <v>825000</v>
      </c>
    </row>
    <row r="9" spans="1:8" x14ac:dyDescent="0.3">
      <c r="A9" t="s">
        <v>47</v>
      </c>
      <c r="B9" t="s">
        <v>48</v>
      </c>
      <c r="C9">
        <v>55</v>
      </c>
      <c r="D9" s="6">
        <v>45619</v>
      </c>
      <c r="E9" t="s">
        <v>853</v>
      </c>
      <c r="F9" s="1">
        <v>12450</v>
      </c>
      <c r="G9" s="1">
        <v>12450</v>
      </c>
      <c r="H9" s="2">
        <f t="shared" si="0"/>
        <v>684750</v>
      </c>
    </row>
    <row r="10" spans="1:8" x14ac:dyDescent="0.3">
      <c r="A10" t="s">
        <v>49</v>
      </c>
      <c r="B10" t="s">
        <v>106</v>
      </c>
      <c r="C10">
        <v>100</v>
      </c>
      <c r="D10" s="6">
        <v>45619</v>
      </c>
      <c r="E10" t="s">
        <v>846</v>
      </c>
      <c r="F10" s="1">
        <v>11550</v>
      </c>
      <c r="G10" s="1">
        <v>11550</v>
      </c>
      <c r="H10" s="2">
        <f t="shared" si="0"/>
        <v>1155000</v>
      </c>
    </row>
    <row r="11" spans="1:8" x14ac:dyDescent="0.3">
      <c r="A11" t="s">
        <v>50</v>
      </c>
      <c r="B11" t="s">
        <v>507</v>
      </c>
      <c r="C11">
        <v>100</v>
      </c>
      <c r="D11" s="6">
        <v>45619</v>
      </c>
      <c r="E11" t="s">
        <v>835</v>
      </c>
      <c r="F11" s="1">
        <v>17000</v>
      </c>
      <c r="G11" s="1">
        <v>17000</v>
      </c>
      <c r="H11" s="2">
        <f t="shared" si="0"/>
        <v>1700000</v>
      </c>
    </row>
    <row r="12" spans="1:8" x14ac:dyDescent="0.3">
      <c r="A12" t="s">
        <v>6</v>
      </c>
      <c r="B12" t="s">
        <v>507</v>
      </c>
      <c r="C12">
        <v>100</v>
      </c>
      <c r="D12" s="6">
        <v>45619</v>
      </c>
      <c r="E12" t="s">
        <v>851</v>
      </c>
      <c r="F12">
        <f>VLOOKUP(E12,'[2]SỔ CHI TIẾT MUA HÀNG'!$I:$K,3,0)</f>
        <v>14000</v>
      </c>
      <c r="G12" s="1">
        <v>14000</v>
      </c>
      <c r="H12" s="2">
        <f t="shared" si="0"/>
        <v>1400000</v>
      </c>
    </row>
    <row r="13" spans="1:8" x14ac:dyDescent="0.3">
      <c r="A13" t="s">
        <v>8</v>
      </c>
      <c r="B13" t="s">
        <v>9</v>
      </c>
      <c r="C13">
        <v>60</v>
      </c>
      <c r="D13" s="6">
        <v>45619</v>
      </c>
      <c r="E13" t="s">
        <v>860</v>
      </c>
      <c r="F13" s="1">
        <v>9600</v>
      </c>
      <c r="G13" s="1">
        <v>9600</v>
      </c>
      <c r="H13" s="2">
        <f t="shared" si="0"/>
        <v>576000</v>
      </c>
    </row>
    <row r="14" spans="1:8" x14ac:dyDescent="0.3">
      <c r="A14" t="s">
        <v>20</v>
      </c>
      <c r="B14" t="s">
        <v>507</v>
      </c>
      <c r="C14">
        <v>60</v>
      </c>
      <c r="D14" s="6">
        <v>45619</v>
      </c>
      <c r="E14" t="s">
        <v>841</v>
      </c>
      <c r="F14">
        <f>VLOOKUP(E14,'[2]SỔ CHI TIẾT MUA HÀNG'!$I:$K,3,0)</f>
        <v>20000</v>
      </c>
      <c r="G14" s="1">
        <v>20000</v>
      </c>
      <c r="H14" s="2">
        <f t="shared" si="0"/>
        <v>1200000</v>
      </c>
    </row>
    <row r="15" spans="1:8" x14ac:dyDescent="0.3">
      <c r="A15" t="s">
        <v>23</v>
      </c>
      <c r="B15" t="s">
        <v>22</v>
      </c>
      <c r="C15">
        <v>123</v>
      </c>
      <c r="D15" s="6">
        <v>45619</v>
      </c>
      <c r="E15" t="s">
        <v>847</v>
      </c>
      <c r="F15" s="1">
        <f>28000*0.3</f>
        <v>8400</v>
      </c>
      <c r="G15" s="1">
        <v>8400</v>
      </c>
      <c r="H15" s="2">
        <f t="shared" si="0"/>
        <v>1033200</v>
      </c>
    </row>
    <row r="16" spans="1:8" x14ac:dyDescent="0.3">
      <c r="A16" t="s">
        <v>23</v>
      </c>
      <c r="B16" t="s">
        <v>24</v>
      </c>
      <c r="C16">
        <v>10</v>
      </c>
      <c r="D16" s="6">
        <v>45619</v>
      </c>
      <c r="E16" t="s">
        <v>848</v>
      </c>
      <c r="F16" s="1">
        <f>F15/2</f>
        <v>4200</v>
      </c>
      <c r="G16" s="1">
        <v>4200</v>
      </c>
      <c r="H16" s="2">
        <f t="shared" si="0"/>
        <v>42000</v>
      </c>
    </row>
    <row r="17" spans="1:8" x14ac:dyDescent="0.3">
      <c r="A17" t="s">
        <v>26</v>
      </c>
      <c r="B17" t="s">
        <v>27</v>
      </c>
      <c r="C17">
        <v>100</v>
      </c>
      <c r="D17" s="6">
        <v>45619</v>
      </c>
      <c r="E17" t="s">
        <v>836</v>
      </c>
      <c r="F17" s="1">
        <v>10000</v>
      </c>
      <c r="G17" s="1">
        <v>10000</v>
      </c>
      <c r="H17" s="2">
        <f t="shared" si="0"/>
        <v>1000000</v>
      </c>
    </row>
    <row r="18" spans="1:8" x14ac:dyDescent="0.3">
      <c r="A18" t="s">
        <v>51</v>
      </c>
      <c r="B18" t="s">
        <v>9</v>
      </c>
      <c r="C18">
        <v>30</v>
      </c>
      <c r="D18" s="6">
        <v>45619</v>
      </c>
      <c r="E18" t="s">
        <v>870</v>
      </c>
      <c r="F18" s="1">
        <v>6500</v>
      </c>
      <c r="G18" s="1">
        <v>6500</v>
      </c>
      <c r="H18" s="2">
        <f t="shared" si="0"/>
        <v>195000</v>
      </c>
    </row>
    <row r="19" spans="1:8" x14ac:dyDescent="0.3">
      <c r="A19" t="s">
        <v>10</v>
      </c>
      <c r="B19" t="s">
        <v>507</v>
      </c>
      <c r="C19">
        <v>20</v>
      </c>
      <c r="D19" s="6">
        <v>45619</v>
      </c>
      <c r="E19" t="s">
        <v>871</v>
      </c>
      <c r="F19">
        <f>VLOOKUP(E19,'[2]SỔ CHI TIẾT MUA HÀNG'!$I:$K,3,0)</f>
        <v>5000</v>
      </c>
      <c r="G19" s="1">
        <v>5000</v>
      </c>
      <c r="H19" s="2">
        <f t="shared" si="0"/>
        <v>100000</v>
      </c>
    </row>
    <row r="20" spans="1:8" x14ac:dyDescent="0.3">
      <c r="A20" t="s">
        <v>11</v>
      </c>
      <c r="B20" t="s">
        <v>507</v>
      </c>
      <c r="C20">
        <v>20</v>
      </c>
      <c r="D20" s="6">
        <v>45619</v>
      </c>
      <c r="E20" t="s">
        <v>828</v>
      </c>
      <c r="F20">
        <f>VLOOKUP(E20,'[2]SỔ CHI TIẾT MUA HÀNG'!$I:$K,3,0)</f>
        <v>18000</v>
      </c>
      <c r="G20" s="1">
        <v>18000</v>
      </c>
      <c r="H20" s="2">
        <f t="shared" si="0"/>
        <v>360000</v>
      </c>
    </row>
    <row r="21" spans="1:8" x14ac:dyDescent="0.3">
      <c r="A21" t="s">
        <v>12</v>
      </c>
      <c r="B21" t="s">
        <v>507</v>
      </c>
      <c r="C21">
        <v>50</v>
      </c>
      <c r="D21" s="6">
        <v>45619</v>
      </c>
      <c r="E21" t="s">
        <v>829</v>
      </c>
      <c r="F21">
        <f>VLOOKUP(E21,'[2]SỔ CHI TIẾT MUA HÀNG'!$I:$K,3,0)</f>
        <v>28000</v>
      </c>
      <c r="G21" s="1">
        <v>28000</v>
      </c>
      <c r="H21" s="2">
        <f t="shared" si="0"/>
        <v>1400000</v>
      </c>
    </row>
    <row r="22" spans="1:8" x14ac:dyDescent="0.3">
      <c r="A22" t="s">
        <v>13</v>
      </c>
      <c r="B22" t="s">
        <v>507</v>
      </c>
      <c r="C22">
        <v>80</v>
      </c>
      <c r="D22" s="6">
        <v>45619</v>
      </c>
      <c r="E22" t="s">
        <v>832</v>
      </c>
      <c r="F22" s="1">
        <v>23000</v>
      </c>
      <c r="G22" s="1">
        <v>23000</v>
      </c>
      <c r="H22" s="2">
        <f t="shared" si="0"/>
        <v>1840000</v>
      </c>
    </row>
    <row r="23" spans="1:8" x14ac:dyDescent="0.3">
      <c r="A23" t="s">
        <v>14</v>
      </c>
      <c r="B23" t="s">
        <v>507</v>
      </c>
      <c r="C23">
        <v>80</v>
      </c>
      <c r="D23" s="6">
        <v>45619</v>
      </c>
      <c r="E23" t="s">
        <v>830</v>
      </c>
      <c r="F23">
        <f>VLOOKUP(E23,'[2]SỔ CHI TIẾT MUA HÀNG'!$I:$K,3,0)</f>
        <v>17000</v>
      </c>
      <c r="G23" s="1">
        <v>17000</v>
      </c>
      <c r="H23" s="2">
        <f t="shared" si="0"/>
        <v>1360000</v>
      </c>
    </row>
    <row r="24" spans="1:8" x14ac:dyDescent="0.3">
      <c r="A24" t="s">
        <v>93</v>
      </c>
      <c r="B24" t="s">
        <v>507</v>
      </c>
      <c r="C24">
        <v>40</v>
      </c>
      <c r="D24" s="6">
        <v>45619</v>
      </c>
      <c r="E24" t="s">
        <v>862</v>
      </c>
      <c r="F24">
        <f>VLOOKUP(E24,'[2]SỔ CHI TIẾT MUA HÀNG'!$I:$K,3,0)</f>
        <v>15000</v>
      </c>
      <c r="G24" s="1">
        <v>15000</v>
      </c>
      <c r="H24" s="2">
        <f t="shared" si="0"/>
        <v>600000</v>
      </c>
    </row>
    <row r="25" spans="1:8" x14ac:dyDescent="0.3">
      <c r="A25" t="s">
        <v>104</v>
      </c>
      <c r="B25" t="s">
        <v>22</v>
      </c>
      <c r="C25">
        <v>15</v>
      </c>
      <c r="D25" s="6">
        <v>45619</v>
      </c>
      <c r="E25" t="s">
        <v>872</v>
      </c>
      <c r="F25">
        <f>VLOOKUP(E25,'[2]SỔ CHI TIẾT MUA HÀNG'!$I:$K,3,0)</f>
        <v>6000</v>
      </c>
      <c r="G25" s="1">
        <v>6000</v>
      </c>
      <c r="H25" s="2">
        <f t="shared" si="0"/>
        <v>90000</v>
      </c>
    </row>
    <row r="26" spans="1:8" x14ac:dyDescent="0.3">
      <c r="A26" t="s">
        <v>95</v>
      </c>
      <c r="B26" t="s">
        <v>507</v>
      </c>
      <c r="C26">
        <v>3</v>
      </c>
      <c r="D26" s="6">
        <v>45619</v>
      </c>
      <c r="E26" t="s">
        <v>863</v>
      </c>
      <c r="F26">
        <f>VLOOKUP(E26,'[2]SỔ CHI TIẾT MUA HÀNG'!$I:$K,3,0)</f>
        <v>80000</v>
      </c>
      <c r="G26" s="1">
        <v>80000</v>
      </c>
      <c r="H26" s="2">
        <f t="shared" si="0"/>
        <v>240000</v>
      </c>
    </row>
    <row r="27" spans="1:8" x14ac:dyDescent="0.3">
      <c r="A27" t="s">
        <v>53</v>
      </c>
      <c r="B27" t="s">
        <v>9</v>
      </c>
      <c r="C27">
        <v>450</v>
      </c>
      <c r="D27" s="6">
        <v>45619</v>
      </c>
      <c r="E27" t="s">
        <v>857</v>
      </c>
      <c r="F27">
        <f>VLOOKUP(E27,'[2]SỔ CHI TIẾT MUA HÀNG'!$I:$K,3,0)</f>
        <v>6000</v>
      </c>
      <c r="G27" s="1">
        <v>6000</v>
      </c>
      <c r="H27" s="2">
        <f t="shared" si="0"/>
        <v>2700000</v>
      </c>
    </row>
    <row r="28" spans="1:8" x14ac:dyDescent="0.3">
      <c r="A28" t="s">
        <v>55</v>
      </c>
      <c r="B28" t="s">
        <v>22</v>
      </c>
      <c r="C28">
        <v>20</v>
      </c>
      <c r="D28" s="6">
        <v>45619</v>
      </c>
      <c r="E28" t="s">
        <v>864</v>
      </c>
      <c r="F28" s="1">
        <v>6000</v>
      </c>
      <c r="G28" s="1">
        <v>6000</v>
      </c>
      <c r="H28" s="2">
        <f t="shared" si="0"/>
        <v>120000</v>
      </c>
    </row>
    <row r="29" spans="1:8" x14ac:dyDescent="0.3">
      <c r="A29" t="s">
        <v>28</v>
      </c>
      <c r="B29" t="s">
        <v>507</v>
      </c>
      <c r="C29">
        <v>20</v>
      </c>
      <c r="D29" s="6">
        <v>45619</v>
      </c>
      <c r="E29" t="s">
        <v>839</v>
      </c>
      <c r="F29">
        <f>VLOOKUP(E29,'[2]SỔ CHI TIẾT MUA HÀNG'!$I:$K,3,0)</f>
        <v>30000</v>
      </c>
      <c r="G29" s="1">
        <v>30000</v>
      </c>
      <c r="H29" s="2">
        <f t="shared" si="0"/>
        <v>600000</v>
      </c>
    </row>
    <row r="30" spans="1:8" x14ac:dyDescent="0.3">
      <c r="A30" t="s">
        <v>28</v>
      </c>
      <c r="B30" t="s">
        <v>27</v>
      </c>
      <c r="C30">
        <v>100</v>
      </c>
      <c r="D30" s="6">
        <v>45619</v>
      </c>
      <c r="E30" t="s">
        <v>840</v>
      </c>
      <c r="F30" s="1">
        <v>6600</v>
      </c>
      <c r="G30" s="1">
        <v>6600</v>
      </c>
      <c r="H30" s="2">
        <f t="shared" si="0"/>
        <v>660000</v>
      </c>
    </row>
    <row r="31" spans="1:8" x14ac:dyDescent="0.3">
      <c r="A31" t="s">
        <v>72</v>
      </c>
      <c r="B31" t="s">
        <v>48</v>
      </c>
      <c r="C31">
        <v>20</v>
      </c>
      <c r="D31" s="6">
        <v>45619</v>
      </c>
      <c r="E31" t="s">
        <v>873</v>
      </c>
      <c r="F31" s="1">
        <v>100000</v>
      </c>
      <c r="G31" s="1">
        <v>100000</v>
      </c>
      <c r="H31" s="2">
        <f t="shared" si="0"/>
        <v>2000000</v>
      </c>
    </row>
    <row r="32" spans="1:8" x14ac:dyDescent="0.3">
      <c r="A32" t="s">
        <v>73</v>
      </c>
      <c r="B32" t="s">
        <v>85</v>
      </c>
      <c r="C32">
        <v>25</v>
      </c>
      <c r="D32" s="6">
        <v>45619</v>
      </c>
      <c r="E32" t="s">
        <v>855</v>
      </c>
      <c r="F32" s="1">
        <f>26000*0.3</f>
        <v>7800</v>
      </c>
      <c r="G32" s="1">
        <v>7800</v>
      </c>
      <c r="H32" s="2">
        <f t="shared" si="0"/>
        <v>195000</v>
      </c>
    </row>
    <row r="33" spans="1:8" x14ac:dyDescent="0.3">
      <c r="A33" t="s">
        <v>29</v>
      </c>
      <c r="B33" t="s">
        <v>22</v>
      </c>
      <c r="C33">
        <v>300</v>
      </c>
      <c r="D33" s="6">
        <v>45619</v>
      </c>
      <c r="E33" t="s">
        <v>850</v>
      </c>
      <c r="F33" s="1">
        <v>1900</v>
      </c>
      <c r="G33" s="1">
        <v>1900</v>
      </c>
      <c r="H33" s="2">
        <f t="shared" si="0"/>
        <v>570000</v>
      </c>
    </row>
    <row r="34" spans="1:8" x14ac:dyDescent="0.3">
      <c r="A34" t="s">
        <v>32</v>
      </c>
      <c r="B34" t="s">
        <v>507</v>
      </c>
      <c r="C34">
        <v>35</v>
      </c>
      <c r="D34" s="6">
        <v>45619</v>
      </c>
      <c r="E34" t="s">
        <v>833</v>
      </c>
      <c r="F34">
        <f>VLOOKUP(E34,'[2]SỔ CHI TIẾT MUA HÀNG'!$I:$K,3,0)</f>
        <v>62000</v>
      </c>
      <c r="G34" s="1">
        <v>62000</v>
      </c>
      <c r="H34" s="2">
        <f t="shared" si="0"/>
        <v>2170000</v>
      </c>
    </row>
    <row r="35" spans="1:8" x14ac:dyDescent="0.3">
      <c r="A35" t="s">
        <v>57</v>
      </c>
      <c r="B35" t="s">
        <v>507</v>
      </c>
      <c r="C35">
        <v>24</v>
      </c>
      <c r="D35" s="6">
        <v>45619</v>
      </c>
      <c r="E35" t="s">
        <v>845</v>
      </c>
      <c r="F35">
        <f>VLOOKUP(E35,'[2]SỔ CHI TIẾT MUA HÀNG'!$I:$K,3,0)</f>
        <v>44000</v>
      </c>
      <c r="G35" s="1">
        <v>44000</v>
      </c>
      <c r="H35" s="2">
        <f t="shared" si="0"/>
        <v>1056000</v>
      </c>
    </row>
    <row r="36" spans="1:8" x14ac:dyDescent="0.3">
      <c r="A36" t="s">
        <v>58</v>
      </c>
      <c r="B36" t="s">
        <v>59</v>
      </c>
      <c r="C36">
        <v>150</v>
      </c>
      <c r="D36" s="6">
        <v>45619</v>
      </c>
      <c r="E36" t="s">
        <v>859</v>
      </c>
      <c r="F36" s="1">
        <f>35000/4</f>
        <v>8750</v>
      </c>
      <c r="G36" s="1">
        <v>8750</v>
      </c>
      <c r="H36" s="2">
        <f t="shared" si="0"/>
        <v>1312500</v>
      </c>
    </row>
    <row r="37" spans="1:8" x14ac:dyDescent="0.3">
      <c r="A37" t="s">
        <v>61</v>
      </c>
      <c r="B37" t="s">
        <v>59</v>
      </c>
      <c r="C37">
        <v>150</v>
      </c>
      <c r="D37" s="6">
        <v>45619</v>
      </c>
      <c r="E37" t="s">
        <v>842</v>
      </c>
      <c r="F37" s="1">
        <f>18000/4</f>
        <v>4500</v>
      </c>
      <c r="G37" s="1">
        <v>4500</v>
      </c>
      <c r="H37" s="2">
        <f t="shared" si="0"/>
        <v>675000</v>
      </c>
    </row>
    <row r="38" spans="1:8" x14ac:dyDescent="0.3">
      <c r="A38" t="s">
        <v>62</v>
      </c>
      <c r="B38" t="s">
        <v>59</v>
      </c>
      <c r="C38">
        <v>60</v>
      </c>
      <c r="D38" s="6">
        <v>45619</v>
      </c>
      <c r="E38" t="s">
        <v>843</v>
      </c>
      <c r="F38" s="1">
        <f>28000/4</f>
        <v>7000</v>
      </c>
      <c r="G38" s="1">
        <v>7000</v>
      </c>
      <c r="H38" s="2">
        <f t="shared" si="0"/>
        <v>420000</v>
      </c>
    </row>
    <row r="39" spans="1:8" x14ac:dyDescent="0.3">
      <c r="A39" t="s">
        <v>97</v>
      </c>
      <c r="B39" t="s">
        <v>22</v>
      </c>
      <c r="C39">
        <v>200</v>
      </c>
      <c r="D39" s="6">
        <v>45619</v>
      </c>
      <c r="E39" t="s">
        <v>834</v>
      </c>
      <c r="F39">
        <f>VLOOKUP(E39,'[2]SỔ CHI TIẾT MUA HÀNG'!$I:$K,3,0)</f>
        <v>22000</v>
      </c>
      <c r="G39" s="1">
        <v>22000</v>
      </c>
      <c r="H39" s="2">
        <f t="shared" si="0"/>
        <v>4400000</v>
      </c>
    </row>
    <row r="40" spans="1:8" x14ac:dyDescent="0.3">
      <c r="A40" t="s">
        <v>33</v>
      </c>
      <c r="B40" t="s">
        <v>507</v>
      </c>
      <c r="C40">
        <v>8</v>
      </c>
      <c r="D40" s="6">
        <v>45619</v>
      </c>
      <c r="E40" t="s">
        <v>837</v>
      </c>
      <c r="F40">
        <f>VLOOKUP(E40,'[2]SỔ CHI TIẾT MUA HÀNG'!$I:$K,3,0)</f>
        <v>35000</v>
      </c>
      <c r="G40" s="1">
        <v>35000</v>
      </c>
      <c r="H40" s="2">
        <f t="shared" si="0"/>
        <v>280000</v>
      </c>
    </row>
    <row r="41" spans="1:8" x14ac:dyDescent="0.3">
      <c r="A41" t="s">
        <v>34</v>
      </c>
      <c r="B41" t="s">
        <v>507</v>
      </c>
      <c r="C41">
        <v>50</v>
      </c>
      <c r="D41" s="6">
        <v>45619</v>
      </c>
      <c r="E41" t="s">
        <v>865</v>
      </c>
      <c r="F41">
        <f>VLOOKUP(E41,'[2]SỔ CHI TIẾT MUA HÀNG'!$I:$K,3,0)</f>
        <v>14000</v>
      </c>
      <c r="G41" s="1">
        <v>14000</v>
      </c>
      <c r="H41" s="2">
        <f t="shared" si="0"/>
        <v>700000</v>
      </c>
    </row>
    <row r="42" spans="1:8" x14ac:dyDescent="0.3">
      <c r="A42" t="s">
        <v>35</v>
      </c>
      <c r="B42" t="s">
        <v>507</v>
      </c>
      <c r="C42">
        <v>35</v>
      </c>
      <c r="D42" s="6">
        <v>45619</v>
      </c>
      <c r="E42" t="s">
        <v>856</v>
      </c>
      <c r="F42">
        <f>VLOOKUP(E42,'[2]SỔ CHI TIẾT MUA HÀNG'!$I:$K,3,0)</f>
        <v>28000</v>
      </c>
      <c r="G42" s="1">
        <v>28000</v>
      </c>
      <c r="H42" s="2">
        <f t="shared" si="0"/>
        <v>980000</v>
      </c>
    </row>
    <row r="43" spans="1:8" x14ac:dyDescent="0.3">
      <c r="A43" t="s">
        <v>36</v>
      </c>
      <c r="B43" t="s">
        <v>27</v>
      </c>
      <c r="C43">
        <v>100</v>
      </c>
      <c r="D43" s="6">
        <v>45619</v>
      </c>
      <c r="E43" t="s">
        <v>866</v>
      </c>
      <c r="F43">
        <f>VLOOKUP(E43,'[2]SỔ CHI TIẾT MUA HÀNG'!$I:$K,3,0)</f>
        <v>6800</v>
      </c>
      <c r="G43" s="1">
        <v>6800</v>
      </c>
      <c r="H43" s="2">
        <f t="shared" si="0"/>
        <v>680000</v>
      </c>
    </row>
    <row r="44" spans="1:8" x14ac:dyDescent="0.3">
      <c r="A44" t="s">
        <v>37</v>
      </c>
      <c r="B44" t="s">
        <v>507</v>
      </c>
      <c r="C44">
        <v>40</v>
      </c>
      <c r="D44" s="6">
        <v>45619</v>
      </c>
      <c r="E44" t="s">
        <v>861</v>
      </c>
      <c r="F44">
        <f>VLOOKUP(E44,'[2]SỔ CHI TIẾT MUA HÀNG'!$I:$K,3,0)</f>
        <v>28000</v>
      </c>
      <c r="G44" s="1">
        <v>28000</v>
      </c>
      <c r="H44" s="2">
        <f t="shared" si="0"/>
        <v>1120000</v>
      </c>
    </row>
    <row r="45" spans="1:8" x14ac:dyDescent="0.3">
      <c r="A45" t="s">
        <v>38</v>
      </c>
      <c r="B45" t="s">
        <v>27</v>
      </c>
      <c r="C45">
        <v>20</v>
      </c>
      <c r="D45" s="6">
        <v>45619</v>
      </c>
      <c r="E45" t="s">
        <v>852</v>
      </c>
      <c r="F45" s="1">
        <v>6800</v>
      </c>
      <c r="G45" s="1">
        <v>6800</v>
      </c>
      <c r="H45" s="2">
        <f t="shared" si="0"/>
        <v>136000</v>
      </c>
    </row>
    <row r="46" spans="1:8" x14ac:dyDescent="0.3">
      <c r="A46" t="s">
        <v>39</v>
      </c>
      <c r="B46" t="s">
        <v>507</v>
      </c>
      <c r="C46">
        <v>20</v>
      </c>
      <c r="D46" s="6">
        <v>45619</v>
      </c>
      <c r="E46" t="s">
        <v>867</v>
      </c>
      <c r="F46" s="1">
        <v>33000</v>
      </c>
      <c r="G46" s="1">
        <v>33000</v>
      </c>
      <c r="H46" s="2">
        <f t="shared" si="0"/>
        <v>660000</v>
      </c>
    </row>
    <row r="47" spans="1:8" x14ac:dyDescent="0.3">
      <c r="A47" t="s">
        <v>83</v>
      </c>
      <c r="B47" t="s">
        <v>22</v>
      </c>
      <c r="C47">
        <v>5</v>
      </c>
      <c r="D47" s="6">
        <v>45619</v>
      </c>
      <c r="E47" t="s">
        <v>868</v>
      </c>
      <c r="F47" s="1">
        <f>33000*0.3</f>
        <v>9900</v>
      </c>
      <c r="G47" s="1">
        <v>9900</v>
      </c>
      <c r="H47" s="2">
        <f t="shared" si="0"/>
        <v>49500</v>
      </c>
    </row>
  </sheetData>
  <autoFilter ref="A1:F47" xr:uid="{63C3841A-B176-4CB4-B72F-9ACF4001D65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E5C34-ED60-4A01-983F-94B8FB106CDC}">
  <dimension ref="A1:H50"/>
  <sheetViews>
    <sheetView workbookViewId="0">
      <selection activeCell="H1" sqref="H1"/>
    </sheetView>
  </sheetViews>
  <sheetFormatPr defaultRowHeight="14.4" x14ac:dyDescent="0.3"/>
  <cols>
    <col min="1" max="1" width="16.88671875" customWidth="1"/>
    <col min="4" max="4" width="10.5546875" bestFit="1" customWidth="1"/>
    <col min="5" max="5" width="28.21875" customWidth="1"/>
    <col min="6" max="6" width="11.33203125" style="1" bestFit="1" customWidth="1"/>
    <col min="8" max="8" width="12.77734375" style="1" bestFit="1" customWidth="1"/>
  </cols>
  <sheetData>
    <row r="1" spans="1:8" x14ac:dyDescent="0.3">
      <c r="H1" s="1">
        <f>SUM(H2:H50)</f>
        <v>44752500</v>
      </c>
    </row>
    <row r="2" spans="1:8" x14ac:dyDescent="0.3">
      <c r="A2" t="s">
        <v>80</v>
      </c>
      <c r="B2" t="s">
        <v>44</v>
      </c>
      <c r="C2">
        <v>20</v>
      </c>
      <c r="D2" s="6">
        <v>45618</v>
      </c>
      <c r="E2" t="s">
        <v>805</v>
      </c>
      <c r="F2" s="1">
        <v>4000</v>
      </c>
      <c r="G2">
        <v>4000</v>
      </c>
      <c r="H2" s="1">
        <f>C2*G2</f>
        <v>80000</v>
      </c>
    </row>
    <row r="3" spans="1:8" x14ac:dyDescent="0.3">
      <c r="A3" t="s">
        <v>88</v>
      </c>
      <c r="B3" t="s">
        <v>507</v>
      </c>
      <c r="C3">
        <v>30</v>
      </c>
      <c r="D3" s="6">
        <v>45618</v>
      </c>
      <c r="E3" t="s">
        <v>795</v>
      </c>
      <c r="F3" s="1">
        <v>5000</v>
      </c>
      <c r="G3">
        <v>5000</v>
      </c>
      <c r="H3" s="1">
        <f t="shared" ref="H3:H50" si="0">C3*G3</f>
        <v>150000</v>
      </c>
    </row>
    <row r="4" spans="1:8" x14ac:dyDescent="0.3">
      <c r="A4" t="s">
        <v>41</v>
      </c>
      <c r="B4" t="s">
        <v>507</v>
      </c>
      <c r="C4">
        <v>30</v>
      </c>
      <c r="D4" s="6">
        <v>45618</v>
      </c>
      <c r="E4" t="s">
        <v>800</v>
      </c>
      <c r="F4" s="1">
        <f>VLOOKUP(E4,'[2]SỔ CHI TIẾT MUA HÀNG'!$I:$K,3,0)</f>
        <v>11000</v>
      </c>
      <c r="G4">
        <v>11000</v>
      </c>
      <c r="H4" s="1">
        <f t="shared" si="0"/>
        <v>330000</v>
      </c>
    </row>
    <row r="5" spans="1:8" x14ac:dyDescent="0.3">
      <c r="A5" t="s">
        <v>41</v>
      </c>
      <c r="B5" t="s">
        <v>42</v>
      </c>
      <c r="C5">
        <v>200</v>
      </c>
      <c r="D5" s="6">
        <v>45618</v>
      </c>
      <c r="E5" t="s">
        <v>801</v>
      </c>
      <c r="F5" s="1">
        <f>11000*0.3</f>
        <v>3300</v>
      </c>
      <c r="G5">
        <v>3300</v>
      </c>
      <c r="H5" s="1">
        <f t="shared" si="0"/>
        <v>660000</v>
      </c>
    </row>
    <row r="6" spans="1:8" x14ac:dyDescent="0.3">
      <c r="A6" t="s">
        <v>43</v>
      </c>
      <c r="B6" t="s">
        <v>44</v>
      </c>
      <c r="C6">
        <v>140</v>
      </c>
      <c r="D6" s="6">
        <v>45618</v>
      </c>
      <c r="E6" t="s">
        <v>806</v>
      </c>
      <c r="F6" s="1">
        <v>3000</v>
      </c>
      <c r="G6">
        <v>3000</v>
      </c>
      <c r="H6" s="1">
        <f t="shared" si="0"/>
        <v>420000</v>
      </c>
    </row>
    <row r="7" spans="1:8" x14ac:dyDescent="0.3">
      <c r="A7" t="s">
        <v>67</v>
      </c>
      <c r="B7" t="s">
        <v>507</v>
      </c>
      <c r="C7">
        <v>20</v>
      </c>
      <c r="D7" s="6">
        <v>45618</v>
      </c>
      <c r="E7" t="s">
        <v>815</v>
      </c>
      <c r="F7" s="1">
        <f>VLOOKUP(E7,'[2]SỔ CHI TIẾT MUA HÀNG'!$I:$K,3,0)</f>
        <v>39000</v>
      </c>
      <c r="G7">
        <v>39000</v>
      </c>
      <c r="H7" s="1">
        <f t="shared" si="0"/>
        <v>780000</v>
      </c>
    </row>
    <row r="8" spans="1:8" x14ac:dyDescent="0.3">
      <c r="A8" t="s">
        <v>18</v>
      </c>
      <c r="B8" t="s">
        <v>9</v>
      </c>
      <c r="C8">
        <v>10</v>
      </c>
      <c r="D8" s="6">
        <v>45618</v>
      </c>
      <c r="E8" t="s">
        <v>804</v>
      </c>
      <c r="F8" s="1">
        <v>11200</v>
      </c>
      <c r="G8">
        <v>11200</v>
      </c>
      <c r="H8" s="1">
        <f t="shared" si="0"/>
        <v>112000</v>
      </c>
    </row>
    <row r="9" spans="1:8" x14ac:dyDescent="0.3">
      <c r="A9" t="s">
        <v>45</v>
      </c>
      <c r="B9" t="s">
        <v>507</v>
      </c>
      <c r="C9">
        <v>200</v>
      </c>
      <c r="D9" s="6">
        <v>45618</v>
      </c>
      <c r="E9" t="s">
        <v>781</v>
      </c>
      <c r="F9" s="1">
        <f>VLOOKUP(E9,'[2]SỔ CHI TIẾT MUA HÀNG'!$I:$K,3,0)</f>
        <v>18000</v>
      </c>
      <c r="G9">
        <v>18000</v>
      </c>
      <c r="H9" s="1">
        <f t="shared" si="0"/>
        <v>3600000</v>
      </c>
    </row>
    <row r="10" spans="1:8" x14ac:dyDescent="0.3">
      <c r="A10" t="s">
        <v>89</v>
      </c>
      <c r="B10" t="s">
        <v>105</v>
      </c>
      <c r="C10">
        <v>200</v>
      </c>
      <c r="D10" s="6">
        <v>45618</v>
      </c>
      <c r="E10" t="s">
        <v>810</v>
      </c>
      <c r="F10" s="1">
        <f>17000/2</f>
        <v>8500</v>
      </c>
      <c r="G10">
        <v>8500</v>
      </c>
      <c r="H10" s="1">
        <f t="shared" si="0"/>
        <v>1700000</v>
      </c>
    </row>
    <row r="11" spans="1:8" x14ac:dyDescent="0.3">
      <c r="A11" t="s">
        <v>47</v>
      </c>
      <c r="B11" t="s">
        <v>48</v>
      </c>
      <c r="C11">
        <v>60</v>
      </c>
      <c r="D11" s="6">
        <v>45618</v>
      </c>
      <c r="E11" t="s">
        <v>788</v>
      </c>
      <c r="F11" s="1">
        <f>'2111'!H12</f>
        <v>17000</v>
      </c>
      <c r="G11">
        <v>17000</v>
      </c>
      <c r="H11" s="1">
        <f t="shared" si="0"/>
        <v>1020000</v>
      </c>
    </row>
    <row r="12" spans="1:8" x14ac:dyDescent="0.3">
      <c r="A12" t="s">
        <v>49</v>
      </c>
      <c r="B12" t="s">
        <v>106</v>
      </c>
      <c r="C12">
        <v>50</v>
      </c>
      <c r="D12" s="6">
        <v>45618</v>
      </c>
      <c r="E12" t="s">
        <v>789</v>
      </c>
      <c r="F12" s="1">
        <v>12450</v>
      </c>
      <c r="G12">
        <v>12450</v>
      </c>
      <c r="H12" s="1">
        <f t="shared" si="0"/>
        <v>622500</v>
      </c>
    </row>
    <row r="13" spans="1:8" x14ac:dyDescent="0.3">
      <c r="A13" t="s">
        <v>50</v>
      </c>
      <c r="B13" t="s">
        <v>507</v>
      </c>
      <c r="C13">
        <v>140</v>
      </c>
      <c r="D13" s="6">
        <v>45618</v>
      </c>
      <c r="E13" t="s">
        <v>783</v>
      </c>
      <c r="F13" s="1">
        <f>VLOOKUP(E13,'[2]SỔ CHI TIẾT MUA HÀNG'!$I:$K,3,0)</f>
        <v>17000</v>
      </c>
      <c r="G13">
        <v>17000</v>
      </c>
      <c r="H13" s="1">
        <f t="shared" si="0"/>
        <v>2380000</v>
      </c>
    </row>
    <row r="14" spans="1:8" x14ac:dyDescent="0.3">
      <c r="A14" t="s">
        <v>6</v>
      </c>
      <c r="B14" t="s">
        <v>507</v>
      </c>
      <c r="C14">
        <v>40</v>
      </c>
      <c r="D14" s="6">
        <v>45618</v>
      </c>
      <c r="E14" t="s">
        <v>808</v>
      </c>
      <c r="F14" s="1">
        <f>VLOOKUP(E14,'[2]SỔ CHI TIẾT MUA HÀNG'!$I:$K,3,0)</f>
        <v>14000</v>
      </c>
      <c r="G14">
        <v>14000</v>
      </c>
      <c r="H14" s="1">
        <f t="shared" si="0"/>
        <v>560000</v>
      </c>
    </row>
    <row r="15" spans="1:8" x14ac:dyDescent="0.3">
      <c r="A15" t="s">
        <v>8</v>
      </c>
      <c r="B15" t="s">
        <v>9</v>
      </c>
      <c r="C15">
        <v>80</v>
      </c>
      <c r="D15" s="6">
        <v>45618</v>
      </c>
      <c r="E15" t="s">
        <v>813</v>
      </c>
      <c r="F15" s="1">
        <v>9600</v>
      </c>
      <c r="G15">
        <v>9600</v>
      </c>
      <c r="H15" s="1">
        <f t="shared" si="0"/>
        <v>768000</v>
      </c>
    </row>
    <row r="16" spans="1:8" x14ac:dyDescent="0.3">
      <c r="A16" t="s">
        <v>23</v>
      </c>
      <c r="B16" t="s">
        <v>22</v>
      </c>
      <c r="C16">
        <v>100</v>
      </c>
      <c r="D16" s="6">
        <v>45618</v>
      </c>
      <c r="E16" t="s">
        <v>790</v>
      </c>
      <c r="F16" s="1">
        <f>28000*0.3</f>
        <v>8400</v>
      </c>
      <c r="G16">
        <v>8400</v>
      </c>
      <c r="H16" s="1">
        <f t="shared" si="0"/>
        <v>840000</v>
      </c>
    </row>
    <row r="17" spans="1:8" x14ac:dyDescent="0.3">
      <c r="A17" t="s">
        <v>26</v>
      </c>
      <c r="B17" t="s">
        <v>27</v>
      </c>
      <c r="C17">
        <v>100</v>
      </c>
      <c r="D17" s="6">
        <v>45618</v>
      </c>
      <c r="E17" t="s">
        <v>798</v>
      </c>
      <c r="F17" s="1">
        <v>10000</v>
      </c>
      <c r="G17">
        <v>10000</v>
      </c>
      <c r="H17" s="1">
        <f t="shared" si="0"/>
        <v>1000000</v>
      </c>
    </row>
    <row r="18" spans="1:8" x14ac:dyDescent="0.3">
      <c r="A18" t="s">
        <v>51</v>
      </c>
      <c r="B18" t="s">
        <v>9</v>
      </c>
      <c r="C18">
        <v>50</v>
      </c>
      <c r="D18" s="6">
        <v>45618</v>
      </c>
      <c r="E18" t="s">
        <v>816</v>
      </c>
      <c r="F18" s="1">
        <f>VLOOKUP(A18,'2111'!A:I,8,0)</f>
        <v>6500</v>
      </c>
      <c r="G18">
        <v>6500</v>
      </c>
      <c r="H18" s="1">
        <f t="shared" si="0"/>
        <v>325000</v>
      </c>
    </row>
    <row r="19" spans="1:8" x14ac:dyDescent="0.3">
      <c r="A19" t="s">
        <v>10</v>
      </c>
      <c r="B19" t="s">
        <v>507</v>
      </c>
      <c r="C19">
        <v>20</v>
      </c>
      <c r="D19" s="6">
        <v>45618</v>
      </c>
      <c r="E19" t="s">
        <v>817</v>
      </c>
      <c r="F19" s="1">
        <f>VLOOKUP(E19,'[2]SỔ CHI TIẾT MUA HÀNG'!$I:$K,3,0)</f>
        <v>6000</v>
      </c>
      <c r="G19">
        <v>6000</v>
      </c>
      <c r="H19" s="1">
        <f t="shared" si="0"/>
        <v>120000</v>
      </c>
    </row>
    <row r="20" spans="1:8" x14ac:dyDescent="0.3">
      <c r="A20" t="s">
        <v>11</v>
      </c>
      <c r="B20" t="s">
        <v>507</v>
      </c>
      <c r="C20">
        <v>20</v>
      </c>
      <c r="D20" s="6">
        <v>45618</v>
      </c>
      <c r="E20" t="s">
        <v>793</v>
      </c>
      <c r="F20" s="1">
        <f>VLOOKUP(E20,'[2]SỔ CHI TIẾT MUA HÀNG'!$I:$K,3,0)</f>
        <v>18000</v>
      </c>
      <c r="G20">
        <v>18000</v>
      </c>
      <c r="H20" s="1">
        <f t="shared" si="0"/>
        <v>360000</v>
      </c>
    </row>
    <row r="21" spans="1:8" x14ac:dyDescent="0.3">
      <c r="A21" t="s">
        <v>12</v>
      </c>
      <c r="B21" t="s">
        <v>507</v>
      </c>
      <c r="C21">
        <v>60</v>
      </c>
      <c r="D21" s="6">
        <v>45618</v>
      </c>
      <c r="E21" t="s">
        <v>784</v>
      </c>
      <c r="F21" s="1">
        <v>20000</v>
      </c>
      <c r="G21">
        <v>20000</v>
      </c>
      <c r="H21" s="1">
        <f t="shared" si="0"/>
        <v>1200000</v>
      </c>
    </row>
    <row r="22" spans="1:8" x14ac:dyDescent="0.3">
      <c r="A22" t="s">
        <v>13</v>
      </c>
      <c r="B22" t="s">
        <v>507</v>
      </c>
      <c r="C22">
        <v>140</v>
      </c>
      <c r="D22" s="6">
        <v>45618</v>
      </c>
      <c r="E22" t="s">
        <v>782</v>
      </c>
      <c r="F22" s="1">
        <f>VLOOKUP(A22,'2111'!A:I,8,0)</f>
        <v>26000</v>
      </c>
      <c r="G22">
        <v>26000</v>
      </c>
      <c r="H22" s="1">
        <f t="shared" si="0"/>
        <v>3640000</v>
      </c>
    </row>
    <row r="23" spans="1:8" x14ac:dyDescent="0.3">
      <c r="A23" t="s">
        <v>14</v>
      </c>
      <c r="B23" t="s">
        <v>507</v>
      </c>
      <c r="C23">
        <v>120</v>
      </c>
      <c r="D23" s="6">
        <v>45618</v>
      </c>
      <c r="E23" t="s">
        <v>794</v>
      </c>
      <c r="F23" s="1">
        <f>VLOOKUP(E23,'[2]SỔ CHI TIẾT MUA HÀNG'!$I:$K,3,0)</f>
        <v>17000</v>
      </c>
      <c r="G23">
        <v>17000</v>
      </c>
      <c r="H23" s="1">
        <f t="shared" si="0"/>
        <v>2040000</v>
      </c>
    </row>
    <row r="24" spans="1:8" x14ac:dyDescent="0.3">
      <c r="A24" t="s">
        <v>15</v>
      </c>
      <c r="B24" t="s">
        <v>507</v>
      </c>
      <c r="C24">
        <v>10</v>
      </c>
      <c r="D24" s="6">
        <v>45618</v>
      </c>
      <c r="E24" t="s">
        <v>780</v>
      </c>
      <c r="F24" s="1">
        <f>VLOOKUP(E24,'[2]SỔ CHI TIẾT MUA HÀNG'!$I:$K,3,0)</f>
        <v>25000</v>
      </c>
      <c r="G24">
        <v>25000</v>
      </c>
      <c r="H24" s="1">
        <f t="shared" si="0"/>
        <v>250000</v>
      </c>
    </row>
    <row r="25" spans="1:8" x14ac:dyDescent="0.3">
      <c r="A25" t="s">
        <v>93</v>
      </c>
      <c r="B25" t="s">
        <v>507</v>
      </c>
      <c r="C25">
        <v>40</v>
      </c>
      <c r="D25" s="6">
        <v>45618</v>
      </c>
      <c r="E25" t="s">
        <v>818</v>
      </c>
      <c r="F25" s="1">
        <f>VLOOKUP(E25,'[2]SỔ CHI TIẾT MUA HÀNG'!$I:$K,3,0)</f>
        <v>15000</v>
      </c>
      <c r="G25">
        <v>15000</v>
      </c>
      <c r="H25" s="1">
        <f t="shared" si="0"/>
        <v>600000</v>
      </c>
    </row>
    <row r="26" spans="1:8" x14ac:dyDescent="0.3">
      <c r="A26" t="s">
        <v>104</v>
      </c>
      <c r="B26" t="s">
        <v>22</v>
      </c>
      <c r="C26">
        <v>15</v>
      </c>
      <c r="D26" s="6">
        <v>45618</v>
      </c>
      <c r="E26" t="s">
        <v>819</v>
      </c>
      <c r="F26" s="1">
        <f>VLOOKUP(E26,'[2]SỔ CHI TIẾT MUA HÀNG'!$I:$K,3,0)</f>
        <v>6000</v>
      </c>
      <c r="G26">
        <v>6000</v>
      </c>
      <c r="H26" s="1">
        <f t="shared" si="0"/>
        <v>90000</v>
      </c>
    </row>
    <row r="27" spans="1:8" x14ac:dyDescent="0.3">
      <c r="A27" t="s">
        <v>87</v>
      </c>
      <c r="B27" t="s">
        <v>107</v>
      </c>
      <c r="C27">
        <v>20</v>
      </c>
      <c r="D27" s="6">
        <v>45618</v>
      </c>
      <c r="E27" t="s">
        <v>797</v>
      </c>
      <c r="F27" s="1">
        <f>VLOOKUP(E27,'[2]SỔ CHI TIẾT MUA HÀNG'!$I:$K,3,0)</f>
        <v>8000</v>
      </c>
      <c r="G27">
        <v>8000</v>
      </c>
      <c r="H27" s="1">
        <f t="shared" si="0"/>
        <v>160000</v>
      </c>
    </row>
    <row r="28" spans="1:8" x14ac:dyDescent="0.3">
      <c r="A28" t="s">
        <v>53</v>
      </c>
      <c r="B28" t="s">
        <v>9</v>
      </c>
      <c r="C28">
        <v>500</v>
      </c>
      <c r="D28" s="6">
        <v>45618</v>
      </c>
      <c r="E28" t="s">
        <v>811</v>
      </c>
      <c r="F28" s="1">
        <f>VLOOKUP(A28,'2111'!A:I,8,0)</f>
        <v>5000</v>
      </c>
      <c r="G28">
        <v>5000</v>
      </c>
      <c r="H28" s="1">
        <f t="shared" si="0"/>
        <v>2500000</v>
      </c>
    </row>
    <row r="29" spans="1:8" x14ac:dyDescent="0.3">
      <c r="A29" t="s">
        <v>56</v>
      </c>
      <c r="B29" t="s">
        <v>507</v>
      </c>
      <c r="C29">
        <v>20</v>
      </c>
      <c r="D29" s="6">
        <v>45618</v>
      </c>
      <c r="E29" t="s">
        <v>792</v>
      </c>
      <c r="F29" s="1">
        <f>VLOOKUP(E29,'[2]SỔ CHI TIẾT MUA HÀNG'!$I:$K,3,0)</f>
        <v>3000</v>
      </c>
      <c r="G29">
        <v>3000</v>
      </c>
      <c r="H29" s="1">
        <f t="shared" si="0"/>
        <v>60000</v>
      </c>
    </row>
    <row r="30" spans="1:8" x14ac:dyDescent="0.3">
      <c r="A30" t="s">
        <v>28</v>
      </c>
      <c r="B30" t="s">
        <v>507</v>
      </c>
      <c r="C30">
        <v>15</v>
      </c>
      <c r="D30" s="6">
        <v>45618</v>
      </c>
      <c r="E30" t="s">
        <v>785</v>
      </c>
      <c r="F30" s="1">
        <f>VLOOKUP(A30,'2111'!A:I,8,0)</f>
        <v>33000</v>
      </c>
      <c r="G30">
        <v>33000</v>
      </c>
      <c r="H30" s="1">
        <f t="shared" si="0"/>
        <v>495000</v>
      </c>
    </row>
    <row r="31" spans="1:8" x14ac:dyDescent="0.3">
      <c r="A31" t="s">
        <v>28</v>
      </c>
      <c r="B31" t="s">
        <v>27</v>
      </c>
      <c r="C31">
        <v>80</v>
      </c>
      <c r="D31" s="6">
        <v>45618</v>
      </c>
      <c r="E31" t="s">
        <v>786</v>
      </c>
      <c r="F31" s="1">
        <f>F30/5</f>
        <v>6600</v>
      </c>
      <c r="G31">
        <v>6600</v>
      </c>
      <c r="H31" s="1">
        <f t="shared" si="0"/>
        <v>528000</v>
      </c>
    </row>
    <row r="32" spans="1:8" x14ac:dyDescent="0.3">
      <c r="A32" t="s">
        <v>72</v>
      </c>
      <c r="B32" t="s">
        <v>48</v>
      </c>
      <c r="C32">
        <v>15</v>
      </c>
      <c r="D32" s="6">
        <v>45618</v>
      </c>
      <c r="E32" t="s">
        <v>820</v>
      </c>
      <c r="F32" s="1">
        <f>VLOOKUP(A32,'2111'!A:I,8,0)</f>
        <v>100000</v>
      </c>
      <c r="G32">
        <v>100000</v>
      </c>
      <c r="H32" s="1">
        <f t="shared" si="0"/>
        <v>1500000</v>
      </c>
    </row>
    <row r="33" spans="1:8" x14ac:dyDescent="0.3">
      <c r="A33" t="s">
        <v>73</v>
      </c>
      <c r="B33" t="s">
        <v>85</v>
      </c>
      <c r="C33">
        <v>30</v>
      </c>
      <c r="D33" s="6">
        <v>45618</v>
      </c>
      <c r="E33" t="s">
        <v>807</v>
      </c>
      <c r="F33" s="1">
        <f>VLOOKUP(A33,'2111'!A:I,8,0)*0.3</f>
        <v>7800</v>
      </c>
      <c r="G33">
        <v>7800</v>
      </c>
      <c r="H33" s="1">
        <f t="shared" si="0"/>
        <v>234000</v>
      </c>
    </row>
    <row r="34" spans="1:8" x14ac:dyDescent="0.3">
      <c r="A34" t="s">
        <v>100</v>
      </c>
      <c r="B34" t="s">
        <v>22</v>
      </c>
      <c r="C34">
        <v>10</v>
      </c>
      <c r="D34" s="6">
        <v>45618</v>
      </c>
      <c r="E34" t="s">
        <v>821</v>
      </c>
      <c r="F34" s="1">
        <f>VLOOKUP(A34,'2111'!A:I,8,0)/20</f>
        <v>5000</v>
      </c>
      <c r="G34">
        <v>5000</v>
      </c>
      <c r="H34" s="1">
        <f t="shared" si="0"/>
        <v>50000</v>
      </c>
    </row>
    <row r="35" spans="1:8" x14ac:dyDescent="0.3">
      <c r="A35" t="s">
        <v>30</v>
      </c>
      <c r="B35" t="s">
        <v>507</v>
      </c>
      <c r="C35">
        <v>10</v>
      </c>
      <c r="D35" s="6">
        <v>45618</v>
      </c>
      <c r="E35" t="s">
        <v>822</v>
      </c>
      <c r="F35" s="1">
        <f>VLOOKUP(E35,'[2]SỔ CHI TIẾT MUA HÀNG'!$I:$K,3,0)</f>
        <v>14000</v>
      </c>
      <c r="G35">
        <v>14000</v>
      </c>
      <c r="H35" s="1">
        <f t="shared" si="0"/>
        <v>140000</v>
      </c>
    </row>
    <row r="36" spans="1:8" x14ac:dyDescent="0.3">
      <c r="A36" t="s">
        <v>32</v>
      </c>
      <c r="B36" t="s">
        <v>507</v>
      </c>
      <c r="C36">
        <v>20</v>
      </c>
      <c r="D36" s="6">
        <v>45618</v>
      </c>
      <c r="E36" t="s">
        <v>796</v>
      </c>
      <c r="F36" s="1">
        <f>VLOOKUP(E36,'[2]SỔ CHI TIẾT MUA HÀNG'!$I:$K,3,0)</f>
        <v>63000</v>
      </c>
      <c r="G36">
        <v>63000</v>
      </c>
      <c r="H36" s="1">
        <f t="shared" si="0"/>
        <v>1260000</v>
      </c>
    </row>
    <row r="37" spans="1:8" x14ac:dyDescent="0.3">
      <c r="A37" t="s">
        <v>57</v>
      </c>
      <c r="B37" t="s">
        <v>507</v>
      </c>
      <c r="C37">
        <v>30</v>
      </c>
      <c r="D37" s="6">
        <v>45618</v>
      </c>
      <c r="E37" t="s">
        <v>787</v>
      </c>
      <c r="F37" s="1">
        <f>VLOOKUP(E37,'[2]SỔ CHI TIẾT MUA HÀNG'!$I:$K,3,0)</f>
        <v>44000</v>
      </c>
      <c r="G37">
        <v>44000</v>
      </c>
      <c r="H37" s="1">
        <f t="shared" si="0"/>
        <v>1320000</v>
      </c>
    </row>
    <row r="38" spans="1:8" x14ac:dyDescent="0.3">
      <c r="A38" t="s">
        <v>58</v>
      </c>
      <c r="B38" t="s">
        <v>59</v>
      </c>
      <c r="C38">
        <v>200</v>
      </c>
      <c r="D38" s="6">
        <v>45618</v>
      </c>
      <c r="E38" t="s">
        <v>812</v>
      </c>
      <c r="F38" s="1">
        <f>VLOOKUP(A38,'2111'!A:I,8,0)/4</f>
        <v>8750</v>
      </c>
      <c r="G38">
        <v>8750</v>
      </c>
      <c r="H38" s="1">
        <f t="shared" si="0"/>
        <v>1750000</v>
      </c>
    </row>
    <row r="39" spans="1:8" x14ac:dyDescent="0.3">
      <c r="A39" t="s">
        <v>61</v>
      </c>
      <c r="B39" t="s">
        <v>59</v>
      </c>
      <c r="C39">
        <v>160</v>
      </c>
      <c r="D39" s="6">
        <v>45618</v>
      </c>
      <c r="E39" t="s">
        <v>802</v>
      </c>
      <c r="F39" s="1">
        <f>VLOOKUP(A39,'2111'!A:I,8,0)/4</f>
        <v>4500</v>
      </c>
      <c r="G39">
        <v>4500</v>
      </c>
      <c r="H39" s="1">
        <f t="shared" si="0"/>
        <v>720000</v>
      </c>
    </row>
    <row r="40" spans="1:8" x14ac:dyDescent="0.3">
      <c r="A40" t="s">
        <v>62</v>
      </c>
      <c r="B40" t="s">
        <v>59</v>
      </c>
      <c r="C40">
        <v>80</v>
      </c>
      <c r="D40" s="6">
        <v>45618</v>
      </c>
      <c r="E40" t="s">
        <v>803</v>
      </c>
      <c r="F40" s="1">
        <f>VLOOKUP(A40,'2111'!A:I,8,0)/4</f>
        <v>7000</v>
      </c>
      <c r="G40">
        <v>7000</v>
      </c>
      <c r="H40" s="1">
        <f t="shared" si="0"/>
        <v>560000</v>
      </c>
    </row>
    <row r="41" spans="1:8" x14ac:dyDescent="0.3">
      <c r="A41" t="s">
        <v>97</v>
      </c>
      <c r="B41" t="s">
        <v>22</v>
      </c>
      <c r="C41">
        <v>220</v>
      </c>
      <c r="D41" s="6">
        <v>45618</v>
      </c>
      <c r="E41" t="s">
        <v>791</v>
      </c>
      <c r="F41" s="1">
        <v>22000</v>
      </c>
      <c r="G41">
        <v>22000</v>
      </c>
      <c r="H41" s="1">
        <f t="shared" si="0"/>
        <v>4840000</v>
      </c>
    </row>
    <row r="42" spans="1:8" x14ac:dyDescent="0.3">
      <c r="A42" t="s">
        <v>33</v>
      </c>
      <c r="B42" t="s">
        <v>507</v>
      </c>
      <c r="C42">
        <v>6</v>
      </c>
      <c r="D42" s="6">
        <v>45618</v>
      </c>
      <c r="E42" t="s">
        <v>799</v>
      </c>
      <c r="F42" s="1">
        <f>VLOOKUP(E42,'[2]SỔ CHI TIẾT MUA HÀNG'!$I:$K,3,0)</f>
        <v>35000</v>
      </c>
      <c r="G42">
        <v>35000</v>
      </c>
      <c r="H42" s="1">
        <f t="shared" si="0"/>
        <v>210000</v>
      </c>
    </row>
    <row r="43" spans="1:8" x14ac:dyDescent="0.3">
      <c r="A43" t="s">
        <v>35</v>
      </c>
      <c r="B43" t="s">
        <v>507</v>
      </c>
      <c r="C43">
        <v>35</v>
      </c>
      <c r="D43" s="6">
        <v>45618</v>
      </c>
      <c r="E43" t="s">
        <v>809</v>
      </c>
      <c r="F43" s="1">
        <f>VLOOKUP(A43,'2111'!A:I,8,0)</f>
        <v>28000</v>
      </c>
      <c r="G43">
        <v>28000</v>
      </c>
      <c r="H43" s="1">
        <f t="shared" si="0"/>
        <v>980000</v>
      </c>
    </row>
    <row r="44" spans="1:8" x14ac:dyDescent="0.3">
      <c r="A44" t="s">
        <v>36</v>
      </c>
      <c r="B44" t="s">
        <v>27</v>
      </c>
      <c r="C44">
        <v>120</v>
      </c>
      <c r="D44" s="6">
        <v>45618</v>
      </c>
      <c r="E44" t="s">
        <v>823</v>
      </c>
      <c r="F44" s="1">
        <f>VLOOKUP(A44,'2111'!A:I,8,0)</f>
        <v>6800</v>
      </c>
      <c r="G44">
        <v>6800</v>
      </c>
      <c r="H44" s="1">
        <f t="shared" si="0"/>
        <v>816000</v>
      </c>
    </row>
    <row r="45" spans="1:8" x14ac:dyDescent="0.3">
      <c r="A45" t="s">
        <v>40</v>
      </c>
      <c r="B45" t="s">
        <v>507</v>
      </c>
      <c r="C45">
        <v>60</v>
      </c>
      <c r="D45" s="6">
        <v>45618</v>
      </c>
      <c r="E45" t="s">
        <v>779</v>
      </c>
      <c r="F45" s="1">
        <f>VLOOKUP(A45,'2111'!A:I,8,0)</f>
        <v>28000</v>
      </c>
      <c r="G45">
        <v>28000</v>
      </c>
      <c r="H45" s="1">
        <f t="shared" si="0"/>
        <v>1680000</v>
      </c>
    </row>
    <row r="46" spans="1:8" x14ac:dyDescent="0.3">
      <c r="A46" t="s">
        <v>37</v>
      </c>
      <c r="B46" t="s">
        <v>507</v>
      </c>
      <c r="C46">
        <v>10</v>
      </c>
      <c r="D46" s="6">
        <v>45618</v>
      </c>
      <c r="E46" t="s">
        <v>814</v>
      </c>
      <c r="F46" s="1">
        <f>VLOOKUP(E46,'[2]SỔ CHI TIẾT MUA HÀNG'!$I:$K,3,0)</f>
        <v>28000</v>
      </c>
      <c r="G46">
        <v>28000</v>
      </c>
      <c r="H46" s="1">
        <f t="shared" si="0"/>
        <v>280000</v>
      </c>
    </row>
    <row r="47" spans="1:8" x14ac:dyDescent="0.3">
      <c r="A47" t="s">
        <v>38</v>
      </c>
      <c r="B47" t="s">
        <v>27</v>
      </c>
      <c r="C47">
        <v>10</v>
      </c>
      <c r="D47" s="6">
        <v>45618</v>
      </c>
      <c r="E47" t="s">
        <v>824</v>
      </c>
      <c r="F47" s="1">
        <f>VLOOKUP(E47,'[2]SỔ CHI TIẾT MUA HÀNG'!$I:$K,3,0)</f>
        <v>6800</v>
      </c>
      <c r="G47">
        <v>6800</v>
      </c>
      <c r="H47" s="1">
        <f t="shared" si="0"/>
        <v>68000</v>
      </c>
    </row>
    <row r="48" spans="1:8" x14ac:dyDescent="0.3">
      <c r="A48" t="s">
        <v>39</v>
      </c>
      <c r="B48" t="s">
        <v>507</v>
      </c>
      <c r="C48">
        <v>20</v>
      </c>
      <c r="D48" s="6">
        <v>45618</v>
      </c>
      <c r="E48" t="s">
        <v>825</v>
      </c>
      <c r="F48" s="1">
        <f>VLOOKUP(E48,'[2]SỔ CHI TIẾT MUA HÀNG'!$I:$K,3,0)</f>
        <v>33000</v>
      </c>
      <c r="G48">
        <v>33000</v>
      </c>
      <c r="H48" s="1">
        <f t="shared" si="0"/>
        <v>660000</v>
      </c>
    </row>
    <row r="49" spans="1:8" x14ac:dyDescent="0.3">
      <c r="A49" t="s">
        <v>82</v>
      </c>
      <c r="B49" t="s">
        <v>22</v>
      </c>
      <c r="C49">
        <v>6</v>
      </c>
      <c r="D49" s="6">
        <v>45618</v>
      </c>
      <c r="E49" t="s">
        <v>826</v>
      </c>
      <c r="F49" s="1">
        <f>120000/5</f>
        <v>24000</v>
      </c>
      <c r="G49">
        <v>24000</v>
      </c>
      <c r="H49" s="1">
        <f t="shared" si="0"/>
        <v>144000</v>
      </c>
    </row>
    <row r="50" spans="1:8" x14ac:dyDescent="0.3">
      <c r="A50" t="s">
        <v>83</v>
      </c>
      <c r="B50" t="s">
        <v>507</v>
      </c>
      <c r="C50">
        <v>5</v>
      </c>
      <c r="D50" s="6">
        <v>45618</v>
      </c>
      <c r="E50" t="s">
        <v>827</v>
      </c>
      <c r="F50" s="1">
        <f>VLOOKUP(E50,'[2]SỔ CHI TIẾT MUA HÀNG'!$I:$K,3,0)</f>
        <v>30000</v>
      </c>
      <c r="G50">
        <v>30000</v>
      </c>
      <c r="H50" s="1">
        <f t="shared" si="0"/>
        <v>150000</v>
      </c>
    </row>
  </sheetData>
  <autoFilter ref="A1:F50" xr:uid="{6E2E5C34-ED60-4A01-983F-94B8FB106CDC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DC31-3465-4947-B6CF-7B9ED998D027}">
  <dimension ref="A1:I48"/>
  <sheetViews>
    <sheetView workbookViewId="0">
      <selection activeCell="I1" sqref="I1"/>
    </sheetView>
  </sheetViews>
  <sheetFormatPr defaultRowHeight="14.4" x14ac:dyDescent="0.3"/>
  <cols>
    <col min="1" max="1" width="18.44140625" customWidth="1"/>
    <col min="2" max="2" width="35.5546875" hidden="1" customWidth="1"/>
    <col min="5" max="5" width="10.5546875" bestFit="1" customWidth="1"/>
    <col min="6" max="6" width="24.88671875" customWidth="1"/>
    <col min="7" max="8" width="10.33203125" style="1" bestFit="1" customWidth="1"/>
    <col min="9" max="9" width="13.77734375" customWidth="1"/>
  </cols>
  <sheetData>
    <row r="1" spans="1:9" x14ac:dyDescent="0.3">
      <c r="I1" s="2">
        <f>SUM(I2:I48)</f>
        <v>43308150</v>
      </c>
    </row>
    <row r="2" spans="1:9" x14ac:dyDescent="0.3">
      <c r="A2" t="s">
        <v>79</v>
      </c>
      <c r="B2" t="s">
        <v>976</v>
      </c>
      <c r="C2" t="s">
        <v>507</v>
      </c>
      <c r="D2">
        <v>20</v>
      </c>
      <c r="E2" s="6">
        <v>45617</v>
      </c>
      <c r="F2" t="s">
        <v>775</v>
      </c>
      <c r="G2" s="1">
        <v>12000</v>
      </c>
      <c r="H2" s="1">
        <v>12000</v>
      </c>
      <c r="I2" s="2">
        <f>D2*H2</f>
        <v>240000</v>
      </c>
    </row>
    <row r="3" spans="1:9" x14ac:dyDescent="0.3">
      <c r="A3" t="s">
        <v>88</v>
      </c>
      <c r="B3" t="s">
        <v>977</v>
      </c>
      <c r="C3" t="s">
        <v>507</v>
      </c>
      <c r="D3">
        <v>40</v>
      </c>
      <c r="E3" s="6">
        <v>45617</v>
      </c>
      <c r="F3" t="s">
        <v>749</v>
      </c>
      <c r="G3" s="1">
        <v>5000</v>
      </c>
      <c r="H3" s="1">
        <v>5000</v>
      </c>
      <c r="I3" s="2">
        <f t="shared" ref="I3:I48" si="0">D3*H3</f>
        <v>200000</v>
      </c>
    </row>
    <row r="4" spans="1:9" x14ac:dyDescent="0.3">
      <c r="A4" t="s">
        <v>41</v>
      </c>
      <c r="B4" t="s">
        <v>999</v>
      </c>
      <c r="C4" t="s">
        <v>42</v>
      </c>
      <c r="D4">
        <v>350</v>
      </c>
      <c r="E4" s="6">
        <v>45617</v>
      </c>
      <c r="F4" t="s">
        <v>735</v>
      </c>
      <c r="G4" s="1">
        <f>VLOOKUP(B4,[2]Sheet1!$K:$N,4,0)</f>
        <v>3000</v>
      </c>
      <c r="H4" s="1">
        <v>3000</v>
      </c>
      <c r="I4" s="2">
        <f t="shared" si="0"/>
        <v>1050000</v>
      </c>
    </row>
    <row r="5" spans="1:9" x14ac:dyDescent="0.3">
      <c r="A5" t="s">
        <v>43</v>
      </c>
      <c r="B5" t="s">
        <v>1000</v>
      </c>
      <c r="C5" t="s">
        <v>44</v>
      </c>
      <c r="D5">
        <v>136</v>
      </c>
      <c r="E5" s="6">
        <v>45617</v>
      </c>
      <c r="F5" t="s">
        <v>758</v>
      </c>
      <c r="G5" s="1">
        <f>VLOOKUP(B5,[2]Sheet1!$K:$N,4,0)</f>
        <v>3000</v>
      </c>
      <c r="H5" s="1">
        <v>3000</v>
      </c>
      <c r="I5" s="2">
        <f t="shared" si="0"/>
        <v>408000</v>
      </c>
    </row>
    <row r="6" spans="1:9" x14ac:dyDescent="0.3">
      <c r="A6" t="s">
        <v>17</v>
      </c>
      <c r="B6" t="s">
        <v>978</v>
      </c>
      <c r="C6" t="s">
        <v>507</v>
      </c>
      <c r="D6">
        <v>20</v>
      </c>
      <c r="E6" s="6">
        <v>45617</v>
      </c>
      <c r="F6" t="s">
        <v>776</v>
      </c>
      <c r="G6" s="1">
        <v>30000</v>
      </c>
      <c r="H6" s="1">
        <v>30000</v>
      </c>
      <c r="I6" s="2">
        <f t="shared" si="0"/>
        <v>600000</v>
      </c>
    </row>
    <row r="7" spans="1:9" x14ac:dyDescent="0.3">
      <c r="A7" t="s">
        <v>18</v>
      </c>
      <c r="C7" t="s">
        <v>507</v>
      </c>
      <c r="D7">
        <v>7</v>
      </c>
      <c r="E7" s="6">
        <v>45617</v>
      </c>
      <c r="F7" t="s">
        <v>738</v>
      </c>
      <c r="G7">
        <f>VLOOKUP(F7,'[2]SỔ CHI TIẾT MUA HÀNG'!$I:$K,3,0)</f>
        <v>56000</v>
      </c>
      <c r="H7">
        <v>56000</v>
      </c>
      <c r="I7" s="2">
        <f t="shared" si="0"/>
        <v>392000</v>
      </c>
    </row>
    <row r="8" spans="1:9" x14ac:dyDescent="0.3">
      <c r="A8" t="s">
        <v>18</v>
      </c>
      <c r="B8" t="s">
        <v>979</v>
      </c>
      <c r="C8" t="s">
        <v>9</v>
      </c>
      <c r="D8">
        <v>12</v>
      </c>
      <c r="E8" s="6">
        <v>45617</v>
      </c>
      <c r="F8" t="s">
        <v>739</v>
      </c>
      <c r="G8" s="1">
        <f>VLOOKUP(B8,[2]Sheet1!$K:$N,4,0)</f>
        <v>11200</v>
      </c>
      <c r="H8" s="1">
        <v>11200</v>
      </c>
      <c r="I8" s="2">
        <f t="shared" si="0"/>
        <v>134400</v>
      </c>
    </row>
    <row r="9" spans="1:9" x14ac:dyDescent="0.3">
      <c r="A9" t="s">
        <v>45</v>
      </c>
      <c r="C9" t="s">
        <v>507</v>
      </c>
      <c r="D9">
        <v>190</v>
      </c>
      <c r="E9" s="6">
        <v>45617</v>
      </c>
      <c r="F9" t="s">
        <v>732</v>
      </c>
      <c r="G9">
        <f>VLOOKUP(F9,'[2]SỔ CHI TIẾT MUA HÀNG'!$I:$K,3,0)</f>
        <v>19000</v>
      </c>
      <c r="H9">
        <v>19000</v>
      </c>
      <c r="I9" s="2">
        <f t="shared" si="0"/>
        <v>3610000</v>
      </c>
    </row>
    <row r="10" spans="1:9" x14ac:dyDescent="0.3">
      <c r="A10" t="s">
        <v>47</v>
      </c>
      <c r="B10" t="s">
        <v>980</v>
      </c>
      <c r="C10" t="s">
        <v>48</v>
      </c>
      <c r="D10">
        <v>65</v>
      </c>
      <c r="E10" s="6">
        <v>45617</v>
      </c>
      <c r="F10" t="s">
        <v>756</v>
      </c>
      <c r="G10" s="1">
        <f>'1911'!F16</f>
        <v>15450</v>
      </c>
      <c r="H10" s="1">
        <v>15450</v>
      </c>
      <c r="I10" s="2">
        <f t="shared" si="0"/>
        <v>1004250</v>
      </c>
    </row>
    <row r="11" spans="1:9" x14ac:dyDescent="0.3">
      <c r="A11" t="s">
        <v>49</v>
      </c>
      <c r="B11" t="s">
        <v>981</v>
      </c>
      <c r="C11" t="s">
        <v>106</v>
      </c>
      <c r="D11">
        <v>95</v>
      </c>
      <c r="E11" s="6">
        <v>45617</v>
      </c>
      <c r="F11" t="s">
        <v>757</v>
      </c>
      <c r="G11" s="1">
        <v>15000</v>
      </c>
      <c r="H11" s="1">
        <v>15000</v>
      </c>
      <c r="I11" s="2">
        <f t="shared" si="0"/>
        <v>1425000</v>
      </c>
    </row>
    <row r="12" spans="1:9" x14ac:dyDescent="0.3">
      <c r="A12" t="s">
        <v>50</v>
      </c>
      <c r="C12" t="s">
        <v>507</v>
      </c>
      <c r="D12">
        <v>25</v>
      </c>
      <c r="E12" s="6">
        <v>45617</v>
      </c>
      <c r="F12" t="s">
        <v>733</v>
      </c>
      <c r="G12">
        <f>VLOOKUP(F12,'[2]SỔ CHI TIẾT MUA HÀNG'!$I:$K,3,0)</f>
        <v>17000</v>
      </c>
      <c r="H12">
        <v>17000</v>
      </c>
      <c r="I12" s="2">
        <f t="shared" si="0"/>
        <v>425000</v>
      </c>
    </row>
    <row r="13" spans="1:9" x14ac:dyDescent="0.3">
      <c r="A13" t="s">
        <v>6</v>
      </c>
      <c r="C13" t="s">
        <v>507</v>
      </c>
      <c r="D13">
        <v>24</v>
      </c>
      <c r="E13" s="6">
        <v>45617</v>
      </c>
      <c r="F13" t="s">
        <v>760</v>
      </c>
      <c r="G13">
        <f>VLOOKUP(F13,'[2]SỔ CHI TIẾT MUA HÀNG'!$I:$K,3,0)</f>
        <v>15000</v>
      </c>
      <c r="H13">
        <v>15000</v>
      </c>
      <c r="I13" s="2">
        <f t="shared" si="0"/>
        <v>360000</v>
      </c>
    </row>
    <row r="14" spans="1:9" x14ac:dyDescent="0.3">
      <c r="A14" t="s">
        <v>8</v>
      </c>
      <c r="B14" t="s">
        <v>982</v>
      </c>
      <c r="C14" t="s">
        <v>9</v>
      </c>
      <c r="D14">
        <v>60</v>
      </c>
      <c r="E14" s="6">
        <v>45617</v>
      </c>
      <c r="F14" t="s">
        <v>770</v>
      </c>
      <c r="G14" s="1">
        <f>VLOOKUP(B14,[2]Sheet1!$K:$N,4,0)</f>
        <v>9600</v>
      </c>
      <c r="H14" s="1">
        <v>9600</v>
      </c>
      <c r="I14" s="2">
        <f t="shared" si="0"/>
        <v>576000</v>
      </c>
    </row>
    <row r="15" spans="1:9" x14ac:dyDescent="0.3">
      <c r="A15" t="s">
        <v>23</v>
      </c>
      <c r="B15" t="s">
        <v>983</v>
      </c>
      <c r="C15" t="s">
        <v>22</v>
      </c>
      <c r="D15">
        <v>150</v>
      </c>
      <c r="E15" s="6">
        <v>45617</v>
      </c>
      <c r="F15" t="s">
        <v>740</v>
      </c>
      <c r="G15" s="1">
        <f>VLOOKUP(B15,[2]Sheet1!$K:$N,4,0)</f>
        <v>8700</v>
      </c>
      <c r="H15" s="1">
        <v>8700</v>
      </c>
      <c r="I15" s="2">
        <f t="shared" si="0"/>
        <v>1305000</v>
      </c>
    </row>
    <row r="16" spans="1:9" x14ac:dyDescent="0.3">
      <c r="A16" t="s">
        <v>23</v>
      </c>
      <c r="B16" t="s">
        <v>740</v>
      </c>
      <c r="C16" t="s">
        <v>24</v>
      </c>
      <c r="D16">
        <v>6</v>
      </c>
      <c r="E16" s="6">
        <v>45617</v>
      </c>
      <c r="F16" t="s">
        <v>741</v>
      </c>
      <c r="G16" s="1">
        <f>G15/2</f>
        <v>4350</v>
      </c>
      <c r="H16" s="1">
        <v>4350</v>
      </c>
      <c r="I16" s="2">
        <f t="shared" si="0"/>
        <v>26100</v>
      </c>
    </row>
    <row r="17" spans="1:9" x14ac:dyDescent="0.3">
      <c r="A17" t="s">
        <v>26</v>
      </c>
      <c r="B17" t="s">
        <v>984</v>
      </c>
      <c r="C17" t="s">
        <v>27</v>
      </c>
      <c r="D17">
        <v>200</v>
      </c>
      <c r="E17" s="6">
        <v>45617</v>
      </c>
      <c r="F17" t="s">
        <v>734</v>
      </c>
      <c r="G17" s="1">
        <f>VLOOKUP(B17,[2]Sheet1!$K:$N,4,0)</f>
        <v>10000</v>
      </c>
      <c r="H17" s="1">
        <v>10000</v>
      </c>
      <c r="I17" s="2">
        <f t="shared" si="0"/>
        <v>2000000</v>
      </c>
    </row>
    <row r="18" spans="1:9" x14ac:dyDescent="0.3">
      <c r="A18" t="s">
        <v>51</v>
      </c>
      <c r="B18" t="s">
        <v>985</v>
      </c>
      <c r="C18" t="s">
        <v>9</v>
      </c>
      <c r="D18">
        <v>48</v>
      </c>
      <c r="E18" s="6">
        <v>45617</v>
      </c>
      <c r="F18" t="s">
        <v>771</v>
      </c>
      <c r="G18" s="1">
        <f>VLOOKUP(B18,[2]Sheet1!$K:$N,4,0)</f>
        <v>6500</v>
      </c>
      <c r="H18" s="1">
        <v>6500</v>
      </c>
      <c r="I18" s="2">
        <f t="shared" si="0"/>
        <v>312000</v>
      </c>
    </row>
    <row r="19" spans="1:9" x14ac:dyDescent="0.3">
      <c r="A19" t="s">
        <v>10</v>
      </c>
      <c r="C19" t="s">
        <v>507</v>
      </c>
      <c r="D19">
        <v>15</v>
      </c>
      <c r="E19" s="6">
        <v>45617</v>
      </c>
      <c r="F19" t="s">
        <v>772</v>
      </c>
      <c r="G19">
        <f>VLOOKUP(F19,'[2]SỔ CHI TIẾT MUA HÀNG'!$I:$K,3,0)</f>
        <v>6000</v>
      </c>
      <c r="H19">
        <v>6000</v>
      </c>
      <c r="I19" s="2">
        <f t="shared" si="0"/>
        <v>90000</v>
      </c>
    </row>
    <row r="20" spans="1:9" x14ac:dyDescent="0.3">
      <c r="A20" t="s">
        <v>12</v>
      </c>
      <c r="B20" t="s">
        <v>986</v>
      </c>
      <c r="C20" t="s">
        <v>507</v>
      </c>
      <c r="D20">
        <v>120</v>
      </c>
      <c r="E20" s="6">
        <v>45617</v>
      </c>
      <c r="F20" t="s">
        <v>747</v>
      </c>
      <c r="G20" s="1">
        <v>21000</v>
      </c>
      <c r="H20" s="1">
        <v>21000</v>
      </c>
      <c r="I20" s="2">
        <f t="shared" si="0"/>
        <v>2520000</v>
      </c>
    </row>
    <row r="21" spans="1:9" x14ac:dyDescent="0.3">
      <c r="A21" t="s">
        <v>13</v>
      </c>
      <c r="B21" t="s">
        <v>987</v>
      </c>
      <c r="C21" t="s">
        <v>507</v>
      </c>
      <c r="D21">
        <v>100</v>
      </c>
      <c r="E21" s="6">
        <v>45617</v>
      </c>
      <c r="F21" t="s">
        <v>751</v>
      </c>
      <c r="G21" s="1">
        <v>26000</v>
      </c>
      <c r="H21" s="1">
        <v>26000</v>
      </c>
      <c r="I21" s="2">
        <f t="shared" si="0"/>
        <v>2600000</v>
      </c>
    </row>
    <row r="22" spans="1:9" x14ac:dyDescent="0.3">
      <c r="A22" t="s">
        <v>14</v>
      </c>
      <c r="C22" t="s">
        <v>507</v>
      </c>
      <c r="D22">
        <v>55</v>
      </c>
      <c r="E22" s="6">
        <v>45617</v>
      </c>
      <c r="F22" t="s">
        <v>748</v>
      </c>
      <c r="G22">
        <f>VLOOKUP(F22,'[2]SỔ CHI TIẾT MUA HÀNG'!$I:$K,3,0)</f>
        <v>17000</v>
      </c>
      <c r="H22">
        <v>17000</v>
      </c>
      <c r="I22" s="2">
        <f t="shared" si="0"/>
        <v>935000</v>
      </c>
    </row>
    <row r="23" spans="1:9" x14ac:dyDescent="0.3">
      <c r="A23" t="s">
        <v>53</v>
      </c>
      <c r="B23" t="s">
        <v>988</v>
      </c>
      <c r="C23" t="s">
        <v>9</v>
      </c>
      <c r="D23">
        <v>200</v>
      </c>
      <c r="E23" s="6">
        <v>45617</v>
      </c>
      <c r="F23" t="s">
        <v>767</v>
      </c>
      <c r="G23" s="1">
        <v>5000</v>
      </c>
      <c r="H23" s="1">
        <v>5000</v>
      </c>
      <c r="I23" s="2">
        <f t="shared" si="0"/>
        <v>1000000</v>
      </c>
    </row>
    <row r="24" spans="1:9" x14ac:dyDescent="0.3">
      <c r="A24" t="s">
        <v>56</v>
      </c>
      <c r="B24" t="s">
        <v>989</v>
      </c>
      <c r="C24" t="s">
        <v>507</v>
      </c>
      <c r="D24">
        <v>60</v>
      </c>
      <c r="E24" s="6">
        <v>45617</v>
      </c>
      <c r="F24" t="s">
        <v>759</v>
      </c>
      <c r="G24" s="1">
        <v>3000</v>
      </c>
      <c r="H24" s="1">
        <v>3000</v>
      </c>
      <c r="I24" s="2">
        <f t="shared" si="0"/>
        <v>180000</v>
      </c>
    </row>
    <row r="25" spans="1:9" x14ac:dyDescent="0.3">
      <c r="A25" t="s">
        <v>28</v>
      </c>
      <c r="B25" t="s">
        <v>990</v>
      </c>
      <c r="C25" t="s">
        <v>507</v>
      </c>
      <c r="D25">
        <v>10</v>
      </c>
      <c r="E25" s="6">
        <v>45617</v>
      </c>
      <c r="F25" t="s">
        <v>736</v>
      </c>
      <c r="G25" s="1">
        <v>33000</v>
      </c>
      <c r="H25" s="1">
        <v>33000</v>
      </c>
      <c r="I25" s="2">
        <f t="shared" si="0"/>
        <v>330000</v>
      </c>
    </row>
    <row r="26" spans="1:9" x14ac:dyDescent="0.3">
      <c r="A26" t="s">
        <v>28</v>
      </c>
      <c r="B26" t="s">
        <v>990</v>
      </c>
      <c r="C26" t="s">
        <v>27</v>
      </c>
      <c r="D26">
        <v>120</v>
      </c>
      <c r="E26" s="6">
        <v>45617</v>
      </c>
      <c r="F26" t="s">
        <v>737</v>
      </c>
      <c r="G26" s="1">
        <f>33000/5</f>
        <v>6600</v>
      </c>
      <c r="H26" s="1">
        <v>6600</v>
      </c>
      <c r="I26" s="2">
        <f t="shared" si="0"/>
        <v>792000</v>
      </c>
    </row>
    <row r="27" spans="1:9" x14ac:dyDescent="0.3">
      <c r="A27" t="s">
        <v>72</v>
      </c>
      <c r="B27" t="s">
        <v>991</v>
      </c>
      <c r="C27" t="s">
        <v>48</v>
      </c>
      <c r="D27">
        <v>39</v>
      </c>
      <c r="E27" s="6">
        <v>45617</v>
      </c>
      <c r="F27" t="s">
        <v>746</v>
      </c>
      <c r="G27" s="1">
        <v>100000</v>
      </c>
      <c r="H27" s="1">
        <v>100000</v>
      </c>
      <c r="I27" s="2">
        <f t="shared" si="0"/>
        <v>3900000</v>
      </c>
    </row>
    <row r="28" spans="1:9" x14ac:dyDescent="0.3">
      <c r="A28" t="s">
        <v>73</v>
      </c>
      <c r="C28" t="s">
        <v>507</v>
      </c>
      <c r="D28">
        <v>10</v>
      </c>
      <c r="E28" s="6">
        <v>45617</v>
      </c>
      <c r="F28" t="s">
        <v>765</v>
      </c>
      <c r="G28">
        <f>VLOOKUP(F28,'[2]SỔ CHI TIẾT MUA HÀNG'!$I:$K,3,0)</f>
        <v>26000</v>
      </c>
      <c r="H28">
        <v>26000</v>
      </c>
      <c r="I28" s="2">
        <f t="shared" si="0"/>
        <v>260000</v>
      </c>
    </row>
    <row r="29" spans="1:9" x14ac:dyDescent="0.3">
      <c r="A29" t="s">
        <v>100</v>
      </c>
      <c r="C29" t="s">
        <v>507</v>
      </c>
      <c r="D29">
        <v>1</v>
      </c>
      <c r="E29" s="6">
        <v>45617</v>
      </c>
      <c r="F29" t="s">
        <v>773</v>
      </c>
      <c r="G29">
        <f>VLOOKUP(F29,'[2]SỔ CHI TIẾT MUA HÀNG'!$I:$K,3,0)</f>
        <v>100000</v>
      </c>
      <c r="H29">
        <v>100000</v>
      </c>
      <c r="I29" s="2">
        <f t="shared" si="0"/>
        <v>100000</v>
      </c>
    </row>
    <row r="30" spans="1:9" x14ac:dyDescent="0.3">
      <c r="A30" t="s">
        <v>29</v>
      </c>
      <c r="B30" t="s">
        <v>992</v>
      </c>
      <c r="C30" t="s">
        <v>22</v>
      </c>
      <c r="D30">
        <v>290</v>
      </c>
      <c r="E30" s="6">
        <v>45617</v>
      </c>
      <c r="F30" t="s">
        <v>745</v>
      </c>
      <c r="G30" s="1">
        <v>2000</v>
      </c>
      <c r="H30" s="1">
        <v>2000</v>
      </c>
      <c r="I30" s="2">
        <f t="shared" si="0"/>
        <v>580000</v>
      </c>
    </row>
    <row r="31" spans="1:9" x14ac:dyDescent="0.3">
      <c r="A31" t="s">
        <v>30</v>
      </c>
      <c r="C31" t="s">
        <v>507</v>
      </c>
      <c r="D31">
        <v>2</v>
      </c>
      <c r="E31" s="6">
        <v>45617</v>
      </c>
      <c r="F31" t="s">
        <v>768</v>
      </c>
      <c r="G31">
        <f>VLOOKUP(F31,'[2]SỔ CHI TIẾT MUA HÀNG'!$I:$K,3,0)</f>
        <v>14000</v>
      </c>
      <c r="H31">
        <v>14000</v>
      </c>
      <c r="I31" s="2">
        <f t="shared" si="0"/>
        <v>28000</v>
      </c>
    </row>
    <row r="32" spans="1:9" x14ac:dyDescent="0.3">
      <c r="A32" t="s">
        <v>31</v>
      </c>
      <c r="B32" t="s">
        <v>993</v>
      </c>
      <c r="C32" t="s">
        <v>507</v>
      </c>
      <c r="D32">
        <v>3</v>
      </c>
      <c r="E32" s="6">
        <v>45617</v>
      </c>
      <c r="F32" t="s">
        <v>763</v>
      </c>
      <c r="G32" s="1">
        <v>32000</v>
      </c>
      <c r="H32" s="1">
        <v>32000</v>
      </c>
      <c r="I32" s="2">
        <f t="shared" si="0"/>
        <v>96000</v>
      </c>
    </row>
    <row r="33" spans="1:9" x14ac:dyDescent="0.3">
      <c r="A33" t="s">
        <v>32</v>
      </c>
      <c r="C33" t="s">
        <v>507</v>
      </c>
      <c r="D33">
        <v>40</v>
      </c>
      <c r="E33" s="6">
        <v>45617</v>
      </c>
      <c r="F33" t="s">
        <v>752</v>
      </c>
      <c r="G33">
        <f>VLOOKUP(F33,'[2]SỔ CHI TIẾT MUA HÀNG'!$I:$K,3,0)</f>
        <v>62000</v>
      </c>
      <c r="H33">
        <v>62000</v>
      </c>
      <c r="I33" s="2">
        <f t="shared" si="0"/>
        <v>2480000</v>
      </c>
    </row>
    <row r="34" spans="1:9" x14ac:dyDescent="0.3">
      <c r="A34" t="s">
        <v>57</v>
      </c>
      <c r="B34" t="s">
        <v>994</v>
      </c>
      <c r="C34" t="s">
        <v>507</v>
      </c>
      <c r="D34">
        <v>34</v>
      </c>
      <c r="E34" s="6">
        <v>45617</v>
      </c>
      <c r="F34" t="s">
        <v>755</v>
      </c>
      <c r="G34" s="1">
        <v>44000</v>
      </c>
      <c r="H34" s="1">
        <v>44000</v>
      </c>
      <c r="I34" s="2">
        <f t="shared" si="0"/>
        <v>1496000</v>
      </c>
    </row>
    <row r="35" spans="1:9" x14ac:dyDescent="0.3">
      <c r="A35" t="s">
        <v>58</v>
      </c>
      <c r="C35" t="s">
        <v>507</v>
      </c>
      <c r="D35">
        <v>25</v>
      </c>
      <c r="E35" s="6">
        <v>45617</v>
      </c>
      <c r="F35" t="s">
        <v>769</v>
      </c>
      <c r="G35">
        <f>VLOOKUP(F35,'[2]SỔ CHI TIẾT MUA HÀNG'!$I:$K,3,0)</f>
        <v>35000</v>
      </c>
      <c r="H35">
        <v>35000</v>
      </c>
      <c r="I35" s="2">
        <f t="shared" si="0"/>
        <v>875000</v>
      </c>
    </row>
    <row r="36" spans="1:9" x14ac:dyDescent="0.3">
      <c r="A36" t="s">
        <v>60</v>
      </c>
      <c r="C36" t="s">
        <v>507</v>
      </c>
      <c r="D36">
        <v>13</v>
      </c>
      <c r="E36" s="6">
        <v>45617</v>
      </c>
      <c r="F36" t="s">
        <v>777</v>
      </c>
      <c r="G36">
        <f>VLOOKUP(F36,'[2]SỔ CHI TIẾT MUA HÀNG'!$I:$K,3,0)</f>
        <v>49000</v>
      </c>
      <c r="H36">
        <v>49000</v>
      </c>
      <c r="I36" s="2">
        <f t="shared" si="0"/>
        <v>637000</v>
      </c>
    </row>
    <row r="37" spans="1:9" x14ac:dyDescent="0.3">
      <c r="A37" t="s">
        <v>61</v>
      </c>
      <c r="C37" t="s">
        <v>507</v>
      </c>
      <c r="D37">
        <v>40</v>
      </c>
      <c r="E37" s="6">
        <v>45617</v>
      </c>
      <c r="F37" t="s">
        <v>764</v>
      </c>
      <c r="G37">
        <f>VLOOKUP(F37,'[2]SỔ CHI TIẾT MUA HÀNG'!$I:$K,3,0)</f>
        <v>18000</v>
      </c>
      <c r="H37">
        <v>18000</v>
      </c>
      <c r="I37" s="2">
        <f t="shared" si="0"/>
        <v>720000</v>
      </c>
    </row>
    <row r="38" spans="1:9" x14ac:dyDescent="0.3">
      <c r="A38" t="s">
        <v>62</v>
      </c>
      <c r="C38" t="s">
        <v>507</v>
      </c>
      <c r="D38">
        <v>30</v>
      </c>
      <c r="E38" s="6">
        <v>45617</v>
      </c>
      <c r="F38" t="s">
        <v>754</v>
      </c>
      <c r="G38">
        <f>VLOOKUP(F38,'[2]SỔ CHI TIẾT MUA HÀNG'!$I:$K,3,0)</f>
        <v>28000</v>
      </c>
      <c r="H38">
        <v>28000</v>
      </c>
      <c r="I38" s="2">
        <f t="shared" si="0"/>
        <v>840000</v>
      </c>
    </row>
    <row r="39" spans="1:9" x14ac:dyDescent="0.3">
      <c r="A39" t="s">
        <v>97</v>
      </c>
      <c r="B39" t="s">
        <v>995</v>
      </c>
      <c r="C39" t="s">
        <v>507</v>
      </c>
      <c r="D39">
        <v>20</v>
      </c>
      <c r="E39" s="6">
        <v>45617</v>
      </c>
      <c r="F39" t="s">
        <v>742</v>
      </c>
      <c r="G39" s="1">
        <v>66000</v>
      </c>
      <c r="H39" s="1">
        <v>66000</v>
      </c>
      <c r="I39" s="2">
        <f t="shared" si="0"/>
        <v>1320000</v>
      </c>
    </row>
    <row r="40" spans="1:9" x14ac:dyDescent="0.3">
      <c r="A40" t="s">
        <v>97</v>
      </c>
      <c r="B40" t="s">
        <v>995</v>
      </c>
      <c r="C40" t="s">
        <v>22</v>
      </c>
      <c r="D40">
        <v>163</v>
      </c>
      <c r="E40" s="6">
        <v>45617</v>
      </c>
      <c r="F40" t="s">
        <v>743</v>
      </c>
      <c r="G40" s="1">
        <v>23000</v>
      </c>
      <c r="H40" s="1">
        <v>23000</v>
      </c>
      <c r="I40" s="2">
        <f t="shared" si="0"/>
        <v>3749000</v>
      </c>
    </row>
    <row r="41" spans="1:9" x14ac:dyDescent="0.3">
      <c r="A41" t="s">
        <v>33</v>
      </c>
      <c r="B41" t="s">
        <v>996</v>
      </c>
      <c r="C41" t="s">
        <v>507</v>
      </c>
      <c r="D41">
        <v>10</v>
      </c>
      <c r="E41" s="6">
        <v>45617</v>
      </c>
      <c r="F41" t="s">
        <v>753</v>
      </c>
      <c r="G41" s="1">
        <v>35000</v>
      </c>
      <c r="H41" s="1">
        <v>35000</v>
      </c>
      <c r="I41" s="2">
        <f t="shared" si="0"/>
        <v>350000</v>
      </c>
    </row>
    <row r="42" spans="1:9" x14ac:dyDescent="0.3">
      <c r="A42" t="s">
        <v>113</v>
      </c>
      <c r="C42" t="s">
        <v>507</v>
      </c>
      <c r="D42">
        <v>10</v>
      </c>
      <c r="E42" s="6">
        <v>45617</v>
      </c>
      <c r="F42" t="s">
        <v>744</v>
      </c>
      <c r="G42">
        <f>VLOOKUP(F42,'[2]SỔ CHI TIẾT MUA HÀNG'!$I:$K,3,0)</f>
        <v>40000</v>
      </c>
      <c r="H42">
        <v>40000</v>
      </c>
      <c r="I42" s="2">
        <f t="shared" si="0"/>
        <v>400000</v>
      </c>
    </row>
    <row r="43" spans="1:9" x14ac:dyDescent="0.3">
      <c r="A43" t="s">
        <v>35</v>
      </c>
      <c r="C43" t="s">
        <v>507</v>
      </c>
      <c r="D43">
        <v>30</v>
      </c>
      <c r="E43" s="6">
        <v>45617</v>
      </c>
      <c r="F43" t="s">
        <v>766</v>
      </c>
      <c r="G43">
        <f>VLOOKUP(F43,'[2]SỔ CHI TIẾT MUA HÀNG'!$I:$K,3,0)</f>
        <v>28000</v>
      </c>
      <c r="H43">
        <v>28000</v>
      </c>
      <c r="I43" s="2">
        <f t="shared" si="0"/>
        <v>840000</v>
      </c>
    </row>
    <row r="44" spans="1:9" x14ac:dyDescent="0.3">
      <c r="A44" t="s">
        <v>36</v>
      </c>
      <c r="C44" t="s">
        <v>27</v>
      </c>
      <c r="D44">
        <v>100</v>
      </c>
      <c r="E44" s="6">
        <v>45617</v>
      </c>
      <c r="F44" t="s">
        <v>762</v>
      </c>
      <c r="G44">
        <f>VLOOKUP(F44,'[2]SỔ CHI TIẾT MUA HÀNG'!$I:$K,3,0)</f>
        <v>6800</v>
      </c>
      <c r="H44">
        <v>6800</v>
      </c>
      <c r="I44" s="2">
        <f t="shared" si="0"/>
        <v>680000</v>
      </c>
    </row>
    <row r="45" spans="1:9" x14ac:dyDescent="0.3">
      <c r="A45" t="s">
        <v>40</v>
      </c>
      <c r="B45" t="s">
        <v>997</v>
      </c>
      <c r="C45" t="s">
        <v>507</v>
      </c>
      <c r="D45">
        <v>20</v>
      </c>
      <c r="E45" s="6">
        <v>45617</v>
      </c>
      <c r="F45" t="s">
        <v>750</v>
      </c>
      <c r="G45" s="1">
        <v>28000</v>
      </c>
      <c r="H45" s="1">
        <v>28000</v>
      </c>
      <c r="I45" s="2">
        <f t="shared" si="0"/>
        <v>560000</v>
      </c>
    </row>
    <row r="46" spans="1:9" x14ac:dyDescent="0.3">
      <c r="A46" t="s">
        <v>38</v>
      </c>
      <c r="C46" t="s">
        <v>27</v>
      </c>
      <c r="D46">
        <v>20</v>
      </c>
      <c r="E46" s="6">
        <v>45617</v>
      </c>
      <c r="F46" t="s">
        <v>761</v>
      </c>
      <c r="G46">
        <f>VLOOKUP(F46,'[2]SỔ CHI TIẾT MUA HÀNG'!$I:$K,3,0)</f>
        <v>6800</v>
      </c>
      <c r="H46">
        <v>6800</v>
      </c>
      <c r="I46" s="2">
        <f t="shared" si="0"/>
        <v>136000</v>
      </c>
    </row>
    <row r="47" spans="1:9" x14ac:dyDescent="0.3">
      <c r="A47" t="s">
        <v>39</v>
      </c>
      <c r="B47" t="s">
        <v>998</v>
      </c>
      <c r="C47" t="s">
        <v>507</v>
      </c>
      <c r="D47">
        <v>22</v>
      </c>
      <c r="E47" s="6">
        <v>45617</v>
      </c>
      <c r="F47" t="s">
        <v>774</v>
      </c>
      <c r="G47" s="1">
        <v>33000</v>
      </c>
      <c r="H47" s="1">
        <v>33000</v>
      </c>
      <c r="I47" s="2">
        <f t="shared" si="0"/>
        <v>726000</v>
      </c>
    </row>
    <row r="48" spans="1:9" x14ac:dyDescent="0.3">
      <c r="A48" t="s">
        <v>84</v>
      </c>
      <c r="C48" t="s">
        <v>27</v>
      </c>
      <c r="D48">
        <v>3</v>
      </c>
      <c r="E48" s="6">
        <v>45617</v>
      </c>
      <c r="F48" t="s">
        <v>778</v>
      </c>
      <c r="G48">
        <f>VLOOKUP(F48,'[2]SỔ CHI TIẾT MUA HÀNG'!$I:$K,3,0)</f>
        <v>6800</v>
      </c>
      <c r="H48">
        <v>6800</v>
      </c>
      <c r="I48" s="2">
        <f t="shared" si="0"/>
        <v>20400</v>
      </c>
    </row>
  </sheetData>
  <autoFilter ref="A1:G48" xr:uid="{8211DC31-3465-4947-B6CF-7B9ED998D027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6F4A-03F2-478E-A594-37851942C604}">
  <dimension ref="A1:H53"/>
  <sheetViews>
    <sheetView workbookViewId="0">
      <selection activeCell="H1" sqref="H1"/>
    </sheetView>
  </sheetViews>
  <sheetFormatPr defaultRowHeight="14.4" x14ac:dyDescent="0.3"/>
  <cols>
    <col min="1" max="1" width="19" customWidth="1"/>
    <col min="4" max="4" width="10.5546875" bestFit="1" customWidth="1"/>
    <col min="5" max="5" width="39.77734375" customWidth="1"/>
    <col min="6" max="7" width="11.33203125" style="1" bestFit="1" customWidth="1"/>
    <col min="8" max="8" width="12.33203125" customWidth="1"/>
  </cols>
  <sheetData>
    <row r="1" spans="1:8" x14ac:dyDescent="0.3">
      <c r="A1" t="s">
        <v>124</v>
      </c>
      <c r="B1" t="s">
        <v>5</v>
      </c>
      <c r="C1" t="s">
        <v>125</v>
      </c>
      <c r="D1" t="s">
        <v>679</v>
      </c>
      <c r="H1" s="2">
        <f>SUM(H2:H53)</f>
        <v>42153500</v>
      </c>
    </row>
    <row r="2" spans="1:8" x14ac:dyDescent="0.3">
      <c r="A2" t="s">
        <v>78</v>
      </c>
      <c r="B2" t="s">
        <v>507</v>
      </c>
      <c r="C2">
        <v>20</v>
      </c>
      <c r="D2" s="6">
        <v>45616</v>
      </c>
      <c r="E2" t="s">
        <v>725</v>
      </c>
      <c r="F2" s="1">
        <f>VLOOKUP(E2,'[2]SỔ CHI TIẾT MUA HÀNG'!$I:$K,3,0)</f>
        <v>30000</v>
      </c>
      <c r="G2" s="1">
        <v>30000</v>
      </c>
      <c r="H2" s="2">
        <f>C2*G2</f>
        <v>600000</v>
      </c>
    </row>
    <row r="3" spans="1:8" x14ac:dyDescent="0.3">
      <c r="A3" t="s">
        <v>80</v>
      </c>
      <c r="B3" t="s">
        <v>44</v>
      </c>
      <c r="C3">
        <v>10</v>
      </c>
      <c r="D3" s="6">
        <v>45616</v>
      </c>
      <c r="E3" t="s">
        <v>690</v>
      </c>
      <c r="F3" s="1">
        <v>3000</v>
      </c>
      <c r="G3" s="1">
        <v>3000</v>
      </c>
      <c r="H3" s="2">
        <f t="shared" ref="H3:H53" si="0">C3*G3</f>
        <v>30000</v>
      </c>
    </row>
    <row r="4" spans="1:8" x14ac:dyDescent="0.3">
      <c r="A4" t="s">
        <v>88</v>
      </c>
      <c r="B4" t="s">
        <v>507</v>
      </c>
      <c r="C4">
        <v>40</v>
      </c>
      <c r="D4" s="6">
        <v>45616</v>
      </c>
      <c r="E4" t="s">
        <v>696</v>
      </c>
      <c r="F4" s="1">
        <f>VLOOKUP(E4,'[2]SỔ CHI TIẾT MUA HÀNG'!$I:$K,3,0)</f>
        <v>5000</v>
      </c>
      <c r="G4" s="1">
        <v>5000</v>
      </c>
      <c r="H4" s="2">
        <f t="shared" si="0"/>
        <v>200000</v>
      </c>
    </row>
    <row r="5" spans="1:8" x14ac:dyDescent="0.3">
      <c r="A5" t="s">
        <v>126</v>
      </c>
      <c r="B5" t="s">
        <v>507</v>
      </c>
      <c r="C5">
        <v>10</v>
      </c>
      <c r="D5" s="6">
        <v>45616</v>
      </c>
      <c r="E5" t="s">
        <v>726</v>
      </c>
      <c r="F5" s="1">
        <f>VLOOKUP(E5,'[2]SỔ CHI TIẾT MUA HÀNG'!$I:$K,3,0)</f>
        <v>48000</v>
      </c>
      <c r="G5" s="1">
        <v>48000</v>
      </c>
      <c r="H5" s="2">
        <f t="shared" si="0"/>
        <v>480000</v>
      </c>
    </row>
    <row r="6" spans="1:8" x14ac:dyDescent="0.3">
      <c r="A6" t="s">
        <v>41</v>
      </c>
      <c r="B6" t="s">
        <v>42</v>
      </c>
      <c r="C6">
        <v>260</v>
      </c>
      <c r="D6" s="6">
        <v>45616</v>
      </c>
      <c r="E6" t="s">
        <v>692</v>
      </c>
      <c r="F6" s="1">
        <f>VLOOKUP(A6,[2]Sheet1!$G:$N,7,0)</f>
        <v>0.3</v>
      </c>
      <c r="G6" s="1">
        <v>3000</v>
      </c>
      <c r="H6" s="2">
        <f t="shared" si="0"/>
        <v>780000</v>
      </c>
    </row>
    <row r="7" spans="1:8" x14ac:dyDescent="0.3">
      <c r="A7" t="s">
        <v>43</v>
      </c>
      <c r="B7" t="s">
        <v>507</v>
      </c>
      <c r="C7">
        <v>10</v>
      </c>
      <c r="D7" s="6">
        <v>45616</v>
      </c>
      <c r="E7" t="s">
        <v>707</v>
      </c>
      <c r="F7" s="1">
        <f>VLOOKUP(E7,'[2]SỔ CHI TIẾT MUA HÀNG'!$I:$K,3,0)</f>
        <v>10000</v>
      </c>
      <c r="G7" s="1">
        <v>10000</v>
      </c>
      <c r="H7" s="2">
        <f t="shared" si="0"/>
        <v>100000</v>
      </c>
    </row>
    <row r="8" spans="1:8" x14ac:dyDescent="0.3">
      <c r="A8" t="s">
        <v>43</v>
      </c>
      <c r="B8" t="s">
        <v>44</v>
      </c>
      <c r="C8">
        <v>140</v>
      </c>
      <c r="D8" s="6">
        <v>45616</v>
      </c>
      <c r="E8" t="s">
        <v>708</v>
      </c>
      <c r="F8" s="1">
        <f>VLOOKUP(A8,[2]Sheet1!$G:$N,7,0)</f>
        <v>0.3</v>
      </c>
      <c r="G8" s="1">
        <v>3300</v>
      </c>
      <c r="H8" s="2">
        <f t="shared" si="0"/>
        <v>462000</v>
      </c>
    </row>
    <row r="9" spans="1:8" x14ac:dyDescent="0.3">
      <c r="A9" t="s">
        <v>18</v>
      </c>
      <c r="B9" t="s">
        <v>9</v>
      </c>
      <c r="C9">
        <v>39</v>
      </c>
      <c r="D9" s="6">
        <v>45616</v>
      </c>
      <c r="E9" t="s">
        <v>711</v>
      </c>
      <c r="F9" s="1">
        <f>VLOOKUP(A9,[2]Sheet1!$G:$N,7,0)</f>
        <v>0.2</v>
      </c>
      <c r="G9" s="1">
        <v>11400</v>
      </c>
      <c r="H9" s="2">
        <f t="shared" si="0"/>
        <v>444600</v>
      </c>
    </row>
    <row r="10" spans="1:8" x14ac:dyDescent="0.3">
      <c r="A10" t="s">
        <v>45</v>
      </c>
      <c r="B10" t="s">
        <v>507</v>
      </c>
      <c r="C10">
        <v>140</v>
      </c>
      <c r="D10" s="6">
        <v>45616</v>
      </c>
      <c r="E10" t="s">
        <v>682</v>
      </c>
      <c r="F10" s="1">
        <f>VLOOKUP(E10,'[2]SỔ CHI TIẾT MUA HÀNG'!$I:$K,3,0)</f>
        <v>20000</v>
      </c>
      <c r="G10" s="1">
        <v>20000</v>
      </c>
      <c r="H10" s="2">
        <f t="shared" si="0"/>
        <v>2800000</v>
      </c>
    </row>
    <row r="11" spans="1:8" x14ac:dyDescent="0.3">
      <c r="A11" t="s">
        <v>89</v>
      </c>
      <c r="B11" t="s">
        <v>105</v>
      </c>
      <c r="C11">
        <v>100</v>
      </c>
      <c r="D11" s="6">
        <v>45616</v>
      </c>
      <c r="E11" t="s">
        <v>718</v>
      </c>
      <c r="F11" s="1">
        <f>VLOOKUP(A11,[2]Sheet1!$G:$N,7,0)</f>
        <v>0.5</v>
      </c>
      <c r="G11" s="1">
        <v>9500</v>
      </c>
      <c r="H11" s="2">
        <f t="shared" si="0"/>
        <v>950000</v>
      </c>
    </row>
    <row r="12" spans="1:8" x14ac:dyDescent="0.3">
      <c r="A12" t="s">
        <v>70</v>
      </c>
      <c r="B12" t="s">
        <v>106</v>
      </c>
      <c r="C12">
        <v>90</v>
      </c>
      <c r="D12" s="6">
        <v>45616</v>
      </c>
      <c r="E12" t="s">
        <v>709</v>
      </c>
      <c r="F12" s="1">
        <f>VLOOKUP(E12,'[2]SỔ CHI TIẾT MUA HÀNG'!$I:$K,3,0)</f>
        <v>10500</v>
      </c>
      <c r="G12" s="1">
        <v>10500</v>
      </c>
      <c r="H12" s="2">
        <f t="shared" si="0"/>
        <v>945000</v>
      </c>
    </row>
    <row r="13" spans="1:8" x14ac:dyDescent="0.3">
      <c r="A13" t="s">
        <v>49</v>
      </c>
      <c r="B13" t="s">
        <v>106</v>
      </c>
      <c r="C13">
        <v>120</v>
      </c>
      <c r="D13" s="6">
        <v>45616</v>
      </c>
      <c r="E13" t="s">
        <v>706</v>
      </c>
      <c r="F13" s="1">
        <f>51500*0.3</f>
        <v>15450</v>
      </c>
      <c r="G13" s="1">
        <v>15450</v>
      </c>
      <c r="H13" s="2">
        <f t="shared" si="0"/>
        <v>1854000</v>
      </c>
    </row>
    <row r="14" spans="1:8" x14ac:dyDescent="0.3">
      <c r="A14" t="s">
        <v>50</v>
      </c>
      <c r="B14" t="s">
        <v>507</v>
      </c>
      <c r="C14">
        <v>40</v>
      </c>
      <c r="D14" s="6">
        <v>45616</v>
      </c>
      <c r="E14" t="s">
        <v>683</v>
      </c>
      <c r="F14" s="1">
        <f>VLOOKUP(E14,'[2]SỔ CHI TIẾT MUA HÀNG'!$I:$K,3,0)</f>
        <v>14000</v>
      </c>
      <c r="G14" s="1">
        <v>14000</v>
      </c>
      <c r="H14" s="2">
        <f t="shared" si="0"/>
        <v>560000</v>
      </c>
    </row>
    <row r="15" spans="1:8" x14ac:dyDescent="0.3">
      <c r="A15" t="s">
        <v>8</v>
      </c>
      <c r="B15" t="s">
        <v>9</v>
      </c>
      <c r="C15">
        <v>65</v>
      </c>
      <c r="D15" s="6">
        <v>45616</v>
      </c>
      <c r="E15" t="s">
        <v>719</v>
      </c>
      <c r="F15" s="1">
        <f>52000/5</f>
        <v>10400</v>
      </c>
      <c r="G15" s="1">
        <v>10400</v>
      </c>
      <c r="H15" s="2">
        <f t="shared" si="0"/>
        <v>676000</v>
      </c>
    </row>
    <row r="16" spans="1:8" x14ac:dyDescent="0.3">
      <c r="A16" t="s">
        <v>20</v>
      </c>
      <c r="B16" t="s">
        <v>507</v>
      </c>
      <c r="C16">
        <v>40</v>
      </c>
      <c r="D16" s="6">
        <v>45616</v>
      </c>
      <c r="E16" t="s">
        <v>687</v>
      </c>
      <c r="F16" s="1">
        <f>VLOOKUP(E16,'[2]SỔ CHI TIẾT MUA HÀNG'!$I:$K,3,0)</f>
        <v>25000</v>
      </c>
      <c r="G16" s="1">
        <v>25000</v>
      </c>
      <c r="H16" s="2">
        <f t="shared" si="0"/>
        <v>1000000</v>
      </c>
    </row>
    <row r="17" spans="1:8" x14ac:dyDescent="0.3">
      <c r="A17" t="s">
        <v>23</v>
      </c>
      <c r="B17" t="s">
        <v>22</v>
      </c>
      <c r="C17">
        <v>40</v>
      </c>
      <c r="D17" s="6">
        <v>45616</v>
      </c>
      <c r="E17" t="s">
        <v>688</v>
      </c>
      <c r="F17" s="1">
        <f>VLOOKUP(A17,[2]Sheet1!$G:$N,7,0)</f>
        <v>0.3</v>
      </c>
      <c r="G17" s="1">
        <v>9150</v>
      </c>
      <c r="H17" s="2">
        <f t="shared" si="0"/>
        <v>366000</v>
      </c>
    </row>
    <row r="18" spans="1:8" x14ac:dyDescent="0.3">
      <c r="A18" t="s">
        <v>23</v>
      </c>
      <c r="B18" t="s">
        <v>24</v>
      </c>
      <c r="C18">
        <v>10</v>
      </c>
      <c r="D18" s="6">
        <v>45616</v>
      </c>
      <c r="E18" t="s">
        <v>689</v>
      </c>
      <c r="F18" s="1">
        <f>VLOOKUP(A18,[2]Sheet1!$G:$N,7,0)</f>
        <v>0.3</v>
      </c>
      <c r="G18" s="1">
        <v>9150</v>
      </c>
      <c r="H18" s="2">
        <f t="shared" si="0"/>
        <v>91500</v>
      </c>
    </row>
    <row r="19" spans="1:8" x14ac:dyDescent="0.3">
      <c r="A19" t="s">
        <v>25</v>
      </c>
      <c r="B19" t="s">
        <v>507</v>
      </c>
      <c r="C19">
        <v>30</v>
      </c>
      <c r="D19" s="6">
        <v>45616</v>
      </c>
      <c r="E19" t="s">
        <v>717</v>
      </c>
      <c r="F19" s="1">
        <v>7000</v>
      </c>
      <c r="G19" s="1">
        <v>7000</v>
      </c>
      <c r="H19" s="2">
        <f t="shared" si="0"/>
        <v>210000</v>
      </c>
    </row>
    <row r="20" spans="1:8" x14ac:dyDescent="0.3">
      <c r="A20" t="s">
        <v>26</v>
      </c>
      <c r="B20" t="s">
        <v>27</v>
      </c>
      <c r="C20">
        <v>200</v>
      </c>
      <c r="D20" s="6">
        <v>45616</v>
      </c>
      <c r="E20" t="s">
        <v>684</v>
      </c>
      <c r="F20" s="1">
        <f>VLOOKUP(A20,[2]Sheet1!$G:$N,7,0)</f>
        <v>0.5</v>
      </c>
      <c r="G20" s="1">
        <v>8500</v>
      </c>
      <c r="H20" s="2">
        <f t="shared" si="0"/>
        <v>1700000</v>
      </c>
    </row>
    <row r="21" spans="1:8" x14ac:dyDescent="0.3">
      <c r="A21" t="s">
        <v>51</v>
      </c>
      <c r="B21" t="s">
        <v>9</v>
      </c>
      <c r="C21">
        <v>40</v>
      </c>
      <c r="D21" s="6">
        <v>45616</v>
      </c>
      <c r="E21" t="s">
        <v>721</v>
      </c>
      <c r="F21" s="1">
        <f>VLOOKUP(A21,[2]Sheet1!$G:$N,7,0)</f>
        <v>0.25</v>
      </c>
      <c r="G21" s="1">
        <v>6500</v>
      </c>
      <c r="H21" s="2">
        <f t="shared" si="0"/>
        <v>260000</v>
      </c>
    </row>
    <row r="22" spans="1:8" x14ac:dyDescent="0.3">
      <c r="A22" t="s">
        <v>103</v>
      </c>
      <c r="B22" t="s">
        <v>48</v>
      </c>
      <c r="C22">
        <v>30</v>
      </c>
      <c r="D22" s="6">
        <v>45616</v>
      </c>
      <c r="E22" t="s">
        <v>680</v>
      </c>
      <c r="F22" s="1">
        <f>VLOOKUP(E22,'[2]SỔ CHI TIẾT MUA HÀNG'!$I:$K,3,0)</f>
        <v>14000</v>
      </c>
      <c r="G22" s="1">
        <v>14000</v>
      </c>
      <c r="H22" s="2">
        <f t="shared" si="0"/>
        <v>420000</v>
      </c>
    </row>
    <row r="23" spans="1:8" x14ac:dyDescent="0.3">
      <c r="A23" t="s">
        <v>10</v>
      </c>
      <c r="B23" t="s">
        <v>507</v>
      </c>
      <c r="C23">
        <v>10</v>
      </c>
      <c r="D23" s="6">
        <v>45616</v>
      </c>
      <c r="E23" t="s">
        <v>720</v>
      </c>
      <c r="F23" s="1">
        <f>VLOOKUP(E23,'[2]SỔ CHI TIẾT MUA HÀNG'!$I:$K,3,0)</f>
        <v>6000</v>
      </c>
      <c r="G23" s="1">
        <v>6000</v>
      </c>
      <c r="H23" s="2">
        <f t="shared" si="0"/>
        <v>60000</v>
      </c>
    </row>
    <row r="24" spans="1:8" x14ac:dyDescent="0.3">
      <c r="A24" t="s">
        <v>12</v>
      </c>
      <c r="B24" t="s">
        <v>507</v>
      </c>
      <c r="C24">
        <v>50</v>
      </c>
      <c r="D24" s="6">
        <v>45616</v>
      </c>
      <c r="E24" t="s">
        <v>694</v>
      </c>
      <c r="F24" s="1">
        <v>21000</v>
      </c>
      <c r="G24" s="1">
        <v>21000</v>
      </c>
      <c r="H24" s="2">
        <f t="shared" si="0"/>
        <v>1050000</v>
      </c>
    </row>
    <row r="25" spans="1:8" x14ac:dyDescent="0.3">
      <c r="A25" t="s">
        <v>91</v>
      </c>
      <c r="B25" t="s">
        <v>507</v>
      </c>
      <c r="C25">
        <v>40</v>
      </c>
      <c r="D25" s="6">
        <v>45616</v>
      </c>
      <c r="E25" t="s">
        <v>727</v>
      </c>
      <c r="F25" s="1">
        <f>VLOOKUP(E25,'[2]SỔ CHI TIẾT MUA HÀNG'!$I:$K,3,0)</f>
        <v>20000</v>
      </c>
      <c r="G25" s="1">
        <v>20000</v>
      </c>
      <c r="H25" s="2">
        <f t="shared" si="0"/>
        <v>800000</v>
      </c>
    </row>
    <row r="26" spans="1:8" x14ac:dyDescent="0.3">
      <c r="A26" t="s">
        <v>13</v>
      </c>
      <c r="B26" t="s">
        <v>507</v>
      </c>
      <c r="C26">
        <v>100</v>
      </c>
      <c r="D26" s="6">
        <v>45616</v>
      </c>
      <c r="E26" t="s">
        <v>698</v>
      </c>
      <c r="F26" s="1">
        <v>26000</v>
      </c>
      <c r="G26" s="1">
        <v>26000</v>
      </c>
      <c r="H26" s="2">
        <f t="shared" si="0"/>
        <v>2600000</v>
      </c>
    </row>
    <row r="27" spans="1:8" x14ac:dyDescent="0.3">
      <c r="A27" t="s">
        <v>14</v>
      </c>
      <c r="B27" t="s">
        <v>507</v>
      </c>
      <c r="C27">
        <v>110</v>
      </c>
      <c r="D27" s="6">
        <v>45616</v>
      </c>
      <c r="E27" t="s">
        <v>695</v>
      </c>
      <c r="F27" s="1">
        <f>VLOOKUP(E27,'[2]SỔ CHI TIẾT MUA HÀNG'!$I:$K,3,0)</f>
        <v>17000</v>
      </c>
      <c r="G27" s="1">
        <v>17000</v>
      </c>
      <c r="H27" s="2">
        <f t="shared" si="0"/>
        <v>1870000</v>
      </c>
    </row>
    <row r="28" spans="1:8" x14ac:dyDescent="0.3">
      <c r="A28" t="s">
        <v>15</v>
      </c>
      <c r="B28" t="s">
        <v>507</v>
      </c>
      <c r="C28">
        <v>20</v>
      </c>
      <c r="D28" s="6">
        <v>45616</v>
      </c>
      <c r="E28" t="s">
        <v>697</v>
      </c>
      <c r="F28" s="1">
        <f>VLOOKUP(E28,'[2]SỔ CHI TIẾT MUA HÀNG'!$I:$K,3,0)</f>
        <v>30000</v>
      </c>
      <c r="G28" s="1">
        <v>30000</v>
      </c>
      <c r="H28" s="2">
        <f t="shared" si="0"/>
        <v>600000</v>
      </c>
    </row>
    <row r="29" spans="1:8" x14ac:dyDescent="0.3">
      <c r="A29" t="s">
        <v>93</v>
      </c>
      <c r="B29" t="s">
        <v>507</v>
      </c>
      <c r="C29">
        <v>30</v>
      </c>
      <c r="D29" s="6">
        <v>45616</v>
      </c>
      <c r="E29" t="s">
        <v>728</v>
      </c>
      <c r="F29" s="1">
        <v>15000</v>
      </c>
      <c r="G29" s="1">
        <v>15000</v>
      </c>
      <c r="H29" s="2">
        <f t="shared" si="0"/>
        <v>450000</v>
      </c>
    </row>
    <row r="30" spans="1:8" x14ac:dyDescent="0.3">
      <c r="A30" t="s">
        <v>16</v>
      </c>
      <c r="B30" t="s">
        <v>507</v>
      </c>
      <c r="C30">
        <v>10</v>
      </c>
      <c r="D30" s="6">
        <v>45616</v>
      </c>
      <c r="E30" t="s">
        <v>716</v>
      </c>
      <c r="F30" s="1">
        <f>VLOOKUP(E30,'[2]SỔ CHI TIẾT MUA HÀNG'!$I:$K,3,0)</f>
        <v>18000</v>
      </c>
      <c r="G30" s="1">
        <v>18000</v>
      </c>
      <c r="H30" s="2">
        <f t="shared" si="0"/>
        <v>180000</v>
      </c>
    </row>
    <row r="31" spans="1:8" x14ac:dyDescent="0.3">
      <c r="A31" t="s">
        <v>87</v>
      </c>
      <c r="B31" t="s">
        <v>107</v>
      </c>
      <c r="C31">
        <v>20</v>
      </c>
      <c r="D31" s="6">
        <v>45616</v>
      </c>
      <c r="E31" t="s">
        <v>701</v>
      </c>
      <c r="F31" s="1">
        <f>VLOOKUP(E31,'[2]SỔ CHI TIẾT MUA HÀNG'!$I:$K,3,0)</f>
        <v>8000</v>
      </c>
      <c r="G31" s="1">
        <v>8000</v>
      </c>
      <c r="H31" s="2">
        <f t="shared" si="0"/>
        <v>160000</v>
      </c>
    </row>
    <row r="32" spans="1:8" x14ac:dyDescent="0.3">
      <c r="A32" t="s">
        <v>53</v>
      </c>
      <c r="B32" t="s">
        <v>9</v>
      </c>
      <c r="C32">
        <v>609</v>
      </c>
      <c r="D32" s="6">
        <v>45616</v>
      </c>
      <c r="E32" t="s">
        <v>700</v>
      </c>
      <c r="F32" s="1">
        <f>VLOOKUP(E32,'[2]SỔ CHI TIẾT MUA HÀNG'!$I:$K,3,0)</f>
        <v>4000</v>
      </c>
      <c r="G32" s="1">
        <v>4000</v>
      </c>
      <c r="H32" s="2">
        <f t="shared" si="0"/>
        <v>2436000</v>
      </c>
    </row>
    <row r="33" spans="1:8" x14ac:dyDescent="0.3">
      <c r="A33" t="s">
        <v>55</v>
      </c>
      <c r="B33" t="s">
        <v>22</v>
      </c>
      <c r="C33">
        <v>38</v>
      </c>
      <c r="D33" s="6">
        <v>45616</v>
      </c>
      <c r="E33" t="s">
        <v>729</v>
      </c>
      <c r="F33" s="1">
        <f>VLOOKUP(A33,[2]Sheet1!$G:$N,7,0)</f>
        <v>0.6</v>
      </c>
      <c r="G33" s="1">
        <v>6000</v>
      </c>
      <c r="H33" s="2">
        <f t="shared" si="0"/>
        <v>228000</v>
      </c>
    </row>
    <row r="34" spans="1:8" x14ac:dyDescent="0.3">
      <c r="A34" t="s">
        <v>28</v>
      </c>
      <c r="B34" t="s">
        <v>507</v>
      </c>
      <c r="C34">
        <v>12</v>
      </c>
      <c r="D34" s="6">
        <v>45616</v>
      </c>
      <c r="E34" t="s">
        <v>685</v>
      </c>
      <c r="F34" s="1">
        <f>VLOOKUP(A34,[2]Sheet1!$G:$N,7,0)</f>
        <v>0.2</v>
      </c>
      <c r="G34" s="1">
        <v>7200</v>
      </c>
      <c r="H34" s="2">
        <f t="shared" si="0"/>
        <v>86400</v>
      </c>
    </row>
    <row r="35" spans="1:8" x14ac:dyDescent="0.3">
      <c r="A35" t="s">
        <v>28</v>
      </c>
      <c r="B35" t="s">
        <v>27</v>
      </c>
      <c r="C35">
        <v>90</v>
      </c>
      <c r="D35" s="6">
        <v>45616</v>
      </c>
      <c r="E35" t="s">
        <v>686</v>
      </c>
      <c r="F35" s="1">
        <f>VLOOKUP(A35,[2]Sheet1!$G:$N,7,0)</f>
        <v>0.2</v>
      </c>
      <c r="G35" s="1">
        <v>7200</v>
      </c>
      <c r="H35" s="2">
        <f t="shared" si="0"/>
        <v>648000</v>
      </c>
    </row>
    <row r="36" spans="1:8" x14ac:dyDescent="0.3">
      <c r="A36" t="s">
        <v>73</v>
      </c>
      <c r="B36" t="s">
        <v>507</v>
      </c>
      <c r="C36">
        <v>10</v>
      </c>
      <c r="D36" s="6">
        <v>45616</v>
      </c>
      <c r="E36" t="s">
        <v>714</v>
      </c>
      <c r="F36" s="1">
        <f>VLOOKUP(E36,'[2]SỔ CHI TIẾT MUA HÀNG'!$I:$K,3,0)</f>
        <v>28000</v>
      </c>
      <c r="G36" s="1">
        <v>28000</v>
      </c>
      <c r="H36" s="2">
        <f t="shared" si="0"/>
        <v>280000</v>
      </c>
    </row>
    <row r="37" spans="1:8" x14ac:dyDescent="0.3">
      <c r="A37" t="s">
        <v>29</v>
      </c>
      <c r="B37" t="s">
        <v>22</v>
      </c>
      <c r="C37">
        <v>200</v>
      </c>
      <c r="D37" s="6">
        <v>45616</v>
      </c>
      <c r="E37" t="s">
        <v>693</v>
      </c>
      <c r="F37" s="1">
        <f>VLOOKUP(A37,[2]Sheet1!$G:$N,7,0)</f>
        <v>0.02</v>
      </c>
      <c r="G37" s="1">
        <v>800</v>
      </c>
      <c r="H37" s="2">
        <f t="shared" si="0"/>
        <v>160000</v>
      </c>
    </row>
    <row r="38" spans="1:8" x14ac:dyDescent="0.3">
      <c r="A38" t="s">
        <v>101</v>
      </c>
      <c r="B38" t="s">
        <v>507</v>
      </c>
      <c r="C38">
        <v>0.5</v>
      </c>
      <c r="D38" s="6">
        <v>45616</v>
      </c>
      <c r="E38" t="s">
        <v>731</v>
      </c>
      <c r="F38" s="1">
        <f>VLOOKUP(E38,'[2]SỔ CHI TIẾT MUA HÀNG'!$I:$K,3,0)</f>
        <v>100000</v>
      </c>
      <c r="G38" s="1">
        <v>100000</v>
      </c>
      <c r="H38" s="2">
        <f t="shared" si="0"/>
        <v>50000</v>
      </c>
    </row>
    <row r="39" spans="1:8" x14ac:dyDescent="0.3">
      <c r="A39" t="s">
        <v>32</v>
      </c>
      <c r="B39" t="s">
        <v>507</v>
      </c>
      <c r="C39">
        <v>20</v>
      </c>
      <c r="D39" s="6">
        <v>45616</v>
      </c>
      <c r="E39" t="s">
        <v>699</v>
      </c>
      <c r="F39" s="1">
        <f>VLOOKUP(E39,'[2]SỔ CHI TIẾT MUA HÀNG'!$I:$K,3,0)</f>
        <v>57000</v>
      </c>
      <c r="G39" s="1">
        <v>57000</v>
      </c>
      <c r="H39" s="2">
        <f t="shared" si="0"/>
        <v>1140000</v>
      </c>
    </row>
    <row r="40" spans="1:8" x14ac:dyDescent="0.3">
      <c r="A40" t="s">
        <v>57</v>
      </c>
      <c r="B40" t="s">
        <v>507</v>
      </c>
      <c r="C40">
        <v>45</v>
      </c>
      <c r="D40" s="6">
        <v>45616</v>
      </c>
      <c r="E40" t="s">
        <v>705</v>
      </c>
      <c r="F40" s="1">
        <f>VLOOKUP(E40,'[2]SỔ CHI TIẾT MUA HÀNG'!$I:$K,3,0)</f>
        <v>44000</v>
      </c>
      <c r="G40" s="1">
        <v>44000</v>
      </c>
      <c r="H40" s="2">
        <f t="shared" si="0"/>
        <v>1980000</v>
      </c>
    </row>
    <row r="41" spans="1:8" x14ac:dyDescent="0.3">
      <c r="A41" t="s">
        <v>58</v>
      </c>
      <c r="B41" t="s">
        <v>59</v>
      </c>
      <c r="C41">
        <v>300</v>
      </c>
      <c r="D41" s="6">
        <v>45616</v>
      </c>
      <c r="E41" t="s">
        <v>715</v>
      </c>
      <c r="F41" s="1">
        <f>VLOOKUP(A41,[2]Sheet1!$G:$N,7,0)</f>
        <v>0.25</v>
      </c>
      <c r="G41" s="1">
        <v>9250</v>
      </c>
      <c r="H41" s="2">
        <f t="shared" si="0"/>
        <v>2775000</v>
      </c>
    </row>
    <row r="42" spans="1:8" x14ac:dyDescent="0.3">
      <c r="A42" t="s">
        <v>60</v>
      </c>
      <c r="B42" t="s">
        <v>507</v>
      </c>
      <c r="C42">
        <v>24</v>
      </c>
      <c r="D42" s="6">
        <v>45616</v>
      </c>
      <c r="E42" t="s">
        <v>722</v>
      </c>
      <c r="F42" s="1">
        <f>VLOOKUP(E42,'[2]SỔ CHI TIẾT MUA HÀNG'!$I:$K,3,0)</f>
        <v>49000</v>
      </c>
      <c r="G42" s="1">
        <v>49000</v>
      </c>
      <c r="H42" s="2">
        <f t="shared" si="0"/>
        <v>1176000</v>
      </c>
    </row>
    <row r="43" spans="1:8" x14ac:dyDescent="0.3">
      <c r="A43" t="s">
        <v>61</v>
      </c>
      <c r="B43" t="s">
        <v>59</v>
      </c>
      <c r="C43">
        <v>140</v>
      </c>
      <c r="D43" s="6">
        <v>45616</v>
      </c>
      <c r="E43" t="s">
        <v>703</v>
      </c>
      <c r="F43" s="1">
        <f>VLOOKUP(A43,[2]Sheet1!$G:$N,7,0)</f>
        <v>0.25</v>
      </c>
      <c r="G43" s="1">
        <v>4500</v>
      </c>
      <c r="H43" s="2">
        <f t="shared" si="0"/>
        <v>630000</v>
      </c>
    </row>
    <row r="44" spans="1:8" x14ac:dyDescent="0.3">
      <c r="A44" t="s">
        <v>62</v>
      </c>
      <c r="B44" t="s">
        <v>59</v>
      </c>
      <c r="C44">
        <v>80</v>
      </c>
      <c r="D44" s="6">
        <v>45616</v>
      </c>
      <c r="E44" t="s">
        <v>704</v>
      </c>
      <c r="F44" s="1">
        <f>VLOOKUP(A44,[2]Sheet1!$G:$N,7,0)</f>
        <v>0.25</v>
      </c>
      <c r="G44" s="1">
        <v>6750</v>
      </c>
      <c r="H44" s="2">
        <f t="shared" si="0"/>
        <v>540000</v>
      </c>
    </row>
    <row r="45" spans="1:8" x14ac:dyDescent="0.3">
      <c r="A45" t="s">
        <v>97</v>
      </c>
      <c r="B45" t="s">
        <v>22</v>
      </c>
      <c r="C45">
        <v>140</v>
      </c>
      <c r="D45" s="6">
        <v>45616</v>
      </c>
      <c r="E45" t="s">
        <v>691</v>
      </c>
      <c r="F45" s="1">
        <f>VLOOKUP(E45,'[2]SỔ CHI TIẾT MUA HÀNG'!$I:$K,3,0)</f>
        <v>23000</v>
      </c>
      <c r="G45" s="1">
        <v>23000</v>
      </c>
      <c r="H45" s="2">
        <f t="shared" si="0"/>
        <v>3220000</v>
      </c>
    </row>
    <row r="46" spans="1:8" x14ac:dyDescent="0.3">
      <c r="A46" t="s">
        <v>33</v>
      </c>
      <c r="B46" t="s">
        <v>507</v>
      </c>
      <c r="C46">
        <v>5</v>
      </c>
      <c r="D46" s="6">
        <v>45616</v>
      </c>
      <c r="E46" t="s">
        <v>702</v>
      </c>
      <c r="F46" s="1">
        <f>VLOOKUP(E46,'[2]SỔ CHI TIẾT MUA HÀNG'!$I:$K,3,0)</f>
        <v>35000</v>
      </c>
      <c r="G46" s="1">
        <v>35000</v>
      </c>
      <c r="H46" s="2">
        <f t="shared" si="0"/>
        <v>175000</v>
      </c>
    </row>
    <row r="47" spans="1:8" x14ac:dyDescent="0.3">
      <c r="A47" t="s">
        <v>35</v>
      </c>
      <c r="B47" t="s">
        <v>507</v>
      </c>
      <c r="C47">
        <v>30</v>
      </c>
      <c r="D47" s="6">
        <v>45616</v>
      </c>
      <c r="E47" t="s">
        <v>710</v>
      </c>
      <c r="F47" s="1">
        <f>VLOOKUP(E47,'[2]SỔ CHI TIẾT MUA HÀNG'!$I:$K,3,0)</f>
        <v>28000</v>
      </c>
      <c r="G47" s="1">
        <v>28000</v>
      </c>
      <c r="H47" s="2">
        <f t="shared" si="0"/>
        <v>840000</v>
      </c>
    </row>
    <row r="48" spans="1:8" x14ac:dyDescent="0.3">
      <c r="A48" t="s">
        <v>36</v>
      </c>
      <c r="B48" t="s">
        <v>27</v>
      </c>
      <c r="C48">
        <v>100</v>
      </c>
      <c r="D48" s="6">
        <v>45616</v>
      </c>
      <c r="E48" t="s">
        <v>713</v>
      </c>
      <c r="F48" s="1">
        <f>VLOOKUP(E48,'[2]SỔ CHI TIẾT MUA HÀNG'!$I:$K,3,0)</f>
        <v>6800</v>
      </c>
      <c r="G48" s="1">
        <v>6800</v>
      </c>
      <c r="H48" s="2">
        <f t="shared" si="0"/>
        <v>680000</v>
      </c>
    </row>
    <row r="49" spans="1:8" x14ac:dyDescent="0.3">
      <c r="A49" t="s">
        <v>40</v>
      </c>
      <c r="B49" t="s">
        <v>507</v>
      </c>
      <c r="C49">
        <v>50</v>
      </c>
      <c r="D49" s="6">
        <v>45616</v>
      </c>
      <c r="E49" t="s">
        <v>681</v>
      </c>
      <c r="F49" s="1">
        <v>28000</v>
      </c>
      <c r="G49" s="1">
        <v>28000</v>
      </c>
      <c r="H49" s="2">
        <f t="shared" si="0"/>
        <v>1400000</v>
      </c>
    </row>
    <row r="50" spans="1:8" x14ac:dyDescent="0.3">
      <c r="A50" t="s">
        <v>38</v>
      </c>
      <c r="B50" t="s">
        <v>27</v>
      </c>
      <c r="C50">
        <v>15</v>
      </c>
      <c r="D50" s="6">
        <v>45616</v>
      </c>
      <c r="E50" t="s">
        <v>712</v>
      </c>
      <c r="F50" s="1">
        <v>6800</v>
      </c>
      <c r="G50" s="1">
        <v>6800</v>
      </c>
      <c r="H50" s="2">
        <f t="shared" si="0"/>
        <v>102000</v>
      </c>
    </row>
    <row r="51" spans="1:8" x14ac:dyDescent="0.3">
      <c r="A51" t="s">
        <v>39</v>
      </c>
      <c r="B51" t="s">
        <v>507</v>
      </c>
      <c r="C51">
        <v>20</v>
      </c>
      <c r="D51" s="6">
        <v>45616</v>
      </c>
      <c r="E51" t="s">
        <v>723</v>
      </c>
      <c r="F51" s="1">
        <f>VLOOKUP(E51,'[2]SỔ CHI TIẾT MUA HÀNG'!$I:$K,3,0)</f>
        <v>33000</v>
      </c>
      <c r="G51" s="1">
        <v>33000</v>
      </c>
      <c r="H51" s="2">
        <f t="shared" si="0"/>
        <v>660000</v>
      </c>
    </row>
    <row r="52" spans="1:8" x14ac:dyDescent="0.3">
      <c r="A52" t="s">
        <v>83</v>
      </c>
      <c r="B52" t="s">
        <v>507</v>
      </c>
      <c r="C52">
        <v>6</v>
      </c>
      <c r="D52" s="6">
        <v>45616</v>
      </c>
      <c r="E52" t="s">
        <v>730</v>
      </c>
      <c r="F52" s="1">
        <v>30000</v>
      </c>
      <c r="G52" s="1">
        <v>30000</v>
      </c>
      <c r="H52" s="2">
        <f t="shared" si="0"/>
        <v>180000</v>
      </c>
    </row>
    <row r="53" spans="1:8" x14ac:dyDescent="0.3">
      <c r="A53" t="s">
        <v>84</v>
      </c>
      <c r="B53" t="s">
        <v>27</v>
      </c>
      <c r="C53">
        <v>10</v>
      </c>
      <c r="D53" s="6">
        <v>45616</v>
      </c>
      <c r="E53" t="s">
        <v>724</v>
      </c>
      <c r="F53" s="1">
        <f>VLOOKUP(E53,'[2]SỔ CHI TIẾT MUA HÀNG'!$I:$K,3,0)</f>
        <v>6800</v>
      </c>
      <c r="G53" s="1">
        <v>6800</v>
      </c>
      <c r="H53" s="2">
        <f t="shared" si="0"/>
        <v>68000</v>
      </c>
    </row>
  </sheetData>
  <autoFilter ref="A1:F53" xr:uid="{E3DE6F4A-03F2-478E-A594-37851942C604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4BCE-3BA6-4D0E-B774-CF16E9CA6346}">
  <sheetPr filterMode="1"/>
  <dimension ref="A1:I65"/>
  <sheetViews>
    <sheetView workbookViewId="0">
      <selection activeCell="I1" sqref="I1"/>
    </sheetView>
  </sheetViews>
  <sheetFormatPr defaultRowHeight="14.4" x14ac:dyDescent="0.3"/>
  <cols>
    <col min="1" max="1" width="20.6640625" customWidth="1"/>
    <col min="4" max="4" width="11.33203125" customWidth="1"/>
    <col min="5" max="5" width="37.44140625" customWidth="1"/>
    <col min="6" max="6" width="11.33203125" style="1" bestFit="1" customWidth="1"/>
    <col min="8" max="8" width="21.77734375" customWidth="1"/>
    <col min="9" max="9" width="17.88671875" customWidth="1"/>
  </cols>
  <sheetData>
    <row r="1" spans="1:9" x14ac:dyDescent="0.3">
      <c r="A1" t="s">
        <v>124</v>
      </c>
      <c r="B1" t="s">
        <v>5</v>
      </c>
      <c r="C1" t="s">
        <v>125</v>
      </c>
      <c r="D1" t="s">
        <v>679</v>
      </c>
      <c r="E1" t="s">
        <v>947</v>
      </c>
      <c r="I1" s="8">
        <f>SUM(H2:H65)</f>
        <v>51433700</v>
      </c>
    </row>
    <row r="2" spans="1:9" x14ac:dyDescent="0.3">
      <c r="A2" t="s">
        <v>78</v>
      </c>
      <c r="B2" t="s">
        <v>7</v>
      </c>
      <c r="C2">
        <v>22</v>
      </c>
      <c r="D2" s="6">
        <v>45615</v>
      </c>
      <c r="E2" t="s">
        <v>922</v>
      </c>
      <c r="F2" s="1">
        <f>VLOOKUP(E2,'[2]SỔ CHI TIẾT MUA HÀNG'!$I:$K,3,0)</f>
        <v>30000</v>
      </c>
      <c r="G2">
        <v>30000</v>
      </c>
      <c r="H2">
        <f>C2*G2</f>
        <v>660000</v>
      </c>
    </row>
    <row r="3" spans="1:9" x14ac:dyDescent="0.3">
      <c r="A3" t="s">
        <v>41</v>
      </c>
      <c r="B3" t="s">
        <v>42</v>
      </c>
      <c r="C3">
        <v>200</v>
      </c>
      <c r="D3" s="6">
        <v>45615</v>
      </c>
      <c r="E3" t="s">
        <v>682</v>
      </c>
      <c r="F3" s="1">
        <f>10000*0.3</f>
        <v>3000</v>
      </c>
      <c r="G3">
        <v>3000</v>
      </c>
      <c r="H3">
        <f t="shared" ref="H3:H60" si="0">C3*G3</f>
        <v>600000</v>
      </c>
    </row>
    <row r="4" spans="1:9" x14ac:dyDescent="0.3">
      <c r="A4" t="s">
        <v>41</v>
      </c>
      <c r="B4" t="s">
        <v>7</v>
      </c>
      <c r="C4">
        <v>20</v>
      </c>
      <c r="D4" s="6">
        <v>45615</v>
      </c>
      <c r="E4" t="s">
        <v>966</v>
      </c>
      <c r="F4" s="1">
        <v>3000</v>
      </c>
      <c r="G4">
        <v>3000</v>
      </c>
      <c r="H4">
        <f t="shared" si="0"/>
        <v>60000</v>
      </c>
    </row>
    <row r="5" spans="1:9" x14ac:dyDescent="0.3">
      <c r="A5" t="s">
        <v>43</v>
      </c>
      <c r="B5" t="s">
        <v>44</v>
      </c>
      <c r="C5">
        <v>110</v>
      </c>
      <c r="D5" s="6">
        <v>45615</v>
      </c>
      <c r="E5" t="s">
        <v>923</v>
      </c>
      <c r="F5" s="1">
        <f>F6*0.3</f>
        <v>3300</v>
      </c>
      <c r="G5">
        <v>3300</v>
      </c>
      <c r="H5">
        <f t="shared" si="0"/>
        <v>363000</v>
      </c>
    </row>
    <row r="6" spans="1:9" x14ac:dyDescent="0.3">
      <c r="A6" t="s">
        <v>43</v>
      </c>
      <c r="B6" t="s">
        <v>7</v>
      </c>
      <c r="C6">
        <v>40</v>
      </c>
      <c r="D6" s="6">
        <v>45615</v>
      </c>
      <c r="E6" t="s">
        <v>924</v>
      </c>
      <c r="F6" s="1">
        <f>VLOOKUP(E6,'[2]SỔ CHI TIẾT MUA HÀNG'!$I:$K,3,0)</f>
        <v>11000</v>
      </c>
      <c r="G6">
        <v>11000</v>
      </c>
      <c r="H6">
        <f t="shared" si="0"/>
        <v>440000</v>
      </c>
    </row>
    <row r="7" spans="1:9" hidden="1" x14ac:dyDescent="0.3">
      <c r="A7" t="s">
        <v>67</v>
      </c>
      <c r="B7" t="s">
        <v>7</v>
      </c>
      <c r="C7">
        <v>0</v>
      </c>
      <c r="D7" s="6">
        <v>45615</v>
      </c>
      <c r="E7" t="s">
        <v>965</v>
      </c>
      <c r="F7" s="1">
        <v>0</v>
      </c>
      <c r="G7">
        <v>0</v>
      </c>
      <c r="H7">
        <f t="shared" si="0"/>
        <v>0</v>
      </c>
    </row>
    <row r="8" spans="1:9" x14ac:dyDescent="0.3">
      <c r="A8" t="s">
        <v>17</v>
      </c>
      <c r="B8" t="s">
        <v>7</v>
      </c>
      <c r="C8">
        <v>20</v>
      </c>
      <c r="D8" s="6">
        <v>45615</v>
      </c>
      <c r="E8" t="s">
        <v>925</v>
      </c>
      <c r="F8" s="1">
        <f>VLOOKUP(E8,'[2]SỔ CHI TIẾT MUA HÀNG'!$I:$K,3,0)</f>
        <v>39000</v>
      </c>
      <c r="G8">
        <v>39000</v>
      </c>
      <c r="H8">
        <f t="shared" si="0"/>
        <v>780000</v>
      </c>
    </row>
    <row r="9" spans="1:9" x14ac:dyDescent="0.3">
      <c r="A9" t="s">
        <v>17</v>
      </c>
      <c r="B9" t="s">
        <v>7</v>
      </c>
      <c r="C9">
        <v>45</v>
      </c>
      <c r="D9" s="6">
        <v>45615</v>
      </c>
      <c r="E9" t="s">
        <v>925</v>
      </c>
      <c r="F9" s="1">
        <f>VLOOKUP(E9,'[2]SỔ CHI TIẾT MUA HÀNG'!$I:$K,3,0)</f>
        <v>39000</v>
      </c>
      <c r="G9">
        <v>39000</v>
      </c>
      <c r="H9">
        <f t="shared" si="0"/>
        <v>1755000</v>
      </c>
    </row>
    <row r="10" spans="1:9" x14ac:dyDescent="0.3">
      <c r="A10" t="s">
        <v>18</v>
      </c>
      <c r="B10" t="s">
        <v>9</v>
      </c>
      <c r="C10">
        <v>72</v>
      </c>
      <c r="D10" s="6">
        <v>45615</v>
      </c>
      <c r="E10" t="s">
        <v>687</v>
      </c>
      <c r="F10" s="1">
        <f>57000/5</f>
        <v>11400</v>
      </c>
      <c r="G10">
        <v>11400</v>
      </c>
      <c r="H10">
        <f t="shared" si="0"/>
        <v>820800</v>
      </c>
    </row>
    <row r="11" spans="1:9" x14ac:dyDescent="0.3">
      <c r="A11" t="s">
        <v>45</v>
      </c>
      <c r="B11" t="s">
        <v>7</v>
      </c>
      <c r="C11">
        <v>60</v>
      </c>
      <c r="D11" s="6">
        <v>45615</v>
      </c>
      <c r="E11" t="s">
        <v>688</v>
      </c>
      <c r="F11" s="1">
        <v>20000</v>
      </c>
      <c r="G11">
        <v>20000</v>
      </c>
      <c r="H11">
        <f t="shared" si="0"/>
        <v>1200000</v>
      </c>
    </row>
    <row r="12" spans="1:9" x14ac:dyDescent="0.3">
      <c r="A12" t="s">
        <v>89</v>
      </c>
      <c r="B12" t="s">
        <v>105</v>
      </c>
      <c r="C12">
        <v>100</v>
      </c>
      <c r="D12" s="6">
        <v>45615</v>
      </c>
      <c r="E12" t="s">
        <v>689</v>
      </c>
      <c r="F12" s="1">
        <f>19000/2</f>
        <v>9500</v>
      </c>
      <c r="G12">
        <v>9500</v>
      </c>
      <c r="H12">
        <f t="shared" si="0"/>
        <v>950000</v>
      </c>
    </row>
    <row r="13" spans="1:9" x14ac:dyDescent="0.3">
      <c r="A13" t="s">
        <v>89</v>
      </c>
      <c r="B13" t="s">
        <v>7</v>
      </c>
      <c r="C13">
        <v>65</v>
      </c>
      <c r="D13" s="6">
        <v>45615</v>
      </c>
      <c r="E13" t="s">
        <v>967</v>
      </c>
      <c r="F13" s="1">
        <f>VLOOKUP(E13,'[2]SỔ CHI TIẾT MUA HÀNG'!$I:$K,3,0)</f>
        <v>19000</v>
      </c>
      <c r="G13">
        <v>19000</v>
      </c>
      <c r="H13">
        <f t="shared" si="0"/>
        <v>1235000</v>
      </c>
    </row>
    <row r="14" spans="1:9" x14ac:dyDescent="0.3">
      <c r="A14" t="s">
        <v>70</v>
      </c>
      <c r="B14" t="s">
        <v>106</v>
      </c>
      <c r="C14">
        <v>140</v>
      </c>
      <c r="D14" s="6">
        <v>45615</v>
      </c>
      <c r="E14" t="s">
        <v>926</v>
      </c>
      <c r="F14" s="1">
        <f>VLOOKUP(E14,'[2]SỔ CHI TIẾT MUA HÀNG'!$I:$K,3,0)</f>
        <v>10500</v>
      </c>
      <c r="G14">
        <v>10500</v>
      </c>
      <c r="H14">
        <f t="shared" si="0"/>
        <v>1470000</v>
      </c>
    </row>
    <row r="15" spans="1:9" x14ac:dyDescent="0.3">
      <c r="A15" t="s">
        <v>70</v>
      </c>
      <c r="B15" t="s">
        <v>7</v>
      </c>
      <c r="C15">
        <v>30</v>
      </c>
      <c r="D15" s="6">
        <v>45615</v>
      </c>
      <c r="E15" t="s">
        <v>968</v>
      </c>
      <c r="F15" s="1">
        <f>10500/3*10</f>
        <v>35000</v>
      </c>
      <c r="G15">
        <v>35000</v>
      </c>
      <c r="H15">
        <f t="shared" si="0"/>
        <v>1050000</v>
      </c>
    </row>
    <row r="16" spans="1:9" x14ac:dyDescent="0.3">
      <c r="A16" t="s">
        <v>47</v>
      </c>
      <c r="B16" t="s">
        <v>48</v>
      </c>
      <c r="C16">
        <v>70</v>
      </c>
      <c r="D16" s="6">
        <v>45615</v>
      </c>
      <c r="E16" t="s">
        <v>691</v>
      </c>
      <c r="F16" s="1">
        <f>51500*0.3</f>
        <v>15450</v>
      </c>
      <c r="G16">
        <v>15450</v>
      </c>
      <c r="H16">
        <f t="shared" si="0"/>
        <v>1081500</v>
      </c>
    </row>
    <row r="17" spans="1:8" x14ac:dyDescent="0.3">
      <c r="A17" t="s">
        <v>49</v>
      </c>
      <c r="B17" t="s">
        <v>106</v>
      </c>
      <c r="C17">
        <v>60</v>
      </c>
      <c r="D17" s="6">
        <v>45615</v>
      </c>
      <c r="E17" t="s">
        <v>692</v>
      </c>
      <c r="F17" s="1">
        <f>41500*0.3</f>
        <v>12450</v>
      </c>
      <c r="G17">
        <v>12450</v>
      </c>
      <c r="H17">
        <f t="shared" si="0"/>
        <v>747000</v>
      </c>
    </row>
    <row r="18" spans="1:8" x14ac:dyDescent="0.3">
      <c r="A18" t="s">
        <v>50</v>
      </c>
      <c r="B18" t="s">
        <v>7</v>
      </c>
      <c r="C18">
        <v>60</v>
      </c>
      <c r="D18" s="6">
        <v>45615</v>
      </c>
      <c r="E18" t="s">
        <v>927</v>
      </c>
      <c r="F18" s="1">
        <f>VLOOKUP(E18,'[2]SỔ CHI TIẾT MUA HÀNG'!$I:$K,3,0)</f>
        <v>15000</v>
      </c>
      <c r="G18">
        <v>15000</v>
      </c>
      <c r="H18">
        <f t="shared" si="0"/>
        <v>900000</v>
      </c>
    </row>
    <row r="19" spans="1:8" x14ac:dyDescent="0.3">
      <c r="A19" t="s">
        <v>50</v>
      </c>
      <c r="B19" t="s">
        <v>7</v>
      </c>
      <c r="C19">
        <v>100</v>
      </c>
      <c r="D19" s="6">
        <v>45615</v>
      </c>
      <c r="E19" t="s">
        <v>927</v>
      </c>
      <c r="F19" s="1">
        <f>VLOOKUP(E19,'[2]SỔ CHI TIẾT MUA HÀNG'!$I:$K,3,0)</f>
        <v>15000</v>
      </c>
      <c r="G19">
        <v>15000</v>
      </c>
      <c r="H19">
        <f t="shared" si="0"/>
        <v>1500000</v>
      </c>
    </row>
    <row r="20" spans="1:8" x14ac:dyDescent="0.3">
      <c r="A20" t="s">
        <v>6</v>
      </c>
      <c r="B20" t="s">
        <v>7</v>
      </c>
      <c r="C20">
        <v>60</v>
      </c>
      <c r="D20" s="6">
        <v>45615</v>
      </c>
      <c r="E20" t="s">
        <v>694</v>
      </c>
      <c r="F20" s="1">
        <v>15000</v>
      </c>
      <c r="G20">
        <v>15000</v>
      </c>
      <c r="H20">
        <f t="shared" si="0"/>
        <v>900000</v>
      </c>
    </row>
    <row r="21" spans="1:8" x14ac:dyDescent="0.3">
      <c r="A21" t="s">
        <v>6</v>
      </c>
      <c r="B21" t="s">
        <v>7</v>
      </c>
      <c r="C21">
        <v>45</v>
      </c>
      <c r="D21" s="6">
        <v>45615</v>
      </c>
      <c r="E21" t="s">
        <v>975</v>
      </c>
      <c r="F21" s="1">
        <v>15000</v>
      </c>
      <c r="G21">
        <v>15000</v>
      </c>
      <c r="H21">
        <f t="shared" si="0"/>
        <v>675000</v>
      </c>
    </row>
    <row r="22" spans="1:8" x14ac:dyDescent="0.3">
      <c r="A22" t="s">
        <v>8</v>
      </c>
      <c r="B22" t="s">
        <v>7</v>
      </c>
      <c r="C22">
        <v>10</v>
      </c>
      <c r="D22" s="6">
        <v>45615</v>
      </c>
      <c r="E22" t="s">
        <v>969</v>
      </c>
      <c r="F22" s="1">
        <f>52000/5</f>
        <v>10400</v>
      </c>
      <c r="G22">
        <v>10400</v>
      </c>
      <c r="H22">
        <f t="shared" si="0"/>
        <v>104000</v>
      </c>
    </row>
    <row r="23" spans="1:8" x14ac:dyDescent="0.3">
      <c r="A23" t="s">
        <v>20</v>
      </c>
      <c r="B23" t="s">
        <v>7</v>
      </c>
      <c r="C23">
        <v>70</v>
      </c>
      <c r="D23" s="6">
        <v>45615</v>
      </c>
      <c r="E23" t="s">
        <v>928</v>
      </c>
      <c r="F23" s="1">
        <f>VLOOKUP(E23,'[2]SỔ CHI TIẾT MUA HÀNG'!$I:$K,3,0)</f>
        <v>26000</v>
      </c>
      <c r="G23">
        <v>26000</v>
      </c>
      <c r="H23">
        <f t="shared" si="0"/>
        <v>1820000</v>
      </c>
    </row>
    <row r="24" spans="1:8" x14ac:dyDescent="0.3">
      <c r="A24" t="s">
        <v>23</v>
      </c>
      <c r="B24" t="s">
        <v>22</v>
      </c>
      <c r="C24">
        <v>76</v>
      </c>
      <c r="D24" s="6">
        <v>45615</v>
      </c>
      <c r="E24" t="s">
        <v>929</v>
      </c>
      <c r="F24" s="1">
        <f>9900</f>
        <v>9900</v>
      </c>
      <c r="G24">
        <v>9900</v>
      </c>
      <c r="H24">
        <f t="shared" si="0"/>
        <v>752400</v>
      </c>
    </row>
    <row r="25" spans="1:8" x14ac:dyDescent="0.3">
      <c r="A25" t="s">
        <v>26</v>
      </c>
      <c r="B25" t="s">
        <v>27</v>
      </c>
      <c r="C25">
        <v>110</v>
      </c>
      <c r="D25" s="6">
        <v>45615</v>
      </c>
      <c r="E25" t="s">
        <v>930</v>
      </c>
      <c r="F25" s="1">
        <f>17000/2</f>
        <v>8500</v>
      </c>
      <c r="G25">
        <v>8500</v>
      </c>
      <c r="H25">
        <f t="shared" si="0"/>
        <v>935000</v>
      </c>
    </row>
    <row r="26" spans="1:8" x14ac:dyDescent="0.3">
      <c r="A26" t="s">
        <v>51</v>
      </c>
      <c r="B26" t="s">
        <v>9</v>
      </c>
      <c r="C26">
        <v>25</v>
      </c>
      <c r="D26" s="6">
        <v>45615</v>
      </c>
      <c r="E26" t="s">
        <v>931</v>
      </c>
      <c r="F26" s="1">
        <f>26000/4</f>
        <v>6500</v>
      </c>
      <c r="G26">
        <v>6500</v>
      </c>
      <c r="H26">
        <f t="shared" si="0"/>
        <v>162500</v>
      </c>
    </row>
    <row r="27" spans="1:8" x14ac:dyDescent="0.3">
      <c r="A27" t="s">
        <v>103</v>
      </c>
      <c r="B27" t="s">
        <v>48</v>
      </c>
      <c r="C27">
        <v>24</v>
      </c>
      <c r="D27" s="6">
        <v>45615</v>
      </c>
      <c r="E27" t="s">
        <v>932</v>
      </c>
      <c r="F27" s="1">
        <f>VLOOKUP(E27,'[2]SỔ CHI TIẾT MUA HÀNG'!$I:$K,3,0)</f>
        <v>14000</v>
      </c>
      <c r="G27">
        <v>14000</v>
      </c>
      <c r="H27">
        <f t="shared" si="0"/>
        <v>336000</v>
      </c>
    </row>
    <row r="28" spans="1:8" x14ac:dyDescent="0.3">
      <c r="A28" t="s">
        <v>10</v>
      </c>
      <c r="B28" t="s">
        <v>7</v>
      </c>
      <c r="C28">
        <v>20</v>
      </c>
      <c r="D28" s="6">
        <v>45615</v>
      </c>
      <c r="E28" t="s">
        <v>933</v>
      </c>
      <c r="F28" s="1">
        <f>VLOOKUP(E28,'[2]SỔ CHI TIẾT MUA HÀNG'!$I:$K,3,0)</f>
        <v>6000</v>
      </c>
      <c r="G28">
        <v>6000</v>
      </c>
      <c r="H28">
        <f t="shared" si="0"/>
        <v>120000</v>
      </c>
    </row>
    <row r="29" spans="1:8" x14ac:dyDescent="0.3">
      <c r="A29" t="s">
        <v>11</v>
      </c>
      <c r="B29" t="s">
        <v>7</v>
      </c>
      <c r="C29">
        <v>45</v>
      </c>
      <c r="D29" s="6">
        <v>45615</v>
      </c>
      <c r="E29" t="s">
        <v>934</v>
      </c>
      <c r="F29" s="1">
        <f>VLOOKUP(E29,'[2]SỔ CHI TIẾT MUA HÀNG'!$I:$K,3,0)</f>
        <v>18000</v>
      </c>
      <c r="G29">
        <v>18000</v>
      </c>
      <c r="H29">
        <f t="shared" si="0"/>
        <v>810000</v>
      </c>
    </row>
    <row r="30" spans="1:8" x14ac:dyDescent="0.3">
      <c r="A30" t="s">
        <v>11</v>
      </c>
      <c r="B30" t="s">
        <v>7</v>
      </c>
      <c r="C30">
        <v>10</v>
      </c>
      <c r="D30" s="6">
        <v>45615</v>
      </c>
      <c r="E30" t="s">
        <v>934</v>
      </c>
      <c r="F30" s="1">
        <f>VLOOKUP(E30,'[2]SỔ CHI TIẾT MUA HÀNG'!$I:$K,3,0)</f>
        <v>18000</v>
      </c>
      <c r="G30">
        <v>18000</v>
      </c>
      <c r="H30">
        <f t="shared" si="0"/>
        <v>180000</v>
      </c>
    </row>
    <row r="31" spans="1:8" x14ac:dyDescent="0.3">
      <c r="A31" t="s">
        <v>12</v>
      </c>
      <c r="B31" t="s">
        <v>7</v>
      </c>
      <c r="C31">
        <v>90</v>
      </c>
      <c r="D31" s="6">
        <v>45615</v>
      </c>
      <c r="E31" t="s">
        <v>935</v>
      </c>
      <c r="F31" s="1">
        <v>20000</v>
      </c>
      <c r="G31">
        <v>20000</v>
      </c>
      <c r="H31">
        <f t="shared" si="0"/>
        <v>1800000</v>
      </c>
    </row>
    <row r="32" spans="1:8" x14ac:dyDescent="0.3">
      <c r="A32" t="s">
        <v>13</v>
      </c>
      <c r="B32" t="s">
        <v>7</v>
      </c>
      <c r="C32">
        <v>100</v>
      </c>
      <c r="D32" s="6">
        <v>45615</v>
      </c>
      <c r="E32" t="s">
        <v>936</v>
      </c>
      <c r="F32" s="1">
        <v>26000</v>
      </c>
      <c r="G32">
        <v>26000</v>
      </c>
      <c r="H32">
        <f t="shared" si="0"/>
        <v>2600000</v>
      </c>
    </row>
    <row r="33" spans="1:8" x14ac:dyDescent="0.3">
      <c r="A33" t="s">
        <v>14</v>
      </c>
      <c r="B33" t="s">
        <v>7</v>
      </c>
      <c r="C33">
        <v>80</v>
      </c>
      <c r="D33" s="6">
        <v>45615</v>
      </c>
      <c r="E33" t="s">
        <v>937</v>
      </c>
      <c r="F33" s="1">
        <f>VLOOKUP(E33,'[2]SỔ CHI TIẾT MUA HÀNG'!$I:$K,3,0)</f>
        <v>17000</v>
      </c>
      <c r="G33">
        <v>17000</v>
      </c>
      <c r="H33">
        <f t="shared" si="0"/>
        <v>1360000</v>
      </c>
    </row>
    <row r="34" spans="1:8" x14ac:dyDescent="0.3">
      <c r="A34" t="s">
        <v>15</v>
      </c>
      <c r="B34" t="s">
        <v>7</v>
      </c>
      <c r="C34">
        <v>20</v>
      </c>
      <c r="D34" s="6">
        <v>45615</v>
      </c>
      <c r="E34" t="s">
        <v>938</v>
      </c>
      <c r="F34" s="1">
        <f>VLOOKUP(E34,'[2]SỔ CHI TIẾT MUA HÀNG'!$I:$K,3,0)</f>
        <v>30000</v>
      </c>
      <c r="G34">
        <v>30000</v>
      </c>
      <c r="H34">
        <f t="shared" si="0"/>
        <v>600000</v>
      </c>
    </row>
    <row r="35" spans="1:8" x14ac:dyDescent="0.3">
      <c r="A35" t="s">
        <v>93</v>
      </c>
      <c r="B35" t="s">
        <v>7</v>
      </c>
      <c r="C35">
        <v>30</v>
      </c>
      <c r="D35" s="6">
        <v>45615</v>
      </c>
      <c r="E35" t="s">
        <v>939</v>
      </c>
      <c r="F35" s="1">
        <f>VLOOKUP(E35,'[2]SỔ CHI TIẾT MUA HÀNG'!$I:$K,3,0)</f>
        <v>15000</v>
      </c>
      <c r="G35">
        <v>15000</v>
      </c>
      <c r="H35">
        <f t="shared" si="0"/>
        <v>450000</v>
      </c>
    </row>
    <row r="36" spans="1:8" x14ac:dyDescent="0.3">
      <c r="A36" t="s">
        <v>16</v>
      </c>
      <c r="B36" t="s">
        <v>7</v>
      </c>
      <c r="C36">
        <v>10</v>
      </c>
      <c r="D36" s="6">
        <v>45615</v>
      </c>
      <c r="E36" t="s">
        <v>940</v>
      </c>
      <c r="F36" s="1">
        <f>VLOOKUP(E36,'[2]SỔ CHI TIẾT MUA HÀNG'!$I:$K,3,0)</f>
        <v>18000</v>
      </c>
      <c r="G36">
        <v>18000</v>
      </c>
      <c r="H36">
        <f t="shared" si="0"/>
        <v>180000</v>
      </c>
    </row>
    <row r="37" spans="1:8" x14ac:dyDescent="0.3">
      <c r="A37" t="s">
        <v>87</v>
      </c>
      <c r="B37" t="s">
        <v>107</v>
      </c>
      <c r="C37">
        <v>35</v>
      </c>
      <c r="D37" s="6">
        <v>45615</v>
      </c>
      <c r="E37" t="s">
        <v>941</v>
      </c>
      <c r="F37" s="1">
        <f>VLOOKUP(E37,'[2]SỔ CHI TIẾT MUA HÀNG'!$I:$K,3,0)</f>
        <v>6000</v>
      </c>
      <c r="G37">
        <v>6000</v>
      </c>
      <c r="H37">
        <f t="shared" si="0"/>
        <v>210000</v>
      </c>
    </row>
    <row r="38" spans="1:8" x14ac:dyDescent="0.3">
      <c r="A38" t="s">
        <v>95</v>
      </c>
      <c r="B38" t="s">
        <v>7</v>
      </c>
      <c r="C38">
        <v>4</v>
      </c>
      <c r="D38" s="6">
        <v>45615</v>
      </c>
      <c r="E38" t="s">
        <v>942</v>
      </c>
      <c r="F38" s="1">
        <v>80000</v>
      </c>
      <c r="G38">
        <v>80000</v>
      </c>
      <c r="H38">
        <f t="shared" si="0"/>
        <v>320000</v>
      </c>
    </row>
    <row r="39" spans="1:8" x14ac:dyDescent="0.3">
      <c r="A39" t="s">
        <v>53</v>
      </c>
      <c r="B39" t="s">
        <v>9</v>
      </c>
      <c r="C39">
        <v>350</v>
      </c>
      <c r="D39" s="6">
        <v>45615</v>
      </c>
      <c r="E39" t="s">
        <v>943</v>
      </c>
      <c r="F39" s="1">
        <f>VLOOKUP(E39,'[2]SỔ CHI TIẾT MUA HÀNG'!$I:$K,3,0)</f>
        <v>4500</v>
      </c>
      <c r="G39">
        <v>4500</v>
      </c>
      <c r="H39">
        <f t="shared" si="0"/>
        <v>1575000</v>
      </c>
    </row>
    <row r="40" spans="1:8" x14ac:dyDescent="0.3">
      <c r="A40" t="s">
        <v>53</v>
      </c>
      <c r="B40" t="s">
        <v>7</v>
      </c>
      <c r="C40">
        <v>80</v>
      </c>
      <c r="D40" s="6">
        <v>45615</v>
      </c>
      <c r="E40" t="s">
        <v>970</v>
      </c>
      <c r="F40" s="1">
        <v>4500</v>
      </c>
      <c r="G40">
        <v>4500</v>
      </c>
      <c r="H40">
        <f t="shared" si="0"/>
        <v>360000</v>
      </c>
    </row>
    <row r="41" spans="1:8" x14ac:dyDescent="0.3">
      <c r="A41" t="s">
        <v>55</v>
      </c>
      <c r="B41" t="s">
        <v>22</v>
      </c>
      <c r="C41">
        <v>30</v>
      </c>
      <c r="D41" s="6">
        <v>45615</v>
      </c>
      <c r="E41" t="s">
        <v>944</v>
      </c>
      <c r="F41" s="1">
        <v>6000</v>
      </c>
      <c r="G41">
        <v>6000</v>
      </c>
      <c r="H41">
        <f t="shared" si="0"/>
        <v>180000</v>
      </c>
    </row>
    <row r="42" spans="1:8" x14ac:dyDescent="0.3">
      <c r="A42" t="s">
        <v>28</v>
      </c>
      <c r="B42" t="s">
        <v>7</v>
      </c>
      <c r="C42">
        <v>10</v>
      </c>
      <c r="D42" s="6">
        <v>45615</v>
      </c>
      <c r="E42" t="s">
        <v>945</v>
      </c>
      <c r="F42" s="1">
        <f>VLOOKUP(E42,'[2]SỔ CHI TIẾT MUA HÀNG'!$I:$K,3,0)</f>
        <v>36000</v>
      </c>
      <c r="G42">
        <v>36000</v>
      </c>
      <c r="H42">
        <f t="shared" si="0"/>
        <v>360000</v>
      </c>
    </row>
    <row r="43" spans="1:8" x14ac:dyDescent="0.3">
      <c r="A43" t="s">
        <v>28</v>
      </c>
      <c r="B43" t="s">
        <v>27</v>
      </c>
      <c r="C43">
        <v>60</v>
      </c>
      <c r="D43" s="6">
        <v>45615</v>
      </c>
      <c r="E43" t="s">
        <v>946</v>
      </c>
      <c r="F43" s="1">
        <f>F44/5</f>
        <v>7200</v>
      </c>
      <c r="G43">
        <v>7200</v>
      </c>
      <c r="H43">
        <f t="shared" si="0"/>
        <v>432000</v>
      </c>
    </row>
    <row r="44" spans="1:8" x14ac:dyDescent="0.3">
      <c r="A44" t="s">
        <v>28</v>
      </c>
      <c r="B44" t="s">
        <v>7</v>
      </c>
      <c r="C44">
        <v>5</v>
      </c>
      <c r="D44" s="6">
        <v>45615</v>
      </c>
      <c r="E44" t="s">
        <v>945</v>
      </c>
      <c r="F44" s="1">
        <f>VLOOKUP(E44,'[2]SỔ CHI TIẾT MUA HÀNG'!$I:$K,3,0)</f>
        <v>36000</v>
      </c>
      <c r="G44">
        <v>36000</v>
      </c>
      <c r="H44">
        <f t="shared" si="0"/>
        <v>180000</v>
      </c>
    </row>
    <row r="45" spans="1:8" x14ac:dyDescent="0.3">
      <c r="A45" t="s">
        <v>29</v>
      </c>
      <c r="B45" t="s">
        <v>22</v>
      </c>
      <c r="C45">
        <v>400</v>
      </c>
      <c r="D45" s="6">
        <v>45615</v>
      </c>
      <c r="E45" t="s">
        <v>948</v>
      </c>
      <c r="F45" s="1">
        <v>2000</v>
      </c>
      <c r="G45">
        <v>2000</v>
      </c>
      <c r="H45">
        <f t="shared" si="0"/>
        <v>800000</v>
      </c>
    </row>
    <row r="46" spans="1:8" x14ac:dyDescent="0.3">
      <c r="A46" t="s">
        <v>29</v>
      </c>
      <c r="B46" t="s">
        <v>7</v>
      </c>
      <c r="C46">
        <v>10</v>
      </c>
      <c r="D46" s="6">
        <v>45615</v>
      </c>
      <c r="E46" t="s">
        <v>971</v>
      </c>
      <c r="F46" s="1">
        <f>VLOOKUP(E46,'[2]SỔ CHI TIẾT MUA HÀNG'!$I:$K,3,0)</f>
        <v>40000</v>
      </c>
      <c r="G46">
        <v>40000</v>
      </c>
      <c r="H46">
        <f t="shared" si="0"/>
        <v>400000</v>
      </c>
    </row>
    <row r="47" spans="1:8" x14ac:dyDescent="0.3">
      <c r="A47" t="s">
        <v>30</v>
      </c>
      <c r="B47" t="s">
        <v>7</v>
      </c>
      <c r="C47">
        <v>10</v>
      </c>
      <c r="D47" s="6">
        <v>45615</v>
      </c>
      <c r="E47" t="s">
        <v>949</v>
      </c>
      <c r="F47" s="1">
        <f>VLOOKUP(E47,'[2]SỔ CHI TIẾT MUA HÀNG'!$I:$K,3,0)</f>
        <v>13000</v>
      </c>
      <c r="G47">
        <v>13000</v>
      </c>
      <c r="H47">
        <f t="shared" si="0"/>
        <v>130000</v>
      </c>
    </row>
    <row r="48" spans="1:8" x14ac:dyDescent="0.3">
      <c r="A48" t="s">
        <v>101</v>
      </c>
      <c r="B48" t="s">
        <v>7</v>
      </c>
      <c r="C48">
        <v>0.5</v>
      </c>
      <c r="D48" s="6">
        <v>45615</v>
      </c>
      <c r="E48" t="s">
        <v>950</v>
      </c>
      <c r="F48" s="1">
        <f>VLOOKUP(E48,'[2]SỔ CHI TIẾT MUA HÀNG'!$I:$K,3,0)</f>
        <v>100000</v>
      </c>
      <c r="G48">
        <v>100000</v>
      </c>
      <c r="H48">
        <f t="shared" si="0"/>
        <v>50000</v>
      </c>
    </row>
    <row r="49" spans="1:8" x14ac:dyDescent="0.3">
      <c r="A49" t="s">
        <v>57</v>
      </c>
      <c r="B49" t="s">
        <v>7</v>
      </c>
      <c r="C49">
        <v>27</v>
      </c>
      <c r="D49" s="6">
        <v>45615</v>
      </c>
      <c r="E49" t="s">
        <v>951</v>
      </c>
      <c r="F49" s="1">
        <f>VLOOKUP(E49,'[2]SỔ CHI TIẾT MUA HÀNG'!$I:$K,3,0)</f>
        <v>44000</v>
      </c>
      <c r="G49">
        <v>44000</v>
      </c>
      <c r="H49">
        <f t="shared" si="0"/>
        <v>1188000</v>
      </c>
    </row>
    <row r="50" spans="1:8" x14ac:dyDescent="0.3">
      <c r="A50" t="s">
        <v>58</v>
      </c>
      <c r="B50" t="s">
        <v>59</v>
      </c>
      <c r="C50">
        <v>150</v>
      </c>
      <c r="D50" s="6">
        <v>45615</v>
      </c>
      <c r="E50" t="s">
        <v>952</v>
      </c>
      <c r="F50" s="1">
        <f>F51/4</f>
        <v>9250</v>
      </c>
      <c r="G50">
        <v>9250</v>
      </c>
      <c r="H50">
        <f t="shared" si="0"/>
        <v>1387500</v>
      </c>
    </row>
    <row r="51" spans="1:8" x14ac:dyDescent="0.3">
      <c r="A51" t="s">
        <v>58</v>
      </c>
      <c r="B51" t="s">
        <v>7</v>
      </c>
      <c r="C51">
        <v>40</v>
      </c>
      <c r="D51" s="6">
        <v>45615</v>
      </c>
      <c r="E51" t="s">
        <v>972</v>
      </c>
      <c r="F51" s="1">
        <f>VLOOKUP(E51,'[2]SỔ CHI TIẾT MUA HÀNG'!$I:$K,3,0)</f>
        <v>37000</v>
      </c>
      <c r="G51">
        <v>37000</v>
      </c>
      <c r="H51">
        <f t="shared" si="0"/>
        <v>1480000</v>
      </c>
    </row>
    <row r="52" spans="1:8" x14ac:dyDescent="0.3">
      <c r="A52" t="s">
        <v>61</v>
      </c>
      <c r="B52" t="s">
        <v>59</v>
      </c>
      <c r="C52">
        <v>200</v>
      </c>
      <c r="D52" s="6">
        <v>45615</v>
      </c>
      <c r="E52" t="s">
        <v>953</v>
      </c>
      <c r="F52" s="1">
        <f>F53/4</f>
        <v>4500</v>
      </c>
      <c r="G52">
        <v>4500</v>
      </c>
      <c r="H52">
        <f t="shared" si="0"/>
        <v>900000</v>
      </c>
    </row>
    <row r="53" spans="1:8" x14ac:dyDescent="0.3">
      <c r="A53" t="s">
        <v>61</v>
      </c>
      <c r="B53" t="s">
        <v>7</v>
      </c>
      <c r="C53">
        <v>10</v>
      </c>
      <c r="D53" s="6">
        <v>45615</v>
      </c>
      <c r="E53" t="s">
        <v>973</v>
      </c>
      <c r="F53" s="1">
        <f>VLOOKUP(E53,'[2]SỔ CHI TIẾT MUA HÀNG'!$I:$K,3,0)</f>
        <v>18000</v>
      </c>
      <c r="G53">
        <v>18000</v>
      </c>
      <c r="H53">
        <f t="shared" si="0"/>
        <v>180000</v>
      </c>
    </row>
    <row r="54" spans="1:8" x14ac:dyDescent="0.3">
      <c r="A54" t="s">
        <v>62</v>
      </c>
      <c r="B54" t="s">
        <v>59</v>
      </c>
      <c r="C54">
        <v>100</v>
      </c>
      <c r="D54" s="6">
        <v>45615</v>
      </c>
      <c r="E54" t="s">
        <v>954</v>
      </c>
      <c r="F54" s="1">
        <f>27000/4</f>
        <v>6750</v>
      </c>
      <c r="G54">
        <v>6750</v>
      </c>
      <c r="H54">
        <f t="shared" si="0"/>
        <v>675000</v>
      </c>
    </row>
    <row r="55" spans="1:8" x14ac:dyDescent="0.3">
      <c r="A55" t="s">
        <v>97</v>
      </c>
      <c r="B55" t="s">
        <v>22</v>
      </c>
      <c r="C55">
        <v>100</v>
      </c>
      <c r="D55" s="6">
        <v>45615</v>
      </c>
      <c r="E55" t="s">
        <v>955</v>
      </c>
      <c r="F55" s="1">
        <f>VLOOKUP(E55,'[2]SỔ CHI TIẾT MUA HÀNG'!$I:$K,3,0)</f>
        <v>23000</v>
      </c>
      <c r="G55">
        <v>23000</v>
      </c>
      <c r="H55">
        <f t="shared" si="0"/>
        <v>2300000</v>
      </c>
    </row>
    <row r="56" spans="1:8" x14ac:dyDescent="0.3">
      <c r="A56" t="s">
        <v>97</v>
      </c>
      <c r="B56" t="s">
        <v>7</v>
      </c>
      <c r="C56">
        <v>20</v>
      </c>
      <c r="D56" s="6">
        <v>45615</v>
      </c>
      <c r="E56" t="s">
        <v>974</v>
      </c>
      <c r="F56" s="1">
        <v>65000</v>
      </c>
      <c r="G56">
        <v>65000</v>
      </c>
      <c r="H56">
        <f t="shared" si="0"/>
        <v>1300000</v>
      </c>
    </row>
    <row r="57" spans="1:8" x14ac:dyDescent="0.3">
      <c r="A57" t="s">
        <v>33</v>
      </c>
      <c r="B57" t="s">
        <v>7</v>
      </c>
      <c r="C57">
        <v>5</v>
      </c>
      <c r="D57" s="6">
        <v>45615</v>
      </c>
      <c r="E57" t="s">
        <v>956</v>
      </c>
      <c r="F57" s="1">
        <f>VLOOKUP(E57,'[2]SỔ CHI TIẾT MUA HÀNG'!$I:$K,3,0)</f>
        <v>35000</v>
      </c>
      <c r="G57">
        <v>35000</v>
      </c>
      <c r="H57">
        <f t="shared" si="0"/>
        <v>175000</v>
      </c>
    </row>
    <row r="58" spans="1:8" x14ac:dyDescent="0.3">
      <c r="A58" t="s">
        <v>34</v>
      </c>
      <c r="B58" t="s">
        <v>7</v>
      </c>
      <c r="C58">
        <v>80</v>
      </c>
      <c r="D58" s="6">
        <v>45615</v>
      </c>
      <c r="E58" t="s">
        <v>957</v>
      </c>
      <c r="F58" s="1">
        <f>VLOOKUP(E58,'[2]SỔ CHI TIẾT MUA HÀNG'!$I:$K,3,0)</f>
        <v>23000</v>
      </c>
      <c r="G58">
        <v>23000</v>
      </c>
      <c r="H58">
        <f t="shared" si="0"/>
        <v>1840000</v>
      </c>
    </row>
    <row r="59" spans="1:8" x14ac:dyDescent="0.3">
      <c r="A59" t="s">
        <v>35</v>
      </c>
      <c r="B59" t="s">
        <v>7</v>
      </c>
      <c r="C59">
        <v>110</v>
      </c>
      <c r="D59" s="6">
        <v>45615</v>
      </c>
      <c r="E59" t="s">
        <v>958</v>
      </c>
      <c r="F59" s="1">
        <f>VLOOKUP(E59,'[2]SỔ CHI TIẾT MUA HÀNG'!$I:$K,3,0)</f>
        <v>28000</v>
      </c>
      <c r="G59">
        <v>28000</v>
      </c>
      <c r="H59">
        <f t="shared" si="0"/>
        <v>3080000</v>
      </c>
    </row>
    <row r="60" spans="1:8" x14ac:dyDescent="0.3">
      <c r="A60" t="s">
        <v>36</v>
      </c>
      <c r="B60" t="s">
        <v>27</v>
      </c>
      <c r="C60">
        <v>100</v>
      </c>
      <c r="D60" s="6">
        <v>45615</v>
      </c>
      <c r="E60" t="s">
        <v>959</v>
      </c>
      <c r="F60" s="1">
        <f>VLOOKUP(E60,'[2]SỔ CHI TIẾT MUA HÀNG'!$I:$K,3,0)</f>
        <v>6800</v>
      </c>
      <c r="G60">
        <v>6800</v>
      </c>
      <c r="H60">
        <f t="shared" si="0"/>
        <v>680000</v>
      </c>
    </row>
    <row r="61" spans="1:8" x14ac:dyDescent="0.3">
      <c r="A61" t="s">
        <v>40</v>
      </c>
      <c r="B61" t="s">
        <v>7</v>
      </c>
      <c r="C61">
        <v>30</v>
      </c>
      <c r="D61" s="6">
        <v>45615</v>
      </c>
      <c r="E61" t="s">
        <v>960</v>
      </c>
      <c r="F61" s="1">
        <v>28000</v>
      </c>
      <c r="G61">
        <v>28000</v>
      </c>
      <c r="H61">
        <f t="shared" ref="H61:H65" si="1">C61*G61</f>
        <v>840000</v>
      </c>
    </row>
    <row r="62" spans="1:8" x14ac:dyDescent="0.3">
      <c r="A62" t="s">
        <v>38</v>
      </c>
      <c r="B62" t="s">
        <v>27</v>
      </c>
      <c r="C62">
        <v>20</v>
      </c>
      <c r="D62" s="6">
        <v>45615</v>
      </c>
      <c r="E62" t="s">
        <v>961</v>
      </c>
      <c r="F62" s="1">
        <f>VLOOKUP(E62,'[2]SỔ CHI TIẾT MUA HÀNG'!$I:$K,3,0)</f>
        <v>6800</v>
      </c>
      <c r="G62">
        <v>6800</v>
      </c>
      <c r="H62">
        <f t="shared" si="1"/>
        <v>136000</v>
      </c>
    </row>
    <row r="63" spans="1:8" x14ac:dyDescent="0.3">
      <c r="A63" t="s">
        <v>39</v>
      </c>
      <c r="B63" t="s">
        <v>7</v>
      </c>
      <c r="C63">
        <v>20</v>
      </c>
      <c r="D63" s="6">
        <v>45615</v>
      </c>
      <c r="E63" t="s">
        <v>962</v>
      </c>
      <c r="F63" s="1">
        <v>33000</v>
      </c>
      <c r="G63">
        <v>33000</v>
      </c>
      <c r="H63">
        <f t="shared" si="1"/>
        <v>660000</v>
      </c>
    </row>
    <row r="64" spans="1:8" x14ac:dyDescent="0.3">
      <c r="A64" t="s">
        <v>83</v>
      </c>
      <c r="B64" t="s">
        <v>7</v>
      </c>
      <c r="C64">
        <v>5</v>
      </c>
      <c r="D64" s="6">
        <v>45615</v>
      </c>
      <c r="E64" t="s">
        <v>963</v>
      </c>
      <c r="F64" s="1">
        <f>VLOOKUP(E64,'[2]SỔ CHI TIẾT MUA HÀNG'!$I:$K,3,0)</f>
        <v>30000</v>
      </c>
      <c r="G64">
        <v>30000</v>
      </c>
      <c r="H64">
        <f t="shared" si="1"/>
        <v>150000</v>
      </c>
    </row>
    <row r="65" spans="1:8" x14ac:dyDescent="0.3">
      <c r="A65" t="s">
        <v>84</v>
      </c>
      <c r="B65" t="s">
        <v>27</v>
      </c>
      <c r="C65">
        <v>10</v>
      </c>
      <c r="D65" s="6">
        <v>45615</v>
      </c>
      <c r="E65" t="s">
        <v>964</v>
      </c>
      <c r="F65" s="1">
        <f>VLOOKUP(E65,'[2]SỔ CHI TIẾT MUA HÀNG'!$I:$K,3,0)</f>
        <v>6800</v>
      </c>
      <c r="G65">
        <v>6800</v>
      </c>
      <c r="H65">
        <f t="shared" si="1"/>
        <v>68000</v>
      </c>
    </row>
  </sheetData>
  <autoFilter ref="A1:H65" xr:uid="{C6C54BCE-3BA6-4D0E-B774-CF16E9CA6346}">
    <filterColumn colId="7">
      <filters>
        <filter val="#VALUE!"/>
        <filter val="104000"/>
        <filter val="1050000"/>
        <filter val="1081500"/>
        <filter val="1188000"/>
        <filter val="120000"/>
        <filter val="1200000"/>
        <filter val="1235000"/>
        <filter val="130000"/>
        <filter val="1300000"/>
        <filter val="136000"/>
        <filter val="1360000"/>
        <filter val="1387500"/>
        <filter val="1470000"/>
        <filter val="1480000"/>
        <filter val="150000"/>
        <filter val="1500000"/>
        <filter val="1575000"/>
        <filter val="162500"/>
        <filter val="175000"/>
        <filter val="1755000"/>
        <filter val="180000"/>
        <filter val="1800000"/>
        <filter val="1820000"/>
        <filter val="1840000"/>
        <filter val="210000"/>
        <filter val="2300000"/>
        <filter val="2600000"/>
        <filter val="3080000"/>
        <filter val="320000"/>
        <filter val="336000"/>
        <filter val="360000"/>
        <filter val="363000"/>
        <filter val="400000"/>
        <filter val="432000"/>
        <filter val="440000"/>
        <filter val="450000"/>
        <filter val="50000"/>
        <filter val="60000"/>
        <filter val="600000"/>
        <filter val="660000"/>
        <filter val="675000"/>
        <filter val="68000"/>
        <filter val="680000"/>
        <filter val="747000"/>
        <filter val="752400"/>
        <filter val="780000"/>
        <filter val="800000"/>
        <filter val="810000"/>
        <filter val="820800"/>
        <filter val="840000"/>
        <filter val="900000"/>
        <filter val="935000"/>
        <filter val="950000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A5E8E-5A93-4145-BF19-AC792E8F7A5D}">
  <dimension ref="A1:G84"/>
  <sheetViews>
    <sheetView topLeftCell="A67" workbookViewId="0">
      <selection activeCell="E19" sqref="E19"/>
    </sheetView>
  </sheetViews>
  <sheetFormatPr defaultRowHeight="14.4" x14ac:dyDescent="0.3"/>
  <cols>
    <col min="1" max="1" width="17" customWidth="1"/>
    <col min="4" max="4" width="10.5546875" bestFit="1" customWidth="1"/>
    <col min="5" max="5" width="29.21875" customWidth="1"/>
    <col min="6" max="6" width="11.33203125" style="1" bestFit="1" customWidth="1"/>
    <col min="7" max="7" width="11" customWidth="1"/>
  </cols>
  <sheetData>
    <row r="1" spans="1:7" x14ac:dyDescent="0.3">
      <c r="A1" t="s">
        <v>78</v>
      </c>
      <c r="B1" t="s">
        <v>7</v>
      </c>
      <c r="C1">
        <v>24</v>
      </c>
      <c r="D1" s="6">
        <v>45614</v>
      </c>
      <c r="E1" t="s">
        <v>577</v>
      </c>
      <c r="F1" s="1">
        <f>VLOOKUP(E1,'[1]TIỀN MUA PHỤ'!$A:$B,2,0)</f>
        <v>30000</v>
      </c>
      <c r="G1" s="2">
        <f>C1*F1</f>
        <v>720000</v>
      </c>
    </row>
    <row r="2" spans="1:7" x14ac:dyDescent="0.3">
      <c r="A2" t="s">
        <v>80</v>
      </c>
      <c r="B2" t="s">
        <v>7</v>
      </c>
      <c r="C2">
        <v>2</v>
      </c>
      <c r="D2" s="6">
        <v>45614</v>
      </c>
      <c r="E2" t="s">
        <v>578</v>
      </c>
      <c r="F2" s="1">
        <f>VLOOKUP(E2,'[1]TIỀN MUA PHỤ'!$A:$B,2,0)</f>
        <v>10000</v>
      </c>
      <c r="G2" s="2">
        <f t="shared" ref="G2:G65" si="0">C2*F2</f>
        <v>20000</v>
      </c>
    </row>
    <row r="3" spans="1:7" x14ac:dyDescent="0.3">
      <c r="A3" t="s">
        <v>80</v>
      </c>
      <c r="B3" t="s">
        <v>44</v>
      </c>
      <c r="C3">
        <v>20</v>
      </c>
      <c r="D3" s="6">
        <v>45614</v>
      </c>
      <c r="E3" t="s">
        <v>578</v>
      </c>
      <c r="F3" s="1">
        <v>5000</v>
      </c>
      <c r="G3" s="2">
        <f t="shared" si="0"/>
        <v>100000</v>
      </c>
    </row>
    <row r="4" spans="1:7" x14ac:dyDescent="0.3">
      <c r="A4" t="s">
        <v>41</v>
      </c>
      <c r="B4" t="s">
        <v>7</v>
      </c>
      <c r="C4">
        <v>12</v>
      </c>
      <c r="D4" s="6">
        <v>45614</v>
      </c>
      <c r="E4" t="s">
        <v>579</v>
      </c>
      <c r="F4" s="1">
        <f>VLOOKUP(E4,'[1]TIỀN MUA PHỤ'!$A:$B,2,0)</f>
        <v>11000</v>
      </c>
      <c r="G4" s="2">
        <f t="shared" si="0"/>
        <v>132000</v>
      </c>
    </row>
    <row r="5" spans="1:7" x14ac:dyDescent="0.3">
      <c r="A5" t="s">
        <v>41</v>
      </c>
      <c r="B5" t="s">
        <v>42</v>
      </c>
      <c r="C5">
        <v>236</v>
      </c>
      <c r="D5" s="6">
        <v>45614</v>
      </c>
      <c r="E5" t="s">
        <v>579</v>
      </c>
      <c r="F5" s="1">
        <f>VLOOKUP(E5,'[1]TIỀN MUA PHỤ'!$A:$B,2,0)*0.3</f>
        <v>3300</v>
      </c>
      <c r="G5" s="2">
        <f t="shared" si="0"/>
        <v>778800</v>
      </c>
    </row>
    <row r="6" spans="1:7" x14ac:dyDescent="0.3">
      <c r="A6" t="s">
        <v>43</v>
      </c>
      <c r="B6" t="s">
        <v>44</v>
      </c>
      <c r="C6">
        <v>55</v>
      </c>
      <c r="D6" s="6">
        <v>45614</v>
      </c>
      <c r="E6" t="s">
        <v>580</v>
      </c>
      <c r="F6" s="1">
        <f>VLOOKUP(E6,'[1]TIỀN MUA PHỤ'!$A:$B,2,0)*0.3</f>
        <v>3000</v>
      </c>
      <c r="G6" s="2">
        <f t="shared" si="0"/>
        <v>165000</v>
      </c>
    </row>
    <row r="7" spans="1:7" x14ac:dyDescent="0.3">
      <c r="A7" t="s">
        <v>43</v>
      </c>
      <c r="B7" t="s">
        <v>7</v>
      </c>
      <c r="C7">
        <v>55</v>
      </c>
      <c r="D7" s="6">
        <v>45614</v>
      </c>
      <c r="E7" t="s">
        <v>580</v>
      </c>
      <c r="F7" s="1">
        <f>VLOOKUP(E7,'[1]TIỀN MUA PHỤ'!$A:$B,2,0)</f>
        <v>10000</v>
      </c>
      <c r="G7" s="2">
        <f t="shared" si="0"/>
        <v>550000</v>
      </c>
    </row>
    <row r="8" spans="1:7" x14ac:dyDescent="0.3">
      <c r="A8" t="s">
        <v>67</v>
      </c>
      <c r="B8" t="s">
        <v>7</v>
      </c>
      <c r="C8">
        <v>62</v>
      </c>
      <c r="D8" s="6">
        <v>45614</v>
      </c>
      <c r="E8" t="s">
        <v>581</v>
      </c>
      <c r="F8" s="1">
        <f>VLOOKUP(E8,'[1]TIỀN MUA PHỤ'!$A:$B,2,0)</f>
        <v>29000</v>
      </c>
      <c r="G8" s="2">
        <f t="shared" si="0"/>
        <v>1798000</v>
      </c>
    </row>
    <row r="9" spans="1:7" x14ac:dyDescent="0.3">
      <c r="A9" t="s">
        <v>17</v>
      </c>
      <c r="B9" t="s">
        <v>7</v>
      </c>
      <c r="C9">
        <v>18.5</v>
      </c>
      <c r="D9" s="6">
        <v>45614</v>
      </c>
      <c r="E9" t="s">
        <v>582</v>
      </c>
      <c r="F9" s="1">
        <f>VLOOKUP(E9,'[1]TIỀN MUA PHỤ'!$A:$B,2,0)</f>
        <v>39000</v>
      </c>
      <c r="G9" s="2">
        <f t="shared" si="0"/>
        <v>721500</v>
      </c>
    </row>
    <row r="10" spans="1:7" x14ac:dyDescent="0.3">
      <c r="A10" t="s">
        <v>18</v>
      </c>
      <c r="B10" t="s">
        <v>9</v>
      </c>
      <c r="C10">
        <v>52</v>
      </c>
      <c r="D10" s="6">
        <v>45614</v>
      </c>
      <c r="E10" t="s">
        <v>583</v>
      </c>
      <c r="F10" s="1">
        <f>VLOOKUP(E10,'[1]TIỀN MUA PHỤ'!$A:$B,2,0)/5</f>
        <v>11400</v>
      </c>
      <c r="G10" s="2">
        <f t="shared" si="0"/>
        <v>592800</v>
      </c>
    </row>
    <row r="11" spans="1:7" x14ac:dyDescent="0.3">
      <c r="A11" t="s">
        <v>45</v>
      </c>
      <c r="B11" t="s">
        <v>7</v>
      </c>
      <c r="C11">
        <v>170</v>
      </c>
      <c r="D11" s="6">
        <v>45614</v>
      </c>
      <c r="E11" t="s">
        <v>584</v>
      </c>
      <c r="F11" s="1">
        <f>VLOOKUP(E11,'[1]TIỀN MUA PHỤ'!$A:$B,2,0)</f>
        <v>22000</v>
      </c>
      <c r="G11" s="2">
        <f t="shared" si="0"/>
        <v>3740000</v>
      </c>
    </row>
    <row r="12" spans="1:7" x14ac:dyDescent="0.3">
      <c r="A12" t="s">
        <v>89</v>
      </c>
      <c r="B12" t="s">
        <v>7</v>
      </c>
      <c r="C12">
        <v>20</v>
      </c>
      <c r="D12" s="6">
        <v>45614</v>
      </c>
      <c r="E12" t="s">
        <v>585</v>
      </c>
      <c r="F12" s="1">
        <f>VLOOKUP(E12,'[1]TIỀN MUA PHỤ'!$A:$B,2,0)</f>
        <v>17000</v>
      </c>
      <c r="G12" s="2">
        <f t="shared" si="0"/>
        <v>340000</v>
      </c>
    </row>
    <row r="13" spans="1:7" x14ac:dyDescent="0.3">
      <c r="A13" t="s">
        <v>89</v>
      </c>
      <c r="B13" t="s">
        <v>105</v>
      </c>
      <c r="C13">
        <v>100</v>
      </c>
      <c r="D13" s="6">
        <v>45614</v>
      </c>
      <c r="E13" t="s">
        <v>585</v>
      </c>
      <c r="F13" s="1">
        <v>11000</v>
      </c>
      <c r="G13" s="2">
        <f t="shared" si="0"/>
        <v>1100000</v>
      </c>
    </row>
    <row r="14" spans="1:7" x14ac:dyDescent="0.3">
      <c r="A14" t="s">
        <v>70</v>
      </c>
      <c r="B14" t="s">
        <v>106</v>
      </c>
      <c r="C14">
        <v>70</v>
      </c>
      <c r="D14" s="6">
        <v>45614</v>
      </c>
      <c r="E14" t="s">
        <v>586</v>
      </c>
      <c r="F14" s="1">
        <f>35000*0.3</f>
        <v>10500</v>
      </c>
      <c r="G14" s="2">
        <f t="shared" si="0"/>
        <v>735000</v>
      </c>
    </row>
    <row r="15" spans="1:7" x14ac:dyDescent="0.3">
      <c r="A15" t="s">
        <v>70</v>
      </c>
      <c r="B15" t="s">
        <v>508</v>
      </c>
      <c r="C15">
        <v>3</v>
      </c>
      <c r="D15" s="6">
        <v>45614</v>
      </c>
      <c r="E15" t="s">
        <v>586</v>
      </c>
      <c r="F15" s="1">
        <f>VLOOKUP(E15,'[1]TIỀN MUA PHỤ'!$A:$B,2,0)</f>
        <v>17500</v>
      </c>
      <c r="G15" s="2">
        <f t="shared" si="0"/>
        <v>52500</v>
      </c>
    </row>
    <row r="16" spans="1:7" x14ac:dyDescent="0.3">
      <c r="A16" t="s">
        <v>47</v>
      </c>
      <c r="B16" t="s">
        <v>48</v>
      </c>
      <c r="C16">
        <v>100</v>
      </c>
      <c r="D16" s="6">
        <v>45614</v>
      </c>
      <c r="E16" t="s">
        <v>587</v>
      </c>
      <c r="F16" s="1">
        <f>56500*0.3</f>
        <v>16950</v>
      </c>
      <c r="G16" s="2">
        <f t="shared" si="0"/>
        <v>1695000</v>
      </c>
    </row>
    <row r="17" spans="1:7" x14ac:dyDescent="0.3">
      <c r="A17" t="s">
        <v>49</v>
      </c>
      <c r="B17" t="s">
        <v>106</v>
      </c>
      <c r="C17">
        <v>60</v>
      </c>
      <c r="D17" s="6">
        <v>45614</v>
      </c>
      <c r="E17" t="s">
        <v>588</v>
      </c>
      <c r="F17" s="1">
        <f>VLOOKUP(E17,'[1]TIỀN MUA PHỤ'!$A:$B,2,0)</f>
        <v>11000</v>
      </c>
      <c r="G17" s="2">
        <f t="shared" si="0"/>
        <v>660000</v>
      </c>
    </row>
    <row r="18" spans="1:7" ht="15" customHeight="1" x14ac:dyDescent="0.3">
      <c r="A18" t="s">
        <v>50</v>
      </c>
      <c r="B18" t="s">
        <v>7</v>
      </c>
      <c r="C18">
        <v>45</v>
      </c>
      <c r="D18" s="6">
        <v>45614</v>
      </c>
      <c r="E18" t="s">
        <v>589</v>
      </c>
      <c r="F18" s="1">
        <f>VLOOKUP(E18,'[1]TIỀN MUA PHỤ'!$A:$B,2,0)</f>
        <v>16000</v>
      </c>
      <c r="G18" s="2">
        <f t="shared" si="0"/>
        <v>720000</v>
      </c>
    </row>
    <row r="19" spans="1:7" x14ac:dyDescent="0.3">
      <c r="A19" t="s">
        <v>6</v>
      </c>
      <c r="B19" t="s">
        <v>7</v>
      </c>
      <c r="C19">
        <v>100</v>
      </c>
      <c r="D19" s="6">
        <v>45614</v>
      </c>
      <c r="E19" t="s">
        <v>590</v>
      </c>
      <c r="F19" s="1">
        <f>VLOOKUP(E19,'[1]TIỀN MUA PHỤ'!$A:$B,2,0)</f>
        <v>14000</v>
      </c>
      <c r="G19" s="2">
        <f t="shared" si="0"/>
        <v>1400000</v>
      </c>
    </row>
    <row r="20" spans="1:7" x14ac:dyDescent="0.3">
      <c r="A20" t="s">
        <v>8</v>
      </c>
      <c r="B20" t="s">
        <v>9</v>
      </c>
      <c r="C20">
        <v>50</v>
      </c>
      <c r="D20" s="6">
        <v>45614</v>
      </c>
      <c r="E20" t="s">
        <v>591</v>
      </c>
      <c r="F20" s="1">
        <f>VLOOKUP(E20,'[1]TIỀN MUA PHỤ'!$A:$B,2,0)/5</f>
        <v>10400</v>
      </c>
      <c r="G20" s="2">
        <f t="shared" si="0"/>
        <v>520000</v>
      </c>
    </row>
    <row r="21" spans="1:7" x14ac:dyDescent="0.3">
      <c r="A21" t="s">
        <v>20</v>
      </c>
      <c r="B21" t="s">
        <v>22</v>
      </c>
      <c r="C21">
        <v>90</v>
      </c>
      <c r="D21" s="6">
        <v>45614</v>
      </c>
      <c r="E21" t="s">
        <v>592</v>
      </c>
      <c r="F21" s="1">
        <f>VLOOKUP(E21,'[1]TIỀN MUA PHỤ'!$A:$B,2,0)*0.3</f>
        <v>8400</v>
      </c>
      <c r="G21" s="2">
        <f t="shared" si="0"/>
        <v>756000</v>
      </c>
    </row>
    <row r="22" spans="1:7" x14ac:dyDescent="0.3">
      <c r="A22" t="s">
        <v>23</v>
      </c>
      <c r="B22" t="s">
        <v>22</v>
      </c>
      <c r="C22">
        <v>160</v>
      </c>
      <c r="D22" s="6">
        <v>45614</v>
      </c>
      <c r="E22" t="s">
        <v>593</v>
      </c>
      <c r="F22" s="1">
        <f>VLOOKUP(E22,'[1]TIỀN MUA PHỤ'!$A:$B,2,0)*0.3</f>
        <v>8100</v>
      </c>
      <c r="G22" s="2">
        <f t="shared" si="0"/>
        <v>1296000</v>
      </c>
    </row>
    <row r="23" spans="1:7" x14ac:dyDescent="0.3">
      <c r="A23" t="s">
        <v>23</v>
      </c>
      <c r="B23" t="s">
        <v>24</v>
      </c>
      <c r="C23">
        <v>9</v>
      </c>
      <c r="D23" s="6">
        <v>45614</v>
      </c>
      <c r="E23" t="s">
        <v>593</v>
      </c>
      <c r="F23" s="1">
        <f>F22/2</f>
        <v>4050</v>
      </c>
      <c r="G23" s="2">
        <f t="shared" si="0"/>
        <v>36450</v>
      </c>
    </row>
    <row r="24" spans="1:7" x14ac:dyDescent="0.3">
      <c r="A24" t="s">
        <v>25</v>
      </c>
      <c r="B24" t="s">
        <v>7</v>
      </c>
      <c r="C24">
        <v>18</v>
      </c>
      <c r="D24" s="6">
        <v>45614</v>
      </c>
      <c r="E24" t="s">
        <v>594</v>
      </c>
      <c r="F24" s="1">
        <v>7000</v>
      </c>
      <c r="G24" s="2">
        <f t="shared" si="0"/>
        <v>126000</v>
      </c>
    </row>
    <row r="25" spans="1:7" x14ac:dyDescent="0.3">
      <c r="A25" t="s">
        <v>26</v>
      </c>
      <c r="B25" t="s">
        <v>27</v>
      </c>
      <c r="C25">
        <v>180</v>
      </c>
      <c r="D25" s="6">
        <v>45614</v>
      </c>
      <c r="E25" t="s">
        <v>595</v>
      </c>
      <c r="F25" s="1">
        <f>VLOOKUP(E25,'[1]TIỀN MUA PHỤ'!$A:$B,2,0)</f>
        <v>14000</v>
      </c>
      <c r="G25" s="2">
        <f t="shared" si="0"/>
        <v>2520000</v>
      </c>
    </row>
    <row r="26" spans="1:7" x14ac:dyDescent="0.3">
      <c r="A26" t="s">
        <v>51</v>
      </c>
      <c r="B26" t="s">
        <v>9</v>
      </c>
      <c r="C26">
        <v>29</v>
      </c>
      <c r="D26" s="6">
        <v>45614</v>
      </c>
      <c r="E26" t="s">
        <v>596</v>
      </c>
      <c r="F26" s="1">
        <f>VLOOKUP(E26,'[1]TIỀN MUA PHỤ'!$A:$B,2,0)/4</f>
        <v>6500</v>
      </c>
      <c r="G26" s="2">
        <f t="shared" si="0"/>
        <v>188500</v>
      </c>
    </row>
    <row r="27" spans="1:7" x14ac:dyDescent="0.3">
      <c r="A27" t="s">
        <v>103</v>
      </c>
      <c r="B27" t="s">
        <v>48</v>
      </c>
      <c r="C27">
        <v>29</v>
      </c>
      <c r="D27" s="6">
        <v>45614</v>
      </c>
      <c r="E27" t="s">
        <v>597</v>
      </c>
      <c r="F27" s="1">
        <f>VLOOKUP(E27,'[1]TIỀN MUA PHỤ'!$A:$B,2,0)</f>
        <v>14000</v>
      </c>
      <c r="G27" s="2">
        <f t="shared" si="0"/>
        <v>406000</v>
      </c>
    </row>
    <row r="28" spans="1:7" x14ac:dyDescent="0.3">
      <c r="A28" t="s">
        <v>10</v>
      </c>
      <c r="B28" t="s">
        <v>7</v>
      </c>
      <c r="C28">
        <v>6</v>
      </c>
      <c r="D28" s="6">
        <v>45614</v>
      </c>
      <c r="E28" t="s">
        <v>598</v>
      </c>
      <c r="F28" s="1">
        <f>VLOOKUP(E28,'[1]TIỀN MUA PHỤ'!$A:$B,2,0)</f>
        <v>6500</v>
      </c>
      <c r="G28" s="2">
        <f t="shared" si="0"/>
        <v>39000</v>
      </c>
    </row>
    <row r="29" spans="1:7" x14ac:dyDescent="0.3">
      <c r="A29" t="s">
        <v>11</v>
      </c>
      <c r="B29" t="s">
        <v>7</v>
      </c>
      <c r="C29">
        <v>35</v>
      </c>
      <c r="D29" s="6">
        <v>45614</v>
      </c>
      <c r="E29" t="s">
        <v>599</v>
      </c>
      <c r="F29" s="1">
        <f>VLOOKUP(E29,'[1]TIỀN MUA PHỤ'!$A:$B,2,0)</f>
        <v>18000</v>
      </c>
      <c r="G29" s="2">
        <f t="shared" si="0"/>
        <v>630000</v>
      </c>
    </row>
    <row r="30" spans="1:7" x14ac:dyDescent="0.3">
      <c r="A30" t="s">
        <v>12</v>
      </c>
      <c r="B30" t="s">
        <v>7</v>
      </c>
      <c r="C30">
        <v>60</v>
      </c>
      <c r="D30" s="6">
        <v>45614</v>
      </c>
      <c r="E30" t="s">
        <v>600</v>
      </c>
      <c r="F30" s="1">
        <v>22000</v>
      </c>
      <c r="G30" s="2">
        <f t="shared" si="0"/>
        <v>1320000</v>
      </c>
    </row>
    <row r="31" spans="1:7" x14ac:dyDescent="0.3">
      <c r="A31" t="s">
        <v>91</v>
      </c>
      <c r="B31" t="s">
        <v>7</v>
      </c>
      <c r="C31">
        <v>5</v>
      </c>
      <c r="D31" s="6">
        <v>45614</v>
      </c>
      <c r="E31" t="s">
        <v>601</v>
      </c>
      <c r="F31" s="1">
        <v>20000</v>
      </c>
      <c r="G31" s="2">
        <f t="shared" si="0"/>
        <v>100000</v>
      </c>
    </row>
    <row r="32" spans="1:7" x14ac:dyDescent="0.3">
      <c r="A32" t="s">
        <v>13</v>
      </c>
      <c r="B32" t="s">
        <v>7</v>
      </c>
      <c r="C32">
        <v>200</v>
      </c>
      <c r="D32" s="6">
        <v>45614</v>
      </c>
      <c r="E32" t="s">
        <v>602</v>
      </c>
      <c r="F32" s="1">
        <v>26000</v>
      </c>
      <c r="G32" s="2">
        <f t="shared" si="0"/>
        <v>5200000</v>
      </c>
    </row>
    <row r="33" spans="1:7" x14ac:dyDescent="0.3">
      <c r="A33" t="s">
        <v>14</v>
      </c>
      <c r="B33" t="s">
        <v>7</v>
      </c>
      <c r="C33">
        <v>90</v>
      </c>
      <c r="D33" s="6">
        <v>45614</v>
      </c>
      <c r="E33" t="s">
        <v>603</v>
      </c>
      <c r="F33" s="1">
        <f>VLOOKUP(E33,'[1]TIỀN MUA PHỤ'!$A:$B,2,0)</f>
        <v>18500</v>
      </c>
      <c r="G33" s="2">
        <f t="shared" si="0"/>
        <v>1665000</v>
      </c>
    </row>
    <row r="34" spans="1:7" x14ac:dyDescent="0.3">
      <c r="A34" t="s">
        <v>15</v>
      </c>
      <c r="B34" t="s">
        <v>7</v>
      </c>
      <c r="C34">
        <v>20</v>
      </c>
      <c r="D34" s="6">
        <v>45614</v>
      </c>
      <c r="E34" t="s">
        <v>604</v>
      </c>
      <c r="F34" s="1">
        <f>VLOOKUP(E34,'[1]TIỀN MUA PHỤ'!$A:$B,2,0)</f>
        <v>30000</v>
      </c>
      <c r="G34" s="2">
        <f t="shared" si="0"/>
        <v>600000</v>
      </c>
    </row>
    <row r="35" spans="1:7" x14ac:dyDescent="0.3">
      <c r="A35" t="s">
        <v>93</v>
      </c>
      <c r="B35" t="s">
        <v>7</v>
      </c>
      <c r="C35">
        <v>15</v>
      </c>
      <c r="D35" s="6">
        <v>45614</v>
      </c>
      <c r="E35" t="s">
        <v>605</v>
      </c>
      <c r="F35" s="1">
        <f>VLOOKUP(E35,'[1]TIỀN MUA PHỤ'!$A:$B,2,0)</f>
        <v>15000</v>
      </c>
      <c r="G35" s="2">
        <f t="shared" si="0"/>
        <v>225000</v>
      </c>
    </row>
    <row r="36" spans="1:7" x14ac:dyDescent="0.3">
      <c r="A36" t="s">
        <v>104</v>
      </c>
      <c r="B36" t="s">
        <v>22</v>
      </c>
      <c r="C36">
        <v>5</v>
      </c>
      <c r="D36" s="6">
        <v>45614</v>
      </c>
      <c r="E36" t="s">
        <v>606</v>
      </c>
      <c r="F36" s="1">
        <f>VLOOKUP(E36,'[1]TIỀN MUA PHỤ'!$A:$B,2,0)</f>
        <v>6000</v>
      </c>
      <c r="G36" s="2">
        <f t="shared" si="0"/>
        <v>30000</v>
      </c>
    </row>
    <row r="37" spans="1:7" x14ac:dyDescent="0.3">
      <c r="A37" t="s">
        <v>87</v>
      </c>
      <c r="B37" t="s">
        <v>107</v>
      </c>
      <c r="C37">
        <v>26</v>
      </c>
      <c r="D37" s="6">
        <v>45614</v>
      </c>
      <c r="E37" t="s">
        <v>607</v>
      </c>
      <c r="F37" s="1">
        <v>6000</v>
      </c>
      <c r="G37" s="2">
        <f t="shared" si="0"/>
        <v>156000</v>
      </c>
    </row>
    <row r="38" spans="1:7" x14ac:dyDescent="0.3">
      <c r="A38" t="s">
        <v>95</v>
      </c>
      <c r="B38" t="s">
        <v>7</v>
      </c>
      <c r="C38">
        <v>1</v>
      </c>
      <c r="D38" s="6">
        <v>45614</v>
      </c>
      <c r="E38" t="s">
        <v>608</v>
      </c>
      <c r="F38" s="1">
        <f>VLOOKUP(E38,'[1]TIỀN MUA PHỤ'!$A:$B,2,0)</f>
        <v>80000</v>
      </c>
      <c r="G38" s="2">
        <f t="shared" si="0"/>
        <v>80000</v>
      </c>
    </row>
    <row r="39" spans="1:7" x14ac:dyDescent="0.3">
      <c r="A39" t="s">
        <v>53</v>
      </c>
      <c r="B39" t="s">
        <v>9</v>
      </c>
      <c r="C39">
        <v>560</v>
      </c>
      <c r="D39" s="6">
        <v>45614</v>
      </c>
      <c r="E39" t="s">
        <v>609</v>
      </c>
      <c r="F39" s="1">
        <f>VLOOKUP(E39,'[1]TIỀN MUA PHỤ'!$A:$B,2,0)</f>
        <v>6000</v>
      </c>
      <c r="G39" s="2">
        <f t="shared" si="0"/>
        <v>3360000</v>
      </c>
    </row>
    <row r="40" spans="1:7" x14ac:dyDescent="0.3">
      <c r="A40" t="s">
        <v>55</v>
      </c>
      <c r="B40" t="s">
        <v>22</v>
      </c>
      <c r="C40">
        <v>30</v>
      </c>
      <c r="D40" s="6">
        <v>45614</v>
      </c>
      <c r="E40" t="s">
        <v>610</v>
      </c>
      <c r="F40" s="1">
        <v>6000</v>
      </c>
      <c r="G40" s="2">
        <f t="shared" si="0"/>
        <v>180000</v>
      </c>
    </row>
    <row r="41" spans="1:7" x14ac:dyDescent="0.3">
      <c r="A41" t="s">
        <v>56</v>
      </c>
      <c r="B41" t="s">
        <v>7</v>
      </c>
      <c r="C41">
        <v>20</v>
      </c>
      <c r="D41" s="6">
        <v>45614</v>
      </c>
      <c r="E41" t="s">
        <v>611</v>
      </c>
      <c r="F41" s="1">
        <f>VLOOKUP(E41,'[1]TIỀN MUA PHỤ'!$A:$B,2,0)</f>
        <v>3000</v>
      </c>
      <c r="G41" s="2">
        <f t="shared" si="0"/>
        <v>60000</v>
      </c>
    </row>
    <row r="42" spans="1:7" x14ac:dyDescent="0.3">
      <c r="A42" t="s">
        <v>28</v>
      </c>
      <c r="B42" t="s">
        <v>7</v>
      </c>
      <c r="C42">
        <v>13</v>
      </c>
      <c r="D42" s="6">
        <v>45614</v>
      </c>
      <c r="E42" t="s">
        <v>612</v>
      </c>
      <c r="F42" s="1">
        <f>VLOOKUP(E42,'[1]TIỀN MUA PHỤ'!$A:$B,2,0)</f>
        <v>36000</v>
      </c>
      <c r="G42" s="2">
        <f t="shared" si="0"/>
        <v>468000</v>
      </c>
    </row>
    <row r="43" spans="1:7" x14ac:dyDescent="0.3">
      <c r="A43" t="s">
        <v>28</v>
      </c>
      <c r="B43" t="s">
        <v>27</v>
      </c>
      <c r="C43">
        <v>69</v>
      </c>
      <c r="D43" s="6">
        <v>45614</v>
      </c>
      <c r="E43" t="s">
        <v>612</v>
      </c>
      <c r="F43" s="1">
        <f>VLOOKUP(E43,'[1]TIỀN MUA PHỤ'!$A:$B,2,0)/5</f>
        <v>7200</v>
      </c>
      <c r="G43" s="2">
        <f t="shared" si="0"/>
        <v>496800</v>
      </c>
    </row>
    <row r="44" spans="1:7" x14ac:dyDescent="0.3">
      <c r="A44" t="s">
        <v>73</v>
      </c>
      <c r="B44" t="s">
        <v>7</v>
      </c>
      <c r="C44">
        <v>10</v>
      </c>
      <c r="D44" s="6">
        <v>45614</v>
      </c>
      <c r="E44" t="s">
        <v>613</v>
      </c>
      <c r="F44" s="1">
        <f>VLOOKUP(E44,'[1]TIỀN MUA PHỤ'!$A:$B,2,0)</f>
        <v>27000</v>
      </c>
      <c r="G44" s="2">
        <f t="shared" si="0"/>
        <v>270000</v>
      </c>
    </row>
    <row r="45" spans="1:7" x14ac:dyDescent="0.3">
      <c r="A45" t="s">
        <v>29</v>
      </c>
      <c r="B45" t="s">
        <v>22</v>
      </c>
      <c r="C45">
        <v>251</v>
      </c>
      <c r="D45" s="6">
        <v>45614</v>
      </c>
      <c r="E45" t="s">
        <v>614</v>
      </c>
      <c r="F45" s="1">
        <f>VLOOKUP(E45,'[1]TIỀN MUA PHỤ'!$A:$B,2,0)/20</f>
        <v>1800</v>
      </c>
      <c r="G45" s="2">
        <f t="shared" si="0"/>
        <v>451800</v>
      </c>
    </row>
    <row r="46" spans="1:7" x14ac:dyDescent="0.3">
      <c r="A46" t="s">
        <v>30</v>
      </c>
      <c r="B46" t="s">
        <v>7</v>
      </c>
      <c r="C46">
        <v>4</v>
      </c>
      <c r="D46" s="6">
        <v>45614</v>
      </c>
      <c r="E46" t="s">
        <v>615</v>
      </c>
      <c r="F46" s="1">
        <f>VLOOKUP(E46,'[1]TIỀN MUA PHỤ'!$A:$B,2,0)</f>
        <v>14000</v>
      </c>
      <c r="G46" s="2">
        <f t="shared" si="0"/>
        <v>56000</v>
      </c>
    </row>
    <row r="47" spans="1:7" x14ac:dyDescent="0.3">
      <c r="A47" t="s">
        <v>101</v>
      </c>
      <c r="B47" t="s">
        <v>7</v>
      </c>
      <c r="C47">
        <v>0.5</v>
      </c>
      <c r="D47" s="6">
        <v>45614</v>
      </c>
      <c r="E47" t="s">
        <v>616</v>
      </c>
      <c r="F47" s="1">
        <f>VLOOKUP(E47,'[1]TIỀN MUA PHỤ'!$A:$B,2,0)</f>
        <v>100000</v>
      </c>
      <c r="G47" s="2">
        <f t="shared" si="0"/>
        <v>50000</v>
      </c>
    </row>
    <row r="48" spans="1:7" x14ac:dyDescent="0.3">
      <c r="A48" t="s">
        <v>32</v>
      </c>
      <c r="B48" t="s">
        <v>7</v>
      </c>
      <c r="C48">
        <v>15</v>
      </c>
      <c r="D48" s="6">
        <v>45614</v>
      </c>
      <c r="E48" t="s">
        <v>617</v>
      </c>
      <c r="F48" s="1">
        <f>VLOOKUP(E48,'[1]TIỀN MUA PHỤ'!$A:$B,2,0)</f>
        <v>57000</v>
      </c>
      <c r="G48" s="2">
        <f t="shared" si="0"/>
        <v>855000</v>
      </c>
    </row>
    <row r="49" spans="1:7" x14ac:dyDescent="0.3">
      <c r="A49" t="s">
        <v>109</v>
      </c>
      <c r="B49" t="s">
        <v>9</v>
      </c>
      <c r="C49">
        <v>2</v>
      </c>
      <c r="D49" s="6">
        <v>45614</v>
      </c>
      <c r="E49" t="s">
        <v>618</v>
      </c>
      <c r="F49" s="1">
        <v>23000</v>
      </c>
      <c r="G49" s="2">
        <f t="shared" si="0"/>
        <v>46000</v>
      </c>
    </row>
    <row r="50" spans="1:7" x14ac:dyDescent="0.3">
      <c r="A50" t="s">
        <v>58</v>
      </c>
      <c r="B50" t="s">
        <v>7</v>
      </c>
      <c r="C50">
        <v>12</v>
      </c>
      <c r="D50" s="6">
        <v>45614</v>
      </c>
      <c r="E50" t="s">
        <v>619</v>
      </c>
      <c r="F50" s="1">
        <f>VLOOKUP(E50,'[1]TIỀN MUA PHỤ'!$A:$B,2,0)</f>
        <v>37000</v>
      </c>
      <c r="G50" s="2">
        <f t="shared" si="0"/>
        <v>444000</v>
      </c>
    </row>
    <row r="51" spans="1:7" x14ac:dyDescent="0.3">
      <c r="A51" t="s">
        <v>58</v>
      </c>
      <c r="B51" t="s">
        <v>59</v>
      </c>
      <c r="C51">
        <v>97</v>
      </c>
      <c r="D51" s="6">
        <v>45614</v>
      </c>
      <c r="E51" t="s">
        <v>619</v>
      </c>
      <c r="F51" s="1">
        <f>VLOOKUP(E51,'[1]TIỀN MUA PHỤ'!$A:$B,2,0)/4</f>
        <v>9250</v>
      </c>
      <c r="G51" s="2">
        <f t="shared" si="0"/>
        <v>897250</v>
      </c>
    </row>
    <row r="52" spans="1:7" x14ac:dyDescent="0.3">
      <c r="A52" t="s">
        <v>60</v>
      </c>
      <c r="B52" t="s">
        <v>7</v>
      </c>
      <c r="C52">
        <v>15</v>
      </c>
      <c r="D52" s="6">
        <v>45614</v>
      </c>
      <c r="E52" t="s">
        <v>620</v>
      </c>
      <c r="F52" s="1">
        <f>VLOOKUP(E52,'[1]TIỀN MUA PHỤ'!$A:$B,2,0)</f>
        <v>49000</v>
      </c>
      <c r="G52" s="2">
        <f t="shared" si="0"/>
        <v>735000</v>
      </c>
    </row>
    <row r="53" spans="1:7" x14ac:dyDescent="0.3">
      <c r="A53" t="s">
        <v>61</v>
      </c>
      <c r="B53" t="s">
        <v>7</v>
      </c>
      <c r="C53">
        <v>6</v>
      </c>
      <c r="D53" s="6">
        <v>45614</v>
      </c>
      <c r="E53" t="s">
        <v>621</v>
      </c>
      <c r="F53" s="1">
        <f>VLOOKUP(E53,'[1]TIỀN MUA PHỤ'!$A:$B,2,0)</f>
        <v>18000</v>
      </c>
      <c r="G53" s="2">
        <f t="shared" si="0"/>
        <v>108000</v>
      </c>
    </row>
    <row r="54" spans="1:7" x14ac:dyDescent="0.3">
      <c r="A54" t="s">
        <v>61</v>
      </c>
      <c r="B54" t="s">
        <v>59</v>
      </c>
      <c r="C54">
        <v>155</v>
      </c>
      <c r="D54" s="6">
        <v>45614</v>
      </c>
      <c r="E54" t="s">
        <v>621</v>
      </c>
      <c r="F54" s="1">
        <f>VLOOKUP(E54,'[1]TIỀN MUA PHỤ'!$A:$B,2,0)/4</f>
        <v>4500</v>
      </c>
      <c r="G54" s="2">
        <f t="shared" si="0"/>
        <v>697500</v>
      </c>
    </row>
    <row r="55" spans="1:7" x14ac:dyDescent="0.3">
      <c r="A55" t="s">
        <v>62</v>
      </c>
      <c r="B55" t="s">
        <v>59</v>
      </c>
      <c r="C55">
        <v>93</v>
      </c>
      <c r="D55" s="6">
        <v>45614</v>
      </c>
      <c r="E55" t="s">
        <v>622</v>
      </c>
      <c r="F55" s="1">
        <f>VLOOKUP(E55,'[1]TIỀN MUA PHỤ'!$A:$B,2,0)/4</f>
        <v>6750</v>
      </c>
      <c r="G55" s="2">
        <f t="shared" si="0"/>
        <v>627750</v>
      </c>
    </row>
    <row r="56" spans="1:7" x14ac:dyDescent="0.3">
      <c r="A56" t="s">
        <v>97</v>
      </c>
      <c r="B56" t="s">
        <v>22</v>
      </c>
      <c r="C56">
        <v>195</v>
      </c>
      <c r="D56" s="6">
        <v>45614</v>
      </c>
      <c r="E56" t="s">
        <v>623</v>
      </c>
      <c r="F56" s="1">
        <f>VLOOKUP(E56,'[1]TIỀN MUA PHỤ'!$A:$B,2,0)</f>
        <v>23000</v>
      </c>
      <c r="G56" s="2">
        <f t="shared" si="0"/>
        <v>4485000</v>
      </c>
    </row>
    <row r="57" spans="1:7" x14ac:dyDescent="0.3">
      <c r="A57" t="s">
        <v>33</v>
      </c>
      <c r="B57" t="s">
        <v>7</v>
      </c>
      <c r="C57">
        <v>5</v>
      </c>
      <c r="D57" s="6">
        <v>45614</v>
      </c>
      <c r="E57" t="s">
        <v>624</v>
      </c>
      <c r="F57" s="1">
        <f>VLOOKUP(E57,'[1]TIỀN MUA PHỤ'!$A:$B,2,0)</f>
        <v>35000</v>
      </c>
      <c r="G57" s="2">
        <f t="shared" si="0"/>
        <v>175000</v>
      </c>
    </row>
    <row r="58" spans="1:7" x14ac:dyDescent="0.3">
      <c r="A58" t="s">
        <v>64</v>
      </c>
      <c r="B58" t="s">
        <v>7</v>
      </c>
      <c r="C58">
        <v>15</v>
      </c>
      <c r="D58" s="6">
        <v>45614</v>
      </c>
      <c r="E58" t="s">
        <v>625</v>
      </c>
      <c r="F58" s="1">
        <f>VLOOKUP(E58,'[1]TIỀN MUA PHỤ'!$A:$B,2,0)</f>
        <v>60000</v>
      </c>
      <c r="G58" s="2">
        <f t="shared" si="0"/>
        <v>900000</v>
      </c>
    </row>
    <row r="59" spans="1:7" x14ac:dyDescent="0.3">
      <c r="A59" t="s">
        <v>66</v>
      </c>
      <c r="B59" t="s">
        <v>48</v>
      </c>
      <c r="C59">
        <v>5</v>
      </c>
      <c r="D59" s="6">
        <v>45614</v>
      </c>
      <c r="E59" t="s">
        <v>626</v>
      </c>
      <c r="F59" s="1">
        <f>VLOOKUP(E59,'[1]TIỀN MUA PHỤ'!$A:$B,2,0)</f>
        <v>35000</v>
      </c>
      <c r="G59" s="2">
        <f t="shared" si="0"/>
        <v>175000</v>
      </c>
    </row>
    <row r="60" spans="1:7" x14ac:dyDescent="0.3">
      <c r="A60" t="s">
        <v>34</v>
      </c>
      <c r="B60" t="s">
        <v>7</v>
      </c>
      <c r="C60">
        <v>165</v>
      </c>
      <c r="D60" s="6">
        <v>45614</v>
      </c>
      <c r="E60" t="s">
        <v>627</v>
      </c>
      <c r="F60" s="1">
        <f>VLOOKUP(E60,'[1]TIỀN MUA PHỤ'!$A:$B,2,0)</f>
        <v>28000</v>
      </c>
      <c r="G60" s="2">
        <f t="shared" si="0"/>
        <v>4620000</v>
      </c>
    </row>
    <row r="61" spans="1:7" x14ac:dyDescent="0.3">
      <c r="A61" t="s">
        <v>74</v>
      </c>
      <c r="B61" t="s">
        <v>7</v>
      </c>
      <c r="C61">
        <v>30</v>
      </c>
      <c r="D61" s="6">
        <v>45614</v>
      </c>
      <c r="E61" t="s">
        <v>628</v>
      </c>
      <c r="F61" s="1">
        <v>28000</v>
      </c>
      <c r="G61" s="2">
        <f t="shared" si="0"/>
        <v>840000</v>
      </c>
    </row>
    <row r="62" spans="1:7" x14ac:dyDescent="0.3">
      <c r="A62" t="s">
        <v>36</v>
      </c>
      <c r="B62" t="s">
        <v>27</v>
      </c>
      <c r="C62">
        <v>103</v>
      </c>
      <c r="D62" s="6">
        <v>45614</v>
      </c>
      <c r="E62" t="s">
        <v>629</v>
      </c>
      <c r="F62" s="1">
        <f>VLOOKUP(E62,'[1]TIỀN MUA PHỤ'!$A:$B,2,0)</f>
        <v>6800</v>
      </c>
      <c r="G62" s="2">
        <f t="shared" si="0"/>
        <v>700400</v>
      </c>
    </row>
    <row r="63" spans="1:7" x14ac:dyDescent="0.3">
      <c r="A63" t="s">
        <v>40</v>
      </c>
      <c r="B63" t="s">
        <v>7</v>
      </c>
      <c r="C63">
        <v>20</v>
      </c>
      <c r="D63" s="6">
        <v>45614</v>
      </c>
      <c r="E63" t="s">
        <v>630</v>
      </c>
      <c r="F63" s="1">
        <v>28000</v>
      </c>
      <c r="G63" s="2">
        <f t="shared" si="0"/>
        <v>560000</v>
      </c>
    </row>
    <row r="64" spans="1:7" x14ac:dyDescent="0.3">
      <c r="A64" t="s">
        <v>38</v>
      </c>
      <c r="B64" t="s">
        <v>27</v>
      </c>
      <c r="C64">
        <v>16</v>
      </c>
      <c r="D64" s="6">
        <v>45614</v>
      </c>
      <c r="E64" t="s">
        <v>631</v>
      </c>
      <c r="F64" s="1">
        <f>VLOOKUP(E64,'[1]TIỀN MUA PHỤ'!$A:$B,2,0)</f>
        <v>6800</v>
      </c>
      <c r="G64" s="2">
        <f t="shared" si="0"/>
        <v>108800</v>
      </c>
    </row>
    <row r="65" spans="1:7" x14ac:dyDescent="0.3">
      <c r="A65" t="s">
        <v>39</v>
      </c>
      <c r="B65" t="s">
        <v>7</v>
      </c>
      <c r="C65">
        <v>20</v>
      </c>
      <c r="D65" s="6">
        <v>45614</v>
      </c>
      <c r="E65" t="s">
        <v>632</v>
      </c>
      <c r="F65" s="1">
        <f>VLOOKUP(E65,'[1]TIỀN MUA PHỤ'!$A:$B,2,0)</f>
        <v>33000</v>
      </c>
      <c r="G65" s="2">
        <f t="shared" si="0"/>
        <v>660000</v>
      </c>
    </row>
    <row r="66" spans="1:7" x14ac:dyDescent="0.3">
      <c r="A66" t="s">
        <v>82</v>
      </c>
      <c r="B66" t="s">
        <v>7</v>
      </c>
      <c r="C66">
        <v>2.5</v>
      </c>
      <c r="D66" s="6">
        <v>45614</v>
      </c>
      <c r="E66" t="s">
        <v>633</v>
      </c>
      <c r="F66" s="1">
        <f>VLOOKUP(E66,'[1]TIỀN MUA PHỤ'!$A:$B,2,0)</f>
        <v>120000</v>
      </c>
      <c r="G66" s="2">
        <f t="shared" ref="G66:G82" si="1">C66*F66</f>
        <v>300000</v>
      </c>
    </row>
    <row r="67" spans="1:7" x14ac:dyDescent="0.3">
      <c r="A67" t="s">
        <v>84</v>
      </c>
      <c r="B67" t="s">
        <v>27</v>
      </c>
      <c r="C67">
        <v>3</v>
      </c>
      <c r="D67" s="6">
        <v>45614</v>
      </c>
      <c r="E67" t="s">
        <v>634</v>
      </c>
      <c r="F67" s="1">
        <f>VLOOKUP(E67,'[1]TIỀN MUA PHỤ'!$A:$B,2,0)</f>
        <v>7500</v>
      </c>
      <c r="G67" s="2">
        <f t="shared" si="1"/>
        <v>22500</v>
      </c>
    </row>
    <row r="68" spans="1:7" x14ac:dyDescent="0.3">
      <c r="A68" t="s">
        <v>19</v>
      </c>
      <c r="B68" t="s">
        <v>7</v>
      </c>
      <c r="C68">
        <v>45</v>
      </c>
      <c r="D68" s="6">
        <v>45614</v>
      </c>
      <c r="E68" t="s">
        <v>635</v>
      </c>
      <c r="F68" s="1">
        <f>VLOOKUP(E68,'[1]TIỀN MUA PHỤ'!$A:$B,2,0)</f>
        <v>13500</v>
      </c>
      <c r="G68" s="2">
        <f t="shared" si="1"/>
        <v>607500</v>
      </c>
    </row>
    <row r="69" spans="1:7" x14ac:dyDescent="0.3">
      <c r="A69" t="s">
        <v>41</v>
      </c>
      <c r="B69" t="s">
        <v>7</v>
      </c>
      <c r="C69">
        <v>33.5</v>
      </c>
      <c r="D69" s="6">
        <v>45614</v>
      </c>
      <c r="E69" t="s">
        <v>579</v>
      </c>
      <c r="F69" s="1">
        <f>VLOOKUP(E69,'[1]TIỀN MUA PHỤ'!$A:$B,2,0)</f>
        <v>11000</v>
      </c>
      <c r="G69" s="2">
        <f t="shared" si="1"/>
        <v>368500</v>
      </c>
    </row>
    <row r="70" spans="1:7" x14ac:dyDescent="0.3">
      <c r="A70" t="s">
        <v>89</v>
      </c>
      <c r="B70" t="s">
        <v>7</v>
      </c>
      <c r="C70">
        <v>125</v>
      </c>
      <c r="D70" s="6">
        <v>45614</v>
      </c>
      <c r="E70" t="s">
        <v>585</v>
      </c>
      <c r="F70" s="1">
        <f>VLOOKUP(E70,'[1]TIỀN MUA PHỤ'!$A:$B,2,0)</f>
        <v>17000</v>
      </c>
      <c r="G70" s="2">
        <f t="shared" si="1"/>
        <v>2125000</v>
      </c>
    </row>
    <row r="71" spans="1:7" x14ac:dyDescent="0.3">
      <c r="A71" t="s">
        <v>26</v>
      </c>
      <c r="B71" t="s">
        <v>7</v>
      </c>
      <c r="C71">
        <v>86</v>
      </c>
      <c r="D71" s="6">
        <v>45614</v>
      </c>
      <c r="E71" t="s">
        <v>595</v>
      </c>
      <c r="F71" s="1">
        <f>VLOOKUP(E71,'[1]TIỀN MUA PHỤ'!$A:$B,2,0)</f>
        <v>14000</v>
      </c>
      <c r="G71" s="2">
        <f t="shared" si="1"/>
        <v>1204000</v>
      </c>
    </row>
    <row r="72" spans="1:7" x14ac:dyDescent="0.3">
      <c r="A72" t="s">
        <v>104</v>
      </c>
      <c r="B72" t="s">
        <v>22</v>
      </c>
      <c r="C72">
        <v>75</v>
      </c>
      <c r="D72" s="6">
        <v>45614</v>
      </c>
      <c r="E72" t="s">
        <v>606</v>
      </c>
      <c r="F72" s="1">
        <f>VLOOKUP(E72,'[1]TIỀN MUA PHỤ'!$A:$B,2,0)</f>
        <v>6000</v>
      </c>
      <c r="G72" s="2">
        <f t="shared" si="1"/>
        <v>450000</v>
      </c>
    </row>
    <row r="73" spans="1:7" x14ac:dyDescent="0.3">
      <c r="A73" t="s">
        <v>56</v>
      </c>
      <c r="B73" t="s">
        <v>7</v>
      </c>
      <c r="C73">
        <v>44</v>
      </c>
      <c r="D73" s="6">
        <v>45614</v>
      </c>
      <c r="E73" t="s">
        <v>611</v>
      </c>
      <c r="F73" s="1">
        <v>5000</v>
      </c>
      <c r="G73" s="2">
        <f t="shared" si="1"/>
        <v>220000</v>
      </c>
    </row>
    <row r="74" spans="1:7" x14ac:dyDescent="0.3">
      <c r="A74" t="s">
        <v>13</v>
      </c>
      <c r="B74" t="s">
        <v>7</v>
      </c>
      <c r="C74">
        <v>9</v>
      </c>
      <c r="D74" s="6">
        <v>45614</v>
      </c>
      <c r="E74" t="s">
        <v>602</v>
      </c>
      <c r="F74" s="1">
        <v>26000</v>
      </c>
      <c r="G74" s="2">
        <f t="shared" si="1"/>
        <v>234000</v>
      </c>
    </row>
    <row r="75" spans="1:7" x14ac:dyDescent="0.3">
      <c r="A75" t="s">
        <v>93</v>
      </c>
      <c r="B75" t="s">
        <v>7</v>
      </c>
      <c r="C75">
        <v>27</v>
      </c>
      <c r="D75" s="6">
        <v>45614</v>
      </c>
      <c r="E75" t="s">
        <v>605</v>
      </c>
      <c r="F75" s="1">
        <f>VLOOKUP(E75,'[1]TIỀN MUA PHỤ'!$A:$B,2,0)</f>
        <v>15000</v>
      </c>
      <c r="G75" s="2">
        <f t="shared" si="1"/>
        <v>405000</v>
      </c>
    </row>
    <row r="76" spans="1:7" x14ac:dyDescent="0.3">
      <c r="A76" t="s">
        <v>109</v>
      </c>
      <c r="B76" t="s">
        <v>7</v>
      </c>
      <c r="C76">
        <v>31</v>
      </c>
      <c r="D76" s="6">
        <v>45614</v>
      </c>
      <c r="E76" t="s">
        <v>618</v>
      </c>
      <c r="F76" s="1">
        <v>26000</v>
      </c>
      <c r="G76" s="2">
        <f t="shared" si="1"/>
        <v>806000</v>
      </c>
    </row>
    <row r="77" spans="1:7" x14ac:dyDescent="0.3">
      <c r="A77" t="s">
        <v>58</v>
      </c>
      <c r="B77" t="s">
        <v>7</v>
      </c>
      <c r="C77">
        <v>16</v>
      </c>
      <c r="D77" s="6">
        <v>45614</v>
      </c>
      <c r="E77" t="s">
        <v>619</v>
      </c>
      <c r="F77" s="1">
        <f>VLOOKUP(E77,'[1]TIỀN MUA PHỤ'!$A:$B,2,0)</f>
        <v>37000</v>
      </c>
      <c r="G77" s="2">
        <f t="shared" si="1"/>
        <v>592000</v>
      </c>
    </row>
    <row r="78" spans="1:7" x14ac:dyDescent="0.3">
      <c r="A78" t="s">
        <v>61</v>
      </c>
      <c r="B78" t="s">
        <v>7</v>
      </c>
      <c r="C78">
        <v>7</v>
      </c>
      <c r="D78" s="6">
        <v>45614</v>
      </c>
      <c r="E78" t="s">
        <v>621</v>
      </c>
      <c r="F78" s="1">
        <f>VLOOKUP(E78,'[1]TIỀN MUA PHỤ'!$A:$B,2,0)</f>
        <v>18000</v>
      </c>
      <c r="G78" s="2">
        <f t="shared" si="1"/>
        <v>126000</v>
      </c>
    </row>
    <row r="79" spans="1:7" x14ac:dyDescent="0.3">
      <c r="A79" t="s">
        <v>62</v>
      </c>
      <c r="B79" t="s">
        <v>7</v>
      </c>
      <c r="C79">
        <v>9.5</v>
      </c>
      <c r="D79" s="6">
        <v>45614</v>
      </c>
      <c r="E79" t="s">
        <v>622</v>
      </c>
      <c r="F79" s="1">
        <f>VLOOKUP(E79,'[1]TIỀN MUA PHỤ'!$A:$B,2,0)</f>
        <v>27000</v>
      </c>
      <c r="G79" s="2">
        <f t="shared" si="1"/>
        <v>256500</v>
      </c>
    </row>
    <row r="80" spans="1:7" x14ac:dyDescent="0.3">
      <c r="A80" t="s">
        <v>23</v>
      </c>
      <c r="B80" t="s">
        <v>7</v>
      </c>
      <c r="C80">
        <v>33</v>
      </c>
      <c r="D80" s="6">
        <v>45614</v>
      </c>
      <c r="E80" t="s">
        <v>593</v>
      </c>
      <c r="F80" s="1">
        <v>30000</v>
      </c>
      <c r="G80" s="2">
        <f t="shared" si="1"/>
        <v>990000</v>
      </c>
    </row>
    <row r="81" spans="1:7" x14ac:dyDescent="0.3">
      <c r="A81" t="s">
        <v>12</v>
      </c>
      <c r="B81" t="s">
        <v>7</v>
      </c>
      <c r="C81">
        <v>25</v>
      </c>
      <c r="D81" s="6">
        <v>45614</v>
      </c>
      <c r="E81" t="s">
        <v>600</v>
      </c>
      <c r="F81" s="1">
        <v>22000</v>
      </c>
      <c r="G81" s="2">
        <f t="shared" si="1"/>
        <v>550000</v>
      </c>
    </row>
    <row r="82" spans="1:7" x14ac:dyDescent="0.3">
      <c r="A82" t="s">
        <v>34</v>
      </c>
      <c r="B82" t="s">
        <v>7</v>
      </c>
      <c r="C82">
        <v>23</v>
      </c>
      <c r="D82" s="6">
        <v>45614</v>
      </c>
      <c r="E82" t="s">
        <v>627</v>
      </c>
      <c r="F82" s="1">
        <f>VLOOKUP(E82,'[1]TIỀN MUA PHỤ'!$A:$B,2,0)</f>
        <v>28000</v>
      </c>
      <c r="G82" s="2">
        <f t="shared" si="1"/>
        <v>644000</v>
      </c>
    </row>
    <row r="83" spans="1:7" x14ac:dyDescent="0.3">
      <c r="A83" t="s">
        <v>29</v>
      </c>
      <c r="B83" t="s">
        <v>22</v>
      </c>
      <c r="C83">
        <v>128</v>
      </c>
      <c r="D83" s="6">
        <v>45614</v>
      </c>
      <c r="E83" t="s">
        <v>614</v>
      </c>
      <c r="F83" s="1">
        <v>1800</v>
      </c>
      <c r="G83" s="2">
        <f>C83*F83</f>
        <v>230400</v>
      </c>
    </row>
    <row r="84" spans="1:7" x14ac:dyDescent="0.3">
      <c r="G84" s="2">
        <f>SUM(G1:G83)</f>
        <v>65073250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7143-CD76-40F4-8964-29EB723A94A8}">
  <dimension ref="A1:I47"/>
  <sheetViews>
    <sheetView topLeftCell="A31" workbookViewId="0">
      <selection activeCell="I1" sqref="I1"/>
    </sheetView>
  </sheetViews>
  <sheetFormatPr defaultRowHeight="14.4" x14ac:dyDescent="0.3"/>
  <cols>
    <col min="1" max="1" width="23.88671875" customWidth="1"/>
    <col min="4" max="4" width="10.5546875" bestFit="1" customWidth="1"/>
    <col min="5" max="5" width="29.33203125" customWidth="1"/>
    <col min="6" max="6" width="10.33203125" style="1" hidden="1" customWidth="1"/>
    <col min="7" max="7" width="0" hidden="1" customWidth="1"/>
    <col min="9" max="9" width="14.21875" customWidth="1"/>
  </cols>
  <sheetData>
    <row r="1" spans="1:9" x14ac:dyDescent="0.3">
      <c r="E1" t="s">
        <v>678</v>
      </c>
      <c r="G1" t="s">
        <v>677</v>
      </c>
      <c r="I1" s="2">
        <f>SUM(I2:I47)</f>
        <v>33129366.666666664</v>
      </c>
    </row>
    <row r="2" spans="1:9" ht="14.4" customHeight="1" x14ac:dyDescent="0.3">
      <c r="A2" t="s">
        <v>78</v>
      </c>
      <c r="B2" t="s">
        <v>7</v>
      </c>
      <c r="C2">
        <v>20</v>
      </c>
      <c r="D2" s="6">
        <v>45613</v>
      </c>
      <c r="E2" t="s">
        <v>573</v>
      </c>
      <c r="F2" s="1">
        <f>VLOOKUP(E2,'[1]TIỀN MUA PHỤ'!$A:$B,2,0)</f>
        <v>30000</v>
      </c>
      <c r="G2">
        <v>1</v>
      </c>
      <c r="H2" s="2">
        <f>F2*G2</f>
        <v>30000</v>
      </c>
      <c r="I2" s="2">
        <f>C2*H2</f>
        <v>600000</v>
      </c>
    </row>
    <row r="3" spans="1:9" x14ac:dyDescent="0.3">
      <c r="A3" t="s">
        <v>80</v>
      </c>
      <c r="B3" t="s">
        <v>44</v>
      </c>
      <c r="C3">
        <v>10</v>
      </c>
      <c r="D3" s="6">
        <v>45613</v>
      </c>
      <c r="E3" t="s">
        <v>636</v>
      </c>
      <c r="F3" s="1">
        <f>VLOOKUP(E3,'[1]TIỀN MUA PHỤ'!$A:$B,2,0)</f>
        <v>8000</v>
      </c>
      <c r="G3">
        <v>0.4</v>
      </c>
      <c r="H3" s="2">
        <f t="shared" ref="H3:H47" si="0">F3*G3</f>
        <v>3200</v>
      </c>
      <c r="I3" s="2">
        <f t="shared" ref="I3:I47" si="1">C3*H3</f>
        <v>32000</v>
      </c>
    </row>
    <row r="4" spans="1:9" x14ac:dyDescent="0.3">
      <c r="A4" t="s">
        <v>126</v>
      </c>
      <c r="B4" t="s">
        <v>7</v>
      </c>
      <c r="C4">
        <v>14</v>
      </c>
      <c r="D4" s="6">
        <v>45613</v>
      </c>
      <c r="E4" t="s">
        <v>637</v>
      </c>
      <c r="F4" s="1">
        <f>VLOOKUP(E4,'[1]TIỀN MUA PHỤ'!$A:$B,2,0)</f>
        <v>48000</v>
      </c>
      <c r="G4">
        <v>1</v>
      </c>
      <c r="H4" s="2">
        <f t="shared" si="0"/>
        <v>48000</v>
      </c>
      <c r="I4" s="2">
        <f t="shared" si="1"/>
        <v>672000</v>
      </c>
    </row>
    <row r="5" spans="1:9" x14ac:dyDescent="0.3">
      <c r="A5" t="s">
        <v>41</v>
      </c>
      <c r="B5" t="s">
        <v>42</v>
      </c>
      <c r="C5">
        <v>160</v>
      </c>
      <c r="D5" s="6">
        <v>45613</v>
      </c>
      <c r="E5" t="s">
        <v>638</v>
      </c>
      <c r="F5" s="1">
        <f>VLOOKUP(E5,'[1]TIỀN MUA PHỤ'!$A:$B,2,0)</f>
        <v>10000</v>
      </c>
      <c r="G5">
        <v>0.3</v>
      </c>
      <c r="H5" s="2">
        <f t="shared" si="0"/>
        <v>3000</v>
      </c>
      <c r="I5" s="2">
        <f t="shared" si="1"/>
        <v>480000</v>
      </c>
    </row>
    <row r="6" spans="1:9" x14ac:dyDescent="0.3">
      <c r="A6" t="s">
        <v>43</v>
      </c>
      <c r="B6" t="s">
        <v>44</v>
      </c>
      <c r="C6">
        <v>170</v>
      </c>
      <c r="D6" s="6">
        <v>45613</v>
      </c>
      <c r="E6" t="s">
        <v>639</v>
      </c>
      <c r="F6" s="1">
        <f>VLOOKUP(E6,'[1]TIỀN MUA PHỤ'!$A:$B,2,0)</f>
        <v>10000</v>
      </c>
      <c r="G6">
        <v>0.3</v>
      </c>
      <c r="H6" s="2">
        <f t="shared" si="0"/>
        <v>3000</v>
      </c>
      <c r="I6" s="2">
        <f t="shared" si="1"/>
        <v>510000</v>
      </c>
    </row>
    <row r="7" spans="1:9" ht="26.4" customHeight="1" x14ac:dyDescent="0.3">
      <c r="A7" t="s">
        <v>17</v>
      </c>
      <c r="B7" t="s">
        <v>7</v>
      </c>
      <c r="C7">
        <v>30</v>
      </c>
      <c r="D7" s="6">
        <v>45613</v>
      </c>
      <c r="E7" t="s">
        <v>640</v>
      </c>
      <c r="F7" s="1">
        <f>VLOOKUP(E7,'[1]TIỀN MUA PHỤ'!$A:$B,2,0)</f>
        <v>39000</v>
      </c>
      <c r="G7">
        <v>1</v>
      </c>
      <c r="H7" s="2">
        <f t="shared" si="0"/>
        <v>39000</v>
      </c>
      <c r="I7" s="2">
        <f t="shared" si="1"/>
        <v>1170000</v>
      </c>
    </row>
    <row r="8" spans="1:9" ht="26.4" customHeight="1" x14ac:dyDescent="0.3">
      <c r="A8" t="s">
        <v>18</v>
      </c>
      <c r="B8" t="s">
        <v>9</v>
      </c>
      <c r="C8">
        <v>10</v>
      </c>
      <c r="D8" s="6">
        <v>45613</v>
      </c>
      <c r="E8" t="s">
        <v>641</v>
      </c>
      <c r="F8" s="1">
        <f>VLOOKUP(E8,'[1]TIỀN MUA PHỤ'!$A:$B,2,0)</f>
        <v>57000</v>
      </c>
      <c r="G8">
        <v>0.2</v>
      </c>
      <c r="H8" s="2">
        <f t="shared" si="0"/>
        <v>11400</v>
      </c>
      <c r="I8" s="2">
        <f t="shared" si="1"/>
        <v>114000</v>
      </c>
    </row>
    <row r="9" spans="1:9" ht="26.4" customHeight="1" x14ac:dyDescent="0.3">
      <c r="A9" t="s">
        <v>89</v>
      </c>
      <c r="B9" t="s">
        <v>7</v>
      </c>
      <c r="C9">
        <v>20</v>
      </c>
      <c r="D9" s="6">
        <v>45613</v>
      </c>
      <c r="E9" t="s">
        <v>574</v>
      </c>
      <c r="F9" s="1">
        <f>VLOOKUP(E9,'[1]TIỀN MUA PHỤ'!$A:$B,2,0)</f>
        <v>17000</v>
      </c>
      <c r="G9">
        <v>1</v>
      </c>
      <c r="H9" s="2">
        <f t="shared" si="0"/>
        <v>17000</v>
      </c>
      <c r="I9" s="2">
        <f t="shared" si="1"/>
        <v>340000</v>
      </c>
    </row>
    <row r="10" spans="1:9" ht="26.4" customHeight="1" x14ac:dyDescent="0.3">
      <c r="A10" t="s">
        <v>89</v>
      </c>
      <c r="B10" t="s">
        <v>105</v>
      </c>
      <c r="C10">
        <v>200</v>
      </c>
      <c r="D10" s="6">
        <v>45613</v>
      </c>
      <c r="E10" t="s">
        <v>574</v>
      </c>
      <c r="F10" s="1">
        <f>VLOOKUP(E10,'[1]TIỀN MUA PHỤ'!$A:$B,2,0)</f>
        <v>17000</v>
      </c>
      <c r="G10">
        <v>0.5</v>
      </c>
      <c r="H10" s="2">
        <f t="shared" si="0"/>
        <v>8500</v>
      </c>
      <c r="I10" s="2">
        <f t="shared" si="1"/>
        <v>1700000</v>
      </c>
    </row>
    <row r="11" spans="1:9" ht="15.6" customHeight="1" x14ac:dyDescent="0.3">
      <c r="A11" t="s">
        <v>47</v>
      </c>
      <c r="B11" t="s">
        <v>48</v>
      </c>
      <c r="C11">
        <v>50</v>
      </c>
      <c r="D11" s="6">
        <v>45613</v>
      </c>
      <c r="E11" t="s">
        <v>642</v>
      </c>
      <c r="F11" s="1">
        <f>VLOOKUP(E11,'[1]TIỀN MUA PHỤ'!$A:$B,2,0)</f>
        <v>55000</v>
      </c>
      <c r="G11">
        <v>0.3</v>
      </c>
      <c r="H11" s="2">
        <f t="shared" si="0"/>
        <v>16500</v>
      </c>
      <c r="I11" s="2">
        <f t="shared" si="1"/>
        <v>825000</v>
      </c>
    </row>
    <row r="12" spans="1:9" x14ac:dyDescent="0.3">
      <c r="A12" t="s">
        <v>49</v>
      </c>
      <c r="B12" t="s">
        <v>106</v>
      </c>
      <c r="C12">
        <v>100</v>
      </c>
      <c r="D12" s="6">
        <v>45613</v>
      </c>
      <c r="E12" t="s">
        <v>643</v>
      </c>
      <c r="F12" s="1">
        <f>VLOOKUP(E12,'[1]TIỀN MUA PHỤ'!$A:$B,2,0)</f>
        <v>12000</v>
      </c>
      <c r="G12">
        <v>0.3</v>
      </c>
      <c r="H12" s="2">
        <f t="shared" si="0"/>
        <v>3600</v>
      </c>
      <c r="I12" s="2">
        <f t="shared" si="1"/>
        <v>360000</v>
      </c>
    </row>
    <row r="13" spans="1:9" x14ac:dyDescent="0.3">
      <c r="A13" t="s">
        <v>6</v>
      </c>
      <c r="B13" t="s">
        <v>7</v>
      </c>
      <c r="C13">
        <v>2</v>
      </c>
      <c r="D13" s="6">
        <v>45613</v>
      </c>
      <c r="E13" t="s">
        <v>644</v>
      </c>
      <c r="F13" s="1">
        <f>VLOOKUP(E13,'[1]TIỀN MUA PHỤ'!$A:$B,2,0)</f>
        <v>15000</v>
      </c>
      <c r="G13">
        <v>1</v>
      </c>
      <c r="H13" s="2">
        <f t="shared" si="0"/>
        <v>15000</v>
      </c>
      <c r="I13" s="2">
        <f t="shared" si="1"/>
        <v>30000</v>
      </c>
    </row>
    <row r="14" spans="1:9" x14ac:dyDescent="0.3">
      <c r="A14" t="s">
        <v>8</v>
      </c>
      <c r="B14" t="s">
        <v>9</v>
      </c>
      <c r="C14">
        <v>80</v>
      </c>
      <c r="D14" s="6">
        <v>45613</v>
      </c>
      <c r="E14" t="s">
        <v>645</v>
      </c>
      <c r="F14" s="1">
        <f>VLOOKUP(E14,'[1]TIỀN MUA PHỤ'!$A:$B,2,0)</f>
        <v>52000</v>
      </c>
      <c r="G14">
        <v>0.2</v>
      </c>
      <c r="H14" s="2">
        <f t="shared" si="0"/>
        <v>10400</v>
      </c>
      <c r="I14" s="2">
        <f t="shared" si="1"/>
        <v>832000</v>
      </c>
    </row>
    <row r="15" spans="1:9" x14ac:dyDescent="0.3">
      <c r="A15" t="s">
        <v>20</v>
      </c>
      <c r="B15" t="s">
        <v>7</v>
      </c>
      <c r="C15">
        <v>40</v>
      </c>
      <c r="D15" s="6">
        <v>45613</v>
      </c>
      <c r="E15" t="s">
        <v>646</v>
      </c>
      <c r="F15" s="1">
        <f>VLOOKUP(E15,'[1]TIỀN MUA PHỤ'!$A:$B,2,0)</f>
        <v>30000</v>
      </c>
      <c r="G15">
        <v>1</v>
      </c>
      <c r="H15" s="2">
        <f t="shared" si="0"/>
        <v>30000</v>
      </c>
      <c r="I15" s="2">
        <f t="shared" si="1"/>
        <v>1200000</v>
      </c>
    </row>
    <row r="16" spans="1:9" x14ac:dyDescent="0.3">
      <c r="A16" t="s">
        <v>23</v>
      </c>
      <c r="B16" t="s">
        <v>24</v>
      </c>
      <c r="C16">
        <v>10</v>
      </c>
      <c r="D16" s="6">
        <v>45613</v>
      </c>
      <c r="E16" t="s">
        <v>647</v>
      </c>
      <c r="F16" s="1">
        <f>VLOOKUP(E16,'[1]TIỀN MUA PHỤ'!$A:$B,2,0)</f>
        <v>35000</v>
      </c>
      <c r="G16">
        <v>0.15</v>
      </c>
      <c r="H16" s="2">
        <f t="shared" si="0"/>
        <v>5250</v>
      </c>
      <c r="I16" s="2">
        <f t="shared" si="1"/>
        <v>52500</v>
      </c>
    </row>
    <row r="17" spans="1:9" x14ac:dyDescent="0.3">
      <c r="A17" t="s">
        <v>26</v>
      </c>
      <c r="B17" t="s">
        <v>27</v>
      </c>
      <c r="C17">
        <v>200</v>
      </c>
      <c r="D17" s="6">
        <v>45613</v>
      </c>
      <c r="E17" t="s">
        <v>648</v>
      </c>
      <c r="F17" s="1">
        <f>VLOOKUP(E17,'[1]TIỀN MUA PHỤ'!$A:$B,2,0)</f>
        <v>12000</v>
      </c>
      <c r="G17">
        <v>0.5</v>
      </c>
      <c r="H17" s="2">
        <f t="shared" si="0"/>
        <v>6000</v>
      </c>
      <c r="I17" s="2">
        <f t="shared" si="1"/>
        <v>1200000</v>
      </c>
    </row>
    <row r="18" spans="1:9" ht="26.4" customHeight="1" x14ac:dyDescent="0.3">
      <c r="A18" t="s">
        <v>51</v>
      </c>
      <c r="B18" t="s">
        <v>9</v>
      </c>
      <c r="C18">
        <v>20</v>
      </c>
      <c r="D18" s="6">
        <v>45613</v>
      </c>
      <c r="E18" t="s">
        <v>575</v>
      </c>
      <c r="F18" s="1">
        <f>VLOOKUP(E18,'[1]TIỀN MUA PHỤ'!$A:$B,2,0)</f>
        <v>26000</v>
      </c>
      <c r="G18">
        <v>0.25</v>
      </c>
      <c r="H18" s="2">
        <f t="shared" si="0"/>
        <v>6500</v>
      </c>
      <c r="I18" s="2">
        <f t="shared" si="1"/>
        <v>130000</v>
      </c>
    </row>
    <row r="19" spans="1:9" ht="15" customHeight="1" x14ac:dyDescent="0.3">
      <c r="A19" t="s">
        <v>10</v>
      </c>
      <c r="B19" t="s">
        <v>7</v>
      </c>
      <c r="C19">
        <v>30</v>
      </c>
      <c r="D19" s="6">
        <v>45613</v>
      </c>
      <c r="E19" t="s">
        <v>649</v>
      </c>
      <c r="F19" s="1">
        <f>VLOOKUP(E19,'[1]TIỀN MUA PHỤ'!$A:$B,2,0)</f>
        <v>6500</v>
      </c>
      <c r="G19">
        <v>1</v>
      </c>
      <c r="H19" s="2">
        <f t="shared" si="0"/>
        <v>6500</v>
      </c>
      <c r="I19" s="2">
        <f t="shared" si="1"/>
        <v>195000</v>
      </c>
    </row>
    <row r="20" spans="1:9" x14ac:dyDescent="0.3">
      <c r="A20" t="s">
        <v>104</v>
      </c>
      <c r="B20" t="s">
        <v>22</v>
      </c>
      <c r="C20">
        <v>5</v>
      </c>
      <c r="D20" s="6">
        <v>45613</v>
      </c>
      <c r="E20" t="s">
        <v>650</v>
      </c>
      <c r="F20" s="1">
        <f>VLOOKUP(E20,'[1]TIỀN MUA PHỤ'!$A:$B,2,0)</f>
        <v>6000</v>
      </c>
      <c r="G20">
        <v>1</v>
      </c>
      <c r="H20" s="2">
        <f t="shared" si="0"/>
        <v>6000</v>
      </c>
      <c r="I20" s="2">
        <f t="shared" si="1"/>
        <v>30000</v>
      </c>
    </row>
    <row r="21" spans="1:9" x14ac:dyDescent="0.3">
      <c r="A21" t="s">
        <v>87</v>
      </c>
      <c r="B21" t="s">
        <v>107</v>
      </c>
      <c r="C21">
        <v>40</v>
      </c>
      <c r="D21" s="6">
        <v>45613</v>
      </c>
      <c r="E21" t="s">
        <v>651</v>
      </c>
      <c r="F21" s="1">
        <f>VLOOKUP(E21,'[1]TIỀN MUA PHỤ'!$A:$B,2,0)</f>
        <v>10000</v>
      </c>
      <c r="G21" s="7">
        <f>2/3</f>
        <v>0.66666666666666663</v>
      </c>
      <c r="H21" s="2">
        <f t="shared" si="0"/>
        <v>6666.6666666666661</v>
      </c>
      <c r="I21" s="2">
        <f t="shared" si="1"/>
        <v>266666.66666666663</v>
      </c>
    </row>
    <row r="22" spans="1:9" x14ac:dyDescent="0.3">
      <c r="A22" t="s">
        <v>53</v>
      </c>
      <c r="B22" t="s">
        <v>9</v>
      </c>
      <c r="C22">
        <v>248</v>
      </c>
      <c r="D22" s="6">
        <v>45613</v>
      </c>
      <c r="E22" t="s">
        <v>652</v>
      </c>
      <c r="F22" s="1">
        <f>VLOOKUP(E22,'[1]TIỀN MUA PHỤ'!$A:$B,2,0)</f>
        <v>4000</v>
      </c>
      <c r="G22">
        <v>1</v>
      </c>
      <c r="H22" s="2">
        <f t="shared" si="0"/>
        <v>4000</v>
      </c>
      <c r="I22" s="2">
        <f t="shared" si="1"/>
        <v>992000</v>
      </c>
    </row>
    <row r="23" spans="1:9" x14ac:dyDescent="0.3">
      <c r="A23" t="s">
        <v>56</v>
      </c>
      <c r="B23" t="s">
        <v>7</v>
      </c>
      <c r="C23">
        <v>30</v>
      </c>
      <c r="D23" s="6">
        <v>45613</v>
      </c>
      <c r="E23" t="s">
        <v>653</v>
      </c>
      <c r="F23" s="1">
        <f>VLOOKUP(E23,'[1]TIỀN MUA PHỤ'!$A:$B,2,0)</f>
        <v>6000</v>
      </c>
      <c r="G23">
        <v>1</v>
      </c>
      <c r="H23" s="2">
        <f t="shared" si="0"/>
        <v>6000</v>
      </c>
      <c r="I23" s="2">
        <f t="shared" si="1"/>
        <v>180000</v>
      </c>
    </row>
    <row r="24" spans="1:9" x14ac:dyDescent="0.3">
      <c r="A24" t="s">
        <v>28</v>
      </c>
      <c r="B24" t="s">
        <v>27</v>
      </c>
      <c r="C24">
        <v>100</v>
      </c>
      <c r="D24" s="6">
        <v>45613</v>
      </c>
      <c r="E24" t="s">
        <v>654</v>
      </c>
      <c r="F24" s="1">
        <f>VLOOKUP(E24,'[1]TIỀN MUA PHỤ'!$A:$B,2,0)</f>
        <v>38000</v>
      </c>
      <c r="G24">
        <v>0.2</v>
      </c>
      <c r="H24" s="2">
        <f t="shared" si="0"/>
        <v>7600</v>
      </c>
      <c r="I24" s="2">
        <f t="shared" si="1"/>
        <v>760000</v>
      </c>
    </row>
    <row r="25" spans="1:9" ht="15" customHeight="1" x14ac:dyDescent="0.3">
      <c r="A25" t="s">
        <v>73</v>
      </c>
      <c r="B25" t="s">
        <v>7</v>
      </c>
      <c r="C25">
        <v>3</v>
      </c>
      <c r="D25" s="6">
        <v>45613</v>
      </c>
      <c r="E25" t="s">
        <v>655</v>
      </c>
      <c r="F25" s="1">
        <f>VLOOKUP(E25,'[1]TIỀN MUA PHỤ'!$A:$B,2,0)</f>
        <v>25000</v>
      </c>
      <c r="G25">
        <v>1</v>
      </c>
      <c r="H25" s="2">
        <f t="shared" si="0"/>
        <v>25000</v>
      </c>
      <c r="I25" s="2">
        <f t="shared" si="1"/>
        <v>75000</v>
      </c>
    </row>
    <row r="26" spans="1:9" x14ac:dyDescent="0.3">
      <c r="A26" t="s">
        <v>29</v>
      </c>
      <c r="B26" t="s">
        <v>22</v>
      </c>
      <c r="C26">
        <v>200</v>
      </c>
      <c r="D26" s="6">
        <v>45613</v>
      </c>
      <c r="E26" t="s">
        <v>656</v>
      </c>
      <c r="F26" s="1">
        <f>VLOOKUP(E26,'[1]TIỀN MUA PHỤ'!$A:$B,2,0)</f>
        <v>38000</v>
      </c>
      <c r="G26">
        <v>0.05</v>
      </c>
      <c r="H26" s="2">
        <f t="shared" si="0"/>
        <v>1900</v>
      </c>
      <c r="I26" s="2">
        <f t="shared" si="1"/>
        <v>380000</v>
      </c>
    </row>
    <row r="27" spans="1:9" x14ac:dyDescent="0.3">
      <c r="A27" t="s">
        <v>30</v>
      </c>
      <c r="B27" t="s">
        <v>7</v>
      </c>
      <c r="C27">
        <v>10</v>
      </c>
      <c r="D27" s="6">
        <v>45613</v>
      </c>
      <c r="E27" t="s">
        <v>657</v>
      </c>
      <c r="F27" s="1">
        <f>VLOOKUP(E27,'[1]TIỀN MUA PHỤ'!$A:$B,2,0)</f>
        <v>14000</v>
      </c>
      <c r="G27">
        <v>1</v>
      </c>
      <c r="H27" s="2">
        <f t="shared" si="0"/>
        <v>14000</v>
      </c>
      <c r="I27" s="2">
        <f t="shared" si="1"/>
        <v>140000</v>
      </c>
    </row>
    <row r="28" spans="1:9" x14ac:dyDescent="0.3">
      <c r="A28" t="s">
        <v>32</v>
      </c>
      <c r="B28" t="s">
        <v>7</v>
      </c>
      <c r="C28">
        <v>15</v>
      </c>
      <c r="D28" s="6">
        <v>45613</v>
      </c>
      <c r="E28" t="s">
        <v>658</v>
      </c>
      <c r="F28" s="1">
        <f>VLOOKUP(E28,'[1]TIỀN MUA PHỤ'!$A:$B,2,0)</f>
        <v>59000</v>
      </c>
      <c r="G28">
        <v>1</v>
      </c>
      <c r="H28" s="2">
        <f t="shared" si="0"/>
        <v>59000</v>
      </c>
      <c r="I28" s="2">
        <f t="shared" si="1"/>
        <v>885000</v>
      </c>
    </row>
    <row r="29" spans="1:9" ht="26.4" customHeight="1" x14ac:dyDescent="0.3">
      <c r="A29" t="s">
        <v>109</v>
      </c>
      <c r="B29" t="s">
        <v>9</v>
      </c>
      <c r="C29">
        <v>10</v>
      </c>
      <c r="D29" s="6">
        <v>45613</v>
      </c>
      <c r="E29" t="s">
        <v>659</v>
      </c>
      <c r="F29" s="1">
        <v>23000</v>
      </c>
      <c r="G29">
        <v>1</v>
      </c>
      <c r="H29" s="2">
        <f t="shared" si="0"/>
        <v>23000</v>
      </c>
      <c r="I29" s="2">
        <f t="shared" si="1"/>
        <v>230000</v>
      </c>
    </row>
    <row r="30" spans="1:9" ht="26.4" customHeight="1" x14ac:dyDescent="0.3">
      <c r="A30" t="s">
        <v>57</v>
      </c>
      <c r="B30" t="s">
        <v>7</v>
      </c>
      <c r="C30">
        <v>25</v>
      </c>
      <c r="D30" s="6">
        <v>45613</v>
      </c>
      <c r="E30" t="s">
        <v>660</v>
      </c>
      <c r="F30" s="1">
        <f>VLOOKUP(E30,'[1]TIỀN MUA PHỤ'!$A:$B,2,0)</f>
        <v>48000</v>
      </c>
      <c r="G30">
        <v>1</v>
      </c>
      <c r="H30" s="2">
        <f t="shared" si="0"/>
        <v>48000</v>
      </c>
      <c r="I30" s="2">
        <f t="shared" si="1"/>
        <v>1200000</v>
      </c>
    </row>
    <row r="31" spans="1:9" ht="26.4" customHeight="1" x14ac:dyDescent="0.3">
      <c r="A31" t="s">
        <v>58</v>
      </c>
      <c r="B31" t="s">
        <v>59</v>
      </c>
      <c r="C31">
        <v>200</v>
      </c>
      <c r="D31" s="6">
        <v>45613</v>
      </c>
      <c r="E31" t="s">
        <v>661</v>
      </c>
      <c r="F31" s="1">
        <f>VLOOKUP(E31,'[1]TIỀN MUA PHỤ'!$A:$B,2,0)</f>
        <v>37000</v>
      </c>
      <c r="G31">
        <v>0.25</v>
      </c>
      <c r="H31" s="2">
        <f t="shared" si="0"/>
        <v>9250</v>
      </c>
      <c r="I31" s="2">
        <f t="shared" si="1"/>
        <v>1850000</v>
      </c>
    </row>
    <row r="32" spans="1:9" ht="26.4" customHeight="1" x14ac:dyDescent="0.3">
      <c r="A32" t="s">
        <v>61</v>
      </c>
      <c r="B32" t="s">
        <v>59</v>
      </c>
      <c r="C32">
        <v>120</v>
      </c>
      <c r="D32" s="6">
        <v>45613</v>
      </c>
      <c r="E32" t="s">
        <v>662</v>
      </c>
      <c r="F32" s="1">
        <f>VLOOKUP(E32,'[1]TIỀN MUA PHỤ'!$A:$B,2,0)</f>
        <v>18000</v>
      </c>
      <c r="G32">
        <v>0.25</v>
      </c>
      <c r="H32" s="2">
        <f t="shared" si="0"/>
        <v>4500</v>
      </c>
      <c r="I32" s="2">
        <f t="shared" si="1"/>
        <v>540000</v>
      </c>
    </row>
    <row r="33" spans="1:9" ht="26.4" customHeight="1" x14ac:dyDescent="0.3">
      <c r="A33" t="s">
        <v>62</v>
      </c>
      <c r="B33" t="s">
        <v>59</v>
      </c>
      <c r="C33">
        <v>40</v>
      </c>
      <c r="D33" s="6">
        <v>45613</v>
      </c>
      <c r="E33" t="s">
        <v>663</v>
      </c>
      <c r="F33" s="1">
        <f>VLOOKUP(E33,'[1]TIỀN MUA PHỤ'!$A:$B,2,0)</f>
        <v>26000</v>
      </c>
      <c r="G33">
        <v>0.25</v>
      </c>
      <c r="H33" s="2">
        <f t="shared" si="0"/>
        <v>6500</v>
      </c>
      <c r="I33" s="2">
        <f t="shared" si="1"/>
        <v>260000</v>
      </c>
    </row>
    <row r="34" spans="1:9" x14ac:dyDescent="0.3">
      <c r="A34" t="s">
        <v>97</v>
      </c>
      <c r="B34" t="s">
        <v>22</v>
      </c>
      <c r="C34">
        <v>220</v>
      </c>
      <c r="D34" s="6">
        <v>45613</v>
      </c>
      <c r="E34" t="s">
        <v>664</v>
      </c>
      <c r="F34" s="1">
        <f>VLOOKUP(E34,'[1]TIỀN MUA PHỤ'!$A:$B,2,0)</f>
        <v>23000</v>
      </c>
      <c r="G34">
        <v>1</v>
      </c>
      <c r="H34" s="2">
        <f t="shared" si="0"/>
        <v>23000</v>
      </c>
      <c r="I34" s="2">
        <f t="shared" si="1"/>
        <v>5060000</v>
      </c>
    </row>
    <row r="35" spans="1:9" x14ac:dyDescent="0.3">
      <c r="A35" t="s">
        <v>33</v>
      </c>
      <c r="B35" t="s">
        <v>7</v>
      </c>
      <c r="C35">
        <v>5</v>
      </c>
      <c r="D35" s="6">
        <v>45613</v>
      </c>
      <c r="E35" t="s">
        <v>665</v>
      </c>
      <c r="F35" s="1">
        <f>VLOOKUP(E35,'[1]TIỀN MUA PHỤ'!$A:$B,2,0)</f>
        <v>35000</v>
      </c>
      <c r="G35">
        <v>1</v>
      </c>
      <c r="H35" s="2">
        <f t="shared" si="0"/>
        <v>35000</v>
      </c>
      <c r="I35" s="2">
        <f t="shared" si="1"/>
        <v>175000</v>
      </c>
    </row>
    <row r="36" spans="1:9" ht="26.4" customHeight="1" x14ac:dyDescent="0.3">
      <c r="A36" t="s">
        <v>34</v>
      </c>
      <c r="B36" t="s">
        <v>7</v>
      </c>
      <c r="C36">
        <v>110</v>
      </c>
      <c r="D36" s="6">
        <v>45613</v>
      </c>
      <c r="E36" t="s">
        <v>666</v>
      </c>
      <c r="F36" s="1">
        <f>VLOOKUP(E36,'[1]TIỀN MUA PHỤ'!$A:$B,2,0)</f>
        <v>28000</v>
      </c>
      <c r="G36">
        <v>1</v>
      </c>
      <c r="H36" s="2">
        <f t="shared" si="0"/>
        <v>28000</v>
      </c>
      <c r="I36" s="2">
        <f t="shared" si="1"/>
        <v>3080000</v>
      </c>
    </row>
    <row r="37" spans="1:9" ht="26.4" customHeight="1" x14ac:dyDescent="0.3">
      <c r="A37" t="s">
        <v>74</v>
      </c>
      <c r="B37" t="s">
        <v>7</v>
      </c>
      <c r="C37">
        <v>50</v>
      </c>
      <c r="D37" s="6">
        <v>45613</v>
      </c>
      <c r="E37" t="s">
        <v>667</v>
      </c>
      <c r="F37" s="1">
        <v>28000</v>
      </c>
      <c r="G37">
        <v>1</v>
      </c>
      <c r="H37" s="2">
        <f t="shared" si="0"/>
        <v>28000</v>
      </c>
      <c r="I37" s="2">
        <f t="shared" si="1"/>
        <v>1400000</v>
      </c>
    </row>
    <row r="38" spans="1:9" x14ac:dyDescent="0.3">
      <c r="A38" t="s">
        <v>35</v>
      </c>
      <c r="B38" t="s">
        <v>7</v>
      </c>
      <c r="C38">
        <v>30</v>
      </c>
      <c r="D38" s="6">
        <v>45613</v>
      </c>
      <c r="E38" t="s">
        <v>668</v>
      </c>
      <c r="F38" s="1">
        <f>VLOOKUP(E38,'[1]TIỀN MUA PHỤ'!$A:$B,2,0)</f>
        <v>28000</v>
      </c>
      <c r="G38">
        <v>1</v>
      </c>
      <c r="H38" s="2">
        <f t="shared" si="0"/>
        <v>28000</v>
      </c>
      <c r="I38" s="2">
        <f t="shared" si="1"/>
        <v>840000</v>
      </c>
    </row>
    <row r="39" spans="1:9" ht="26.4" customHeight="1" x14ac:dyDescent="0.3">
      <c r="A39" t="s">
        <v>36</v>
      </c>
      <c r="B39" t="s">
        <v>27</v>
      </c>
      <c r="C39">
        <v>150</v>
      </c>
      <c r="D39" s="6">
        <v>45613</v>
      </c>
      <c r="E39" t="s">
        <v>669</v>
      </c>
      <c r="F39" s="1">
        <f>VLOOKUP(E39,'[1]TIỀN MUA PHỤ'!$A:$B,2,0)</f>
        <v>6800</v>
      </c>
      <c r="G39">
        <v>1</v>
      </c>
      <c r="H39" s="2">
        <f t="shared" si="0"/>
        <v>6800</v>
      </c>
      <c r="I39" s="2">
        <f t="shared" si="1"/>
        <v>1020000</v>
      </c>
    </row>
    <row r="40" spans="1:9" x14ac:dyDescent="0.3">
      <c r="A40" t="s">
        <v>40</v>
      </c>
      <c r="B40" t="s">
        <v>7</v>
      </c>
      <c r="C40">
        <v>40</v>
      </c>
      <c r="D40" s="6">
        <v>45613</v>
      </c>
      <c r="E40" t="s">
        <v>670</v>
      </c>
      <c r="F40" s="1">
        <v>27000</v>
      </c>
      <c r="G40">
        <v>1</v>
      </c>
      <c r="H40" s="2">
        <f t="shared" si="0"/>
        <v>27000</v>
      </c>
      <c r="I40" s="2">
        <f t="shared" si="1"/>
        <v>1080000</v>
      </c>
    </row>
    <row r="41" spans="1:9" x14ac:dyDescent="0.3">
      <c r="A41" t="s">
        <v>37</v>
      </c>
      <c r="B41" t="s">
        <v>7</v>
      </c>
      <c r="C41">
        <v>30</v>
      </c>
      <c r="D41" s="6">
        <v>45613</v>
      </c>
      <c r="E41" t="s">
        <v>671</v>
      </c>
      <c r="F41" s="1">
        <f>VLOOKUP(E41,'[1]TIỀN MUA PHỤ'!$A:$B,2,0)</f>
        <v>27000</v>
      </c>
      <c r="G41">
        <v>1</v>
      </c>
      <c r="H41" s="2">
        <f t="shared" si="0"/>
        <v>27000</v>
      </c>
      <c r="I41" s="2">
        <f t="shared" si="1"/>
        <v>810000</v>
      </c>
    </row>
    <row r="42" spans="1:9" ht="26.4" customHeight="1" x14ac:dyDescent="0.3">
      <c r="A42" t="s">
        <v>38</v>
      </c>
      <c r="B42" t="s">
        <v>27</v>
      </c>
      <c r="C42">
        <v>14</v>
      </c>
      <c r="D42" s="6">
        <v>45613</v>
      </c>
      <c r="E42" t="s">
        <v>672</v>
      </c>
      <c r="F42" s="1">
        <f>VLOOKUP(E42,'[1]TIỀN MUA PHỤ'!$A:$B,2,0)</f>
        <v>6800</v>
      </c>
      <c r="G42">
        <v>1</v>
      </c>
      <c r="H42" s="2">
        <f t="shared" si="0"/>
        <v>6800</v>
      </c>
      <c r="I42" s="2">
        <f t="shared" si="1"/>
        <v>95200</v>
      </c>
    </row>
    <row r="43" spans="1:9" x14ac:dyDescent="0.3">
      <c r="A43" t="s">
        <v>39</v>
      </c>
      <c r="B43" t="s">
        <v>7</v>
      </c>
      <c r="C43">
        <v>20</v>
      </c>
      <c r="D43" s="6">
        <v>45613</v>
      </c>
      <c r="E43" t="s">
        <v>576</v>
      </c>
      <c r="F43" s="1">
        <f>VLOOKUP(E43,'[1]TIỀN MUA PHỤ'!$A:$B,2,0)</f>
        <v>33000</v>
      </c>
      <c r="G43">
        <v>1</v>
      </c>
      <c r="H43" s="2">
        <f t="shared" si="0"/>
        <v>33000</v>
      </c>
      <c r="I43" s="2">
        <f t="shared" si="1"/>
        <v>660000</v>
      </c>
    </row>
    <row r="44" spans="1:9" x14ac:dyDescent="0.3">
      <c r="A44" t="s">
        <v>82</v>
      </c>
      <c r="B44" t="s">
        <v>7</v>
      </c>
      <c r="C44">
        <v>2</v>
      </c>
      <c r="D44" s="6">
        <v>45613</v>
      </c>
      <c r="E44" t="s">
        <v>673</v>
      </c>
      <c r="F44" s="1">
        <f>VLOOKUP(E44,'[1]TIỀN MUA PHỤ'!$A:$B,2,0)</f>
        <v>120000</v>
      </c>
      <c r="G44">
        <v>1</v>
      </c>
      <c r="H44" s="2">
        <f t="shared" si="0"/>
        <v>120000</v>
      </c>
      <c r="I44" s="2">
        <f t="shared" si="1"/>
        <v>240000</v>
      </c>
    </row>
    <row r="45" spans="1:9" x14ac:dyDescent="0.3">
      <c r="A45" t="s">
        <v>83</v>
      </c>
      <c r="B45" t="s">
        <v>7</v>
      </c>
      <c r="C45">
        <v>5</v>
      </c>
      <c r="D45" s="6">
        <v>45613</v>
      </c>
      <c r="E45" t="s">
        <v>674</v>
      </c>
      <c r="F45" s="1">
        <f>VLOOKUP(E45,'[1]TIỀN MUA PHỤ'!$A:$B,2,0)</f>
        <v>30000</v>
      </c>
      <c r="G45">
        <v>1</v>
      </c>
      <c r="H45" s="2">
        <f t="shared" si="0"/>
        <v>30000</v>
      </c>
      <c r="I45" s="2">
        <f t="shared" si="1"/>
        <v>150000</v>
      </c>
    </row>
    <row r="46" spans="1:9" ht="26.4" customHeight="1" x14ac:dyDescent="0.3">
      <c r="A46" t="s">
        <v>84</v>
      </c>
      <c r="B46" t="s">
        <v>27</v>
      </c>
      <c r="C46">
        <v>10</v>
      </c>
      <c r="D46" s="6">
        <v>45613</v>
      </c>
      <c r="E46" t="s">
        <v>675</v>
      </c>
      <c r="F46" s="1">
        <f>VLOOKUP(E46,'[1]TIỀN MUA PHỤ'!$A:$B,2,0)</f>
        <v>6000</v>
      </c>
      <c r="G46">
        <v>1</v>
      </c>
      <c r="H46" s="2">
        <f t="shared" si="0"/>
        <v>6000</v>
      </c>
      <c r="I46" s="2">
        <f t="shared" si="1"/>
        <v>60000</v>
      </c>
    </row>
    <row r="47" spans="1:9" x14ac:dyDescent="0.3">
      <c r="A47" t="s">
        <v>506</v>
      </c>
      <c r="B47" t="s">
        <v>507</v>
      </c>
      <c r="C47">
        <v>6</v>
      </c>
      <c r="D47" s="6">
        <v>45613</v>
      </c>
      <c r="E47" t="s">
        <v>676</v>
      </c>
      <c r="F47" s="1">
        <f>VLOOKUP(E47,'[1]TIỀN MUA PHỤ'!$A:$B,2,0)</f>
        <v>38000</v>
      </c>
      <c r="G47">
        <v>1</v>
      </c>
      <c r="H47" s="2">
        <f t="shared" si="0"/>
        <v>38000</v>
      </c>
      <c r="I47" s="2">
        <f t="shared" si="1"/>
        <v>228000</v>
      </c>
    </row>
  </sheetData>
  <autoFilter ref="A1:G47" xr:uid="{6E807143-CD76-40F4-8964-29EB723A94A8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22E8-0A19-4C73-A0AA-A7EE37882A65}">
  <dimension ref="A1:G84"/>
  <sheetViews>
    <sheetView topLeftCell="A61" workbookViewId="0">
      <selection activeCell="G1" sqref="G1"/>
    </sheetView>
  </sheetViews>
  <sheetFormatPr defaultRowHeight="14.4" x14ac:dyDescent="0.3"/>
  <cols>
    <col min="1" max="1" width="28.5546875" customWidth="1"/>
    <col min="4" max="4" width="10.5546875" bestFit="1" customWidth="1"/>
    <col min="5" max="5" width="27.44140625" customWidth="1"/>
    <col min="6" max="6" width="10.33203125" style="1" bestFit="1" customWidth="1"/>
    <col min="7" max="7" width="13.44140625" customWidth="1"/>
  </cols>
  <sheetData>
    <row r="1" spans="1:7" x14ac:dyDescent="0.3">
      <c r="G1" s="2">
        <f>SUM(G2:G84)</f>
        <v>66696450</v>
      </c>
    </row>
    <row r="2" spans="1:7" x14ac:dyDescent="0.3">
      <c r="A2" t="s">
        <v>78</v>
      </c>
      <c r="B2" t="s">
        <v>7</v>
      </c>
      <c r="C2">
        <v>22</v>
      </c>
      <c r="D2" s="6">
        <v>45612</v>
      </c>
      <c r="E2" t="s">
        <v>509</v>
      </c>
      <c r="F2" s="1">
        <f>VLOOKUP(E2,'[1]TIỀN MUA PHỤ'!$A:$B,2,0)</f>
        <v>30000</v>
      </c>
      <c r="G2" s="2">
        <f>C2*F2</f>
        <v>660000</v>
      </c>
    </row>
    <row r="3" spans="1:7" x14ac:dyDescent="0.3">
      <c r="A3" t="s">
        <v>79</v>
      </c>
      <c r="B3" t="s">
        <v>7</v>
      </c>
      <c r="C3">
        <v>5</v>
      </c>
      <c r="D3" s="6">
        <v>45612</v>
      </c>
      <c r="E3" t="s">
        <v>510</v>
      </c>
      <c r="F3" s="1">
        <f>VLOOKUP(E3,'[1]TIỀN MUA PHỤ'!$A:$B,2,0)</f>
        <v>12000</v>
      </c>
      <c r="G3" s="2">
        <f t="shared" ref="G3:G66" si="0">C3*F3</f>
        <v>60000</v>
      </c>
    </row>
    <row r="4" spans="1:7" x14ac:dyDescent="0.3">
      <c r="A4" t="s">
        <v>19</v>
      </c>
      <c r="B4" t="s">
        <v>7</v>
      </c>
      <c r="C4">
        <v>15</v>
      </c>
      <c r="D4" s="6">
        <v>45612</v>
      </c>
      <c r="E4" t="s">
        <v>511</v>
      </c>
      <c r="F4" s="1">
        <f>VLOOKUP(E4,'[1]TIỀN MUA PHỤ'!$A:$B,2,0)</f>
        <v>11000</v>
      </c>
      <c r="G4" s="2">
        <f t="shared" si="0"/>
        <v>165000</v>
      </c>
    </row>
    <row r="5" spans="1:7" x14ac:dyDescent="0.3">
      <c r="A5" t="s">
        <v>80</v>
      </c>
      <c r="B5" t="s">
        <v>44</v>
      </c>
      <c r="C5">
        <v>20</v>
      </c>
      <c r="D5" s="6">
        <v>45612</v>
      </c>
      <c r="E5" t="s">
        <v>512</v>
      </c>
      <c r="F5" s="1">
        <v>5000</v>
      </c>
      <c r="G5" s="2">
        <f t="shared" si="0"/>
        <v>100000</v>
      </c>
    </row>
    <row r="6" spans="1:7" x14ac:dyDescent="0.3">
      <c r="A6" t="s">
        <v>41</v>
      </c>
      <c r="B6" t="s">
        <v>42</v>
      </c>
      <c r="C6">
        <v>240</v>
      </c>
      <c r="D6" s="6">
        <v>45612</v>
      </c>
      <c r="E6" t="s">
        <v>513</v>
      </c>
      <c r="F6" s="1">
        <f>VLOOKUP(E6,'[1]TIỀN MUA PHỤ'!$A:$B,2,0)*0.3</f>
        <v>3300</v>
      </c>
      <c r="G6" s="2">
        <f t="shared" si="0"/>
        <v>792000</v>
      </c>
    </row>
    <row r="7" spans="1:7" x14ac:dyDescent="0.3">
      <c r="A7" t="s">
        <v>43</v>
      </c>
      <c r="B7" t="s">
        <v>44</v>
      </c>
      <c r="C7">
        <v>186</v>
      </c>
      <c r="D7" s="6">
        <v>45612</v>
      </c>
      <c r="E7" t="s">
        <v>514</v>
      </c>
      <c r="F7" s="1">
        <f>VLOOKUP(E7,'[1]TIỀN MUA PHỤ'!$A:$B,2,0)/3</f>
        <v>3333.3333333333335</v>
      </c>
      <c r="G7" s="2">
        <f t="shared" si="0"/>
        <v>620000</v>
      </c>
    </row>
    <row r="8" spans="1:7" x14ac:dyDescent="0.3">
      <c r="A8" t="s">
        <v>67</v>
      </c>
      <c r="B8" t="s">
        <v>7</v>
      </c>
      <c r="C8">
        <v>78</v>
      </c>
      <c r="D8" s="6">
        <v>45612</v>
      </c>
      <c r="E8" t="s">
        <v>515</v>
      </c>
      <c r="F8" s="1">
        <f>VLOOKUP(E8,'[1]TIỀN MUA PHỤ'!$A:$B,2,0)</f>
        <v>28000</v>
      </c>
      <c r="G8" s="2">
        <f t="shared" si="0"/>
        <v>2184000</v>
      </c>
    </row>
    <row r="9" spans="1:7" x14ac:dyDescent="0.3">
      <c r="A9" t="s">
        <v>17</v>
      </c>
      <c r="B9" t="s">
        <v>7</v>
      </c>
      <c r="C9">
        <v>36</v>
      </c>
      <c r="D9" s="6">
        <v>45612</v>
      </c>
      <c r="E9" t="s">
        <v>516</v>
      </c>
      <c r="F9" s="1">
        <f>VLOOKUP(E9,'[1]TIỀN MUA PHỤ'!$A:$B,2,0)</f>
        <v>39000</v>
      </c>
      <c r="G9" s="2">
        <f t="shared" si="0"/>
        <v>1404000</v>
      </c>
    </row>
    <row r="10" spans="1:7" x14ac:dyDescent="0.3">
      <c r="A10" t="s">
        <v>18</v>
      </c>
      <c r="B10" t="s">
        <v>9</v>
      </c>
      <c r="C10">
        <v>47</v>
      </c>
      <c r="D10" s="6">
        <v>45612</v>
      </c>
      <c r="E10" t="s">
        <v>517</v>
      </c>
      <c r="F10" s="1">
        <f>VLOOKUP(E10,'[1]TIỀN MUA PHỤ'!$A:$B,2,0)/5</f>
        <v>11400</v>
      </c>
      <c r="G10" s="2">
        <f t="shared" si="0"/>
        <v>535800</v>
      </c>
    </row>
    <row r="11" spans="1:7" x14ac:dyDescent="0.3">
      <c r="A11" t="s">
        <v>45</v>
      </c>
      <c r="B11" t="s">
        <v>7</v>
      </c>
      <c r="C11">
        <v>130</v>
      </c>
      <c r="D11" s="6">
        <v>45612</v>
      </c>
      <c r="E11" t="s">
        <v>518</v>
      </c>
      <c r="F11" s="1">
        <f>VLOOKUP(E11,'[1]TIỀN MUA PHỤ'!$A:$B,2,0)</f>
        <v>22000</v>
      </c>
      <c r="G11" s="2">
        <f t="shared" si="0"/>
        <v>2860000</v>
      </c>
    </row>
    <row r="12" spans="1:7" x14ac:dyDescent="0.3">
      <c r="A12" t="s">
        <v>89</v>
      </c>
      <c r="B12" t="s">
        <v>7</v>
      </c>
      <c r="C12">
        <v>20</v>
      </c>
      <c r="D12" s="6">
        <v>45612</v>
      </c>
      <c r="E12" t="s">
        <v>519</v>
      </c>
      <c r="F12" s="1">
        <f>VLOOKUP(E12,'[1]TIỀN MUA PHỤ'!$A:$B,2,0)</f>
        <v>21000</v>
      </c>
      <c r="G12" s="2">
        <f t="shared" si="0"/>
        <v>420000</v>
      </c>
    </row>
    <row r="13" spans="1:7" x14ac:dyDescent="0.3">
      <c r="A13" t="s">
        <v>89</v>
      </c>
      <c r="B13" t="s">
        <v>105</v>
      </c>
      <c r="C13">
        <v>144</v>
      </c>
      <c r="D13" s="6">
        <v>45612</v>
      </c>
      <c r="E13" t="s">
        <v>519</v>
      </c>
      <c r="F13" s="1">
        <f>VLOOKUP(E13,'[1]TIỀN MUA PHỤ'!$A:$B,2,0)/2</f>
        <v>10500</v>
      </c>
      <c r="G13" s="2">
        <f t="shared" si="0"/>
        <v>1512000</v>
      </c>
    </row>
    <row r="14" spans="1:7" x14ac:dyDescent="0.3">
      <c r="A14" t="s">
        <v>70</v>
      </c>
      <c r="B14" t="s">
        <v>7</v>
      </c>
      <c r="C14">
        <v>28</v>
      </c>
      <c r="D14" s="6">
        <v>45612</v>
      </c>
      <c r="E14" t="s">
        <v>520</v>
      </c>
      <c r="F14" s="1">
        <v>33000</v>
      </c>
      <c r="G14" s="2">
        <f t="shared" si="0"/>
        <v>924000</v>
      </c>
    </row>
    <row r="15" spans="1:7" x14ac:dyDescent="0.3">
      <c r="A15" t="s">
        <v>70</v>
      </c>
      <c r="B15" t="s">
        <v>106</v>
      </c>
      <c r="C15">
        <v>74</v>
      </c>
      <c r="D15" s="6">
        <v>45612</v>
      </c>
      <c r="E15" t="s">
        <v>520</v>
      </c>
      <c r="F15" s="1">
        <f>VLOOKUP(E15,'[1]TIỀN MUA PHỤ'!$A:$B,2,0)</f>
        <v>9900</v>
      </c>
      <c r="G15" s="2">
        <f t="shared" si="0"/>
        <v>732600</v>
      </c>
    </row>
    <row r="16" spans="1:7" x14ac:dyDescent="0.3">
      <c r="A16" t="s">
        <v>47</v>
      </c>
      <c r="B16" t="s">
        <v>48</v>
      </c>
      <c r="C16">
        <v>56</v>
      </c>
      <c r="D16" s="6">
        <v>45612</v>
      </c>
      <c r="E16" t="s">
        <v>521</v>
      </c>
      <c r="F16" s="1">
        <f>VLOOKUP(E16,'[1]TIỀN MUA PHỤ'!$A:$B,2,0)*0.3</f>
        <v>16500</v>
      </c>
      <c r="G16" s="2">
        <f t="shared" si="0"/>
        <v>924000</v>
      </c>
    </row>
    <row r="17" spans="1:7" x14ac:dyDescent="0.3">
      <c r="A17" t="s">
        <v>49</v>
      </c>
      <c r="B17" t="s">
        <v>106</v>
      </c>
      <c r="C17">
        <v>205</v>
      </c>
      <c r="D17" s="6">
        <v>45612</v>
      </c>
      <c r="E17" t="s">
        <v>522</v>
      </c>
      <c r="F17" s="1">
        <f>VLOOKUP(E17,'[1]TIỀN MUA PHỤ'!$A:$B,2,0)*0.3</f>
        <v>13950</v>
      </c>
      <c r="G17" s="2">
        <f t="shared" si="0"/>
        <v>2859750</v>
      </c>
    </row>
    <row r="18" spans="1:7" x14ac:dyDescent="0.3">
      <c r="A18" t="s">
        <v>50</v>
      </c>
      <c r="B18" t="s">
        <v>7</v>
      </c>
      <c r="C18">
        <v>26</v>
      </c>
      <c r="D18" s="6">
        <v>45612</v>
      </c>
      <c r="E18" t="s">
        <v>523</v>
      </c>
      <c r="F18" s="1">
        <f>VLOOKUP(E18,'[1]TIỀN MUA PHỤ'!$A:$B,2,0)</f>
        <v>17000</v>
      </c>
      <c r="G18" s="2">
        <f t="shared" si="0"/>
        <v>442000</v>
      </c>
    </row>
    <row r="19" spans="1:7" ht="15" customHeight="1" x14ac:dyDescent="0.3">
      <c r="A19" t="s">
        <v>6</v>
      </c>
      <c r="B19" t="s">
        <v>7</v>
      </c>
      <c r="C19">
        <v>120</v>
      </c>
      <c r="D19" s="6">
        <v>45612</v>
      </c>
      <c r="E19" t="s">
        <v>524</v>
      </c>
      <c r="F19" s="1">
        <f>VLOOKUP(E19,'[1]TIỀN MUA PHỤ'!$A:$B,2,0)</f>
        <v>15000</v>
      </c>
      <c r="G19" s="2">
        <f t="shared" si="0"/>
        <v>1800000</v>
      </c>
    </row>
    <row r="20" spans="1:7" x14ac:dyDescent="0.3">
      <c r="A20" t="s">
        <v>8</v>
      </c>
      <c r="B20" t="s">
        <v>9</v>
      </c>
      <c r="C20">
        <v>73</v>
      </c>
      <c r="D20" s="6">
        <v>45612</v>
      </c>
      <c r="E20" t="s">
        <v>525</v>
      </c>
      <c r="F20" s="1">
        <v>11000</v>
      </c>
      <c r="G20" s="2">
        <f t="shared" si="0"/>
        <v>803000</v>
      </c>
    </row>
    <row r="21" spans="1:7" x14ac:dyDescent="0.3">
      <c r="A21" t="s">
        <v>20</v>
      </c>
      <c r="B21" t="s">
        <v>7</v>
      </c>
      <c r="C21">
        <v>55</v>
      </c>
      <c r="D21" s="6">
        <v>45612</v>
      </c>
      <c r="E21" t="s">
        <v>526</v>
      </c>
      <c r="F21" s="1">
        <v>28000</v>
      </c>
      <c r="G21" s="2">
        <f t="shared" si="0"/>
        <v>1540000</v>
      </c>
    </row>
    <row r="22" spans="1:7" x14ac:dyDescent="0.3">
      <c r="A22" t="s">
        <v>23</v>
      </c>
      <c r="B22" t="s">
        <v>22</v>
      </c>
      <c r="C22">
        <v>115</v>
      </c>
      <c r="D22" s="6">
        <v>45612</v>
      </c>
      <c r="E22" t="s">
        <v>527</v>
      </c>
      <c r="F22" s="1">
        <f>VLOOKUP(E22,'[1]TIỀN MUA PHỤ'!$A:$B,2,0)*0.3</f>
        <v>9600</v>
      </c>
      <c r="G22" s="2">
        <f t="shared" si="0"/>
        <v>1104000</v>
      </c>
    </row>
    <row r="23" spans="1:7" x14ac:dyDescent="0.3">
      <c r="A23" t="s">
        <v>23</v>
      </c>
      <c r="B23" t="s">
        <v>24</v>
      </c>
      <c r="C23">
        <v>9</v>
      </c>
      <c r="D23" s="6">
        <v>45612</v>
      </c>
      <c r="E23" t="s">
        <v>527</v>
      </c>
      <c r="F23" s="1">
        <f>F22/2</f>
        <v>4800</v>
      </c>
      <c r="G23" s="2">
        <f t="shared" si="0"/>
        <v>43200</v>
      </c>
    </row>
    <row r="24" spans="1:7" x14ac:dyDescent="0.3">
      <c r="A24" t="s">
        <v>25</v>
      </c>
      <c r="B24" t="s">
        <v>7</v>
      </c>
      <c r="C24">
        <v>30</v>
      </c>
      <c r="D24" s="6">
        <v>45612</v>
      </c>
      <c r="E24" t="s">
        <v>528</v>
      </c>
      <c r="F24" s="1">
        <v>7000</v>
      </c>
      <c r="G24" s="2">
        <f t="shared" si="0"/>
        <v>210000</v>
      </c>
    </row>
    <row r="25" spans="1:7" x14ac:dyDescent="0.3">
      <c r="A25" t="s">
        <v>26</v>
      </c>
      <c r="B25" t="s">
        <v>27</v>
      </c>
      <c r="C25">
        <v>140</v>
      </c>
      <c r="D25" s="6">
        <v>45612</v>
      </c>
      <c r="E25" t="s">
        <v>529</v>
      </c>
      <c r="F25" s="1">
        <v>7000</v>
      </c>
      <c r="G25" s="2">
        <f t="shared" si="0"/>
        <v>980000</v>
      </c>
    </row>
    <row r="26" spans="1:7" x14ac:dyDescent="0.3">
      <c r="A26" t="s">
        <v>51</v>
      </c>
      <c r="B26" t="s">
        <v>9</v>
      </c>
      <c r="C26">
        <v>26</v>
      </c>
      <c r="D26" s="6">
        <v>45612</v>
      </c>
      <c r="E26" t="s">
        <v>530</v>
      </c>
      <c r="F26" s="1">
        <f>VLOOKUP(E26,'[1]TIỀN MUA PHỤ'!$A:$B,2,0)/4</f>
        <v>6500</v>
      </c>
      <c r="G26" s="2">
        <f t="shared" si="0"/>
        <v>169000</v>
      </c>
    </row>
    <row r="27" spans="1:7" x14ac:dyDescent="0.3">
      <c r="A27" t="s">
        <v>103</v>
      </c>
      <c r="B27" t="s">
        <v>48</v>
      </c>
      <c r="C27">
        <v>16</v>
      </c>
      <c r="D27" s="6">
        <v>45612</v>
      </c>
      <c r="E27" t="s">
        <v>531</v>
      </c>
      <c r="F27" s="1">
        <f>VLOOKUP(E27,'[1]TIỀN MUA PHỤ'!$A:$B,2,0)</f>
        <v>15000</v>
      </c>
      <c r="G27" s="2">
        <f t="shared" si="0"/>
        <v>240000</v>
      </c>
    </row>
    <row r="28" spans="1:7" x14ac:dyDescent="0.3">
      <c r="A28" t="s">
        <v>10</v>
      </c>
      <c r="B28" t="s">
        <v>7</v>
      </c>
      <c r="C28">
        <v>10</v>
      </c>
      <c r="D28" s="6">
        <v>45612</v>
      </c>
      <c r="E28" t="s">
        <v>532</v>
      </c>
      <c r="F28" s="1">
        <f>VLOOKUP(E28,'[1]TIỀN MUA PHỤ'!$A:$B,2,0)</f>
        <v>6500</v>
      </c>
      <c r="G28" s="2">
        <f t="shared" si="0"/>
        <v>65000</v>
      </c>
    </row>
    <row r="29" spans="1:7" x14ac:dyDescent="0.3">
      <c r="A29" t="s">
        <v>11</v>
      </c>
      <c r="B29" t="s">
        <v>7</v>
      </c>
      <c r="C29">
        <v>11.5</v>
      </c>
      <c r="D29" s="6">
        <v>45612</v>
      </c>
      <c r="E29" t="s">
        <v>533</v>
      </c>
      <c r="F29" s="1">
        <f>VLOOKUP(E29,'[1]TIỀN MUA PHỤ'!$A:$B,2,0)</f>
        <v>18000</v>
      </c>
      <c r="G29" s="2">
        <f t="shared" si="0"/>
        <v>207000</v>
      </c>
    </row>
    <row r="30" spans="1:7" x14ac:dyDescent="0.3">
      <c r="A30" t="s">
        <v>12</v>
      </c>
      <c r="B30" t="s">
        <v>7</v>
      </c>
      <c r="C30">
        <v>40</v>
      </c>
      <c r="D30" s="6">
        <v>45612</v>
      </c>
      <c r="E30" t="s">
        <v>534</v>
      </c>
      <c r="F30" s="1">
        <v>22000</v>
      </c>
      <c r="G30" s="2">
        <f t="shared" si="0"/>
        <v>880000</v>
      </c>
    </row>
    <row r="31" spans="1:7" x14ac:dyDescent="0.3">
      <c r="A31" t="s">
        <v>91</v>
      </c>
      <c r="B31" t="s">
        <v>7</v>
      </c>
      <c r="C31">
        <v>10</v>
      </c>
      <c r="D31" s="6">
        <v>45612</v>
      </c>
      <c r="E31" t="s">
        <v>535</v>
      </c>
      <c r="F31" s="1">
        <v>20000</v>
      </c>
      <c r="G31" s="2">
        <f t="shared" si="0"/>
        <v>200000</v>
      </c>
    </row>
    <row r="32" spans="1:7" x14ac:dyDescent="0.3">
      <c r="A32" t="s">
        <v>13</v>
      </c>
      <c r="B32" t="s">
        <v>7</v>
      </c>
      <c r="C32">
        <v>100</v>
      </c>
      <c r="D32" s="6">
        <v>45612</v>
      </c>
      <c r="E32" t="s">
        <v>536</v>
      </c>
      <c r="F32" s="1">
        <v>26000</v>
      </c>
      <c r="G32" s="2">
        <f t="shared" si="0"/>
        <v>2600000</v>
      </c>
    </row>
    <row r="33" spans="1:7" x14ac:dyDescent="0.3">
      <c r="A33" t="s">
        <v>14</v>
      </c>
      <c r="B33" t="s">
        <v>7</v>
      </c>
      <c r="C33">
        <v>100</v>
      </c>
      <c r="D33" s="6">
        <v>45612</v>
      </c>
      <c r="E33" t="s">
        <v>537</v>
      </c>
      <c r="F33" s="1">
        <f>VLOOKUP(E33,'[1]TIỀN MUA PHỤ'!$A:$B,2,0)</f>
        <v>18000</v>
      </c>
      <c r="G33" s="2">
        <f t="shared" si="0"/>
        <v>1800000</v>
      </c>
    </row>
    <row r="34" spans="1:7" x14ac:dyDescent="0.3">
      <c r="A34" t="s">
        <v>93</v>
      </c>
      <c r="B34" t="s">
        <v>7</v>
      </c>
      <c r="C34">
        <v>15</v>
      </c>
      <c r="D34" s="6">
        <v>45612</v>
      </c>
      <c r="E34" t="s">
        <v>538</v>
      </c>
      <c r="F34" s="1">
        <f>VLOOKUP(E34,'[1]TIỀN MUA PHỤ'!$A:$B,2,0)</f>
        <v>15000</v>
      </c>
      <c r="G34" s="2">
        <f t="shared" si="0"/>
        <v>225000</v>
      </c>
    </row>
    <row r="35" spans="1:7" x14ac:dyDescent="0.3">
      <c r="A35" t="s">
        <v>16</v>
      </c>
      <c r="B35" t="s">
        <v>7</v>
      </c>
      <c r="C35">
        <v>5</v>
      </c>
      <c r="D35" s="6">
        <v>45612</v>
      </c>
      <c r="E35" t="s">
        <v>539</v>
      </c>
      <c r="F35" s="1">
        <f>VLOOKUP(E35,'[1]TIỀN MUA PHỤ'!$A:$B,2,0)</f>
        <v>18000</v>
      </c>
      <c r="G35" s="2">
        <f t="shared" si="0"/>
        <v>90000</v>
      </c>
    </row>
    <row r="36" spans="1:7" x14ac:dyDescent="0.3">
      <c r="A36" t="s">
        <v>104</v>
      </c>
      <c r="B36" t="s">
        <v>22</v>
      </c>
      <c r="C36">
        <v>8</v>
      </c>
      <c r="D36" s="6">
        <v>45612</v>
      </c>
      <c r="E36" t="s">
        <v>540</v>
      </c>
      <c r="F36" s="1">
        <f>VLOOKUP(E36,'[1]TIỀN MUA PHỤ'!$A:$B,2,0)</f>
        <v>6000</v>
      </c>
      <c r="G36" s="2">
        <f t="shared" si="0"/>
        <v>48000</v>
      </c>
    </row>
    <row r="37" spans="1:7" x14ac:dyDescent="0.3">
      <c r="A37" t="s">
        <v>87</v>
      </c>
      <c r="B37" t="s">
        <v>107</v>
      </c>
      <c r="C37">
        <v>38</v>
      </c>
      <c r="D37" s="6">
        <v>45612</v>
      </c>
      <c r="E37" t="s">
        <v>541</v>
      </c>
      <c r="F37" s="1">
        <f>VLOOKUP(E37,'[1]TIỀN MUA PHỤ'!$A:$B,2,0)</f>
        <v>7000</v>
      </c>
      <c r="G37" s="2">
        <f t="shared" si="0"/>
        <v>266000</v>
      </c>
    </row>
    <row r="38" spans="1:7" x14ac:dyDescent="0.3">
      <c r="A38" t="s">
        <v>95</v>
      </c>
      <c r="B38" t="s">
        <v>7</v>
      </c>
      <c r="C38">
        <v>2</v>
      </c>
      <c r="D38" s="6">
        <v>45612</v>
      </c>
      <c r="E38" t="s">
        <v>542</v>
      </c>
      <c r="F38" s="1">
        <f>VLOOKUP(E38,'[1]TIỀN MUA PHỤ'!$A:$B,2,0)</f>
        <v>80000</v>
      </c>
      <c r="G38" s="2">
        <f t="shared" si="0"/>
        <v>160000</v>
      </c>
    </row>
    <row r="39" spans="1:7" x14ac:dyDescent="0.3">
      <c r="A39" t="s">
        <v>53</v>
      </c>
      <c r="B39" t="s">
        <v>9</v>
      </c>
      <c r="C39">
        <v>870</v>
      </c>
      <c r="D39" s="6">
        <v>45612</v>
      </c>
      <c r="E39" t="s">
        <v>543</v>
      </c>
      <c r="F39" s="1">
        <f>VLOOKUP(E39,'[1]TIỀN MUA PHỤ'!$A:$B,2,0)</f>
        <v>3500</v>
      </c>
      <c r="G39" s="2">
        <f t="shared" si="0"/>
        <v>3045000</v>
      </c>
    </row>
    <row r="40" spans="1:7" x14ac:dyDescent="0.3">
      <c r="A40" t="s">
        <v>55</v>
      </c>
      <c r="B40" t="s">
        <v>22</v>
      </c>
      <c r="C40">
        <v>30</v>
      </c>
      <c r="D40" s="6">
        <v>45612</v>
      </c>
      <c r="E40" t="s">
        <v>544</v>
      </c>
      <c r="F40" s="1">
        <v>6000</v>
      </c>
      <c r="G40" s="2">
        <f t="shared" si="0"/>
        <v>180000</v>
      </c>
    </row>
    <row r="41" spans="1:7" x14ac:dyDescent="0.3">
      <c r="A41" t="s">
        <v>56</v>
      </c>
      <c r="B41" t="s">
        <v>7</v>
      </c>
      <c r="C41">
        <v>55</v>
      </c>
      <c r="D41" s="6">
        <v>45612</v>
      </c>
      <c r="E41" t="s">
        <v>545</v>
      </c>
      <c r="F41" s="1">
        <f>VLOOKUP(E41,'[1]TIỀN MUA PHỤ'!$A:$B,2,0)</f>
        <v>7000</v>
      </c>
      <c r="G41" s="2">
        <f t="shared" si="0"/>
        <v>385000</v>
      </c>
    </row>
    <row r="42" spans="1:7" x14ac:dyDescent="0.3">
      <c r="A42" t="s">
        <v>28</v>
      </c>
      <c r="B42" t="s">
        <v>7</v>
      </c>
      <c r="C42">
        <v>12</v>
      </c>
      <c r="D42" s="6">
        <v>45612</v>
      </c>
      <c r="E42" t="s">
        <v>546</v>
      </c>
      <c r="F42" s="1">
        <f>VLOOKUP(E42,'[1]TIỀN MUA PHỤ'!$A:$B,2,0)</f>
        <v>38000</v>
      </c>
      <c r="G42" s="2">
        <f t="shared" si="0"/>
        <v>456000</v>
      </c>
    </row>
    <row r="43" spans="1:7" x14ac:dyDescent="0.3">
      <c r="A43" t="s">
        <v>28</v>
      </c>
      <c r="B43" t="s">
        <v>27</v>
      </c>
      <c r="C43">
        <v>83</v>
      </c>
      <c r="D43" s="6">
        <v>45612</v>
      </c>
      <c r="E43" t="s">
        <v>546</v>
      </c>
      <c r="F43" s="1">
        <f>VLOOKUP(E43,'[1]TIỀN MUA PHỤ'!$A:$B,2,0)/5</f>
        <v>7600</v>
      </c>
      <c r="G43" s="2">
        <f t="shared" si="0"/>
        <v>630800</v>
      </c>
    </row>
    <row r="44" spans="1:7" x14ac:dyDescent="0.3">
      <c r="A44" t="s">
        <v>72</v>
      </c>
      <c r="B44" t="s">
        <v>48</v>
      </c>
      <c r="C44">
        <v>6</v>
      </c>
      <c r="D44" s="6">
        <v>45612</v>
      </c>
      <c r="E44" t="s">
        <v>547</v>
      </c>
      <c r="F44" s="1">
        <v>100000</v>
      </c>
      <c r="G44" s="2">
        <f t="shared" si="0"/>
        <v>600000</v>
      </c>
    </row>
    <row r="45" spans="1:7" x14ac:dyDescent="0.3">
      <c r="A45" t="s">
        <v>29</v>
      </c>
      <c r="B45" t="s">
        <v>22</v>
      </c>
      <c r="C45">
        <v>300</v>
      </c>
      <c r="D45" s="6">
        <v>45612</v>
      </c>
      <c r="E45" t="s">
        <v>548</v>
      </c>
      <c r="F45" s="1">
        <f>VLOOKUP(E45,'[1]TIỀN MUA PHỤ'!$A:$B,2,0)/20</f>
        <v>1900</v>
      </c>
      <c r="G45" s="2">
        <f t="shared" si="0"/>
        <v>570000</v>
      </c>
    </row>
    <row r="46" spans="1:7" x14ac:dyDescent="0.3">
      <c r="A46" t="s">
        <v>30</v>
      </c>
      <c r="B46" t="s">
        <v>7</v>
      </c>
      <c r="C46">
        <v>2</v>
      </c>
      <c r="D46" s="6">
        <v>45612</v>
      </c>
      <c r="E46" t="s">
        <v>549</v>
      </c>
      <c r="F46" s="1">
        <f>VLOOKUP(E46,'[1]TIỀN MUA PHỤ'!$A:$B,2,0)</f>
        <v>14000</v>
      </c>
      <c r="G46" s="2">
        <f t="shared" si="0"/>
        <v>28000</v>
      </c>
    </row>
    <row r="47" spans="1:7" x14ac:dyDescent="0.3">
      <c r="A47" t="s">
        <v>32</v>
      </c>
      <c r="B47" t="s">
        <v>7</v>
      </c>
      <c r="C47">
        <v>30</v>
      </c>
      <c r="D47" s="6">
        <v>45612</v>
      </c>
      <c r="E47" t="s">
        <v>550</v>
      </c>
      <c r="F47" s="1">
        <f>VLOOKUP(E47,'[1]TIỀN MUA PHỤ'!$A:$B,2,0)</f>
        <v>58000</v>
      </c>
      <c r="G47" s="2">
        <f t="shared" si="0"/>
        <v>1740000</v>
      </c>
    </row>
    <row r="48" spans="1:7" x14ac:dyDescent="0.3">
      <c r="A48" t="s">
        <v>109</v>
      </c>
      <c r="B48" t="s">
        <v>9</v>
      </c>
      <c r="C48">
        <v>10</v>
      </c>
      <c r="D48" s="6">
        <v>45612</v>
      </c>
      <c r="E48" t="s">
        <v>551</v>
      </c>
      <c r="F48" s="1">
        <v>23000</v>
      </c>
      <c r="G48" s="2">
        <f t="shared" si="0"/>
        <v>230000</v>
      </c>
    </row>
    <row r="49" spans="1:7" x14ac:dyDescent="0.3">
      <c r="A49" t="s">
        <v>57</v>
      </c>
      <c r="B49" t="s">
        <v>7</v>
      </c>
      <c r="C49">
        <v>30</v>
      </c>
      <c r="D49" s="6">
        <v>45612</v>
      </c>
      <c r="E49" t="s">
        <v>552</v>
      </c>
      <c r="F49" s="1">
        <f>VLOOKUP(E49,'[1]TIỀN MUA PHỤ'!$A:$B,2,0)</f>
        <v>48000</v>
      </c>
      <c r="G49" s="2">
        <f t="shared" si="0"/>
        <v>1440000</v>
      </c>
    </row>
    <row r="50" spans="1:7" x14ac:dyDescent="0.3">
      <c r="A50" t="s">
        <v>58</v>
      </c>
      <c r="B50" t="s">
        <v>7</v>
      </c>
      <c r="C50">
        <v>7</v>
      </c>
      <c r="D50" s="6">
        <v>45612</v>
      </c>
      <c r="E50" t="s">
        <v>553</v>
      </c>
      <c r="F50" s="1">
        <f>VLOOKUP(E50,'[1]TIỀN MUA PHỤ'!$A:$B,2,0)</f>
        <v>40000</v>
      </c>
      <c r="G50" s="2">
        <f t="shared" si="0"/>
        <v>280000</v>
      </c>
    </row>
    <row r="51" spans="1:7" x14ac:dyDescent="0.3">
      <c r="A51" t="s">
        <v>58</v>
      </c>
      <c r="B51" t="s">
        <v>59</v>
      </c>
      <c r="C51">
        <v>127</v>
      </c>
      <c r="D51" s="6">
        <v>45612</v>
      </c>
      <c r="E51" t="s">
        <v>553</v>
      </c>
      <c r="F51" s="1">
        <v>10000</v>
      </c>
      <c r="G51" s="2">
        <f t="shared" si="0"/>
        <v>1270000</v>
      </c>
    </row>
    <row r="52" spans="1:7" x14ac:dyDescent="0.3">
      <c r="A52" t="s">
        <v>60</v>
      </c>
      <c r="B52" t="s">
        <v>7</v>
      </c>
      <c r="C52">
        <v>15</v>
      </c>
      <c r="D52" s="6">
        <v>45612</v>
      </c>
      <c r="E52" t="s">
        <v>554</v>
      </c>
      <c r="F52" s="1">
        <f>VLOOKUP(E52,'[1]TIỀN MUA PHỤ'!$A:$B,2,0)</f>
        <v>58000</v>
      </c>
      <c r="G52" s="2">
        <f t="shared" si="0"/>
        <v>870000</v>
      </c>
    </row>
    <row r="53" spans="1:7" x14ac:dyDescent="0.3">
      <c r="A53" t="s">
        <v>61</v>
      </c>
      <c r="B53" t="s">
        <v>7</v>
      </c>
      <c r="C53">
        <v>8</v>
      </c>
      <c r="D53" s="6">
        <v>45612</v>
      </c>
      <c r="E53" t="s">
        <v>555</v>
      </c>
      <c r="F53" s="1">
        <f>VLOOKUP(E53,'[1]TIỀN MUA PHỤ'!$A:$B,2,0)</f>
        <v>20000</v>
      </c>
      <c r="G53" s="2">
        <f t="shared" si="0"/>
        <v>160000</v>
      </c>
    </row>
    <row r="54" spans="1:7" x14ac:dyDescent="0.3">
      <c r="A54" t="s">
        <v>61</v>
      </c>
      <c r="B54" t="s">
        <v>59</v>
      </c>
      <c r="C54">
        <v>131</v>
      </c>
      <c r="D54" s="6">
        <v>45612</v>
      </c>
      <c r="E54" t="s">
        <v>555</v>
      </c>
      <c r="F54" s="1">
        <v>5000</v>
      </c>
      <c r="G54" s="2">
        <f t="shared" si="0"/>
        <v>655000</v>
      </c>
    </row>
    <row r="55" spans="1:7" x14ac:dyDescent="0.3">
      <c r="A55" t="s">
        <v>62</v>
      </c>
      <c r="B55" t="s">
        <v>7</v>
      </c>
      <c r="C55">
        <v>1</v>
      </c>
      <c r="D55" s="6">
        <v>45612</v>
      </c>
      <c r="E55" t="s">
        <v>556</v>
      </c>
      <c r="F55" s="1">
        <f>VLOOKUP(E55,'[1]TIỀN MUA PHỤ'!$A:$B,2,0)</f>
        <v>30000</v>
      </c>
      <c r="G55" s="2">
        <f t="shared" si="0"/>
        <v>30000</v>
      </c>
    </row>
    <row r="56" spans="1:7" x14ac:dyDescent="0.3">
      <c r="A56" t="s">
        <v>62</v>
      </c>
      <c r="B56" t="s">
        <v>59</v>
      </c>
      <c r="C56">
        <v>45</v>
      </c>
      <c r="D56" s="6">
        <v>45612</v>
      </c>
      <c r="E56" t="s">
        <v>556</v>
      </c>
      <c r="F56" s="1">
        <f>VLOOKUP(E56,'[1]TIỀN MUA PHỤ'!$A:$B,2,0)/4</f>
        <v>7500</v>
      </c>
      <c r="G56" s="2">
        <f t="shared" si="0"/>
        <v>337500</v>
      </c>
    </row>
    <row r="57" spans="1:7" x14ac:dyDescent="0.3">
      <c r="A57" t="s">
        <v>97</v>
      </c>
      <c r="B57" t="s">
        <v>22</v>
      </c>
      <c r="C57">
        <v>140</v>
      </c>
      <c r="D57" s="6">
        <v>45612</v>
      </c>
      <c r="E57" t="s">
        <v>557</v>
      </c>
      <c r="F57" s="1">
        <f>VLOOKUP(E57,'[1]TIỀN MUA PHỤ'!$A:$B,2,0)</f>
        <v>21000</v>
      </c>
      <c r="G57" s="2">
        <f t="shared" si="0"/>
        <v>2940000</v>
      </c>
    </row>
    <row r="58" spans="1:7" x14ac:dyDescent="0.3">
      <c r="A58" t="s">
        <v>33</v>
      </c>
      <c r="B58" t="s">
        <v>7</v>
      </c>
      <c r="C58">
        <v>5</v>
      </c>
      <c r="D58" s="6">
        <v>45612</v>
      </c>
      <c r="E58" t="s">
        <v>558</v>
      </c>
      <c r="F58" s="1">
        <f>VLOOKUP(E58,'[1]TIỀN MUA PHỤ'!$A:$B,2,0)</f>
        <v>35000</v>
      </c>
      <c r="G58" s="2">
        <f t="shared" si="0"/>
        <v>175000</v>
      </c>
    </row>
    <row r="59" spans="1:7" x14ac:dyDescent="0.3">
      <c r="A59" t="s">
        <v>64</v>
      </c>
      <c r="B59" t="s">
        <v>7</v>
      </c>
      <c r="C59">
        <v>7.5</v>
      </c>
      <c r="D59" s="6">
        <v>45612</v>
      </c>
      <c r="E59" t="s">
        <v>559</v>
      </c>
      <c r="F59" s="1">
        <f>VLOOKUP(E59,'[1]TIỀN MUA PHỤ'!$A:$B,2,0)</f>
        <v>60000</v>
      </c>
      <c r="G59" s="2">
        <f t="shared" si="0"/>
        <v>450000</v>
      </c>
    </row>
    <row r="60" spans="1:7" x14ac:dyDescent="0.3">
      <c r="A60" t="s">
        <v>66</v>
      </c>
      <c r="B60" t="s">
        <v>48</v>
      </c>
      <c r="C60">
        <v>4</v>
      </c>
      <c r="D60" s="6">
        <v>45612</v>
      </c>
      <c r="E60" t="s">
        <v>560</v>
      </c>
      <c r="F60" s="1">
        <f>VLOOKUP(E60,'[1]TIỀN MUA PHỤ'!$A:$B,2,0)</f>
        <v>35000</v>
      </c>
      <c r="G60" s="2">
        <f t="shared" si="0"/>
        <v>140000</v>
      </c>
    </row>
    <row r="61" spans="1:7" x14ac:dyDescent="0.3">
      <c r="A61" t="s">
        <v>34</v>
      </c>
      <c r="B61" t="s">
        <v>7</v>
      </c>
      <c r="C61">
        <v>140</v>
      </c>
      <c r="D61" s="6">
        <v>45612</v>
      </c>
      <c r="E61" t="s">
        <v>561</v>
      </c>
      <c r="F61" s="1">
        <f>VLOOKUP(E61,'[1]TIỀN MUA PHỤ'!$A:$B,2,0)</f>
        <v>26000</v>
      </c>
      <c r="G61" s="2">
        <f t="shared" si="0"/>
        <v>3640000</v>
      </c>
    </row>
    <row r="62" spans="1:7" x14ac:dyDescent="0.3">
      <c r="A62" t="s">
        <v>74</v>
      </c>
      <c r="B62" t="s">
        <v>7</v>
      </c>
      <c r="C62">
        <v>50</v>
      </c>
      <c r="D62" s="6">
        <v>45612</v>
      </c>
      <c r="E62" t="s">
        <v>562</v>
      </c>
      <c r="F62" s="1">
        <v>26000</v>
      </c>
      <c r="G62" s="2">
        <f t="shared" si="0"/>
        <v>1300000</v>
      </c>
    </row>
    <row r="63" spans="1:7" x14ac:dyDescent="0.3">
      <c r="A63" t="s">
        <v>35</v>
      </c>
      <c r="B63" t="s">
        <v>7</v>
      </c>
      <c r="C63">
        <v>30</v>
      </c>
      <c r="D63" s="6">
        <v>45612</v>
      </c>
      <c r="E63" t="s">
        <v>563</v>
      </c>
      <c r="F63" s="1">
        <f>VLOOKUP(E63,'[1]TIỀN MUA PHỤ'!$A:$B,2,0)</f>
        <v>26000</v>
      </c>
      <c r="G63" s="2">
        <f t="shared" si="0"/>
        <v>780000</v>
      </c>
    </row>
    <row r="64" spans="1:7" x14ac:dyDescent="0.3">
      <c r="A64" t="s">
        <v>36</v>
      </c>
      <c r="B64" t="s">
        <v>27</v>
      </c>
      <c r="C64">
        <v>106</v>
      </c>
      <c r="D64" s="6">
        <v>45612</v>
      </c>
      <c r="E64" t="s">
        <v>564</v>
      </c>
      <c r="F64" s="1">
        <f>VLOOKUP(E64,'[1]TIỀN MUA PHỤ'!$A:$B,2,0)</f>
        <v>6800</v>
      </c>
      <c r="G64" s="2">
        <f t="shared" si="0"/>
        <v>720800</v>
      </c>
    </row>
    <row r="65" spans="1:7" x14ac:dyDescent="0.3">
      <c r="A65" t="s">
        <v>40</v>
      </c>
      <c r="B65" t="s">
        <v>7</v>
      </c>
      <c r="C65">
        <v>14</v>
      </c>
      <c r="D65" s="6">
        <v>45612</v>
      </c>
      <c r="E65" t="s">
        <v>565</v>
      </c>
      <c r="F65" s="1">
        <v>28000</v>
      </c>
      <c r="G65" s="2">
        <f t="shared" si="0"/>
        <v>392000</v>
      </c>
    </row>
    <row r="66" spans="1:7" x14ac:dyDescent="0.3">
      <c r="A66" t="s">
        <v>38</v>
      </c>
      <c r="B66" t="s">
        <v>27</v>
      </c>
      <c r="C66">
        <v>12</v>
      </c>
      <c r="D66" s="6">
        <v>45612</v>
      </c>
      <c r="E66" t="s">
        <v>566</v>
      </c>
      <c r="F66" s="1">
        <f>VLOOKUP(E66,'[1]TIỀN MUA PHỤ'!$A:$B,2,0)</f>
        <v>6800</v>
      </c>
      <c r="G66" s="2">
        <f t="shared" si="0"/>
        <v>81600</v>
      </c>
    </row>
    <row r="67" spans="1:7" x14ac:dyDescent="0.3">
      <c r="A67" t="s">
        <v>39</v>
      </c>
      <c r="B67" t="s">
        <v>7</v>
      </c>
      <c r="C67">
        <v>20</v>
      </c>
      <c r="D67" s="6">
        <v>45612</v>
      </c>
      <c r="E67" t="s">
        <v>567</v>
      </c>
      <c r="F67" s="1">
        <f>VLOOKUP(E67,'[1]TIỀN MUA PHỤ'!$A:$B,2,0)</f>
        <v>33000</v>
      </c>
      <c r="G67" s="2">
        <f t="shared" ref="G67:G84" si="1">C67*F67</f>
        <v>660000</v>
      </c>
    </row>
    <row r="68" spans="1:7" x14ac:dyDescent="0.3">
      <c r="A68" t="s">
        <v>82</v>
      </c>
      <c r="B68" t="s">
        <v>7</v>
      </c>
      <c r="C68">
        <v>3</v>
      </c>
      <c r="D68" s="6">
        <v>45612</v>
      </c>
      <c r="E68" t="s">
        <v>568</v>
      </c>
      <c r="F68" s="1">
        <f>VLOOKUP(E68,'[1]TIỀN MUA PHỤ'!$A:$B,2,0)</f>
        <v>120000</v>
      </c>
      <c r="G68" s="2">
        <f t="shared" si="1"/>
        <v>360000</v>
      </c>
    </row>
    <row r="69" spans="1:7" x14ac:dyDescent="0.3">
      <c r="A69" t="s">
        <v>83</v>
      </c>
      <c r="B69" t="s">
        <v>7</v>
      </c>
      <c r="C69">
        <v>5</v>
      </c>
      <c r="D69" s="6">
        <v>45612</v>
      </c>
      <c r="E69" t="s">
        <v>569</v>
      </c>
      <c r="F69" s="1">
        <f>VLOOKUP(E69,'[1]TIỀN MUA PHỤ'!$A:$B,2,0)</f>
        <v>30000</v>
      </c>
      <c r="G69" s="2">
        <f t="shared" si="1"/>
        <v>150000</v>
      </c>
    </row>
    <row r="70" spans="1:7" x14ac:dyDescent="0.3">
      <c r="A70" t="s">
        <v>84</v>
      </c>
      <c r="B70" t="s">
        <v>27</v>
      </c>
      <c r="C70">
        <v>3</v>
      </c>
      <c r="D70" s="6">
        <v>45612</v>
      </c>
      <c r="E70" t="s">
        <v>570</v>
      </c>
      <c r="F70" s="1">
        <f>VLOOKUP(E70,'[1]TIỀN MUA PHỤ'!$A:$B,2,0)</f>
        <v>6800</v>
      </c>
      <c r="G70" s="2">
        <f t="shared" si="1"/>
        <v>20400</v>
      </c>
    </row>
    <row r="71" spans="1:7" x14ac:dyDescent="0.3">
      <c r="A71" t="s">
        <v>21</v>
      </c>
      <c r="B71" t="s">
        <v>22</v>
      </c>
      <c r="C71">
        <v>15</v>
      </c>
      <c r="D71" s="6">
        <v>45612</v>
      </c>
      <c r="E71" t="s">
        <v>571</v>
      </c>
      <c r="F71" s="1">
        <f>VLOOKUP(E71,'[1]TIỀN MUA PHỤ'!$A:$B,2,0)</f>
        <v>18000</v>
      </c>
      <c r="G71" s="2">
        <f t="shared" si="1"/>
        <v>270000</v>
      </c>
    </row>
    <row r="72" spans="1:7" x14ac:dyDescent="0.3">
      <c r="A72" t="s">
        <v>50</v>
      </c>
      <c r="B72" t="s">
        <v>7</v>
      </c>
      <c r="C72">
        <v>130</v>
      </c>
      <c r="D72" s="6">
        <v>45612</v>
      </c>
      <c r="E72" t="s">
        <v>523</v>
      </c>
      <c r="F72" s="1">
        <f>VLOOKUP(E72,'[1]TIỀN MUA PHỤ'!$A:$B,2,0)</f>
        <v>17000</v>
      </c>
      <c r="G72" s="2">
        <f t="shared" si="1"/>
        <v>2210000</v>
      </c>
    </row>
    <row r="73" spans="1:7" x14ac:dyDescent="0.3">
      <c r="A73" t="s">
        <v>53</v>
      </c>
      <c r="B73" t="s">
        <v>7</v>
      </c>
      <c r="C73">
        <v>80</v>
      </c>
      <c r="D73" s="6">
        <v>45612</v>
      </c>
      <c r="E73" t="s">
        <v>543</v>
      </c>
      <c r="F73" s="1">
        <v>7000</v>
      </c>
      <c r="G73" s="2">
        <f t="shared" si="1"/>
        <v>560000</v>
      </c>
    </row>
    <row r="74" spans="1:7" x14ac:dyDescent="0.3">
      <c r="A74" t="s">
        <v>89</v>
      </c>
      <c r="B74" t="s">
        <v>7</v>
      </c>
      <c r="C74">
        <v>71</v>
      </c>
      <c r="D74" s="6">
        <v>45612</v>
      </c>
      <c r="E74" t="s">
        <v>519</v>
      </c>
      <c r="F74" s="1">
        <f>VLOOKUP(E74,'[1]TIỀN MUA PHỤ'!$A:$B,2,0)</f>
        <v>21000</v>
      </c>
      <c r="G74" s="2">
        <f t="shared" si="1"/>
        <v>1491000</v>
      </c>
    </row>
    <row r="75" spans="1:7" x14ac:dyDescent="0.3">
      <c r="A75" t="s">
        <v>58</v>
      </c>
      <c r="B75" t="s">
        <v>7</v>
      </c>
      <c r="C75">
        <v>40</v>
      </c>
      <c r="D75" s="6">
        <v>45612</v>
      </c>
      <c r="E75" t="s">
        <v>553</v>
      </c>
      <c r="F75" s="1">
        <f>VLOOKUP(E75,'[1]TIỀN MUA PHỤ'!$A:$B,2,0)</f>
        <v>40000</v>
      </c>
      <c r="G75" s="2">
        <f t="shared" si="1"/>
        <v>1600000</v>
      </c>
    </row>
    <row r="76" spans="1:7" x14ac:dyDescent="0.3">
      <c r="A76" t="s">
        <v>41</v>
      </c>
      <c r="B76" t="s">
        <v>7</v>
      </c>
      <c r="C76">
        <v>50</v>
      </c>
      <c r="D76" s="6">
        <v>45612</v>
      </c>
      <c r="E76" t="s">
        <v>513</v>
      </c>
      <c r="F76" s="1">
        <f>VLOOKUP(E76,'[1]TIỀN MUA PHỤ'!$A:$B,2,0)</f>
        <v>11000</v>
      </c>
      <c r="G76" s="2">
        <f t="shared" si="1"/>
        <v>550000</v>
      </c>
    </row>
    <row r="77" spans="1:7" x14ac:dyDescent="0.3">
      <c r="A77" t="s">
        <v>70</v>
      </c>
      <c r="B77" t="s">
        <v>7</v>
      </c>
      <c r="C77">
        <v>35</v>
      </c>
      <c r="D77" s="6">
        <v>45612</v>
      </c>
      <c r="E77" t="s">
        <v>520</v>
      </c>
      <c r="F77" s="1">
        <v>33000</v>
      </c>
      <c r="G77" s="2">
        <f t="shared" si="1"/>
        <v>1155000</v>
      </c>
    </row>
    <row r="78" spans="1:7" x14ac:dyDescent="0.3">
      <c r="A78" t="s">
        <v>97</v>
      </c>
      <c r="B78" t="s">
        <v>7</v>
      </c>
      <c r="C78">
        <v>25</v>
      </c>
      <c r="D78" s="6">
        <v>45612</v>
      </c>
      <c r="E78" t="s">
        <v>557</v>
      </c>
      <c r="F78" s="1">
        <v>66000</v>
      </c>
      <c r="G78" s="2">
        <f t="shared" si="1"/>
        <v>1650000</v>
      </c>
    </row>
    <row r="79" spans="1:7" x14ac:dyDescent="0.3">
      <c r="A79" t="s">
        <v>61</v>
      </c>
      <c r="B79" t="s">
        <v>7</v>
      </c>
      <c r="C79">
        <v>20</v>
      </c>
      <c r="D79" s="6">
        <v>45612</v>
      </c>
      <c r="E79" t="s">
        <v>555</v>
      </c>
      <c r="F79" s="1">
        <f>VLOOKUP(E79,'[1]TIỀN MUA PHỤ'!$A:$B,2,0)</f>
        <v>20000</v>
      </c>
      <c r="G79" s="2">
        <f t="shared" si="1"/>
        <v>400000</v>
      </c>
    </row>
    <row r="80" spans="1:7" x14ac:dyDescent="0.3">
      <c r="A80" t="s">
        <v>11</v>
      </c>
      <c r="B80" t="s">
        <v>7</v>
      </c>
      <c r="C80">
        <v>20</v>
      </c>
      <c r="D80" s="6">
        <v>45612</v>
      </c>
      <c r="E80" t="s">
        <v>533</v>
      </c>
      <c r="F80" s="1">
        <f>VLOOKUP(E80,'[1]TIỀN MUA PHỤ'!$A:$B,2,0)</f>
        <v>18000</v>
      </c>
      <c r="G80" s="2">
        <f t="shared" si="1"/>
        <v>360000</v>
      </c>
    </row>
    <row r="81" spans="1:7" x14ac:dyDescent="0.3">
      <c r="A81" t="s">
        <v>43</v>
      </c>
      <c r="B81" t="s">
        <v>7</v>
      </c>
      <c r="C81">
        <v>20</v>
      </c>
      <c r="D81" s="6">
        <v>45612</v>
      </c>
      <c r="E81" t="s">
        <v>514</v>
      </c>
      <c r="F81" s="1">
        <f>VLOOKUP(E81,'[1]TIỀN MUA PHỤ'!$A:$B,2,0)</f>
        <v>10000</v>
      </c>
      <c r="G81" s="2">
        <f t="shared" si="1"/>
        <v>200000</v>
      </c>
    </row>
    <row r="82" spans="1:7" x14ac:dyDescent="0.3">
      <c r="A82" t="s">
        <v>62</v>
      </c>
      <c r="B82" t="s">
        <v>7</v>
      </c>
      <c r="C82">
        <v>10</v>
      </c>
      <c r="D82" s="6">
        <v>45612</v>
      </c>
      <c r="E82" t="s">
        <v>556</v>
      </c>
      <c r="F82" s="1">
        <f>VLOOKUP(E82,'[1]TIỀN MUA PHỤ'!$A:$B,2,0)</f>
        <v>30000</v>
      </c>
      <c r="G82" s="2">
        <f t="shared" si="1"/>
        <v>300000</v>
      </c>
    </row>
    <row r="83" spans="1:7" x14ac:dyDescent="0.3">
      <c r="A83" t="s">
        <v>8</v>
      </c>
      <c r="B83" t="s">
        <v>7</v>
      </c>
      <c r="C83">
        <v>8</v>
      </c>
      <c r="D83" s="6">
        <v>45612</v>
      </c>
      <c r="E83" t="s">
        <v>525</v>
      </c>
      <c r="F83" s="1">
        <f>VLOOKUP(E83,'[1]TIỀN MUA PHỤ'!$A:$B,2,0)</f>
        <v>55000</v>
      </c>
      <c r="G83" s="2">
        <f t="shared" si="1"/>
        <v>440000</v>
      </c>
    </row>
    <row r="84" spans="1:7" x14ac:dyDescent="0.3">
      <c r="A84" t="s">
        <v>37</v>
      </c>
      <c r="B84" t="s">
        <v>7</v>
      </c>
      <c r="C84">
        <v>6</v>
      </c>
      <c r="D84" s="6">
        <v>45612</v>
      </c>
      <c r="E84" t="s">
        <v>572</v>
      </c>
      <c r="F84" s="1">
        <f>VLOOKUP(E84,'[1]TIỀN MUA PHỤ'!$A:$B,2,0)</f>
        <v>28000</v>
      </c>
      <c r="G84" s="2">
        <f t="shared" si="1"/>
        <v>168000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EE84-4C0D-4FF6-A589-90BAD9E40135}">
  <dimension ref="A1:G53"/>
  <sheetViews>
    <sheetView workbookViewId="0">
      <selection activeCell="G1" sqref="G1"/>
    </sheetView>
  </sheetViews>
  <sheetFormatPr defaultRowHeight="14.4" x14ac:dyDescent="0.3"/>
  <cols>
    <col min="1" max="1" width="14.77734375" customWidth="1"/>
    <col min="4" max="4" width="10.5546875" bestFit="1" customWidth="1"/>
    <col min="5" max="5" width="27.5546875" customWidth="1"/>
    <col min="6" max="6" width="11.33203125" style="1" bestFit="1" customWidth="1"/>
    <col min="7" max="7" width="11.21875" bestFit="1" customWidth="1"/>
  </cols>
  <sheetData>
    <row r="1" spans="1:7" x14ac:dyDescent="0.3">
      <c r="G1" s="2">
        <f>SUM(G2:G53)</f>
        <v>58743750</v>
      </c>
    </row>
    <row r="2" spans="1:7" x14ac:dyDescent="0.3">
      <c r="A2" t="s">
        <v>79</v>
      </c>
      <c r="B2" t="s">
        <v>7</v>
      </c>
      <c r="C2">
        <v>20</v>
      </c>
      <c r="D2" s="6">
        <v>45611</v>
      </c>
      <c r="E2" t="s">
        <v>481</v>
      </c>
      <c r="F2" s="1">
        <f>VLOOKUP(E2,'[1]TIỀN MUA PHỤ'!$A:$B,2,0)</f>
        <v>13000</v>
      </c>
      <c r="G2" s="2">
        <f>F2*C2</f>
        <v>260000</v>
      </c>
    </row>
    <row r="3" spans="1:7" x14ac:dyDescent="0.3">
      <c r="A3" t="s">
        <v>80</v>
      </c>
      <c r="B3" t="s">
        <v>44</v>
      </c>
      <c r="C3">
        <v>50</v>
      </c>
      <c r="D3" s="6">
        <v>45611</v>
      </c>
      <c r="E3" t="s">
        <v>482</v>
      </c>
      <c r="F3" s="1">
        <f>VLOOKUP(E3,'[1]TIỀN MUA PHỤ'!$A:$B,2,0)/2</f>
        <v>5000</v>
      </c>
      <c r="G3" s="2">
        <f t="shared" ref="G3:G53" si="0">F3*C3</f>
        <v>250000</v>
      </c>
    </row>
    <row r="4" spans="1:7" x14ac:dyDescent="0.3">
      <c r="A4" t="s">
        <v>41</v>
      </c>
      <c r="B4" t="s">
        <v>42</v>
      </c>
      <c r="C4">
        <v>300</v>
      </c>
      <c r="D4" s="6">
        <v>45611</v>
      </c>
      <c r="E4" t="s">
        <v>483</v>
      </c>
      <c r="F4" s="1">
        <f>VLOOKUP(E4,'[1]TIỀN MUA PHỤ'!$A:$B,2,0)*0.3</f>
        <v>4200</v>
      </c>
      <c r="G4" s="2">
        <f t="shared" si="0"/>
        <v>1260000</v>
      </c>
    </row>
    <row r="5" spans="1:7" x14ac:dyDescent="0.3">
      <c r="A5" t="s">
        <v>43</v>
      </c>
      <c r="B5" t="s">
        <v>44</v>
      </c>
      <c r="C5">
        <v>190</v>
      </c>
      <c r="D5" s="6">
        <v>45611</v>
      </c>
      <c r="E5" t="s">
        <v>484</v>
      </c>
      <c r="F5" s="1">
        <v>4000</v>
      </c>
      <c r="G5" s="2">
        <f t="shared" si="0"/>
        <v>760000</v>
      </c>
    </row>
    <row r="6" spans="1:7" x14ac:dyDescent="0.3">
      <c r="A6" t="s">
        <v>67</v>
      </c>
      <c r="B6" t="s">
        <v>7</v>
      </c>
      <c r="C6">
        <v>70</v>
      </c>
      <c r="D6" s="6">
        <v>45611</v>
      </c>
      <c r="E6" t="s">
        <v>485</v>
      </c>
      <c r="F6" s="1">
        <f>VLOOKUP(E6,'[1]TIỀN MUA PHỤ'!$A:$B,2,0)</f>
        <v>28000</v>
      </c>
      <c r="G6" s="2">
        <f t="shared" si="0"/>
        <v>1960000</v>
      </c>
    </row>
    <row r="7" spans="1:7" x14ac:dyDescent="0.3">
      <c r="A7" t="s">
        <v>17</v>
      </c>
      <c r="B7" t="s">
        <v>7</v>
      </c>
      <c r="C7">
        <v>20</v>
      </c>
      <c r="D7" s="6">
        <v>45611</v>
      </c>
      <c r="E7" t="s">
        <v>486</v>
      </c>
      <c r="F7" s="1">
        <f>VLOOKUP(E7,'[1]TIỀN MUA PHỤ'!$A:$B,2,0)</f>
        <v>39000</v>
      </c>
      <c r="G7" s="2">
        <f t="shared" si="0"/>
        <v>780000</v>
      </c>
    </row>
    <row r="8" spans="1:7" x14ac:dyDescent="0.3">
      <c r="A8" t="s">
        <v>18</v>
      </c>
      <c r="B8" t="s">
        <v>9</v>
      </c>
      <c r="C8">
        <v>85</v>
      </c>
      <c r="D8" s="6">
        <v>45611</v>
      </c>
      <c r="E8" t="s">
        <v>455</v>
      </c>
      <c r="F8" s="1">
        <f>VLOOKUP(E8,'[1]TIỀN MUA PHỤ'!$A:$B,2,0)/5</f>
        <v>11400</v>
      </c>
      <c r="G8" s="2">
        <f t="shared" si="0"/>
        <v>969000</v>
      </c>
    </row>
    <row r="9" spans="1:7" x14ac:dyDescent="0.3">
      <c r="A9" t="s">
        <v>45</v>
      </c>
      <c r="B9" t="s">
        <v>7</v>
      </c>
      <c r="C9">
        <v>200</v>
      </c>
      <c r="D9" s="6">
        <v>45611</v>
      </c>
      <c r="E9" t="s">
        <v>456</v>
      </c>
      <c r="F9" s="1">
        <f>VLOOKUP(E9,'[1]TIỀN MUA PHỤ'!$A:$B,2,0)</f>
        <v>23000</v>
      </c>
      <c r="G9" s="2">
        <f t="shared" si="0"/>
        <v>4600000</v>
      </c>
    </row>
    <row r="10" spans="1:7" x14ac:dyDescent="0.3">
      <c r="A10" t="s">
        <v>89</v>
      </c>
      <c r="B10" t="s">
        <v>7</v>
      </c>
      <c r="C10">
        <v>160</v>
      </c>
      <c r="D10" s="6">
        <v>45611</v>
      </c>
      <c r="E10" t="s">
        <v>457</v>
      </c>
      <c r="F10" s="1">
        <f>VLOOKUP(E10,'[1]TIỀN MUA PHỤ'!$A:$B,2,0)</f>
        <v>21000</v>
      </c>
      <c r="G10" s="2">
        <f t="shared" si="0"/>
        <v>3360000</v>
      </c>
    </row>
    <row r="11" spans="1:7" x14ac:dyDescent="0.3">
      <c r="A11" t="s">
        <v>89</v>
      </c>
      <c r="B11" t="s">
        <v>105</v>
      </c>
      <c r="C11">
        <v>86</v>
      </c>
      <c r="D11" s="6">
        <v>45611</v>
      </c>
      <c r="E11" t="s">
        <v>457</v>
      </c>
      <c r="F11" s="1">
        <f>VLOOKUP(E11,'[1]TIỀN MUA PHỤ'!$A:$B,2,0)/2</f>
        <v>10500</v>
      </c>
      <c r="G11" s="2">
        <f t="shared" si="0"/>
        <v>903000</v>
      </c>
    </row>
    <row r="12" spans="1:7" x14ac:dyDescent="0.3">
      <c r="A12" t="s">
        <v>70</v>
      </c>
      <c r="B12" t="s">
        <v>106</v>
      </c>
      <c r="C12">
        <v>70</v>
      </c>
      <c r="D12" s="6">
        <v>45611</v>
      </c>
      <c r="E12" t="s">
        <v>458</v>
      </c>
      <c r="F12" s="1">
        <f>33000*0.3</f>
        <v>9900</v>
      </c>
      <c r="G12" s="2">
        <f t="shared" si="0"/>
        <v>693000</v>
      </c>
    </row>
    <row r="13" spans="1:7" x14ac:dyDescent="0.3">
      <c r="A13" t="s">
        <v>47</v>
      </c>
      <c r="B13" t="s">
        <v>48</v>
      </c>
      <c r="C13">
        <v>55</v>
      </c>
      <c r="D13" s="6">
        <v>45611</v>
      </c>
      <c r="E13" t="s">
        <v>459</v>
      </c>
      <c r="F13" s="1">
        <f>VLOOKUP(E13,'[1]TIỀN MUA PHỤ'!$A:$B,2,0)*0.3</f>
        <v>16950</v>
      </c>
      <c r="G13" s="2">
        <f t="shared" si="0"/>
        <v>932250</v>
      </c>
    </row>
    <row r="14" spans="1:7" x14ac:dyDescent="0.3">
      <c r="A14" t="s">
        <v>50</v>
      </c>
      <c r="B14" t="s">
        <v>7</v>
      </c>
      <c r="C14">
        <v>90</v>
      </c>
      <c r="D14" s="6">
        <v>45611</v>
      </c>
      <c r="E14" t="s">
        <v>460</v>
      </c>
      <c r="F14" s="1">
        <f>VLOOKUP(E14,'[1]TIỀN MUA PHỤ'!$A:$B,2,0)</f>
        <v>15000</v>
      </c>
      <c r="G14" s="2">
        <f t="shared" si="0"/>
        <v>1350000</v>
      </c>
    </row>
    <row r="15" spans="1:7" x14ac:dyDescent="0.3">
      <c r="A15" t="s">
        <v>6</v>
      </c>
      <c r="B15" t="s">
        <v>7</v>
      </c>
      <c r="C15">
        <v>140</v>
      </c>
      <c r="D15" s="6">
        <v>45611</v>
      </c>
      <c r="E15" t="s">
        <v>461</v>
      </c>
      <c r="F15" s="1">
        <f>VLOOKUP(E15,'[1]TIỀN MUA PHỤ'!$A:$B,2,0)</f>
        <v>14000</v>
      </c>
      <c r="G15" s="2">
        <f t="shared" si="0"/>
        <v>1960000</v>
      </c>
    </row>
    <row r="16" spans="1:7" x14ac:dyDescent="0.3">
      <c r="A16" t="s">
        <v>8</v>
      </c>
      <c r="B16" t="s">
        <v>9</v>
      </c>
      <c r="C16">
        <v>65</v>
      </c>
      <c r="D16" s="6">
        <v>45611</v>
      </c>
      <c r="E16" t="s">
        <v>462</v>
      </c>
      <c r="F16" s="1">
        <v>11000</v>
      </c>
      <c r="G16" s="2">
        <f t="shared" si="0"/>
        <v>715000</v>
      </c>
    </row>
    <row r="17" spans="1:7" x14ac:dyDescent="0.3">
      <c r="A17" t="s">
        <v>20</v>
      </c>
      <c r="B17" t="s">
        <v>7</v>
      </c>
      <c r="C17">
        <v>58</v>
      </c>
      <c r="D17" s="6">
        <v>45611</v>
      </c>
      <c r="E17" t="s">
        <v>463</v>
      </c>
      <c r="F17" s="1">
        <f>VLOOKUP(E17,'[1]TIỀN MUA PHỤ'!$A:$B,2,0)</f>
        <v>28000</v>
      </c>
      <c r="G17" s="2">
        <f t="shared" si="0"/>
        <v>1624000</v>
      </c>
    </row>
    <row r="18" spans="1:7" x14ac:dyDescent="0.3">
      <c r="A18" t="s">
        <v>23</v>
      </c>
      <c r="B18" t="s">
        <v>22</v>
      </c>
      <c r="C18">
        <v>170</v>
      </c>
      <c r="D18" s="6">
        <v>45611</v>
      </c>
      <c r="E18" t="s">
        <v>464</v>
      </c>
      <c r="F18" s="1">
        <f>VLOOKUP(E18,'[1]TIỀN MUA PHỤ'!$A:$B,2,0)*0.3</f>
        <v>10050</v>
      </c>
      <c r="G18" s="2">
        <f t="shared" si="0"/>
        <v>1708500</v>
      </c>
    </row>
    <row r="19" spans="1:7" ht="15" customHeight="1" x14ac:dyDescent="0.3">
      <c r="A19" t="s">
        <v>25</v>
      </c>
      <c r="B19" t="s">
        <v>7</v>
      </c>
      <c r="C19">
        <v>11.5</v>
      </c>
      <c r="D19" s="6">
        <v>45611</v>
      </c>
      <c r="E19" t="s">
        <v>465</v>
      </c>
      <c r="F19" s="1">
        <v>7000</v>
      </c>
      <c r="G19" s="2">
        <f t="shared" si="0"/>
        <v>80500</v>
      </c>
    </row>
    <row r="20" spans="1:7" x14ac:dyDescent="0.3">
      <c r="A20" t="s">
        <v>26</v>
      </c>
      <c r="B20" t="s">
        <v>27</v>
      </c>
      <c r="C20">
        <v>120</v>
      </c>
      <c r="D20" s="6">
        <v>45611</v>
      </c>
      <c r="E20" t="s">
        <v>466</v>
      </c>
      <c r="F20" s="1">
        <v>6000</v>
      </c>
      <c r="G20" s="2">
        <f t="shared" si="0"/>
        <v>720000</v>
      </c>
    </row>
    <row r="21" spans="1:7" x14ac:dyDescent="0.3">
      <c r="A21" t="s">
        <v>51</v>
      </c>
      <c r="B21" t="s">
        <v>9</v>
      </c>
      <c r="C21">
        <v>20</v>
      </c>
      <c r="D21" s="6">
        <v>45611</v>
      </c>
      <c r="E21" t="s">
        <v>467</v>
      </c>
      <c r="F21" s="1">
        <f>VLOOKUP(E21,'[1]TIỀN MUA PHỤ'!$A:$B,2,0)/4</f>
        <v>6500</v>
      </c>
      <c r="G21" s="2">
        <f t="shared" si="0"/>
        <v>130000</v>
      </c>
    </row>
    <row r="22" spans="1:7" x14ac:dyDescent="0.3">
      <c r="A22" t="s">
        <v>103</v>
      </c>
      <c r="B22" t="s">
        <v>48</v>
      </c>
      <c r="C22">
        <v>46</v>
      </c>
      <c r="D22" s="6">
        <v>45611</v>
      </c>
      <c r="E22" t="s">
        <v>468</v>
      </c>
      <c r="F22" s="1">
        <f>VLOOKUP(E22,'[1]TIỀN MUA PHỤ'!$A:$B,2,0)</f>
        <v>14000</v>
      </c>
      <c r="G22" s="2">
        <f t="shared" si="0"/>
        <v>644000</v>
      </c>
    </row>
    <row r="23" spans="1:7" x14ac:dyDescent="0.3">
      <c r="A23" t="s">
        <v>10</v>
      </c>
      <c r="B23" t="s">
        <v>7</v>
      </c>
      <c r="C23">
        <v>20</v>
      </c>
      <c r="D23" s="6">
        <v>45611</v>
      </c>
      <c r="E23" t="s">
        <v>469</v>
      </c>
      <c r="F23" s="1">
        <f>VLOOKUP(E23,'[1]TIỀN MUA PHỤ'!$A:$B,2,0)</f>
        <v>6500</v>
      </c>
      <c r="G23" s="2">
        <f t="shared" si="0"/>
        <v>130000</v>
      </c>
    </row>
    <row r="24" spans="1:7" x14ac:dyDescent="0.3">
      <c r="A24" t="s">
        <v>11</v>
      </c>
      <c r="B24" t="s">
        <v>7</v>
      </c>
      <c r="C24">
        <v>20</v>
      </c>
      <c r="D24" s="6">
        <v>45611</v>
      </c>
      <c r="E24" t="s">
        <v>470</v>
      </c>
      <c r="F24" s="1">
        <f>VLOOKUP(E24,'[1]TIỀN MUA PHỤ'!$A:$B,2,0)</f>
        <v>18000</v>
      </c>
      <c r="G24" s="2">
        <f t="shared" si="0"/>
        <v>360000</v>
      </c>
    </row>
    <row r="25" spans="1:7" x14ac:dyDescent="0.3">
      <c r="A25" t="s">
        <v>12</v>
      </c>
      <c r="B25" t="s">
        <v>7</v>
      </c>
      <c r="C25">
        <v>100</v>
      </c>
      <c r="D25" s="6">
        <v>45611</v>
      </c>
      <c r="E25" t="s">
        <v>471</v>
      </c>
      <c r="F25" s="1">
        <v>22000</v>
      </c>
      <c r="G25" s="2">
        <f t="shared" si="0"/>
        <v>2200000</v>
      </c>
    </row>
    <row r="26" spans="1:7" x14ac:dyDescent="0.3">
      <c r="A26" t="s">
        <v>91</v>
      </c>
      <c r="B26" t="s">
        <v>7</v>
      </c>
      <c r="C26">
        <v>20</v>
      </c>
      <c r="D26" s="6">
        <v>45611</v>
      </c>
      <c r="E26" t="s">
        <v>472</v>
      </c>
      <c r="F26" s="1">
        <f>VLOOKUP(E26,'[1]TIỀN MUA PHỤ'!$A:$B,2,0)</f>
        <v>20000</v>
      </c>
      <c r="G26" s="2">
        <f t="shared" si="0"/>
        <v>400000</v>
      </c>
    </row>
    <row r="27" spans="1:7" x14ac:dyDescent="0.3">
      <c r="A27" t="s">
        <v>14</v>
      </c>
      <c r="B27" t="s">
        <v>7</v>
      </c>
      <c r="C27">
        <v>130</v>
      </c>
      <c r="D27" s="6">
        <v>45611</v>
      </c>
      <c r="E27" t="s">
        <v>473</v>
      </c>
      <c r="F27" s="1">
        <f>VLOOKUP(E27,'[1]TIỀN MUA PHỤ'!$A:$B,2,0)</f>
        <v>18500</v>
      </c>
      <c r="G27" s="2">
        <f t="shared" si="0"/>
        <v>2405000</v>
      </c>
    </row>
    <row r="28" spans="1:7" x14ac:dyDescent="0.3">
      <c r="A28" t="s">
        <v>104</v>
      </c>
      <c r="B28" t="s">
        <v>22</v>
      </c>
      <c r="C28">
        <v>10</v>
      </c>
      <c r="D28" s="6">
        <v>45611</v>
      </c>
      <c r="E28" t="s">
        <v>474</v>
      </c>
      <c r="F28" s="1">
        <f>VLOOKUP(E28,'[1]TIỀN MUA PHỤ'!$A:$B,2,0)</f>
        <v>6000</v>
      </c>
      <c r="G28" s="2">
        <f t="shared" si="0"/>
        <v>60000</v>
      </c>
    </row>
    <row r="29" spans="1:7" x14ac:dyDescent="0.3">
      <c r="A29" t="s">
        <v>87</v>
      </c>
      <c r="B29" t="s">
        <v>107</v>
      </c>
      <c r="C29">
        <v>60</v>
      </c>
      <c r="D29" s="6">
        <v>45611</v>
      </c>
      <c r="E29" t="s">
        <v>475</v>
      </c>
      <c r="F29" s="1">
        <f>23000*0.3</f>
        <v>6900</v>
      </c>
      <c r="G29" s="2">
        <f t="shared" si="0"/>
        <v>414000</v>
      </c>
    </row>
    <row r="30" spans="1:7" x14ac:dyDescent="0.3">
      <c r="A30" t="s">
        <v>95</v>
      </c>
      <c r="B30" t="s">
        <v>7</v>
      </c>
      <c r="C30">
        <v>6</v>
      </c>
      <c r="D30" s="6">
        <v>45611</v>
      </c>
      <c r="E30" t="s">
        <v>476</v>
      </c>
      <c r="F30" s="1">
        <f>VLOOKUP(E30,'[1]TIỀN MUA PHỤ'!$A:$B,2,0)</f>
        <v>80000</v>
      </c>
      <c r="G30" s="2">
        <f t="shared" si="0"/>
        <v>480000</v>
      </c>
    </row>
    <row r="31" spans="1:7" x14ac:dyDescent="0.3">
      <c r="A31" t="s">
        <v>53</v>
      </c>
      <c r="B31" t="s">
        <v>9</v>
      </c>
      <c r="C31">
        <v>980</v>
      </c>
      <c r="D31" s="6">
        <v>45611</v>
      </c>
      <c r="E31" t="s">
        <v>477</v>
      </c>
      <c r="F31" s="1">
        <f>VLOOKUP(E31,'[1]TIỀN MUA PHỤ'!$A:$B,2,0)</f>
        <v>3500</v>
      </c>
      <c r="G31" s="2">
        <f t="shared" si="0"/>
        <v>3430000</v>
      </c>
    </row>
    <row r="32" spans="1:7" x14ac:dyDescent="0.3">
      <c r="A32" t="s">
        <v>55</v>
      </c>
      <c r="B32" t="s">
        <v>22</v>
      </c>
      <c r="C32">
        <v>40</v>
      </c>
      <c r="D32" s="6">
        <v>45611</v>
      </c>
      <c r="E32" t="s">
        <v>478</v>
      </c>
      <c r="F32" s="1">
        <v>6000</v>
      </c>
      <c r="G32" s="2">
        <f t="shared" si="0"/>
        <v>240000</v>
      </c>
    </row>
    <row r="33" spans="1:7" x14ac:dyDescent="0.3">
      <c r="A33" t="s">
        <v>28</v>
      </c>
      <c r="B33" t="s">
        <v>27</v>
      </c>
      <c r="C33">
        <v>100</v>
      </c>
      <c r="D33" s="6">
        <v>45611</v>
      </c>
      <c r="E33" t="s">
        <v>479</v>
      </c>
      <c r="F33" s="1">
        <f>VLOOKUP(E33,'[1]TIỀN MUA PHỤ'!$A:$B,2,0)/5</f>
        <v>7600</v>
      </c>
      <c r="G33" s="2">
        <f t="shared" si="0"/>
        <v>760000</v>
      </c>
    </row>
    <row r="34" spans="1:7" x14ac:dyDescent="0.3">
      <c r="A34" t="s">
        <v>72</v>
      </c>
      <c r="B34" t="s">
        <v>48</v>
      </c>
      <c r="C34">
        <v>50</v>
      </c>
      <c r="D34" s="6">
        <v>45611</v>
      </c>
      <c r="E34" t="s">
        <v>480</v>
      </c>
      <c r="F34" s="1">
        <v>100000</v>
      </c>
      <c r="G34" s="2">
        <f t="shared" si="0"/>
        <v>5000000</v>
      </c>
    </row>
    <row r="35" spans="1:7" x14ac:dyDescent="0.3">
      <c r="A35" t="s">
        <v>100</v>
      </c>
      <c r="B35" t="s">
        <v>7</v>
      </c>
      <c r="C35">
        <v>0.5</v>
      </c>
      <c r="D35" s="6">
        <v>45611</v>
      </c>
      <c r="E35" t="s">
        <v>487</v>
      </c>
      <c r="F35" s="1">
        <f>VLOOKUP(E35,'[1]TIỀN MUA PHỤ'!$A:$B,2,0)</f>
        <v>100000</v>
      </c>
      <c r="G35" s="2">
        <f t="shared" si="0"/>
        <v>50000</v>
      </c>
    </row>
    <row r="36" spans="1:7" x14ac:dyDescent="0.3">
      <c r="A36" t="s">
        <v>29</v>
      </c>
      <c r="B36" t="s">
        <v>22</v>
      </c>
      <c r="C36">
        <v>450</v>
      </c>
      <c r="D36" s="6">
        <v>45611</v>
      </c>
      <c r="E36" t="s">
        <v>488</v>
      </c>
      <c r="F36" s="1">
        <v>1800</v>
      </c>
      <c r="G36" s="2">
        <f t="shared" si="0"/>
        <v>810000</v>
      </c>
    </row>
    <row r="37" spans="1:7" x14ac:dyDescent="0.3">
      <c r="A37" t="s">
        <v>31</v>
      </c>
      <c r="B37" t="s">
        <v>7</v>
      </c>
      <c r="C37">
        <v>3</v>
      </c>
      <c r="D37" s="6">
        <v>45611</v>
      </c>
      <c r="E37" t="s">
        <v>489</v>
      </c>
      <c r="F37" s="1">
        <f>VLOOKUP(E37,'[1]TIỀN MUA PHỤ'!$A:$B,2,0)</f>
        <v>32000</v>
      </c>
      <c r="G37" s="2">
        <f t="shared" si="0"/>
        <v>96000</v>
      </c>
    </row>
    <row r="38" spans="1:7" x14ac:dyDescent="0.3">
      <c r="A38" t="s">
        <v>32</v>
      </c>
      <c r="B38" t="s">
        <v>7</v>
      </c>
      <c r="C38">
        <v>15</v>
      </c>
      <c r="D38" s="6">
        <v>45611</v>
      </c>
      <c r="E38" t="s">
        <v>490</v>
      </c>
      <c r="F38" s="1">
        <f>VLOOKUP(E38,'[1]TIỀN MUA PHỤ'!$A:$B,2,0)</f>
        <v>58000</v>
      </c>
      <c r="G38" s="2">
        <f t="shared" si="0"/>
        <v>870000</v>
      </c>
    </row>
    <row r="39" spans="1:7" x14ac:dyDescent="0.3">
      <c r="A39" t="s">
        <v>109</v>
      </c>
      <c r="B39" t="s">
        <v>9</v>
      </c>
      <c r="C39">
        <v>10</v>
      </c>
      <c r="D39" s="6">
        <v>45611</v>
      </c>
      <c r="E39" t="s">
        <v>491</v>
      </c>
      <c r="F39" s="1">
        <v>23000</v>
      </c>
      <c r="G39" s="2">
        <f t="shared" si="0"/>
        <v>230000</v>
      </c>
    </row>
    <row r="40" spans="1:7" x14ac:dyDescent="0.3">
      <c r="A40" t="s">
        <v>57</v>
      </c>
      <c r="B40" t="s">
        <v>7</v>
      </c>
      <c r="C40">
        <v>43</v>
      </c>
      <c r="D40" s="6">
        <v>45611</v>
      </c>
      <c r="E40" t="s">
        <v>492</v>
      </c>
      <c r="F40" s="1">
        <f>VLOOKUP(E40,'[1]TIỀN MUA PHỤ'!$A:$B,2,0)</f>
        <v>48000</v>
      </c>
      <c r="G40" s="2">
        <f t="shared" si="0"/>
        <v>2064000</v>
      </c>
    </row>
    <row r="41" spans="1:7" x14ac:dyDescent="0.3">
      <c r="A41" t="s">
        <v>58</v>
      </c>
      <c r="B41" t="s">
        <v>59</v>
      </c>
      <c r="C41">
        <v>90</v>
      </c>
      <c r="D41" s="6">
        <v>45611</v>
      </c>
      <c r="E41" t="s">
        <v>493</v>
      </c>
      <c r="F41" s="1">
        <f>VLOOKUP(E41,'[1]TIỀN MUA PHỤ'!$A:$B,2,0)/4</f>
        <v>9250</v>
      </c>
      <c r="G41" s="2">
        <f t="shared" si="0"/>
        <v>832500</v>
      </c>
    </row>
    <row r="42" spans="1:7" x14ac:dyDescent="0.3">
      <c r="A42" t="s">
        <v>60</v>
      </c>
      <c r="B42" t="s">
        <v>7</v>
      </c>
      <c r="C42">
        <v>18</v>
      </c>
      <c r="D42" s="6">
        <v>45611</v>
      </c>
      <c r="E42" t="s">
        <v>494</v>
      </c>
      <c r="F42" s="1">
        <f>VLOOKUP(E42,'[1]TIỀN MUA PHỤ'!$A:$B,2,0)</f>
        <v>58000</v>
      </c>
      <c r="G42" s="2">
        <f t="shared" si="0"/>
        <v>1044000</v>
      </c>
    </row>
    <row r="43" spans="1:7" x14ac:dyDescent="0.3">
      <c r="A43" t="s">
        <v>61</v>
      </c>
      <c r="B43" t="s">
        <v>59</v>
      </c>
      <c r="C43">
        <v>60</v>
      </c>
      <c r="D43" s="6">
        <v>45611</v>
      </c>
      <c r="E43" t="s">
        <v>495</v>
      </c>
      <c r="F43" s="1">
        <f>VLOOKUP(E43,'[1]TIỀN MUA PHỤ'!$A:$B,2,0)/4</f>
        <v>4250</v>
      </c>
      <c r="G43" s="2">
        <f t="shared" si="0"/>
        <v>255000</v>
      </c>
    </row>
    <row r="44" spans="1:7" x14ac:dyDescent="0.3">
      <c r="A44" t="s">
        <v>62</v>
      </c>
      <c r="B44" t="s">
        <v>59</v>
      </c>
      <c r="C44">
        <v>20</v>
      </c>
      <c r="D44" s="6">
        <v>45611</v>
      </c>
      <c r="E44" t="s">
        <v>496</v>
      </c>
      <c r="F44" s="1">
        <f>VLOOKUP(E44,'[1]TIỀN MUA PHỤ'!$A:$B,2,0)/4</f>
        <v>6500</v>
      </c>
      <c r="G44" s="2">
        <f t="shared" si="0"/>
        <v>130000</v>
      </c>
    </row>
    <row r="45" spans="1:7" x14ac:dyDescent="0.3">
      <c r="A45" t="s">
        <v>97</v>
      </c>
      <c r="B45" t="s">
        <v>22</v>
      </c>
      <c r="C45">
        <v>170</v>
      </c>
      <c r="D45" s="6">
        <v>45611</v>
      </c>
      <c r="E45" t="s">
        <v>497</v>
      </c>
      <c r="F45" s="1">
        <f>VLOOKUP(E45,'[1]TIỀN MUA PHỤ'!$A:$B,2,0)</f>
        <v>21000</v>
      </c>
      <c r="G45" s="2">
        <f t="shared" si="0"/>
        <v>3570000</v>
      </c>
    </row>
    <row r="46" spans="1:7" x14ac:dyDescent="0.3">
      <c r="A46" t="s">
        <v>33</v>
      </c>
      <c r="B46" t="s">
        <v>7</v>
      </c>
      <c r="C46">
        <v>15</v>
      </c>
      <c r="D46" s="6">
        <v>45611</v>
      </c>
      <c r="E46" t="s">
        <v>498</v>
      </c>
      <c r="F46" s="1">
        <f>VLOOKUP(E46,'[1]TIỀN MUA PHỤ'!$A:$B,2,0)</f>
        <v>35000</v>
      </c>
      <c r="G46" s="2">
        <f t="shared" si="0"/>
        <v>525000</v>
      </c>
    </row>
    <row r="47" spans="1:7" x14ac:dyDescent="0.3">
      <c r="A47" t="s">
        <v>71</v>
      </c>
      <c r="B47" t="s">
        <v>7</v>
      </c>
      <c r="C47">
        <v>10</v>
      </c>
      <c r="D47" s="6">
        <v>45611</v>
      </c>
      <c r="E47" t="s">
        <v>499</v>
      </c>
      <c r="F47" s="1">
        <f>VLOOKUP(E47,'[1]TIỀN MUA PHỤ'!$A:$B,2,0)</f>
        <v>18000</v>
      </c>
      <c r="G47" s="2">
        <f t="shared" si="0"/>
        <v>180000</v>
      </c>
    </row>
    <row r="48" spans="1:7" x14ac:dyDescent="0.3">
      <c r="A48" t="s">
        <v>66</v>
      </c>
      <c r="B48" t="s">
        <v>48</v>
      </c>
      <c r="C48">
        <v>5</v>
      </c>
      <c r="D48" s="6">
        <v>45611</v>
      </c>
      <c r="E48" t="s">
        <v>500</v>
      </c>
      <c r="F48" s="1">
        <f>VLOOKUP(E48,'[1]TIỀN MUA PHỤ'!$A:$B,2,0)</f>
        <v>35000</v>
      </c>
      <c r="G48" s="2">
        <f t="shared" si="0"/>
        <v>175000</v>
      </c>
    </row>
    <row r="49" spans="1:7" x14ac:dyDescent="0.3">
      <c r="A49" t="s">
        <v>34</v>
      </c>
      <c r="B49" t="s">
        <v>7</v>
      </c>
      <c r="C49">
        <v>180</v>
      </c>
      <c r="D49" s="6">
        <v>45611</v>
      </c>
      <c r="E49" t="s">
        <v>501</v>
      </c>
      <c r="F49" s="1">
        <f>VLOOKUP(E49,'[1]TIỀN MUA PHỤ'!$A:$B,2,0)</f>
        <v>27000</v>
      </c>
      <c r="G49" s="2">
        <f t="shared" si="0"/>
        <v>4860000</v>
      </c>
    </row>
    <row r="50" spans="1:7" x14ac:dyDescent="0.3">
      <c r="A50" t="s">
        <v>36</v>
      </c>
      <c r="B50" t="s">
        <v>27</v>
      </c>
      <c r="C50">
        <v>50</v>
      </c>
      <c r="D50" s="6">
        <v>45611</v>
      </c>
      <c r="E50" t="s">
        <v>502</v>
      </c>
      <c r="F50" s="1">
        <f>VLOOKUP(E50,'[1]TIỀN MUA PHỤ'!$A:$B,2,0)</f>
        <v>6800</v>
      </c>
      <c r="G50" s="2">
        <f t="shared" si="0"/>
        <v>340000</v>
      </c>
    </row>
    <row r="51" spans="1:7" x14ac:dyDescent="0.3">
      <c r="A51" t="s">
        <v>40</v>
      </c>
      <c r="B51" t="s">
        <v>7</v>
      </c>
      <c r="C51">
        <v>28</v>
      </c>
      <c r="D51" s="6">
        <v>45611</v>
      </c>
      <c r="E51" t="s">
        <v>503</v>
      </c>
      <c r="F51" s="1">
        <v>28000</v>
      </c>
      <c r="G51" s="2">
        <f t="shared" si="0"/>
        <v>784000</v>
      </c>
    </row>
    <row r="52" spans="1:7" x14ac:dyDescent="0.3">
      <c r="A52" t="s">
        <v>82</v>
      </c>
      <c r="B52" t="s">
        <v>7</v>
      </c>
      <c r="C52">
        <v>2</v>
      </c>
      <c r="D52" s="6">
        <v>45611</v>
      </c>
      <c r="E52" t="s">
        <v>504</v>
      </c>
      <c r="F52" s="1">
        <f>VLOOKUP(E52,'[1]TIỀN MUA PHỤ'!$A:$B,2,0)</f>
        <v>120000</v>
      </c>
      <c r="G52" s="2">
        <f t="shared" si="0"/>
        <v>240000</v>
      </c>
    </row>
    <row r="53" spans="1:7" x14ac:dyDescent="0.3">
      <c r="A53" t="s">
        <v>83</v>
      </c>
      <c r="B53" t="s">
        <v>7</v>
      </c>
      <c r="C53">
        <v>5</v>
      </c>
      <c r="D53" s="6">
        <v>45611</v>
      </c>
      <c r="E53" t="s">
        <v>505</v>
      </c>
      <c r="F53" s="1">
        <f>VLOOKUP(E53,'[1]TIỀN MUA PHỤ'!$A:$B,2,0)</f>
        <v>30000</v>
      </c>
      <c r="G53" s="2">
        <f t="shared" si="0"/>
        <v>150000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5330-75F5-4AA0-8BE7-E7181B593772}">
  <dimension ref="A1:G68"/>
  <sheetViews>
    <sheetView workbookViewId="0">
      <selection activeCell="G1" sqref="G1"/>
    </sheetView>
  </sheetViews>
  <sheetFormatPr defaultRowHeight="14.4" x14ac:dyDescent="0.3"/>
  <cols>
    <col min="1" max="1" width="31.109375" customWidth="1"/>
    <col min="2" max="2" width="11.33203125" customWidth="1"/>
    <col min="3" max="3" width="13" customWidth="1"/>
    <col min="4" max="4" width="10.5546875" bestFit="1" customWidth="1"/>
    <col min="5" max="5" width="28.88671875" customWidth="1"/>
    <col min="6" max="6" width="11.33203125" bestFit="1" customWidth="1"/>
    <col min="7" max="7" width="12.5546875" customWidth="1"/>
  </cols>
  <sheetData>
    <row r="1" spans="1:7" x14ac:dyDescent="0.3">
      <c r="G1" s="2">
        <f>SUM(G2:G68)</f>
        <v>87492900</v>
      </c>
    </row>
    <row r="2" spans="1:7" x14ac:dyDescent="0.3">
      <c r="A2" t="s">
        <v>78</v>
      </c>
      <c r="B2" t="s">
        <v>7</v>
      </c>
      <c r="C2">
        <v>20</v>
      </c>
      <c r="D2" s="6">
        <v>45610</v>
      </c>
      <c r="E2" t="s">
        <v>406</v>
      </c>
      <c r="F2" s="1">
        <f>VLOOKUP(E2,'[1]TIỀN MUA PHỤ'!$A:$B,2,0)</f>
        <v>30000</v>
      </c>
      <c r="G2" s="2">
        <f>C2*F2</f>
        <v>600000</v>
      </c>
    </row>
    <row r="3" spans="1:7" x14ac:dyDescent="0.3">
      <c r="A3" t="s">
        <v>88</v>
      </c>
      <c r="B3" t="s">
        <v>7</v>
      </c>
      <c r="C3">
        <v>42</v>
      </c>
      <c r="D3" s="6">
        <v>45610</v>
      </c>
      <c r="E3" t="s">
        <v>407</v>
      </c>
      <c r="F3" s="1">
        <v>5200</v>
      </c>
      <c r="G3" s="2">
        <f t="shared" ref="G3:G61" si="0">C3*F3</f>
        <v>218400</v>
      </c>
    </row>
    <row r="4" spans="1:7" x14ac:dyDescent="0.3">
      <c r="A4" t="s">
        <v>41</v>
      </c>
      <c r="B4" t="s">
        <v>42</v>
      </c>
      <c r="C4">
        <v>400</v>
      </c>
      <c r="D4" s="6">
        <v>45610</v>
      </c>
      <c r="E4" t="s">
        <v>408</v>
      </c>
      <c r="F4" s="1">
        <f>11000*0.3</f>
        <v>3300</v>
      </c>
      <c r="G4" s="2">
        <f t="shared" si="0"/>
        <v>1320000</v>
      </c>
    </row>
    <row r="5" spans="1:7" x14ac:dyDescent="0.3">
      <c r="A5" t="s">
        <v>43</v>
      </c>
      <c r="B5" t="s">
        <v>44</v>
      </c>
      <c r="C5">
        <v>270</v>
      </c>
      <c r="D5" s="6">
        <v>45610</v>
      </c>
      <c r="E5" t="s">
        <v>409</v>
      </c>
      <c r="F5" s="1">
        <f>VLOOKUP(E5,'[1]TIỀN MUA PHỤ'!$A:$B,2,0)*0.3</f>
        <v>3600</v>
      </c>
      <c r="G5" s="2">
        <f t="shared" si="0"/>
        <v>972000</v>
      </c>
    </row>
    <row r="6" spans="1:7" x14ac:dyDescent="0.3">
      <c r="A6" t="s">
        <v>67</v>
      </c>
      <c r="B6" t="s">
        <v>7</v>
      </c>
      <c r="C6">
        <v>80</v>
      </c>
      <c r="D6" s="6">
        <v>45610</v>
      </c>
      <c r="E6" t="s">
        <v>410</v>
      </c>
      <c r="F6" s="1">
        <f>VLOOKUP(E6,'[1]TIỀN MUA PHỤ'!$A:$B,2,0)</f>
        <v>26000</v>
      </c>
      <c r="G6" s="2">
        <f t="shared" si="0"/>
        <v>2080000</v>
      </c>
    </row>
    <row r="7" spans="1:7" x14ac:dyDescent="0.3">
      <c r="A7" t="s">
        <v>17</v>
      </c>
      <c r="B7" t="s">
        <v>7</v>
      </c>
      <c r="C7">
        <v>65</v>
      </c>
      <c r="D7" s="6">
        <v>45610</v>
      </c>
      <c r="E7" t="s">
        <v>411</v>
      </c>
      <c r="F7" s="1">
        <f>VLOOKUP(E7,'[1]TIỀN MUA PHỤ'!$A:$B,2,0)</f>
        <v>39000</v>
      </c>
      <c r="G7" s="2">
        <f t="shared" si="0"/>
        <v>2535000</v>
      </c>
    </row>
    <row r="8" spans="1:7" x14ac:dyDescent="0.3">
      <c r="A8" t="s">
        <v>18</v>
      </c>
      <c r="B8" t="s">
        <v>7</v>
      </c>
      <c r="D8" s="6">
        <v>45610</v>
      </c>
      <c r="E8" t="s">
        <v>412</v>
      </c>
      <c r="F8" s="1">
        <f>VLOOKUP(E8,'[1]TIỀN MUA PHỤ'!$A:$B,2,0)</f>
        <v>57000</v>
      </c>
      <c r="G8" s="2">
        <f t="shared" si="0"/>
        <v>0</v>
      </c>
    </row>
    <row r="9" spans="1:7" x14ac:dyDescent="0.3">
      <c r="A9" t="s">
        <v>18</v>
      </c>
      <c r="B9" t="s">
        <v>9</v>
      </c>
      <c r="C9">
        <v>75</v>
      </c>
      <c r="D9" s="6">
        <v>45610</v>
      </c>
      <c r="E9" t="s">
        <v>412</v>
      </c>
      <c r="F9" s="1">
        <f>VLOOKUP(E9,'[1]TIỀN MUA PHỤ'!$A:$B,2,0)</f>
        <v>57000</v>
      </c>
      <c r="G9" s="2">
        <f t="shared" si="0"/>
        <v>4275000</v>
      </c>
    </row>
    <row r="10" spans="1:7" x14ac:dyDescent="0.3">
      <c r="A10" t="s">
        <v>45</v>
      </c>
      <c r="B10" t="s">
        <v>7</v>
      </c>
      <c r="C10">
        <v>250</v>
      </c>
      <c r="D10" s="6">
        <v>45610</v>
      </c>
      <c r="E10" t="s">
        <v>413</v>
      </c>
      <c r="F10" s="1">
        <f>VLOOKUP(E10,'[1]TIỀN MUA PHỤ'!$A:$B,2,0)</f>
        <v>23000</v>
      </c>
      <c r="G10" s="2">
        <f t="shared" si="0"/>
        <v>5750000</v>
      </c>
    </row>
    <row r="11" spans="1:7" x14ac:dyDescent="0.3">
      <c r="A11" t="s">
        <v>89</v>
      </c>
      <c r="B11" t="s">
        <v>105</v>
      </c>
      <c r="C11">
        <v>100</v>
      </c>
      <c r="D11" s="6">
        <v>45610</v>
      </c>
      <c r="E11" t="s">
        <v>414</v>
      </c>
      <c r="F11" s="1">
        <v>11500</v>
      </c>
      <c r="G11" s="2">
        <f t="shared" si="0"/>
        <v>1150000</v>
      </c>
    </row>
    <row r="12" spans="1:7" x14ac:dyDescent="0.3">
      <c r="A12" t="s">
        <v>89</v>
      </c>
      <c r="B12" t="s">
        <v>7</v>
      </c>
      <c r="C12">
        <v>50</v>
      </c>
      <c r="D12" s="6">
        <v>45610</v>
      </c>
      <c r="E12" t="s">
        <v>414</v>
      </c>
      <c r="F12" s="1">
        <f>VLOOKUP(E12,'[1]TIỀN MUA PHỤ'!$A:$B,2,0)</f>
        <v>21000</v>
      </c>
      <c r="G12" s="2">
        <f t="shared" si="0"/>
        <v>1050000</v>
      </c>
    </row>
    <row r="13" spans="1:7" x14ac:dyDescent="0.3">
      <c r="A13" t="s">
        <v>47</v>
      </c>
      <c r="B13" t="s">
        <v>48</v>
      </c>
      <c r="C13">
        <v>59</v>
      </c>
      <c r="D13" s="6">
        <v>45610</v>
      </c>
      <c r="E13" t="s">
        <v>415</v>
      </c>
      <c r="F13" s="1">
        <f>VLOOKUP(E13,'[1]TIỀN MUA PHỤ'!$A:$B,2,0)</f>
        <v>56500</v>
      </c>
      <c r="G13" s="2">
        <f t="shared" si="0"/>
        <v>3333500</v>
      </c>
    </row>
    <row r="14" spans="1:7" x14ac:dyDescent="0.3">
      <c r="A14" t="s">
        <v>49</v>
      </c>
      <c r="B14" t="s">
        <v>106</v>
      </c>
      <c r="C14">
        <v>181</v>
      </c>
      <c r="D14" s="6">
        <v>45610</v>
      </c>
      <c r="E14" t="s">
        <v>416</v>
      </c>
      <c r="F14" s="1">
        <v>12500</v>
      </c>
      <c r="G14" s="2">
        <f t="shared" si="0"/>
        <v>2262500</v>
      </c>
    </row>
    <row r="15" spans="1:7" x14ac:dyDescent="0.3">
      <c r="A15" t="s">
        <v>50</v>
      </c>
      <c r="B15" t="s">
        <v>7</v>
      </c>
      <c r="C15">
        <v>125</v>
      </c>
      <c r="D15" s="6">
        <v>45610</v>
      </c>
      <c r="E15" t="s">
        <v>417</v>
      </c>
      <c r="F15" s="1">
        <f>VLOOKUP(E15,'[1]TIỀN MUA PHỤ'!$A:$B,2,0)</f>
        <v>18000</v>
      </c>
      <c r="G15" s="2">
        <f t="shared" si="0"/>
        <v>2250000</v>
      </c>
    </row>
    <row r="16" spans="1:7" x14ac:dyDescent="0.3">
      <c r="A16" t="s">
        <v>6</v>
      </c>
      <c r="B16" t="s">
        <v>7</v>
      </c>
      <c r="C16">
        <v>200</v>
      </c>
      <c r="D16" s="6">
        <v>45610</v>
      </c>
      <c r="E16" t="s">
        <v>418</v>
      </c>
      <c r="F16" s="1">
        <v>16000</v>
      </c>
      <c r="G16" s="2">
        <f t="shared" si="0"/>
        <v>3200000</v>
      </c>
    </row>
    <row r="17" spans="1:7" x14ac:dyDescent="0.3">
      <c r="A17" t="s">
        <v>8</v>
      </c>
      <c r="B17" t="s">
        <v>9</v>
      </c>
      <c r="C17">
        <v>80</v>
      </c>
      <c r="D17" s="6">
        <v>45610</v>
      </c>
      <c r="E17" t="s">
        <v>419</v>
      </c>
      <c r="F17" s="1">
        <v>11000</v>
      </c>
      <c r="G17" s="2">
        <f t="shared" si="0"/>
        <v>880000</v>
      </c>
    </row>
    <row r="18" spans="1:7" ht="15" customHeight="1" x14ac:dyDescent="0.3">
      <c r="A18" t="s">
        <v>20</v>
      </c>
      <c r="B18" t="s">
        <v>7</v>
      </c>
      <c r="C18">
        <v>60</v>
      </c>
      <c r="D18" s="6">
        <v>45610</v>
      </c>
      <c r="E18" t="s">
        <v>420</v>
      </c>
      <c r="F18" s="1">
        <f>VLOOKUP(E18,'[1]TIỀN MUA PHỤ'!$A:$B,2,0)</f>
        <v>30000</v>
      </c>
      <c r="G18" s="2">
        <f t="shared" si="0"/>
        <v>1800000</v>
      </c>
    </row>
    <row r="19" spans="1:7" x14ac:dyDescent="0.3">
      <c r="A19" t="s">
        <v>23</v>
      </c>
      <c r="B19" t="s">
        <v>22</v>
      </c>
      <c r="C19">
        <v>149</v>
      </c>
      <c r="D19" s="6">
        <v>45610</v>
      </c>
      <c r="E19" t="s">
        <v>421</v>
      </c>
      <c r="F19" s="1">
        <f>VLOOKUP(E19,'[1]TIỀN MUA PHỤ'!$A:$B,2,0)*0.3</f>
        <v>9600</v>
      </c>
      <c r="G19" s="2">
        <f t="shared" si="0"/>
        <v>1430400</v>
      </c>
    </row>
    <row r="20" spans="1:7" x14ac:dyDescent="0.3">
      <c r="A20" t="s">
        <v>23</v>
      </c>
      <c r="B20" t="s">
        <v>24</v>
      </c>
      <c r="C20">
        <v>8</v>
      </c>
      <c r="D20" s="6">
        <v>45610</v>
      </c>
      <c r="E20" t="s">
        <v>421</v>
      </c>
      <c r="F20" s="1">
        <f>35000*0.15</f>
        <v>5250</v>
      </c>
      <c r="G20" s="2">
        <f t="shared" si="0"/>
        <v>42000</v>
      </c>
    </row>
    <row r="21" spans="1:7" x14ac:dyDescent="0.3">
      <c r="A21" t="s">
        <v>26</v>
      </c>
      <c r="B21" t="s">
        <v>27</v>
      </c>
      <c r="C21">
        <v>240</v>
      </c>
      <c r="D21" s="6">
        <v>45610</v>
      </c>
      <c r="E21" t="s">
        <v>422</v>
      </c>
      <c r="F21" s="1">
        <v>6000</v>
      </c>
      <c r="G21" s="2">
        <f t="shared" si="0"/>
        <v>1440000</v>
      </c>
    </row>
    <row r="22" spans="1:7" x14ac:dyDescent="0.3">
      <c r="A22" t="s">
        <v>103</v>
      </c>
      <c r="B22" t="s">
        <v>48</v>
      </c>
      <c r="C22">
        <v>50</v>
      </c>
      <c r="D22" s="6">
        <v>45610</v>
      </c>
      <c r="E22" t="s">
        <v>423</v>
      </c>
      <c r="F22" s="1">
        <f>VLOOKUP(E22,'[1]TIỀN MUA PHỤ'!$A:$B,2,0)</f>
        <v>15000</v>
      </c>
      <c r="G22" s="2">
        <f t="shared" si="0"/>
        <v>750000</v>
      </c>
    </row>
    <row r="23" spans="1:7" x14ac:dyDescent="0.3">
      <c r="A23" t="s">
        <v>11</v>
      </c>
      <c r="B23" t="s">
        <v>7</v>
      </c>
      <c r="C23">
        <v>40</v>
      </c>
      <c r="D23" s="6">
        <v>45610</v>
      </c>
      <c r="E23" t="s">
        <v>424</v>
      </c>
      <c r="F23" s="1">
        <f>VLOOKUP(E23,'[1]TIỀN MUA PHỤ'!$A:$B,2,0)</f>
        <v>18000</v>
      </c>
      <c r="G23" s="2">
        <f t="shared" si="0"/>
        <v>720000</v>
      </c>
    </row>
    <row r="24" spans="1:7" x14ac:dyDescent="0.3">
      <c r="A24" t="s">
        <v>13</v>
      </c>
      <c r="B24" t="s">
        <v>7</v>
      </c>
      <c r="C24">
        <v>150</v>
      </c>
      <c r="D24" s="6">
        <v>45610</v>
      </c>
      <c r="E24" t="s">
        <v>425</v>
      </c>
      <c r="F24" s="1">
        <f>VLOOKUP(E24,'[1]TIỀN MUA PHỤ'!$A:$B,2,0)</f>
        <v>23000</v>
      </c>
      <c r="G24" s="2">
        <f t="shared" si="0"/>
        <v>3450000</v>
      </c>
    </row>
    <row r="25" spans="1:7" x14ac:dyDescent="0.3">
      <c r="A25" t="s">
        <v>14</v>
      </c>
      <c r="B25" t="s">
        <v>7</v>
      </c>
      <c r="C25">
        <v>140</v>
      </c>
      <c r="D25" s="6">
        <v>45610</v>
      </c>
      <c r="E25" t="s">
        <v>426</v>
      </c>
      <c r="F25" s="1">
        <f>VLOOKUP(E25,'[1]TIỀN MUA PHỤ'!$A:$B,2,0)</f>
        <v>19000</v>
      </c>
      <c r="G25" s="2">
        <f t="shared" si="0"/>
        <v>2660000</v>
      </c>
    </row>
    <row r="26" spans="1:7" x14ac:dyDescent="0.3">
      <c r="A26" t="s">
        <v>15</v>
      </c>
      <c r="B26" t="s">
        <v>7</v>
      </c>
      <c r="C26">
        <v>20</v>
      </c>
      <c r="D26" s="6">
        <v>45610</v>
      </c>
      <c r="E26" t="s">
        <v>427</v>
      </c>
      <c r="F26" s="1">
        <f>VLOOKUP(E26,'[1]TIỀN MUA PHỤ'!$A:$B,2,0)</f>
        <v>30000</v>
      </c>
      <c r="G26" s="2">
        <f t="shared" si="0"/>
        <v>600000</v>
      </c>
    </row>
    <row r="27" spans="1:7" x14ac:dyDescent="0.3">
      <c r="A27" t="s">
        <v>53</v>
      </c>
      <c r="B27" t="s">
        <v>9</v>
      </c>
      <c r="C27">
        <v>1391</v>
      </c>
      <c r="D27" s="6">
        <v>45610</v>
      </c>
      <c r="E27" t="s">
        <v>428</v>
      </c>
      <c r="F27" s="1">
        <f>VLOOKUP(E27,'[1]TIỀN MUA PHỤ'!$A:$B,2,0)</f>
        <v>4500</v>
      </c>
      <c r="G27" s="2">
        <f t="shared" si="0"/>
        <v>6259500</v>
      </c>
    </row>
    <row r="28" spans="1:7" x14ac:dyDescent="0.3">
      <c r="A28" t="s">
        <v>55</v>
      </c>
      <c r="B28" t="s">
        <v>22</v>
      </c>
      <c r="C28">
        <v>30</v>
      </c>
      <c r="D28" s="6">
        <v>45610</v>
      </c>
      <c r="E28" t="s">
        <v>429</v>
      </c>
      <c r="F28" s="1">
        <v>6000</v>
      </c>
      <c r="G28" s="2">
        <f t="shared" si="0"/>
        <v>180000</v>
      </c>
    </row>
    <row r="29" spans="1:7" x14ac:dyDescent="0.3">
      <c r="A29" t="s">
        <v>28</v>
      </c>
      <c r="B29" t="s">
        <v>27</v>
      </c>
      <c r="C29">
        <v>100</v>
      </c>
      <c r="D29" s="6">
        <v>45610</v>
      </c>
      <c r="E29" t="s">
        <v>430</v>
      </c>
      <c r="F29" s="1">
        <f>VLOOKUP(E29,'[1]TIỀN MUA PHỤ'!$A:$B,2,0)/5</f>
        <v>7600</v>
      </c>
      <c r="G29" s="2">
        <f t="shared" si="0"/>
        <v>760000</v>
      </c>
    </row>
    <row r="30" spans="1:7" x14ac:dyDescent="0.3">
      <c r="A30" t="s">
        <v>73</v>
      </c>
      <c r="B30" t="s">
        <v>7</v>
      </c>
      <c r="C30">
        <v>5.5</v>
      </c>
      <c r="D30" s="6">
        <v>45610</v>
      </c>
      <c r="E30" t="s">
        <v>431</v>
      </c>
      <c r="F30" s="1">
        <f>VLOOKUP(E30,'[1]TIỀN MUA PHỤ'!$A:$B,2,0)</f>
        <v>27000</v>
      </c>
      <c r="G30" s="2">
        <f t="shared" si="0"/>
        <v>148500</v>
      </c>
    </row>
    <row r="31" spans="1:7" x14ac:dyDescent="0.3">
      <c r="A31" t="s">
        <v>29</v>
      </c>
      <c r="B31" t="s">
        <v>22</v>
      </c>
      <c r="C31">
        <v>267</v>
      </c>
      <c r="D31" s="6">
        <v>45610</v>
      </c>
      <c r="E31" t="s">
        <v>432</v>
      </c>
      <c r="F31" s="1">
        <f>VLOOKUP(E31,'[1]TIỀN MUA PHỤ'!$A:$B,2,0)/20</f>
        <v>1800</v>
      </c>
      <c r="G31" s="2">
        <f t="shared" si="0"/>
        <v>480600</v>
      </c>
    </row>
    <row r="32" spans="1:7" x14ac:dyDescent="0.3">
      <c r="A32" t="s">
        <v>31</v>
      </c>
      <c r="B32" t="s">
        <v>7</v>
      </c>
      <c r="C32">
        <v>1</v>
      </c>
      <c r="D32" s="6">
        <v>45610</v>
      </c>
      <c r="E32" t="s">
        <v>433</v>
      </c>
      <c r="F32" s="1">
        <f>VLOOKUP(E32,'[1]TIỀN MUA PHỤ'!$A:$B,2,0)</f>
        <v>32000</v>
      </c>
      <c r="G32" s="2">
        <f t="shared" si="0"/>
        <v>32000</v>
      </c>
    </row>
    <row r="33" spans="1:7" x14ac:dyDescent="0.3">
      <c r="A33" t="s">
        <v>32</v>
      </c>
      <c r="B33" t="s">
        <v>7</v>
      </c>
      <c r="C33">
        <v>60</v>
      </c>
      <c r="D33" s="6">
        <v>45610</v>
      </c>
      <c r="E33" t="s">
        <v>434</v>
      </c>
      <c r="F33" s="1">
        <f>VLOOKUP(E33,'[1]TIỀN MUA PHỤ'!$A:$B,2,0)</f>
        <v>57000</v>
      </c>
      <c r="G33" s="2">
        <f t="shared" si="0"/>
        <v>3420000</v>
      </c>
    </row>
    <row r="34" spans="1:7" x14ac:dyDescent="0.3">
      <c r="A34" t="s">
        <v>57</v>
      </c>
      <c r="B34" t="s">
        <v>7</v>
      </c>
      <c r="C34">
        <v>33</v>
      </c>
      <c r="D34" s="6">
        <v>45610</v>
      </c>
      <c r="E34" t="s">
        <v>435</v>
      </c>
      <c r="F34" s="1">
        <f>VLOOKUP(E34,'[1]TIỀN MUA PHỤ'!$A:$B,2,0)</f>
        <v>48000</v>
      </c>
      <c r="G34" s="2">
        <f t="shared" si="0"/>
        <v>1584000</v>
      </c>
    </row>
    <row r="35" spans="1:7" x14ac:dyDescent="0.3">
      <c r="A35" t="s">
        <v>58</v>
      </c>
      <c r="B35" t="s">
        <v>7</v>
      </c>
      <c r="C35">
        <v>10</v>
      </c>
      <c r="D35" s="6">
        <v>45610</v>
      </c>
      <c r="E35" t="s">
        <v>436</v>
      </c>
      <c r="F35" s="1">
        <f>VLOOKUP(E35,'[1]TIỀN MUA PHỤ'!$A:$B,2,0)</f>
        <v>42000</v>
      </c>
      <c r="G35" s="2">
        <f t="shared" si="0"/>
        <v>420000</v>
      </c>
    </row>
    <row r="36" spans="1:7" x14ac:dyDescent="0.3">
      <c r="A36" t="s">
        <v>58</v>
      </c>
      <c r="B36" t="s">
        <v>7</v>
      </c>
      <c r="C36">
        <v>112</v>
      </c>
      <c r="D36" s="6">
        <v>45610</v>
      </c>
      <c r="E36" t="s">
        <v>436</v>
      </c>
      <c r="F36" s="1">
        <f>F35/4</f>
        <v>10500</v>
      </c>
      <c r="G36" s="2">
        <f t="shared" si="0"/>
        <v>1176000</v>
      </c>
    </row>
    <row r="37" spans="1:7" x14ac:dyDescent="0.3">
      <c r="A37" t="s">
        <v>60</v>
      </c>
      <c r="B37" t="s">
        <v>7</v>
      </c>
      <c r="C37">
        <v>15</v>
      </c>
      <c r="D37" s="6">
        <v>45610</v>
      </c>
      <c r="E37" t="s">
        <v>437</v>
      </c>
      <c r="F37" s="1">
        <f>VLOOKUP(E37,'[1]TIỀN MUA PHỤ'!$A:$B,2,0)</f>
        <v>58000</v>
      </c>
      <c r="G37" s="2">
        <f t="shared" si="0"/>
        <v>870000</v>
      </c>
    </row>
    <row r="38" spans="1:7" x14ac:dyDescent="0.3">
      <c r="A38" t="s">
        <v>61</v>
      </c>
      <c r="B38" t="s">
        <v>7</v>
      </c>
      <c r="C38">
        <v>10</v>
      </c>
      <c r="D38" s="6">
        <v>45610</v>
      </c>
      <c r="E38" t="s">
        <v>438</v>
      </c>
      <c r="F38" s="1">
        <f>VLOOKUP(E38,'[1]TIỀN MUA PHỤ'!$A:$B,2,0)</f>
        <v>22000</v>
      </c>
      <c r="G38" s="2">
        <f t="shared" si="0"/>
        <v>220000</v>
      </c>
    </row>
    <row r="39" spans="1:7" x14ac:dyDescent="0.3">
      <c r="A39" t="s">
        <v>61</v>
      </c>
      <c r="B39" t="s">
        <v>59</v>
      </c>
      <c r="C39">
        <v>80</v>
      </c>
      <c r="D39" s="6">
        <v>45610</v>
      </c>
      <c r="E39" t="s">
        <v>438</v>
      </c>
      <c r="F39" s="1">
        <f>F38/4</f>
        <v>5500</v>
      </c>
      <c r="G39" s="2">
        <f t="shared" si="0"/>
        <v>440000</v>
      </c>
    </row>
    <row r="40" spans="1:7" x14ac:dyDescent="0.3">
      <c r="A40" t="s">
        <v>62</v>
      </c>
      <c r="B40" t="s">
        <v>7</v>
      </c>
      <c r="C40">
        <v>5</v>
      </c>
      <c r="D40" s="6">
        <v>45610</v>
      </c>
      <c r="E40" t="s">
        <v>439</v>
      </c>
      <c r="F40" s="1">
        <f>VLOOKUP(E40,'[1]TIỀN MUA PHỤ'!$A:$B,2,0)</f>
        <v>26000</v>
      </c>
      <c r="G40" s="2">
        <f t="shared" si="0"/>
        <v>130000</v>
      </c>
    </row>
    <row r="41" spans="1:7" x14ac:dyDescent="0.3">
      <c r="A41" t="s">
        <v>62</v>
      </c>
      <c r="B41" t="s">
        <v>59</v>
      </c>
      <c r="C41">
        <v>55</v>
      </c>
      <c r="D41" s="6">
        <v>45610</v>
      </c>
      <c r="E41" t="s">
        <v>439</v>
      </c>
      <c r="F41" s="1">
        <f>F40/4</f>
        <v>6500</v>
      </c>
      <c r="G41" s="2">
        <f t="shared" si="0"/>
        <v>357500</v>
      </c>
    </row>
    <row r="42" spans="1:7" x14ac:dyDescent="0.3">
      <c r="A42" t="s">
        <v>97</v>
      </c>
      <c r="B42" t="s">
        <v>22</v>
      </c>
      <c r="C42">
        <v>228</v>
      </c>
      <c r="D42" s="6">
        <v>45610</v>
      </c>
      <c r="E42" t="s">
        <v>440</v>
      </c>
      <c r="F42" s="1">
        <v>22000</v>
      </c>
      <c r="G42" s="2">
        <f t="shared" si="0"/>
        <v>5016000</v>
      </c>
    </row>
    <row r="43" spans="1:7" x14ac:dyDescent="0.3">
      <c r="A43" t="s">
        <v>113</v>
      </c>
      <c r="B43" t="s">
        <v>22</v>
      </c>
      <c r="C43">
        <v>33</v>
      </c>
      <c r="D43" s="6">
        <v>45610</v>
      </c>
      <c r="E43" t="s">
        <v>441</v>
      </c>
      <c r="F43" s="1">
        <f>VLOOKUP(E43,'[1]TIỀN MUA PHỤ'!$A:$B,2,0)*0.3</f>
        <v>15000</v>
      </c>
      <c r="G43" s="2">
        <f t="shared" si="0"/>
        <v>495000</v>
      </c>
    </row>
    <row r="44" spans="1:7" x14ac:dyDescent="0.3">
      <c r="A44" t="s">
        <v>34</v>
      </c>
      <c r="B44" t="s">
        <v>7</v>
      </c>
      <c r="C44">
        <v>240</v>
      </c>
      <c r="D44" s="6">
        <v>45610</v>
      </c>
      <c r="E44" t="s">
        <v>442</v>
      </c>
      <c r="F44" s="1">
        <f>VLOOKUP(E44,'[1]TIỀN MUA PHỤ'!$A:$B,2,0)</f>
        <v>30000</v>
      </c>
      <c r="G44" s="2">
        <f t="shared" si="0"/>
        <v>7200000</v>
      </c>
    </row>
    <row r="45" spans="1:7" x14ac:dyDescent="0.3">
      <c r="A45" t="s">
        <v>40</v>
      </c>
      <c r="B45" t="s">
        <v>7</v>
      </c>
      <c r="C45">
        <v>40</v>
      </c>
      <c r="D45" s="6">
        <v>45610</v>
      </c>
      <c r="E45" t="s">
        <v>443</v>
      </c>
      <c r="F45" s="1">
        <v>28000</v>
      </c>
      <c r="G45" s="2">
        <f t="shared" si="0"/>
        <v>1120000</v>
      </c>
    </row>
    <row r="46" spans="1:7" x14ac:dyDescent="0.3">
      <c r="A46" t="s">
        <v>39</v>
      </c>
      <c r="B46" t="s">
        <v>7</v>
      </c>
      <c r="C46">
        <v>15</v>
      </c>
      <c r="D46" s="6">
        <v>45610</v>
      </c>
      <c r="E46" t="s">
        <v>444</v>
      </c>
      <c r="F46" s="1">
        <f>VLOOKUP(E46,'[1]TIỀN MUA PHỤ'!$A:$B,2,0)</f>
        <v>38000</v>
      </c>
      <c r="G46" s="2">
        <f t="shared" si="0"/>
        <v>570000</v>
      </c>
    </row>
    <row r="47" spans="1:7" x14ac:dyDescent="0.3">
      <c r="A47" t="s">
        <v>82</v>
      </c>
      <c r="B47" t="s">
        <v>7</v>
      </c>
      <c r="C47">
        <v>2</v>
      </c>
      <c r="D47" s="6">
        <v>45610</v>
      </c>
      <c r="E47" t="s">
        <v>445</v>
      </c>
      <c r="F47" s="1">
        <f>VLOOKUP(E47,'[1]TIỀN MUA PHỤ'!$A:$B,2,0)</f>
        <v>120000</v>
      </c>
      <c r="G47" s="2">
        <f t="shared" si="0"/>
        <v>240000</v>
      </c>
    </row>
    <row r="48" spans="1:7" x14ac:dyDescent="0.3">
      <c r="A48" t="s">
        <v>83</v>
      </c>
      <c r="B48" t="s">
        <v>22</v>
      </c>
      <c r="C48">
        <v>36</v>
      </c>
      <c r="D48" s="6">
        <v>45610</v>
      </c>
      <c r="E48" t="s">
        <v>446</v>
      </c>
      <c r="F48" s="1">
        <f>VLOOKUP(E48,'[1]TIỀN MUA PHỤ'!$A:$B,2,0)*0.3</f>
        <v>9000</v>
      </c>
      <c r="G48" s="2">
        <f t="shared" si="0"/>
        <v>324000</v>
      </c>
    </row>
    <row r="49" spans="1:7" x14ac:dyDescent="0.3">
      <c r="A49" t="s">
        <v>84</v>
      </c>
      <c r="B49" t="s">
        <v>27</v>
      </c>
      <c r="C49">
        <v>3</v>
      </c>
      <c r="D49" s="6">
        <v>45610</v>
      </c>
      <c r="E49" t="s">
        <v>447</v>
      </c>
      <c r="F49" s="1">
        <f>VLOOKUP(E49,'[1]TIỀN MUA PHỤ'!$A:$B,2,0)</f>
        <v>7000</v>
      </c>
      <c r="G49" s="2">
        <f t="shared" si="0"/>
        <v>21000</v>
      </c>
    </row>
    <row r="50" spans="1:7" x14ac:dyDescent="0.3">
      <c r="A50" t="s">
        <v>401</v>
      </c>
      <c r="B50" t="s">
        <v>44</v>
      </c>
      <c r="C50">
        <v>30</v>
      </c>
      <c r="D50" s="6">
        <v>45610</v>
      </c>
      <c r="E50" t="s">
        <v>448</v>
      </c>
      <c r="F50" s="1">
        <f>VLOOKUP(E50,'[1]TIỀN MUA PHỤ'!$A:$B,2,0)*0.4</f>
        <v>3000</v>
      </c>
      <c r="G50" s="2">
        <f t="shared" si="0"/>
        <v>90000</v>
      </c>
    </row>
    <row r="51" spans="1:7" x14ac:dyDescent="0.3">
      <c r="A51" t="s">
        <v>402</v>
      </c>
      <c r="B51" t="s">
        <v>7</v>
      </c>
      <c r="C51">
        <v>38</v>
      </c>
      <c r="D51" s="6">
        <v>45610</v>
      </c>
      <c r="E51" t="s">
        <v>449</v>
      </c>
      <c r="F51" s="1">
        <f>VLOOKUP(E51,'[1]TIỀN MUA PHỤ'!$A:$B,2,0)</f>
        <v>8000</v>
      </c>
      <c r="G51" s="2">
        <f t="shared" si="0"/>
        <v>304000</v>
      </c>
    </row>
    <row r="52" spans="1:7" x14ac:dyDescent="0.3">
      <c r="A52" t="s">
        <v>403</v>
      </c>
      <c r="B52" t="s">
        <v>22</v>
      </c>
      <c r="C52">
        <v>3</v>
      </c>
      <c r="D52" s="6">
        <v>45610</v>
      </c>
      <c r="E52" t="s">
        <v>450</v>
      </c>
      <c r="F52" s="1">
        <f>20000*0.3</f>
        <v>6000</v>
      </c>
      <c r="G52" s="2">
        <f t="shared" si="0"/>
        <v>18000</v>
      </c>
    </row>
    <row r="53" spans="1:7" x14ac:dyDescent="0.3">
      <c r="A53" t="s">
        <v>404</v>
      </c>
      <c r="B53" t="s">
        <v>7</v>
      </c>
      <c r="C53">
        <v>15</v>
      </c>
      <c r="D53" s="6">
        <v>45610</v>
      </c>
      <c r="E53" t="s">
        <v>451</v>
      </c>
      <c r="F53" s="1">
        <f>VLOOKUP(E53,'[1]TIỀN MUA PHỤ'!$A:$B,2,0)</f>
        <v>60000</v>
      </c>
      <c r="G53" s="2">
        <f t="shared" si="0"/>
        <v>900000</v>
      </c>
    </row>
    <row r="54" spans="1:7" x14ac:dyDescent="0.3">
      <c r="A54" t="s">
        <v>405</v>
      </c>
      <c r="B54" t="s">
        <v>107</v>
      </c>
      <c r="C54">
        <v>40</v>
      </c>
      <c r="D54" s="6">
        <v>45610</v>
      </c>
      <c r="E54" t="s">
        <v>452</v>
      </c>
      <c r="F54" s="1">
        <f>23000*0.3</f>
        <v>6900</v>
      </c>
      <c r="G54" s="2">
        <f t="shared" si="0"/>
        <v>276000</v>
      </c>
    </row>
    <row r="55" spans="1:7" x14ac:dyDescent="0.3">
      <c r="A55" t="s">
        <v>50</v>
      </c>
      <c r="B55" t="s">
        <v>7</v>
      </c>
      <c r="C55">
        <v>120</v>
      </c>
      <c r="D55" s="6">
        <v>45610</v>
      </c>
      <c r="E55" t="s">
        <v>417</v>
      </c>
      <c r="F55" s="1">
        <f>VLOOKUP(E55,'[1]TIỀN MUA PHỤ'!$A:$B,2,0)</f>
        <v>18000</v>
      </c>
      <c r="G55" s="2">
        <f t="shared" si="0"/>
        <v>2160000</v>
      </c>
    </row>
    <row r="56" spans="1:7" x14ac:dyDescent="0.3">
      <c r="A56" t="s">
        <v>53</v>
      </c>
      <c r="B56" t="s">
        <v>7</v>
      </c>
      <c r="C56">
        <v>40</v>
      </c>
      <c r="D56" s="6">
        <v>45610</v>
      </c>
      <c r="E56" t="s">
        <v>428</v>
      </c>
      <c r="F56" s="1">
        <v>9000</v>
      </c>
      <c r="G56" s="2">
        <f t="shared" si="0"/>
        <v>360000</v>
      </c>
    </row>
    <row r="57" spans="1:7" x14ac:dyDescent="0.3">
      <c r="A57" t="s">
        <v>89</v>
      </c>
      <c r="B57" t="s">
        <v>7</v>
      </c>
      <c r="C57">
        <v>51</v>
      </c>
      <c r="D57" s="6">
        <v>45610</v>
      </c>
      <c r="E57" t="s">
        <v>414</v>
      </c>
      <c r="F57" s="1">
        <f>VLOOKUP(E57,'[1]TIỀN MUA PHỤ'!$A:$B,2,0)</f>
        <v>21000</v>
      </c>
      <c r="G57" s="2">
        <f t="shared" si="0"/>
        <v>1071000</v>
      </c>
    </row>
    <row r="58" spans="1:7" x14ac:dyDescent="0.3">
      <c r="A58" t="s">
        <v>58</v>
      </c>
      <c r="B58" t="s">
        <v>7</v>
      </c>
      <c r="C58">
        <v>30</v>
      </c>
      <c r="D58" s="6">
        <v>45610</v>
      </c>
      <c r="E58" t="s">
        <v>436</v>
      </c>
      <c r="F58" s="1">
        <f>VLOOKUP(E58,'[1]TIỀN MUA PHỤ'!$A:$B,2,0)</f>
        <v>42000</v>
      </c>
      <c r="G58" s="2">
        <f t="shared" si="0"/>
        <v>1260000</v>
      </c>
    </row>
    <row r="59" spans="1:7" x14ac:dyDescent="0.3">
      <c r="A59" t="s">
        <v>41</v>
      </c>
      <c r="B59" t="s">
        <v>7</v>
      </c>
      <c r="C59">
        <v>40</v>
      </c>
      <c r="D59" s="6">
        <v>45610</v>
      </c>
      <c r="E59" t="s">
        <v>408</v>
      </c>
      <c r="F59" s="1">
        <v>11000</v>
      </c>
      <c r="G59" s="2">
        <f t="shared" si="0"/>
        <v>440000</v>
      </c>
    </row>
    <row r="60" spans="1:7" x14ac:dyDescent="0.3">
      <c r="A60" t="s">
        <v>70</v>
      </c>
      <c r="B60" t="s">
        <v>7</v>
      </c>
      <c r="C60">
        <v>25</v>
      </c>
      <c r="D60" s="6">
        <v>45610</v>
      </c>
      <c r="E60" t="s">
        <v>453</v>
      </c>
      <c r="F60" s="1">
        <v>33000</v>
      </c>
      <c r="G60" s="2">
        <f t="shared" si="0"/>
        <v>825000</v>
      </c>
    </row>
    <row r="61" spans="1:7" x14ac:dyDescent="0.3">
      <c r="A61" t="s">
        <v>97</v>
      </c>
      <c r="B61" t="s">
        <v>7</v>
      </c>
      <c r="C61">
        <v>20</v>
      </c>
      <c r="D61" s="6">
        <v>45610</v>
      </c>
      <c r="E61" t="s">
        <v>440</v>
      </c>
      <c r="F61" s="1">
        <f>21000/3*10</f>
        <v>70000</v>
      </c>
      <c r="G61" s="2">
        <f t="shared" si="0"/>
        <v>1400000</v>
      </c>
    </row>
    <row r="62" spans="1:7" x14ac:dyDescent="0.3">
      <c r="A62" t="s">
        <v>11</v>
      </c>
      <c r="B62" t="s">
        <v>7</v>
      </c>
      <c r="C62">
        <v>20</v>
      </c>
      <c r="D62" s="6">
        <v>45610</v>
      </c>
      <c r="E62" t="s">
        <v>424</v>
      </c>
      <c r="F62" s="1">
        <f>VLOOKUP(E62,'[1]TIỀN MUA PHỤ'!$A:$B,2,0)</f>
        <v>18000</v>
      </c>
      <c r="G62" s="2">
        <f t="shared" ref="G62:G68" si="1">C62*F62</f>
        <v>360000</v>
      </c>
    </row>
    <row r="63" spans="1:7" x14ac:dyDescent="0.3">
      <c r="A63" t="s">
        <v>61</v>
      </c>
      <c r="B63" t="s">
        <v>7</v>
      </c>
      <c r="C63">
        <v>10</v>
      </c>
      <c r="D63" s="6">
        <v>45610</v>
      </c>
      <c r="E63" t="s">
        <v>438</v>
      </c>
      <c r="F63" s="1">
        <f>VLOOKUP(E63,'[1]TIỀN MUA PHỤ'!$A:$B,2,0)</f>
        <v>22000</v>
      </c>
      <c r="G63" s="2">
        <f t="shared" si="1"/>
        <v>220000</v>
      </c>
    </row>
    <row r="64" spans="1:7" x14ac:dyDescent="0.3">
      <c r="A64" t="s">
        <v>8</v>
      </c>
      <c r="B64" t="s">
        <v>7</v>
      </c>
      <c r="C64">
        <v>10</v>
      </c>
      <c r="D64" s="6">
        <v>45610</v>
      </c>
      <c r="E64" t="s">
        <v>419</v>
      </c>
      <c r="F64" s="1">
        <f>VLOOKUP(E64,'[1]TIỀN MUA PHỤ'!$A:$B,2,0)</f>
        <v>55000</v>
      </c>
      <c r="G64" s="2">
        <f t="shared" si="1"/>
        <v>550000</v>
      </c>
    </row>
    <row r="65" spans="1:7" x14ac:dyDescent="0.3">
      <c r="A65" t="s">
        <v>29</v>
      </c>
      <c r="B65" t="s">
        <v>7</v>
      </c>
      <c r="C65">
        <v>10</v>
      </c>
      <c r="D65" s="6">
        <v>45610</v>
      </c>
      <c r="E65" t="s">
        <v>432</v>
      </c>
      <c r="F65" s="1">
        <f>VLOOKUP(E65,'[1]TIỀN MUA PHỤ'!$A:$B,2,0)</f>
        <v>36000</v>
      </c>
      <c r="G65" s="2">
        <f t="shared" si="1"/>
        <v>360000</v>
      </c>
    </row>
    <row r="66" spans="1:7" x14ac:dyDescent="0.3">
      <c r="A66" t="s">
        <v>37</v>
      </c>
      <c r="B66" t="s">
        <v>7</v>
      </c>
      <c r="C66">
        <v>8</v>
      </c>
      <c r="D66" s="6">
        <v>45610</v>
      </c>
      <c r="E66" t="s">
        <v>454</v>
      </c>
      <c r="F66" s="1">
        <f>VLOOKUP(E66,'[1]TIỀN MUA PHỤ'!$A:$B,2,0)</f>
        <v>27000</v>
      </c>
      <c r="G66" s="2">
        <f t="shared" si="1"/>
        <v>216000</v>
      </c>
    </row>
    <row r="67" spans="1:7" x14ac:dyDescent="0.3">
      <c r="A67" t="s">
        <v>62</v>
      </c>
      <c r="B67" t="s">
        <v>7</v>
      </c>
      <c r="C67">
        <v>10</v>
      </c>
      <c r="D67" s="6">
        <v>45610</v>
      </c>
      <c r="E67" t="s">
        <v>439</v>
      </c>
      <c r="F67" s="1">
        <f>VLOOKUP(E67,'[1]TIỀN MUA PHỤ'!$A:$B,2,0)</f>
        <v>26000</v>
      </c>
      <c r="G67" s="2">
        <f t="shared" si="1"/>
        <v>260000</v>
      </c>
    </row>
    <row r="68" spans="1:7" x14ac:dyDescent="0.3">
      <c r="A68" t="s">
        <v>28</v>
      </c>
      <c r="B68" t="s">
        <v>7</v>
      </c>
      <c r="C68">
        <v>5</v>
      </c>
      <c r="D68" s="6">
        <v>45610</v>
      </c>
      <c r="E68" t="s">
        <v>430</v>
      </c>
      <c r="F68" s="1">
        <f>VLOOKUP(E68,'[1]TIỀN MUA PHỤ'!$A:$B,2,0)</f>
        <v>38000</v>
      </c>
      <c r="G68" s="2">
        <f t="shared" si="1"/>
        <v>190000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CB98-6944-4A31-953B-18416D15E967}">
  <dimension ref="A1:G76"/>
  <sheetViews>
    <sheetView workbookViewId="0">
      <selection activeCell="G1" sqref="G1"/>
    </sheetView>
  </sheetViews>
  <sheetFormatPr defaultRowHeight="14.4" x14ac:dyDescent="0.3"/>
  <cols>
    <col min="1" max="1" width="28.21875" customWidth="1"/>
    <col min="4" max="4" width="10.5546875" bestFit="1" customWidth="1"/>
    <col min="5" max="5" width="27.88671875" customWidth="1"/>
    <col min="6" max="6" width="11.33203125" style="1" bestFit="1" customWidth="1"/>
    <col min="7" max="7" width="11.5546875" customWidth="1"/>
  </cols>
  <sheetData>
    <row r="1" spans="1:7" x14ac:dyDescent="0.3">
      <c r="G1" s="2">
        <f>SUM(G2:G76)</f>
        <v>61958300</v>
      </c>
    </row>
    <row r="2" spans="1:7" x14ac:dyDescent="0.3">
      <c r="A2" t="s">
        <v>79</v>
      </c>
      <c r="B2" t="s">
        <v>7</v>
      </c>
      <c r="C2">
        <v>23</v>
      </c>
      <c r="D2" s="6">
        <v>45609</v>
      </c>
      <c r="E2" t="s">
        <v>347</v>
      </c>
      <c r="F2" s="1">
        <f>VLOOKUP(E2,'[1]TIỀN MUA PHỤ'!$A:$B,2,0)</f>
        <v>18000</v>
      </c>
      <c r="G2" s="2">
        <f>F2*C2</f>
        <v>414000</v>
      </c>
    </row>
    <row r="3" spans="1:7" x14ac:dyDescent="0.3">
      <c r="A3" t="s">
        <v>80</v>
      </c>
      <c r="B3" t="s">
        <v>44</v>
      </c>
      <c r="C3">
        <v>30</v>
      </c>
      <c r="D3" s="6">
        <v>45609</v>
      </c>
      <c r="E3" t="s">
        <v>348</v>
      </c>
      <c r="F3" s="1">
        <v>5000</v>
      </c>
      <c r="G3" s="2">
        <f t="shared" ref="G3:G66" si="0">F3*C3</f>
        <v>150000</v>
      </c>
    </row>
    <row r="4" spans="1:7" x14ac:dyDescent="0.3">
      <c r="A4" t="s">
        <v>126</v>
      </c>
      <c r="B4" t="s">
        <v>7</v>
      </c>
      <c r="C4">
        <v>5</v>
      </c>
      <c r="D4" s="6">
        <v>45609</v>
      </c>
      <c r="E4" t="s">
        <v>349</v>
      </c>
      <c r="F4" s="1">
        <f>VLOOKUP(E4,'[1]TIỀN MUA PHỤ'!$A:$B,2,0)</f>
        <v>48000</v>
      </c>
      <c r="G4" s="2">
        <f t="shared" si="0"/>
        <v>240000</v>
      </c>
    </row>
    <row r="5" spans="1:7" x14ac:dyDescent="0.3">
      <c r="A5" t="s">
        <v>41</v>
      </c>
      <c r="B5" t="s">
        <v>7</v>
      </c>
      <c r="C5">
        <v>10</v>
      </c>
      <c r="D5" s="6">
        <v>45609</v>
      </c>
      <c r="E5" t="s">
        <v>350</v>
      </c>
      <c r="F5" s="1">
        <f>VLOOKUP(E5,'[1]TIỀN MUA PHỤ'!$A:$B,2,0)</f>
        <v>14000</v>
      </c>
      <c r="G5" s="2">
        <f t="shared" si="0"/>
        <v>140000</v>
      </c>
    </row>
    <row r="6" spans="1:7" x14ac:dyDescent="0.3">
      <c r="A6" t="s">
        <v>41</v>
      </c>
      <c r="B6" t="s">
        <v>42</v>
      </c>
      <c r="C6">
        <v>300</v>
      </c>
      <c r="D6" s="6">
        <v>45609</v>
      </c>
      <c r="E6" t="s">
        <v>350</v>
      </c>
      <c r="F6" s="1">
        <f>F5*0.3</f>
        <v>4200</v>
      </c>
      <c r="G6" s="2">
        <f t="shared" si="0"/>
        <v>1260000</v>
      </c>
    </row>
    <row r="7" spans="1:7" x14ac:dyDescent="0.3">
      <c r="A7" t="s">
        <v>43</v>
      </c>
      <c r="B7" t="s">
        <v>44</v>
      </c>
      <c r="C7">
        <v>150</v>
      </c>
      <c r="D7" s="6">
        <v>45609</v>
      </c>
      <c r="E7" t="s">
        <v>351</v>
      </c>
      <c r="F7" s="1">
        <f>VLOOKUP(E7,'[1]TIỀN MUA PHỤ'!$A:$B,2,0)*0.3</f>
        <v>4200</v>
      </c>
      <c r="G7" s="2">
        <f t="shared" si="0"/>
        <v>630000</v>
      </c>
    </row>
    <row r="8" spans="1:7" x14ac:dyDescent="0.3">
      <c r="A8" t="s">
        <v>67</v>
      </c>
      <c r="B8" t="s">
        <v>7</v>
      </c>
      <c r="C8">
        <v>60</v>
      </c>
      <c r="D8" s="6">
        <v>45609</v>
      </c>
      <c r="E8" t="s">
        <v>352</v>
      </c>
      <c r="F8" s="1">
        <f>VLOOKUP(E8,'[1]TIỀN MUA PHỤ'!$A:$B,2,0)</f>
        <v>28000</v>
      </c>
      <c r="G8" s="2">
        <f t="shared" si="0"/>
        <v>1680000</v>
      </c>
    </row>
    <row r="9" spans="1:7" x14ac:dyDescent="0.3">
      <c r="A9" t="s">
        <v>17</v>
      </c>
      <c r="B9" t="s">
        <v>7</v>
      </c>
      <c r="C9">
        <v>45</v>
      </c>
      <c r="D9" s="6">
        <v>45609</v>
      </c>
      <c r="E9" t="s">
        <v>353</v>
      </c>
      <c r="F9" s="1">
        <f>VLOOKUP(E9,'[1]TIỀN MUA PHỤ'!$A:$B,2,0)</f>
        <v>39000</v>
      </c>
      <c r="G9" s="2">
        <f t="shared" si="0"/>
        <v>1755000</v>
      </c>
    </row>
    <row r="10" spans="1:7" x14ac:dyDescent="0.3">
      <c r="A10" t="s">
        <v>18</v>
      </c>
      <c r="B10" t="s">
        <v>9</v>
      </c>
      <c r="C10">
        <v>63</v>
      </c>
      <c r="D10" s="6">
        <v>45609</v>
      </c>
      <c r="E10" t="s">
        <v>354</v>
      </c>
      <c r="F10" s="1">
        <f>VLOOKUP(E10,'[1]TIỀN MUA PHỤ'!$A:$B,2,0)/5</f>
        <v>11400</v>
      </c>
      <c r="G10" s="2">
        <f t="shared" si="0"/>
        <v>718200</v>
      </c>
    </row>
    <row r="11" spans="1:7" x14ac:dyDescent="0.3">
      <c r="A11" t="s">
        <v>45</v>
      </c>
      <c r="B11" t="s">
        <v>7</v>
      </c>
      <c r="C11">
        <v>160</v>
      </c>
      <c r="D11" s="6">
        <v>45609</v>
      </c>
      <c r="E11" t="s">
        <v>355</v>
      </c>
      <c r="F11" s="1">
        <v>23000</v>
      </c>
      <c r="G11" s="2">
        <f t="shared" si="0"/>
        <v>3680000</v>
      </c>
    </row>
    <row r="12" spans="1:7" x14ac:dyDescent="0.3">
      <c r="A12" t="s">
        <v>89</v>
      </c>
      <c r="B12" t="s">
        <v>105</v>
      </c>
      <c r="C12">
        <v>100</v>
      </c>
      <c r="D12" s="6">
        <v>45609</v>
      </c>
      <c r="E12" t="s">
        <v>356</v>
      </c>
      <c r="F12" s="1">
        <v>11000</v>
      </c>
      <c r="G12" s="2">
        <f t="shared" si="0"/>
        <v>1100000</v>
      </c>
    </row>
    <row r="13" spans="1:7" x14ac:dyDescent="0.3">
      <c r="A13" t="s">
        <v>70</v>
      </c>
      <c r="B13" t="s">
        <v>7</v>
      </c>
      <c r="C13">
        <v>2.5</v>
      </c>
      <c r="D13" s="6">
        <v>45609</v>
      </c>
      <c r="E13" t="s">
        <v>357</v>
      </c>
      <c r="F13" s="1">
        <v>33000</v>
      </c>
      <c r="G13" s="2">
        <f t="shared" si="0"/>
        <v>82500</v>
      </c>
    </row>
    <row r="14" spans="1:7" x14ac:dyDescent="0.3">
      <c r="A14" t="s">
        <v>70</v>
      </c>
      <c r="B14" t="s">
        <v>106</v>
      </c>
      <c r="C14">
        <v>100</v>
      </c>
      <c r="D14" s="6">
        <v>45609</v>
      </c>
      <c r="E14" t="s">
        <v>357</v>
      </c>
      <c r="F14" s="1">
        <f>F13*0.3</f>
        <v>9900</v>
      </c>
      <c r="G14" s="2">
        <f t="shared" si="0"/>
        <v>990000</v>
      </c>
    </row>
    <row r="15" spans="1:7" x14ac:dyDescent="0.3">
      <c r="A15" t="s">
        <v>47</v>
      </c>
      <c r="B15" t="s">
        <v>48</v>
      </c>
      <c r="C15">
        <v>72</v>
      </c>
      <c r="D15" s="6">
        <v>45609</v>
      </c>
      <c r="E15" t="s">
        <v>358</v>
      </c>
      <c r="F15" s="1">
        <f>VLOOKUP(E15,'[1]TIỀN MUA PHỤ'!$A:$B,2,0)*0.3</f>
        <v>16500</v>
      </c>
      <c r="G15" s="2">
        <f t="shared" si="0"/>
        <v>1188000</v>
      </c>
    </row>
    <row r="16" spans="1:7" x14ac:dyDescent="0.3">
      <c r="A16" t="s">
        <v>49</v>
      </c>
      <c r="B16" t="s">
        <v>106</v>
      </c>
      <c r="C16">
        <v>300</v>
      </c>
      <c r="D16" s="6">
        <v>45609</v>
      </c>
      <c r="E16" t="s">
        <v>359</v>
      </c>
      <c r="F16" s="1">
        <v>14000</v>
      </c>
      <c r="G16" s="2">
        <f t="shared" si="0"/>
        <v>4200000</v>
      </c>
    </row>
    <row r="17" spans="1:7" x14ac:dyDescent="0.3">
      <c r="A17" t="s">
        <v>6</v>
      </c>
      <c r="B17" t="s">
        <v>7</v>
      </c>
      <c r="C17">
        <v>180</v>
      </c>
      <c r="D17" s="6">
        <v>45609</v>
      </c>
      <c r="E17" t="s">
        <v>360</v>
      </c>
      <c r="F17" s="1">
        <f>VLOOKUP(E17,'[1]TIỀN MUA PHỤ'!$A:$B,2,0)</f>
        <v>15000</v>
      </c>
      <c r="G17" s="2">
        <f t="shared" si="0"/>
        <v>2700000</v>
      </c>
    </row>
    <row r="18" spans="1:7" x14ac:dyDescent="0.3">
      <c r="A18" t="s">
        <v>8</v>
      </c>
      <c r="B18" t="s">
        <v>9</v>
      </c>
      <c r="C18">
        <v>50</v>
      </c>
      <c r="D18" s="6">
        <v>45609</v>
      </c>
      <c r="E18" t="s">
        <v>361</v>
      </c>
      <c r="F18" s="1">
        <v>11000</v>
      </c>
      <c r="G18" s="2">
        <f t="shared" si="0"/>
        <v>550000</v>
      </c>
    </row>
    <row r="19" spans="1:7" x14ac:dyDescent="0.3">
      <c r="A19" t="s">
        <v>20</v>
      </c>
      <c r="B19" t="s">
        <v>7</v>
      </c>
      <c r="C19">
        <v>40</v>
      </c>
      <c r="D19" s="6">
        <v>45609</v>
      </c>
      <c r="E19" t="s">
        <v>362</v>
      </c>
      <c r="F19" s="1">
        <f>VLOOKUP(E19,'[1]TIỀN MUA PHỤ'!$A:$B,2,0)</f>
        <v>30000</v>
      </c>
      <c r="G19" s="2">
        <f t="shared" si="0"/>
        <v>1200000</v>
      </c>
    </row>
    <row r="20" spans="1:7" x14ac:dyDescent="0.3">
      <c r="A20" t="s">
        <v>23</v>
      </c>
      <c r="B20" t="s">
        <v>7</v>
      </c>
      <c r="C20">
        <v>3</v>
      </c>
      <c r="D20" s="6">
        <v>45609</v>
      </c>
      <c r="E20" t="s">
        <v>363</v>
      </c>
      <c r="F20" s="1">
        <f>VLOOKUP(E20,'[1]TIỀN MUA PHỤ'!$A:$B,2,0)</f>
        <v>35000</v>
      </c>
      <c r="G20" s="2">
        <f t="shared" si="0"/>
        <v>105000</v>
      </c>
    </row>
    <row r="21" spans="1:7" x14ac:dyDescent="0.3">
      <c r="A21" t="s">
        <v>23</v>
      </c>
      <c r="B21" t="s">
        <v>22</v>
      </c>
      <c r="C21">
        <v>100</v>
      </c>
      <c r="D21" s="6">
        <v>45609</v>
      </c>
      <c r="E21" t="s">
        <v>363</v>
      </c>
      <c r="F21" s="1">
        <f>F20*0.3</f>
        <v>10500</v>
      </c>
      <c r="G21" s="2">
        <f t="shared" si="0"/>
        <v>1050000</v>
      </c>
    </row>
    <row r="22" spans="1:7" x14ac:dyDescent="0.3">
      <c r="A22" t="s">
        <v>23</v>
      </c>
      <c r="B22" t="s">
        <v>24</v>
      </c>
      <c r="C22">
        <v>10</v>
      </c>
      <c r="D22" s="6">
        <v>45609</v>
      </c>
      <c r="E22" t="s">
        <v>363</v>
      </c>
      <c r="F22" s="1">
        <f>F21/2</f>
        <v>5250</v>
      </c>
      <c r="G22" s="2">
        <f t="shared" si="0"/>
        <v>52500</v>
      </c>
    </row>
    <row r="23" spans="1:7" x14ac:dyDescent="0.3">
      <c r="A23" t="s">
        <v>25</v>
      </c>
      <c r="B23" t="s">
        <v>7</v>
      </c>
      <c r="C23">
        <v>12</v>
      </c>
      <c r="D23" s="6">
        <v>45609</v>
      </c>
      <c r="E23" t="s">
        <v>364</v>
      </c>
      <c r="F23" s="1">
        <f>VLOOKUP(E23,'[1]TIỀN MUA PHỤ'!$A:$B,2,0)</f>
        <v>7500</v>
      </c>
      <c r="G23" s="2">
        <f t="shared" si="0"/>
        <v>90000</v>
      </c>
    </row>
    <row r="24" spans="1:7" x14ac:dyDescent="0.3">
      <c r="A24" t="s">
        <v>26</v>
      </c>
      <c r="B24" t="s">
        <v>27</v>
      </c>
      <c r="C24">
        <v>200</v>
      </c>
      <c r="D24" s="6">
        <v>45609</v>
      </c>
      <c r="E24" t="s">
        <v>365</v>
      </c>
      <c r="F24" s="1">
        <v>6000</v>
      </c>
      <c r="G24" s="2">
        <f t="shared" si="0"/>
        <v>1200000</v>
      </c>
    </row>
    <row r="25" spans="1:7" x14ac:dyDescent="0.3">
      <c r="A25" t="s">
        <v>51</v>
      </c>
      <c r="B25" t="s">
        <v>9</v>
      </c>
      <c r="C25">
        <v>20</v>
      </c>
      <c r="D25" s="6">
        <v>45609</v>
      </c>
      <c r="E25" t="s">
        <v>366</v>
      </c>
      <c r="F25" s="1">
        <f>VLOOKUP(E25,'[1]TIỀN MUA PHỤ'!$A:$B,2,0)/4</f>
        <v>6500</v>
      </c>
      <c r="G25" s="2">
        <f t="shared" si="0"/>
        <v>130000</v>
      </c>
    </row>
    <row r="26" spans="1:7" x14ac:dyDescent="0.3">
      <c r="A26" t="s">
        <v>11</v>
      </c>
      <c r="B26" t="s">
        <v>7</v>
      </c>
      <c r="C26">
        <v>30</v>
      </c>
      <c r="D26" s="6">
        <v>45609</v>
      </c>
      <c r="E26" t="s">
        <v>367</v>
      </c>
      <c r="F26" s="1">
        <f>VLOOKUP(E26,'[1]TIỀN MUA PHỤ'!$A:$B,2,0)</f>
        <v>17000</v>
      </c>
      <c r="G26" s="2">
        <f t="shared" si="0"/>
        <v>510000</v>
      </c>
    </row>
    <row r="27" spans="1:7" x14ac:dyDescent="0.3">
      <c r="A27" t="s">
        <v>12</v>
      </c>
      <c r="B27" t="s">
        <v>7</v>
      </c>
      <c r="C27">
        <v>120</v>
      </c>
      <c r="D27" s="6">
        <v>45609</v>
      </c>
      <c r="E27" t="s">
        <v>368</v>
      </c>
      <c r="F27" s="1">
        <v>22000</v>
      </c>
      <c r="G27" s="2">
        <f t="shared" si="0"/>
        <v>2640000</v>
      </c>
    </row>
    <row r="28" spans="1:7" x14ac:dyDescent="0.3">
      <c r="A28" t="s">
        <v>13</v>
      </c>
      <c r="B28" t="s">
        <v>7</v>
      </c>
      <c r="C28">
        <v>100</v>
      </c>
      <c r="D28" s="6">
        <v>45609</v>
      </c>
      <c r="E28" t="s">
        <v>369</v>
      </c>
      <c r="F28" s="1">
        <v>23000</v>
      </c>
      <c r="G28" s="2">
        <f t="shared" si="0"/>
        <v>2300000</v>
      </c>
    </row>
    <row r="29" spans="1:7" x14ac:dyDescent="0.3">
      <c r="A29" t="s">
        <v>112</v>
      </c>
      <c r="B29" t="s">
        <v>7</v>
      </c>
      <c r="C29">
        <v>9</v>
      </c>
      <c r="D29" s="6">
        <v>45609</v>
      </c>
      <c r="E29" t="s">
        <v>370</v>
      </c>
      <c r="F29" s="1">
        <f>VLOOKUP(E29,'[1]TIỀN MUA PHỤ'!$A:$B,2,0)</f>
        <v>12000</v>
      </c>
      <c r="G29" s="2">
        <f t="shared" si="0"/>
        <v>108000</v>
      </c>
    </row>
    <row r="30" spans="1:7" x14ac:dyDescent="0.3">
      <c r="A30" t="s">
        <v>93</v>
      </c>
      <c r="B30" t="s">
        <v>7</v>
      </c>
      <c r="C30">
        <v>20</v>
      </c>
      <c r="D30" s="6">
        <v>45609</v>
      </c>
      <c r="E30" t="s">
        <v>371</v>
      </c>
      <c r="F30" s="1">
        <f>VLOOKUP(E30,'[1]TIỀN MUA PHỤ'!$A:$B,2,0)</f>
        <v>15000</v>
      </c>
      <c r="G30" s="2">
        <f t="shared" si="0"/>
        <v>300000</v>
      </c>
    </row>
    <row r="31" spans="1:7" x14ac:dyDescent="0.3">
      <c r="A31" t="s">
        <v>104</v>
      </c>
      <c r="B31" t="s">
        <v>7</v>
      </c>
      <c r="C31">
        <v>1</v>
      </c>
      <c r="D31" s="6">
        <v>45609</v>
      </c>
      <c r="E31" t="s">
        <v>372</v>
      </c>
      <c r="F31" s="1">
        <f>VLOOKUP(E31,'[1]TIỀN MUA PHỤ'!$A:$B,2,0)*3</f>
        <v>18000</v>
      </c>
      <c r="G31" s="2">
        <f t="shared" si="0"/>
        <v>18000</v>
      </c>
    </row>
    <row r="32" spans="1:7" x14ac:dyDescent="0.3">
      <c r="A32" t="s">
        <v>53</v>
      </c>
      <c r="B32" t="s">
        <v>7</v>
      </c>
      <c r="C32">
        <v>30</v>
      </c>
      <c r="D32" s="6">
        <v>45609</v>
      </c>
      <c r="E32" t="s">
        <v>373</v>
      </c>
      <c r="F32" s="1">
        <v>10000</v>
      </c>
      <c r="G32" s="2">
        <f t="shared" si="0"/>
        <v>300000</v>
      </c>
    </row>
    <row r="33" spans="1:7" x14ac:dyDescent="0.3">
      <c r="A33" t="s">
        <v>53</v>
      </c>
      <c r="B33" t="s">
        <v>9</v>
      </c>
      <c r="C33">
        <v>770</v>
      </c>
      <c r="D33" s="6">
        <v>45609</v>
      </c>
      <c r="E33" t="s">
        <v>373</v>
      </c>
      <c r="F33" s="1">
        <f>VLOOKUP(E33,'[1]TIỀN MUA PHỤ'!$A:$B,2,0)</f>
        <v>5000</v>
      </c>
      <c r="G33" s="2">
        <f t="shared" si="0"/>
        <v>3850000</v>
      </c>
    </row>
    <row r="34" spans="1:7" x14ac:dyDescent="0.3">
      <c r="A34" t="s">
        <v>55</v>
      </c>
      <c r="B34" t="s">
        <v>22</v>
      </c>
      <c r="C34">
        <v>20</v>
      </c>
      <c r="D34" s="6">
        <v>45609</v>
      </c>
      <c r="E34" t="s">
        <v>374</v>
      </c>
      <c r="F34" s="1">
        <v>6000</v>
      </c>
      <c r="G34" s="2">
        <f t="shared" si="0"/>
        <v>120000</v>
      </c>
    </row>
    <row r="35" spans="1:7" x14ac:dyDescent="0.3">
      <c r="A35" t="s">
        <v>56</v>
      </c>
      <c r="B35" t="s">
        <v>7</v>
      </c>
      <c r="C35">
        <v>38</v>
      </c>
      <c r="D35" s="6">
        <v>45609</v>
      </c>
      <c r="E35" t="s">
        <v>375</v>
      </c>
      <c r="F35" s="1">
        <f>VLOOKUP(E35,'[1]TIỀN MUA PHỤ'!$A:$B,2,0)</f>
        <v>4500</v>
      </c>
      <c r="G35" s="2">
        <f t="shared" si="0"/>
        <v>171000</v>
      </c>
    </row>
    <row r="36" spans="1:7" x14ac:dyDescent="0.3">
      <c r="A36" t="s">
        <v>28</v>
      </c>
      <c r="B36" t="s">
        <v>7</v>
      </c>
      <c r="C36">
        <v>1</v>
      </c>
      <c r="D36" s="6">
        <v>45609</v>
      </c>
      <c r="E36" t="s">
        <v>376</v>
      </c>
      <c r="F36" s="1">
        <f>VLOOKUP(E36,'[1]TIỀN MUA PHỤ'!$A:$B,2,0)</f>
        <v>38000</v>
      </c>
      <c r="G36" s="2">
        <f t="shared" si="0"/>
        <v>38000</v>
      </c>
    </row>
    <row r="37" spans="1:7" x14ac:dyDescent="0.3">
      <c r="A37" t="s">
        <v>28</v>
      </c>
      <c r="B37" t="s">
        <v>27</v>
      </c>
      <c r="C37">
        <v>100</v>
      </c>
      <c r="D37" s="6">
        <v>45609</v>
      </c>
      <c r="E37" t="s">
        <v>376</v>
      </c>
      <c r="F37" s="1">
        <f>VLOOKUP(E37,'[1]TIỀN MUA PHỤ'!$A:$B,2,0)/5</f>
        <v>7600</v>
      </c>
      <c r="G37" s="2">
        <f t="shared" si="0"/>
        <v>760000</v>
      </c>
    </row>
    <row r="38" spans="1:7" x14ac:dyDescent="0.3">
      <c r="A38" t="s">
        <v>100</v>
      </c>
      <c r="B38" t="s">
        <v>7</v>
      </c>
      <c r="C38">
        <v>1</v>
      </c>
      <c r="D38" s="6">
        <v>45609</v>
      </c>
      <c r="E38" t="s">
        <v>377</v>
      </c>
      <c r="F38" s="1">
        <f>VLOOKUP(E38,'[1]TIỀN MUA PHỤ'!$A:$B,2,0)</f>
        <v>100000</v>
      </c>
      <c r="G38" s="2">
        <f t="shared" si="0"/>
        <v>100000</v>
      </c>
    </row>
    <row r="39" spans="1:7" x14ac:dyDescent="0.3">
      <c r="A39" t="s">
        <v>29</v>
      </c>
      <c r="B39" t="s">
        <v>22</v>
      </c>
      <c r="C39">
        <v>100</v>
      </c>
      <c r="D39" s="6">
        <v>45609</v>
      </c>
      <c r="E39" t="s">
        <v>378</v>
      </c>
      <c r="F39" s="1">
        <f>VLOOKUP(E39,'[1]TIỀN MUA PHỤ'!$A:$B,2,0)/20</f>
        <v>1900</v>
      </c>
      <c r="G39" s="2">
        <f t="shared" si="0"/>
        <v>190000</v>
      </c>
    </row>
    <row r="40" spans="1:7" x14ac:dyDescent="0.3">
      <c r="A40" t="s">
        <v>30</v>
      </c>
      <c r="B40" t="s">
        <v>7</v>
      </c>
      <c r="C40">
        <v>0.5</v>
      </c>
      <c r="D40" s="6">
        <v>45609</v>
      </c>
      <c r="E40" t="s">
        <v>379</v>
      </c>
      <c r="F40" s="1">
        <f>VLOOKUP(E40,'[1]TIỀN MUA PHỤ'!$A:$B,2,0)</f>
        <v>14000</v>
      </c>
      <c r="G40" s="2">
        <f t="shared" si="0"/>
        <v>7000</v>
      </c>
    </row>
    <row r="41" spans="1:7" x14ac:dyDescent="0.3">
      <c r="A41" t="s">
        <v>31</v>
      </c>
      <c r="B41" t="s">
        <v>7</v>
      </c>
      <c r="C41">
        <v>2</v>
      </c>
      <c r="D41" s="6">
        <v>45609</v>
      </c>
      <c r="E41" t="s">
        <v>380</v>
      </c>
      <c r="F41" s="1">
        <f>VLOOKUP(E41,'[1]TIỀN MUA PHỤ'!$A:$B,2,0)</f>
        <v>32000</v>
      </c>
      <c r="G41" s="2">
        <f t="shared" si="0"/>
        <v>64000</v>
      </c>
    </row>
    <row r="42" spans="1:7" x14ac:dyDescent="0.3">
      <c r="A42" t="s">
        <v>32</v>
      </c>
      <c r="B42" t="s">
        <v>7</v>
      </c>
      <c r="C42">
        <v>20</v>
      </c>
      <c r="D42" s="6">
        <v>45609</v>
      </c>
      <c r="E42" t="s">
        <v>381</v>
      </c>
      <c r="F42" s="1">
        <f>VLOOKUP(E42,'[1]TIỀN MUA PHỤ'!$A:$B,2,0)</f>
        <v>58000</v>
      </c>
      <c r="G42" s="2">
        <f t="shared" si="0"/>
        <v>1160000</v>
      </c>
    </row>
    <row r="43" spans="1:7" ht="13.2" customHeight="1" x14ac:dyDescent="0.3">
      <c r="A43" t="s">
        <v>109</v>
      </c>
      <c r="B43" t="s">
        <v>9</v>
      </c>
      <c r="C43">
        <v>10</v>
      </c>
      <c r="D43" s="6">
        <v>45609</v>
      </c>
      <c r="E43" t="s">
        <v>382</v>
      </c>
      <c r="F43" s="1">
        <v>23000</v>
      </c>
      <c r="G43" s="2">
        <f t="shared" si="0"/>
        <v>230000</v>
      </c>
    </row>
    <row r="44" spans="1:7" x14ac:dyDescent="0.3">
      <c r="A44" t="s">
        <v>57</v>
      </c>
      <c r="B44" t="s">
        <v>7</v>
      </c>
      <c r="C44">
        <v>27</v>
      </c>
      <c r="D44" s="6">
        <v>45609</v>
      </c>
      <c r="E44" t="s">
        <v>383</v>
      </c>
      <c r="F44" s="1">
        <f>VLOOKUP(E44,'[1]TIỀN MUA PHỤ'!$A:$B,2,0)</f>
        <v>48000</v>
      </c>
      <c r="G44" s="2">
        <f t="shared" si="0"/>
        <v>1296000</v>
      </c>
    </row>
    <row r="45" spans="1:7" x14ac:dyDescent="0.3">
      <c r="A45" t="s">
        <v>58</v>
      </c>
      <c r="B45" t="s">
        <v>7</v>
      </c>
      <c r="C45">
        <v>3.5</v>
      </c>
      <c r="D45" s="6">
        <v>45609</v>
      </c>
      <c r="E45" t="s">
        <v>384</v>
      </c>
      <c r="F45" s="1">
        <v>40000</v>
      </c>
      <c r="G45" s="2">
        <f t="shared" si="0"/>
        <v>140000</v>
      </c>
    </row>
    <row r="46" spans="1:7" x14ac:dyDescent="0.3">
      <c r="A46" t="s">
        <v>58</v>
      </c>
      <c r="B46" t="s">
        <v>59</v>
      </c>
      <c r="C46">
        <v>200</v>
      </c>
      <c r="D46" s="6">
        <v>45609</v>
      </c>
      <c r="E46" t="s">
        <v>384</v>
      </c>
      <c r="F46" s="1">
        <v>10000</v>
      </c>
      <c r="G46" s="2">
        <f t="shared" si="0"/>
        <v>2000000</v>
      </c>
    </row>
    <row r="47" spans="1:7" x14ac:dyDescent="0.3">
      <c r="A47" t="s">
        <v>60</v>
      </c>
      <c r="B47" t="s">
        <v>7</v>
      </c>
      <c r="C47">
        <v>12</v>
      </c>
      <c r="D47" s="6">
        <v>45609</v>
      </c>
      <c r="E47" t="s">
        <v>385</v>
      </c>
      <c r="F47" s="1">
        <f>VLOOKUP(E47,'[1]TIỀN MUA PHỤ'!$A:$B,2,0)</f>
        <v>58000</v>
      </c>
      <c r="G47" s="2">
        <f t="shared" si="0"/>
        <v>696000</v>
      </c>
    </row>
    <row r="48" spans="1:7" x14ac:dyDescent="0.3">
      <c r="A48" t="s">
        <v>61</v>
      </c>
      <c r="B48" t="s">
        <v>7</v>
      </c>
      <c r="C48">
        <v>16</v>
      </c>
      <c r="D48" s="6">
        <v>45609</v>
      </c>
      <c r="E48" t="s">
        <v>386</v>
      </c>
      <c r="F48" s="1">
        <v>20000</v>
      </c>
      <c r="G48" s="2">
        <f t="shared" si="0"/>
        <v>320000</v>
      </c>
    </row>
    <row r="49" spans="1:7" x14ac:dyDescent="0.3">
      <c r="A49" t="s">
        <v>61</v>
      </c>
      <c r="B49" t="s">
        <v>59</v>
      </c>
      <c r="C49">
        <v>150</v>
      </c>
      <c r="D49" s="6">
        <v>45609</v>
      </c>
      <c r="E49" t="s">
        <v>386</v>
      </c>
      <c r="F49" s="1">
        <v>5000</v>
      </c>
      <c r="G49" s="2">
        <f t="shared" si="0"/>
        <v>750000</v>
      </c>
    </row>
    <row r="50" spans="1:7" x14ac:dyDescent="0.3">
      <c r="A50" t="s">
        <v>62</v>
      </c>
      <c r="B50" t="s">
        <v>7</v>
      </c>
      <c r="C50">
        <v>2.5</v>
      </c>
      <c r="D50" s="6">
        <v>45609</v>
      </c>
      <c r="E50" t="s">
        <v>387</v>
      </c>
      <c r="F50" s="1">
        <f>VLOOKUP(E50,'[1]TIỀN MUA PHỤ'!$A:$B,2,0)</f>
        <v>27000</v>
      </c>
      <c r="G50" s="2">
        <f t="shared" si="0"/>
        <v>67500</v>
      </c>
    </row>
    <row r="51" spans="1:7" x14ac:dyDescent="0.3">
      <c r="A51" t="s">
        <v>62</v>
      </c>
      <c r="B51" t="s">
        <v>59</v>
      </c>
      <c r="C51">
        <v>40</v>
      </c>
      <c r="D51" s="6">
        <v>45609</v>
      </c>
      <c r="E51" t="s">
        <v>387</v>
      </c>
      <c r="F51" s="1">
        <f>VLOOKUP(E51,'[1]TIỀN MUA PHỤ'!$A:$B,2,0)/4</f>
        <v>6750</v>
      </c>
      <c r="G51" s="2">
        <f t="shared" si="0"/>
        <v>270000</v>
      </c>
    </row>
    <row r="52" spans="1:7" x14ac:dyDescent="0.3">
      <c r="A52" t="s">
        <v>97</v>
      </c>
      <c r="B52" t="s">
        <v>22</v>
      </c>
      <c r="C52">
        <v>142</v>
      </c>
      <c r="D52" s="6">
        <v>45609</v>
      </c>
      <c r="E52" t="s">
        <v>388</v>
      </c>
      <c r="F52" s="1">
        <v>22000</v>
      </c>
      <c r="G52" s="2">
        <f t="shared" si="0"/>
        <v>3124000</v>
      </c>
    </row>
    <row r="53" spans="1:7" x14ac:dyDescent="0.3">
      <c r="A53" t="s">
        <v>33</v>
      </c>
      <c r="B53" t="s">
        <v>7</v>
      </c>
      <c r="C53">
        <v>5</v>
      </c>
      <c r="D53" s="6">
        <v>45609</v>
      </c>
      <c r="E53" t="s">
        <v>389</v>
      </c>
      <c r="F53" s="1">
        <f>VLOOKUP(E53,'[1]TIỀN MUA PHỤ'!$A:$B,2,0)</f>
        <v>35000</v>
      </c>
      <c r="G53" s="2">
        <f t="shared" si="0"/>
        <v>175000</v>
      </c>
    </row>
    <row r="54" spans="1:7" x14ac:dyDescent="0.3">
      <c r="A54" t="s">
        <v>113</v>
      </c>
      <c r="B54" t="s">
        <v>7</v>
      </c>
      <c r="C54">
        <v>10</v>
      </c>
      <c r="D54" s="6">
        <v>45609</v>
      </c>
      <c r="E54" t="s">
        <v>390</v>
      </c>
      <c r="F54" s="1">
        <f>VLOOKUP(E54,'[1]TIỀN MUA PHỤ'!$A:$B,2,0)</f>
        <v>50000</v>
      </c>
      <c r="G54" s="2">
        <f t="shared" si="0"/>
        <v>500000</v>
      </c>
    </row>
    <row r="55" spans="1:7" x14ac:dyDescent="0.3">
      <c r="A55" t="s">
        <v>34</v>
      </c>
      <c r="B55" t="s">
        <v>7</v>
      </c>
      <c r="C55">
        <v>110</v>
      </c>
      <c r="D55" s="6">
        <v>45609</v>
      </c>
      <c r="E55" t="s">
        <v>391</v>
      </c>
      <c r="F55" s="1">
        <f>VLOOKUP(E55,'[1]TIỀN MUA PHỤ'!$A:$B,2,0)</f>
        <v>33000</v>
      </c>
      <c r="G55" s="2">
        <f t="shared" si="0"/>
        <v>3630000</v>
      </c>
    </row>
    <row r="56" spans="1:7" x14ac:dyDescent="0.3">
      <c r="A56" t="s">
        <v>35</v>
      </c>
      <c r="B56" t="s">
        <v>7</v>
      </c>
      <c r="C56">
        <v>5</v>
      </c>
      <c r="D56" s="6">
        <v>45609</v>
      </c>
      <c r="E56" t="s">
        <v>392</v>
      </c>
      <c r="F56" s="1">
        <f>VLOOKUP(E56,'[1]TIỀN MUA PHỤ'!$A:$B,2,0)</f>
        <v>28000</v>
      </c>
      <c r="G56" s="2">
        <f t="shared" si="0"/>
        <v>140000</v>
      </c>
    </row>
    <row r="57" spans="1:7" x14ac:dyDescent="0.3">
      <c r="A57" t="s">
        <v>36</v>
      </c>
      <c r="B57" t="s">
        <v>27</v>
      </c>
      <c r="C57">
        <v>50</v>
      </c>
      <c r="D57" s="6">
        <v>45609</v>
      </c>
      <c r="E57" t="s">
        <v>393</v>
      </c>
      <c r="F57" s="1">
        <f>VLOOKUP(E57,'[1]TIỀN MUA PHỤ'!$A:$B,2,0)</f>
        <v>6800</v>
      </c>
      <c r="G57" s="2">
        <f t="shared" si="0"/>
        <v>340000</v>
      </c>
    </row>
    <row r="58" spans="1:7" x14ac:dyDescent="0.3">
      <c r="A58" t="s">
        <v>40</v>
      </c>
      <c r="B58" t="s">
        <v>7</v>
      </c>
      <c r="C58">
        <v>30</v>
      </c>
      <c r="D58" s="6">
        <v>45609</v>
      </c>
      <c r="E58" t="s">
        <v>394</v>
      </c>
      <c r="F58" s="1">
        <v>28000</v>
      </c>
      <c r="G58" s="2">
        <f t="shared" si="0"/>
        <v>840000</v>
      </c>
    </row>
    <row r="59" spans="1:7" x14ac:dyDescent="0.3">
      <c r="A59" t="s">
        <v>39</v>
      </c>
      <c r="B59" t="s">
        <v>7</v>
      </c>
      <c r="C59">
        <v>20</v>
      </c>
      <c r="D59" s="6">
        <v>45609</v>
      </c>
      <c r="E59" t="s">
        <v>395</v>
      </c>
      <c r="F59" s="1">
        <f>VLOOKUP(E59,'[1]TIỀN MUA PHỤ'!$A:$B,2,0)</f>
        <v>35000</v>
      </c>
      <c r="G59" s="2">
        <f t="shared" si="0"/>
        <v>700000</v>
      </c>
    </row>
    <row r="60" spans="1:7" x14ac:dyDescent="0.3">
      <c r="A60" t="s">
        <v>84</v>
      </c>
      <c r="B60" t="s">
        <v>27</v>
      </c>
      <c r="C60">
        <v>5</v>
      </c>
      <c r="D60" s="6">
        <v>45609</v>
      </c>
      <c r="E60" t="s">
        <v>396</v>
      </c>
      <c r="F60" s="1">
        <f>VLOOKUP(E60,'[1]TIỀN MUA PHỤ'!$A:$B,2,0)</f>
        <v>6800</v>
      </c>
      <c r="G60" s="2">
        <f t="shared" si="0"/>
        <v>34000</v>
      </c>
    </row>
    <row r="61" spans="1:7" x14ac:dyDescent="0.3">
      <c r="A61" t="s">
        <v>66</v>
      </c>
      <c r="B61" t="s">
        <v>48</v>
      </c>
      <c r="C61">
        <v>10</v>
      </c>
      <c r="D61" s="6">
        <v>45609</v>
      </c>
      <c r="E61" t="s">
        <v>397</v>
      </c>
      <c r="F61" s="1">
        <f>VLOOKUP(E61,'[1]TIỀN MUA PHỤ'!$A:$B,2,0)</f>
        <v>35000</v>
      </c>
      <c r="G61" s="2">
        <f t="shared" si="0"/>
        <v>350000</v>
      </c>
    </row>
    <row r="62" spans="1:7" x14ac:dyDescent="0.3">
      <c r="A62" t="s">
        <v>50</v>
      </c>
      <c r="B62" t="s">
        <v>7</v>
      </c>
      <c r="C62">
        <v>100</v>
      </c>
      <c r="D62" s="6">
        <v>45609</v>
      </c>
      <c r="E62" t="s">
        <v>398</v>
      </c>
      <c r="F62" s="1">
        <f>VLOOKUP(E62,'[1]TIỀN MUA PHỤ'!$A:$B,2,0)</f>
        <v>18000</v>
      </c>
      <c r="G62" s="2">
        <f t="shared" si="0"/>
        <v>1800000</v>
      </c>
    </row>
    <row r="63" spans="1:7" x14ac:dyDescent="0.3">
      <c r="A63" t="s">
        <v>53</v>
      </c>
      <c r="B63" t="s">
        <v>7</v>
      </c>
      <c r="C63">
        <v>40</v>
      </c>
      <c r="D63" s="6">
        <v>45609</v>
      </c>
      <c r="E63" t="s">
        <v>373</v>
      </c>
      <c r="F63" s="1">
        <v>10000</v>
      </c>
      <c r="G63" s="2">
        <f t="shared" si="0"/>
        <v>400000</v>
      </c>
    </row>
    <row r="64" spans="1:7" x14ac:dyDescent="0.3">
      <c r="A64" t="s">
        <v>89</v>
      </c>
      <c r="B64" t="s">
        <v>7</v>
      </c>
      <c r="C64">
        <v>40</v>
      </c>
      <c r="D64" s="6">
        <v>45609</v>
      </c>
      <c r="E64" t="s">
        <v>356</v>
      </c>
      <c r="F64" s="1">
        <f>VLOOKUP(E64,'[1]TIỀN MUA PHỤ'!$A:$B,2,0)</f>
        <v>17000</v>
      </c>
      <c r="G64" s="2">
        <f t="shared" si="0"/>
        <v>680000</v>
      </c>
    </row>
    <row r="65" spans="1:7" x14ac:dyDescent="0.3">
      <c r="A65" t="s">
        <v>58</v>
      </c>
      <c r="B65" t="s">
        <v>7</v>
      </c>
      <c r="C65">
        <v>25</v>
      </c>
      <c r="D65" s="6">
        <v>45609</v>
      </c>
      <c r="E65" t="s">
        <v>384</v>
      </c>
      <c r="F65" s="1">
        <f>VLOOKUP(E65,'[1]TIỀN MUA PHỤ'!$A:$B,2,0)</f>
        <v>38000</v>
      </c>
      <c r="G65" s="2">
        <f t="shared" si="0"/>
        <v>950000</v>
      </c>
    </row>
    <row r="66" spans="1:7" x14ac:dyDescent="0.3">
      <c r="A66" t="s">
        <v>70</v>
      </c>
      <c r="B66" t="s">
        <v>7</v>
      </c>
      <c r="C66">
        <v>25</v>
      </c>
      <c r="D66" s="6">
        <v>45609</v>
      </c>
      <c r="E66" t="s">
        <v>357</v>
      </c>
      <c r="F66" s="1">
        <v>38000</v>
      </c>
      <c r="G66" s="2">
        <f t="shared" si="0"/>
        <v>950000</v>
      </c>
    </row>
    <row r="67" spans="1:7" x14ac:dyDescent="0.3">
      <c r="A67" t="s">
        <v>41</v>
      </c>
      <c r="B67" t="s">
        <v>7</v>
      </c>
      <c r="C67">
        <v>40</v>
      </c>
      <c r="D67" s="6">
        <v>45609</v>
      </c>
      <c r="E67" t="s">
        <v>350</v>
      </c>
      <c r="F67" s="1">
        <f>VLOOKUP(E67,'[1]TIỀN MUA PHỤ'!$A:$B,2,0)</f>
        <v>14000</v>
      </c>
      <c r="G67" s="2">
        <f t="shared" ref="G67:G76" si="1">F67*C67</f>
        <v>560000</v>
      </c>
    </row>
    <row r="68" spans="1:7" x14ac:dyDescent="0.3">
      <c r="A68" t="s">
        <v>97</v>
      </c>
      <c r="B68" t="s">
        <v>7</v>
      </c>
      <c r="C68">
        <v>15</v>
      </c>
      <c r="D68" s="6">
        <v>45609</v>
      </c>
      <c r="E68" t="s">
        <v>388</v>
      </c>
      <c r="F68" s="1">
        <f>VLOOKUP(E68,'[1]TIỀN MUA PHỤ'!$A:$B,2,0)*3</f>
        <v>63000</v>
      </c>
      <c r="G68" s="2">
        <f t="shared" si="1"/>
        <v>945000</v>
      </c>
    </row>
    <row r="69" spans="1:7" x14ac:dyDescent="0.3">
      <c r="A69" t="s">
        <v>11</v>
      </c>
      <c r="B69" t="s">
        <v>7</v>
      </c>
      <c r="C69">
        <v>10</v>
      </c>
      <c r="D69" s="6">
        <v>45609</v>
      </c>
      <c r="E69" t="s">
        <v>367</v>
      </c>
      <c r="F69" s="1">
        <f>VLOOKUP(E69,'[1]TIỀN MUA PHỤ'!$A:$B,2,0)</f>
        <v>17000</v>
      </c>
      <c r="G69" s="2">
        <f t="shared" si="1"/>
        <v>170000</v>
      </c>
    </row>
    <row r="70" spans="1:7" x14ac:dyDescent="0.3">
      <c r="A70" t="s">
        <v>43</v>
      </c>
      <c r="B70" t="s">
        <v>7</v>
      </c>
      <c r="C70">
        <v>15</v>
      </c>
      <c r="D70" s="6">
        <v>45609</v>
      </c>
      <c r="E70" t="s">
        <v>351</v>
      </c>
      <c r="F70" s="1">
        <f>VLOOKUP(E70,'[1]TIỀN MUA PHỤ'!$A:$B,2,0)</f>
        <v>14000</v>
      </c>
      <c r="G70" s="2">
        <f t="shared" si="1"/>
        <v>210000</v>
      </c>
    </row>
    <row r="71" spans="1:7" x14ac:dyDescent="0.3">
      <c r="A71" t="s">
        <v>61</v>
      </c>
      <c r="B71" t="s">
        <v>7</v>
      </c>
      <c r="C71">
        <v>8</v>
      </c>
      <c r="D71" s="6">
        <v>45609</v>
      </c>
      <c r="E71" t="s">
        <v>386</v>
      </c>
      <c r="F71" s="1">
        <f>VLOOKUP(E71,'[1]TIỀN MUA PHỤ'!$A:$B,2,0)</f>
        <v>18000</v>
      </c>
      <c r="G71" s="2">
        <f t="shared" si="1"/>
        <v>144000</v>
      </c>
    </row>
    <row r="72" spans="1:7" x14ac:dyDescent="0.3">
      <c r="A72" t="s">
        <v>87</v>
      </c>
      <c r="B72" t="s">
        <v>7</v>
      </c>
      <c r="C72">
        <v>10</v>
      </c>
      <c r="D72" s="6">
        <v>45609</v>
      </c>
      <c r="E72" t="s">
        <v>399</v>
      </c>
      <c r="F72" s="1">
        <v>33000</v>
      </c>
      <c r="G72" s="2">
        <f t="shared" si="1"/>
        <v>330000</v>
      </c>
    </row>
    <row r="73" spans="1:7" x14ac:dyDescent="0.3">
      <c r="A73" t="s">
        <v>29</v>
      </c>
      <c r="B73" t="s">
        <v>7</v>
      </c>
      <c r="C73">
        <v>8</v>
      </c>
      <c r="D73" s="6">
        <v>45609</v>
      </c>
      <c r="E73" t="s">
        <v>378</v>
      </c>
      <c r="F73" s="1">
        <f>VLOOKUP(E73,'[1]TIỀN MUA PHỤ'!$A:$B,2,0)</f>
        <v>38000</v>
      </c>
      <c r="G73" s="2">
        <f t="shared" si="1"/>
        <v>304000</v>
      </c>
    </row>
    <row r="74" spans="1:7" x14ac:dyDescent="0.3">
      <c r="A74" t="s">
        <v>8</v>
      </c>
      <c r="B74" t="s">
        <v>7</v>
      </c>
      <c r="C74">
        <v>10</v>
      </c>
      <c r="D74" s="6">
        <v>45609</v>
      </c>
      <c r="E74" t="s">
        <v>361</v>
      </c>
      <c r="F74" s="1">
        <f>VLOOKUP(E74,'[1]TIỀN MUA PHỤ'!$A:$B,2,0)</f>
        <v>55000</v>
      </c>
      <c r="G74" s="2">
        <f t="shared" si="1"/>
        <v>550000</v>
      </c>
    </row>
    <row r="75" spans="1:7" x14ac:dyDescent="0.3">
      <c r="A75" t="s">
        <v>37</v>
      </c>
      <c r="B75" t="s">
        <v>7</v>
      </c>
      <c r="C75">
        <v>8</v>
      </c>
      <c r="D75" s="6">
        <v>45609</v>
      </c>
      <c r="E75" t="s">
        <v>400</v>
      </c>
      <c r="F75" s="1">
        <f>VLOOKUP(E75,'[1]TIỀN MUA PHỤ'!$A:$B,2,0)</f>
        <v>28000</v>
      </c>
      <c r="G75" s="2">
        <f t="shared" si="1"/>
        <v>224000</v>
      </c>
    </row>
    <row r="76" spans="1:7" x14ac:dyDescent="0.3">
      <c r="A76" t="s">
        <v>28</v>
      </c>
      <c r="B76" t="s">
        <v>7</v>
      </c>
      <c r="C76">
        <v>5.2</v>
      </c>
      <c r="D76" s="6">
        <v>45609</v>
      </c>
      <c r="E76" t="s">
        <v>376</v>
      </c>
      <c r="F76" s="1">
        <f>VLOOKUP(E76,'[1]TIỀN MUA PHỤ'!$A:$B,2,0)</f>
        <v>38000</v>
      </c>
      <c r="G76" s="2">
        <f t="shared" si="1"/>
        <v>197600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2823-E2A0-456B-B439-8285E9196A50}">
  <dimension ref="A1:I72"/>
  <sheetViews>
    <sheetView topLeftCell="A55" workbookViewId="0">
      <selection activeCell="I1" sqref="I1:I1048576"/>
    </sheetView>
  </sheetViews>
  <sheetFormatPr defaultRowHeight="14.4" x14ac:dyDescent="0.3"/>
  <cols>
    <col min="1" max="1" width="22.109375" customWidth="1"/>
    <col min="4" max="4" width="10.5546875" bestFit="1" customWidth="1"/>
    <col min="5" max="5" width="32.88671875" customWidth="1"/>
    <col min="6" max="6" width="10.33203125" style="1" bestFit="1" customWidth="1"/>
    <col min="7" max="7" width="13.109375" style="1" customWidth="1"/>
    <col min="8" max="8" width="8.88671875" style="1"/>
    <col min="9" max="9" width="15.6640625" style="1" customWidth="1"/>
  </cols>
  <sheetData>
    <row r="1" spans="1:9" x14ac:dyDescent="0.3">
      <c r="A1" t="s">
        <v>124</v>
      </c>
      <c r="B1" t="s">
        <v>5</v>
      </c>
      <c r="C1" t="s">
        <v>125</v>
      </c>
      <c r="D1" t="s">
        <v>130</v>
      </c>
      <c r="E1" t="s">
        <v>120</v>
      </c>
      <c r="F1" s="1" t="s">
        <v>131</v>
      </c>
      <c r="G1" s="1" t="s">
        <v>108</v>
      </c>
    </row>
    <row r="2" spans="1:9" x14ac:dyDescent="0.3">
      <c r="A2" t="s">
        <v>78</v>
      </c>
      <c r="B2" t="s">
        <v>7</v>
      </c>
      <c r="C2">
        <v>40</v>
      </c>
      <c r="D2" s="6">
        <v>45608</v>
      </c>
      <c r="E2" t="s">
        <v>132</v>
      </c>
      <c r="F2" s="1">
        <f>VLOOKUP(E2,'[1]TIỀN MUA PHỤ'!$A:$B,2,0)</f>
        <v>28000</v>
      </c>
      <c r="G2" s="1">
        <f>F2*C2</f>
        <v>1120000</v>
      </c>
      <c r="H2" s="1">
        <v>28000</v>
      </c>
      <c r="I2" s="1">
        <v>1120000</v>
      </c>
    </row>
    <row r="3" spans="1:9" x14ac:dyDescent="0.3">
      <c r="A3" t="s">
        <v>79</v>
      </c>
      <c r="B3" t="s">
        <v>7</v>
      </c>
      <c r="C3">
        <v>20</v>
      </c>
      <c r="D3" s="6">
        <v>45608</v>
      </c>
      <c r="E3" t="s">
        <v>133</v>
      </c>
      <c r="F3" s="1">
        <f>VLOOKUP(E3,'[1]TIỀN MUA PHỤ'!$A:$B,2,0)</f>
        <v>14000</v>
      </c>
      <c r="G3" s="1">
        <f t="shared" ref="G3:G66" si="0">F3*C3</f>
        <v>280000</v>
      </c>
      <c r="H3" s="1">
        <v>14000</v>
      </c>
      <c r="I3" s="1">
        <v>280000</v>
      </c>
    </row>
    <row r="4" spans="1:9" x14ac:dyDescent="0.3">
      <c r="A4" t="s">
        <v>19</v>
      </c>
      <c r="B4" t="s">
        <v>7</v>
      </c>
      <c r="C4">
        <v>60</v>
      </c>
      <c r="D4" s="6">
        <v>45608</v>
      </c>
      <c r="E4" t="s">
        <v>134</v>
      </c>
      <c r="F4" s="1">
        <f>VLOOKUP(E4,'[1]TIỀN MUA PHỤ'!$A:$B,2,0)</f>
        <v>11000</v>
      </c>
      <c r="G4" s="1">
        <f t="shared" si="0"/>
        <v>660000</v>
      </c>
      <c r="H4" s="1">
        <v>11000</v>
      </c>
      <c r="I4" s="1">
        <v>660000</v>
      </c>
    </row>
    <row r="5" spans="1:9" x14ac:dyDescent="0.3">
      <c r="A5" t="s">
        <v>126</v>
      </c>
      <c r="B5" t="s">
        <v>7</v>
      </c>
      <c r="C5">
        <v>5</v>
      </c>
      <c r="D5" s="6">
        <v>45608</v>
      </c>
      <c r="E5" t="s">
        <v>135</v>
      </c>
      <c r="F5" s="1">
        <f>VLOOKUP(E5,'[1]TIỀN MUA PHỤ'!$A:$B,2,0)</f>
        <v>48000</v>
      </c>
      <c r="G5" s="1">
        <f t="shared" si="0"/>
        <v>240000</v>
      </c>
      <c r="H5" s="1">
        <v>48000</v>
      </c>
      <c r="I5" s="1">
        <v>240000</v>
      </c>
    </row>
    <row r="6" spans="1:9" x14ac:dyDescent="0.3">
      <c r="A6" t="s">
        <v>41</v>
      </c>
      <c r="B6" t="s">
        <v>42</v>
      </c>
      <c r="C6">
        <v>240</v>
      </c>
      <c r="D6" s="6">
        <v>45608</v>
      </c>
      <c r="E6" t="s">
        <v>136</v>
      </c>
      <c r="F6" s="1">
        <f>17000*0.3</f>
        <v>5100</v>
      </c>
      <c r="G6" s="1">
        <f t="shared" si="0"/>
        <v>1224000</v>
      </c>
      <c r="H6" s="1">
        <v>5100</v>
      </c>
      <c r="I6" s="1">
        <v>1224000</v>
      </c>
    </row>
    <row r="7" spans="1:9" x14ac:dyDescent="0.3">
      <c r="A7" t="s">
        <v>43</v>
      </c>
      <c r="B7" t="s">
        <v>44</v>
      </c>
      <c r="C7">
        <v>150</v>
      </c>
      <c r="D7" s="6">
        <v>45608</v>
      </c>
      <c r="E7" t="s">
        <v>137</v>
      </c>
      <c r="F7" s="1">
        <f>13000*0.3</f>
        <v>3900</v>
      </c>
      <c r="G7" s="1">
        <f t="shared" si="0"/>
        <v>585000</v>
      </c>
      <c r="H7" s="1">
        <v>3900</v>
      </c>
      <c r="I7" s="1">
        <v>585000</v>
      </c>
    </row>
    <row r="8" spans="1:9" x14ac:dyDescent="0.3">
      <c r="A8" t="s">
        <v>67</v>
      </c>
      <c r="B8" t="s">
        <v>7</v>
      </c>
      <c r="C8">
        <v>100</v>
      </c>
      <c r="D8" s="6">
        <v>45608</v>
      </c>
      <c r="E8" t="s">
        <v>138</v>
      </c>
      <c r="F8" s="1">
        <f>VLOOKUP(E8,'[1]TIỀN MUA PHỤ'!$A:$B,2,0)</f>
        <v>26000</v>
      </c>
      <c r="G8" s="1">
        <f t="shared" si="0"/>
        <v>2600000</v>
      </c>
      <c r="H8" s="1">
        <v>26000</v>
      </c>
      <c r="I8" s="1">
        <v>2600000</v>
      </c>
    </row>
    <row r="9" spans="1:9" x14ac:dyDescent="0.3">
      <c r="A9" t="s">
        <v>17</v>
      </c>
      <c r="B9" t="s">
        <v>7</v>
      </c>
      <c r="C9">
        <v>50</v>
      </c>
      <c r="D9" s="6">
        <v>45608</v>
      </c>
      <c r="E9" t="s">
        <v>139</v>
      </c>
      <c r="F9" s="1">
        <f>VLOOKUP(E9,'[1]TIỀN MUA PHỤ'!$A:$B,2,0)</f>
        <v>40000</v>
      </c>
      <c r="G9" s="1">
        <f t="shared" si="0"/>
        <v>2000000</v>
      </c>
      <c r="H9" s="1">
        <v>40000</v>
      </c>
      <c r="I9" s="1">
        <v>2000000</v>
      </c>
    </row>
    <row r="10" spans="1:9" x14ac:dyDescent="0.3">
      <c r="A10" t="s">
        <v>18</v>
      </c>
      <c r="B10" t="s">
        <v>7</v>
      </c>
      <c r="D10" s="6">
        <v>45608</v>
      </c>
      <c r="E10" t="s">
        <v>140</v>
      </c>
      <c r="G10" s="1">
        <f t="shared" si="0"/>
        <v>0</v>
      </c>
      <c r="I10" s="1">
        <v>0</v>
      </c>
    </row>
    <row r="11" spans="1:9" x14ac:dyDescent="0.3">
      <c r="A11" t="s">
        <v>18</v>
      </c>
      <c r="B11" t="s">
        <v>9</v>
      </c>
      <c r="C11">
        <v>64</v>
      </c>
      <c r="D11" s="6">
        <v>45608</v>
      </c>
      <c r="E11" t="s">
        <v>140</v>
      </c>
      <c r="F11" s="1">
        <f>58000/5</f>
        <v>11600</v>
      </c>
      <c r="G11" s="1">
        <f t="shared" si="0"/>
        <v>742400</v>
      </c>
      <c r="H11" s="1">
        <v>11600</v>
      </c>
      <c r="I11" s="1">
        <v>742400</v>
      </c>
    </row>
    <row r="12" spans="1:9" x14ac:dyDescent="0.3">
      <c r="A12" t="s">
        <v>45</v>
      </c>
      <c r="B12" t="s">
        <v>7</v>
      </c>
      <c r="C12">
        <v>80</v>
      </c>
      <c r="D12" s="6">
        <v>45608</v>
      </c>
      <c r="E12" t="s">
        <v>141</v>
      </c>
      <c r="F12" s="1">
        <f>VLOOKUP(E12,'[1]TIỀN MUA PHỤ'!$A:$B,2,0)</f>
        <v>23000</v>
      </c>
      <c r="G12" s="1">
        <f t="shared" si="0"/>
        <v>1840000</v>
      </c>
      <c r="H12" s="1">
        <v>23000</v>
      </c>
      <c r="I12" s="1">
        <v>1840000</v>
      </c>
    </row>
    <row r="13" spans="1:9" x14ac:dyDescent="0.3">
      <c r="A13" t="s">
        <v>89</v>
      </c>
      <c r="B13" t="s">
        <v>105</v>
      </c>
      <c r="C13">
        <v>100</v>
      </c>
      <c r="D13" s="6">
        <v>45608</v>
      </c>
      <c r="E13" t="s">
        <v>142</v>
      </c>
      <c r="F13" s="1">
        <v>11500</v>
      </c>
      <c r="G13" s="1">
        <f t="shared" si="0"/>
        <v>1150000</v>
      </c>
      <c r="H13" s="1">
        <v>11500</v>
      </c>
      <c r="I13" s="1">
        <v>1150000</v>
      </c>
    </row>
    <row r="14" spans="1:9" x14ac:dyDescent="0.3">
      <c r="A14" t="s">
        <v>47</v>
      </c>
      <c r="B14" t="s">
        <v>48</v>
      </c>
      <c r="C14">
        <v>45</v>
      </c>
      <c r="D14" s="6">
        <v>45608</v>
      </c>
      <c r="E14" t="s">
        <v>143</v>
      </c>
      <c r="F14" s="1">
        <f>56500*0.3</f>
        <v>16950</v>
      </c>
      <c r="G14" s="1">
        <f t="shared" si="0"/>
        <v>762750</v>
      </c>
      <c r="H14" s="1">
        <v>16950</v>
      </c>
      <c r="I14" s="1">
        <v>762750</v>
      </c>
    </row>
    <row r="15" spans="1:9" x14ac:dyDescent="0.3">
      <c r="A15" t="s">
        <v>49</v>
      </c>
      <c r="B15" t="s">
        <v>106</v>
      </c>
      <c r="C15">
        <v>60</v>
      </c>
      <c r="D15" s="6">
        <v>45608</v>
      </c>
      <c r="E15" t="s">
        <v>144</v>
      </c>
      <c r="F15" s="1">
        <f>46500*0.3</f>
        <v>13950</v>
      </c>
      <c r="G15" s="1">
        <f t="shared" si="0"/>
        <v>837000</v>
      </c>
      <c r="H15" s="1">
        <v>13950</v>
      </c>
      <c r="I15" s="1">
        <v>837000</v>
      </c>
    </row>
    <row r="16" spans="1:9" x14ac:dyDescent="0.3">
      <c r="A16" t="s">
        <v>6</v>
      </c>
      <c r="B16" t="s">
        <v>7</v>
      </c>
      <c r="C16">
        <v>90</v>
      </c>
      <c r="D16" s="6">
        <v>45608</v>
      </c>
      <c r="E16" t="s">
        <v>145</v>
      </c>
      <c r="F16" s="1">
        <f>VLOOKUP(E16,'[1]TIỀN MUA PHỤ'!$A:$B,2,0)</f>
        <v>16000</v>
      </c>
      <c r="G16" s="1">
        <f t="shared" si="0"/>
        <v>1440000</v>
      </c>
      <c r="H16" s="1">
        <v>16000</v>
      </c>
      <c r="I16" s="1">
        <v>1440000</v>
      </c>
    </row>
    <row r="17" spans="1:9" x14ac:dyDescent="0.3">
      <c r="A17" t="s">
        <v>8</v>
      </c>
      <c r="B17" t="s">
        <v>9</v>
      </c>
      <c r="C17">
        <v>64</v>
      </c>
      <c r="D17" s="6">
        <v>45608</v>
      </c>
      <c r="E17" t="s">
        <v>146</v>
      </c>
      <c r="F17" s="1">
        <v>11000</v>
      </c>
      <c r="G17" s="1">
        <f t="shared" si="0"/>
        <v>704000</v>
      </c>
      <c r="H17" s="1">
        <v>11000</v>
      </c>
      <c r="I17" s="1">
        <v>704000</v>
      </c>
    </row>
    <row r="18" spans="1:9" x14ac:dyDescent="0.3">
      <c r="A18" t="s">
        <v>20</v>
      </c>
      <c r="B18" t="s">
        <v>7</v>
      </c>
      <c r="C18">
        <v>50</v>
      </c>
      <c r="D18" s="6">
        <v>45608</v>
      </c>
      <c r="E18" t="s">
        <v>147</v>
      </c>
      <c r="F18" s="1">
        <v>34000</v>
      </c>
      <c r="G18" s="1">
        <f t="shared" si="0"/>
        <v>1700000</v>
      </c>
      <c r="H18" s="1">
        <v>34000</v>
      </c>
      <c r="I18" s="1">
        <v>1700000</v>
      </c>
    </row>
    <row r="19" spans="1:9" x14ac:dyDescent="0.3">
      <c r="A19" t="s">
        <v>23</v>
      </c>
      <c r="B19" t="s">
        <v>22</v>
      </c>
      <c r="C19">
        <v>50</v>
      </c>
      <c r="D19" s="6">
        <v>45608</v>
      </c>
      <c r="E19" t="s">
        <v>148</v>
      </c>
      <c r="F19" s="1">
        <f>33500*0.3</f>
        <v>10050</v>
      </c>
      <c r="G19" s="1">
        <f t="shared" si="0"/>
        <v>502500</v>
      </c>
      <c r="H19" s="1">
        <v>10050</v>
      </c>
      <c r="I19" s="1">
        <v>502500</v>
      </c>
    </row>
    <row r="20" spans="1:9" x14ac:dyDescent="0.3">
      <c r="A20" t="s">
        <v>23</v>
      </c>
      <c r="B20" t="s">
        <v>24</v>
      </c>
      <c r="C20">
        <v>10</v>
      </c>
      <c r="D20" s="6">
        <v>45608</v>
      </c>
      <c r="E20" t="s">
        <v>148</v>
      </c>
      <c r="F20" s="1">
        <f>35000*0.15</f>
        <v>5250</v>
      </c>
      <c r="G20" s="1">
        <f t="shared" si="0"/>
        <v>52500</v>
      </c>
      <c r="H20" s="1">
        <v>5250</v>
      </c>
      <c r="I20" s="1">
        <v>52500</v>
      </c>
    </row>
    <row r="21" spans="1:9" x14ac:dyDescent="0.3">
      <c r="A21" t="s">
        <v>26</v>
      </c>
      <c r="B21" t="s">
        <v>27</v>
      </c>
      <c r="C21">
        <v>150</v>
      </c>
      <c r="D21" s="6">
        <v>45608</v>
      </c>
      <c r="E21" t="s">
        <v>149</v>
      </c>
      <c r="F21" s="1">
        <v>6000</v>
      </c>
      <c r="G21" s="1">
        <f t="shared" si="0"/>
        <v>900000</v>
      </c>
      <c r="H21" s="1">
        <v>6000</v>
      </c>
      <c r="I21" s="1">
        <v>900000</v>
      </c>
    </row>
    <row r="22" spans="1:9" x14ac:dyDescent="0.3">
      <c r="A22" t="s">
        <v>51</v>
      </c>
      <c r="B22" t="s">
        <v>9</v>
      </c>
      <c r="C22">
        <v>20</v>
      </c>
      <c r="D22" s="6">
        <v>45608</v>
      </c>
      <c r="E22" t="s">
        <v>150</v>
      </c>
      <c r="F22" s="1">
        <f>26000/4</f>
        <v>6500</v>
      </c>
      <c r="G22" s="1">
        <f t="shared" si="0"/>
        <v>130000</v>
      </c>
      <c r="H22" s="1">
        <v>6500</v>
      </c>
      <c r="I22" s="1">
        <v>130000</v>
      </c>
    </row>
    <row r="23" spans="1:9" x14ac:dyDescent="0.3">
      <c r="A23" t="s">
        <v>103</v>
      </c>
      <c r="B23" t="s">
        <v>48</v>
      </c>
      <c r="C23">
        <v>33</v>
      </c>
      <c r="D23" s="6">
        <v>45608</v>
      </c>
      <c r="E23" t="s">
        <v>151</v>
      </c>
      <c r="F23" s="1">
        <f>VLOOKUP(E23,'[1]TIỀN MUA PHỤ'!$A:$B,2,0)</f>
        <v>14000</v>
      </c>
      <c r="G23" s="1">
        <f t="shared" si="0"/>
        <v>462000</v>
      </c>
      <c r="H23" s="1">
        <v>14000</v>
      </c>
      <c r="I23" s="1">
        <v>462000</v>
      </c>
    </row>
    <row r="24" spans="1:9" x14ac:dyDescent="0.3">
      <c r="A24" t="s">
        <v>12</v>
      </c>
      <c r="B24" t="s">
        <v>7</v>
      </c>
      <c r="C24">
        <v>100</v>
      </c>
      <c r="D24" s="6">
        <v>45608</v>
      </c>
      <c r="E24" t="s">
        <v>152</v>
      </c>
      <c r="F24" s="1">
        <f>VLOOKUP(E24,'[1]TIỀN MUA PHỤ'!$A:$B,2,0)</f>
        <v>22000</v>
      </c>
      <c r="G24" s="1">
        <f t="shared" si="0"/>
        <v>2200000</v>
      </c>
      <c r="H24" s="1">
        <v>22000</v>
      </c>
      <c r="I24" s="1">
        <v>2200000</v>
      </c>
    </row>
    <row r="25" spans="1:9" x14ac:dyDescent="0.3">
      <c r="A25" t="s">
        <v>13</v>
      </c>
      <c r="B25" t="s">
        <v>7</v>
      </c>
      <c r="C25">
        <v>100</v>
      </c>
      <c r="D25" s="6">
        <v>45608</v>
      </c>
      <c r="E25" t="s">
        <v>153</v>
      </c>
      <c r="F25" s="1">
        <v>23000</v>
      </c>
      <c r="G25" s="1">
        <f t="shared" si="0"/>
        <v>2300000</v>
      </c>
      <c r="H25" s="1">
        <v>23000</v>
      </c>
      <c r="I25" s="1">
        <v>2300000</v>
      </c>
    </row>
    <row r="26" spans="1:9" x14ac:dyDescent="0.3">
      <c r="A26" t="s">
        <v>127</v>
      </c>
      <c r="B26" t="s">
        <v>7</v>
      </c>
      <c r="D26" s="6">
        <v>45608</v>
      </c>
      <c r="E26" t="s">
        <v>154</v>
      </c>
      <c r="G26" s="1">
        <f t="shared" si="0"/>
        <v>0</v>
      </c>
      <c r="I26" s="1">
        <v>0</v>
      </c>
    </row>
    <row r="27" spans="1:9" x14ac:dyDescent="0.3">
      <c r="A27" t="s">
        <v>16</v>
      </c>
      <c r="B27" t="s">
        <v>7</v>
      </c>
      <c r="C27">
        <v>10</v>
      </c>
      <c r="D27" s="6">
        <v>45608</v>
      </c>
      <c r="E27" t="s">
        <v>155</v>
      </c>
      <c r="F27" s="1">
        <f>VLOOKUP(E27,'[1]TIỀN MUA PHỤ'!$A:$B,2,0)</f>
        <v>18000</v>
      </c>
      <c r="G27" s="1">
        <f t="shared" si="0"/>
        <v>180000</v>
      </c>
      <c r="H27" s="1">
        <v>18000</v>
      </c>
      <c r="I27" s="1">
        <v>180000</v>
      </c>
    </row>
    <row r="28" spans="1:9" x14ac:dyDescent="0.3">
      <c r="A28" t="s">
        <v>87</v>
      </c>
      <c r="B28" t="s">
        <v>107</v>
      </c>
      <c r="C28">
        <v>20</v>
      </c>
      <c r="D28" s="6">
        <v>45608</v>
      </c>
      <c r="E28" t="s">
        <v>156</v>
      </c>
      <c r="F28" s="1">
        <f>VLOOKUP(E28,'[1]TIỀN MUA PHỤ'!$A:$B,2,0)</f>
        <v>7000</v>
      </c>
      <c r="G28" s="1">
        <f t="shared" si="0"/>
        <v>140000</v>
      </c>
      <c r="H28" s="1">
        <v>7000</v>
      </c>
      <c r="I28" s="1">
        <v>140000</v>
      </c>
    </row>
    <row r="29" spans="1:9" x14ac:dyDescent="0.3">
      <c r="A29" t="s">
        <v>95</v>
      </c>
      <c r="B29" t="s">
        <v>7</v>
      </c>
      <c r="D29" s="6">
        <v>45608</v>
      </c>
      <c r="E29" t="s">
        <v>157</v>
      </c>
      <c r="F29" s="1">
        <f>VLOOKUP(E29,'[1]TIỀN MUA PHỤ'!$A:$B,2,0)</f>
        <v>80000</v>
      </c>
      <c r="G29" s="1">
        <f t="shared" si="0"/>
        <v>0</v>
      </c>
      <c r="H29" s="1">
        <v>80000</v>
      </c>
      <c r="I29" s="1">
        <v>0</v>
      </c>
    </row>
    <row r="30" spans="1:9" x14ac:dyDescent="0.3">
      <c r="A30" t="s">
        <v>53</v>
      </c>
      <c r="B30" t="s">
        <v>9</v>
      </c>
      <c r="C30">
        <v>140</v>
      </c>
      <c r="D30" s="6">
        <v>45608</v>
      </c>
      <c r="E30" t="s">
        <v>158</v>
      </c>
      <c r="F30" s="1">
        <v>6000</v>
      </c>
      <c r="G30" s="1">
        <f t="shared" si="0"/>
        <v>840000</v>
      </c>
      <c r="H30" s="1">
        <v>6000</v>
      </c>
      <c r="I30" s="1">
        <v>840000</v>
      </c>
    </row>
    <row r="31" spans="1:9" x14ac:dyDescent="0.3">
      <c r="A31" t="s">
        <v>55</v>
      </c>
      <c r="B31" t="s">
        <v>22</v>
      </c>
      <c r="C31">
        <v>20</v>
      </c>
      <c r="D31" s="6">
        <v>45608</v>
      </c>
      <c r="E31" t="s">
        <v>159</v>
      </c>
      <c r="F31" s="1">
        <f>10000*0.6</f>
        <v>6000</v>
      </c>
      <c r="G31" s="1">
        <f t="shared" si="0"/>
        <v>120000</v>
      </c>
      <c r="H31" s="1">
        <v>6000</v>
      </c>
      <c r="I31" s="1">
        <v>120000</v>
      </c>
    </row>
    <row r="32" spans="1:9" x14ac:dyDescent="0.3">
      <c r="A32" t="s">
        <v>56</v>
      </c>
      <c r="B32" t="s">
        <v>7</v>
      </c>
      <c r="C32">
        <v>60</v>
      </c>
      <c r="D32" s="6">
        <v>45608</v>
      </c>
      <c r="E32" t="s">
        <v>160</v>
      </c>
      <c r="F32" s="1">
        <f>VLOOKUP(E32,'[1]TIỀN MUA PHỤ'!$A:$B,2,0)</f>
        <v>4500</v>
      </c>
      <c r="G32" s="1">
        <f t="shared" si="0"/>
        <v>270000</v>
      </c>
      <c r="H32" s="1">
        <v>4500</v>
      </c>
      <c r="I32" s="1">
        <v>270000</v>
      </c>
    </row>
    <row r="33" spans="1:9" x14ac:dyDescent="0.3">
      <c r="A33" t="s">
        <v>28</v>
      </c>
      <c r="B33" t="s">
        <v>27</v>
      </c>
      <c r="C33">
        <v>100</v>
      </c>
      <c r="D33" s="6">
        <v>45608</v>
      </c>
      <c r="E33" t="s">
        <v>161</v>
      </c>
      <c r="F33" s="1">
        <f>39000/5</f>
        <v>7800</v>
      </c>
      <c r="G33" s="1">
        <f t="shared" si="0"/>
        <v>780000</v>
      </c>
      <c r="H33" s="1">
        <v>7800</v>
      </c>
      <c r="I33" s="1">
        <v>780000</v>
      </c>
    </row>
    <row r="34" spans="1:9" x14ac:dyDescent="0.3">
      <c r="A34" t="s">
        <v>73</v>
      </c>
      <c r="B34" t="s">
        <v>85</v>
      </c>
      <c r="D34" s="6">
        <v>45608</v>
      </c>
      <c r="E34" t="s">
        <v>162</v>
      </c>
      <c r="G34" s="1">
        <f t="shared" si="0"/>
        <v>0</v>
      </c>
      <c r="I34" s="1">
        <v>0</v>
      </c>
    </row>
    <row r="35" spans="1:9" x14ac:dyDescent="0.3">
      <c r="A35" t="s">
        <v>100</v>
      </c>
      <c r="B35" t="s">
        <v>22</v>
      </c>
      <c r="D35" s="6">
        <v>45608</v>
      </c>
      <c r="E35" t="s">
        <v>163</v>
      </c>
      <c r="G35" s="1">
        <f t="shared" si="0"/>
        <v>0</v>
      </c>
      <c r="I35" s="1">
        <v>0</v>
      </c>
    </row>
    <row r="36" spans="1:9" x14ac:dyDescent="0.3">
      <c r="A36" t="s">
        <v>29</v>
      </c>
      <c r="B36" t="s">
        <v>22</v>
      </c>
      <c r="C36">
        <v>260</v>
      </c>
      <c r="D36" s="6">
        <v>45608</v>
      </c>
      <c r="E36" t="s">
        <v>164</v>
      </c>
      <c r="F36" s="1">
        <v>2000</v>
      </c>
      <c r="G36" s="1">
        <f t="shared" si="0"/>
        <v>520000</v>
      </c>
      <c r="H36" s="1">
        <v>2000</v>
      </c>
      <c r="I36" s="1">
        <v>520000</v>
      </c>
    </row>
    <row r="37" spans="1:9" x14ac:dyDescent="0.3">
      <c r="A37" t="s">
        <v>101</v>
      </c>
      <c r="B37" t="s">
        <v>7</v>
      </c>
      <c r="C37">
        <v>1</v>
      </c>
      <c r="D37" s="6">
        <v>45608</v>
      </c>
      <c r="E37" t="s">
        <v>165</v>
      </c>
      <c r="F37" s="1">
        <f>VLOOKUP(E37,'[1]TIỀN MUA PHỤ'!$A:$B,2,0)</f>
        <v>100000</v>
      </c>
      <c r="G37" s="1">
        <f t="shared" si="0"/>
        <v>100000</v>
      </c>
      <c r="H37" s="1">
        <v>100000</v>
      </c>
      <c r="I37" s="1">
        <v>100000</v>
      </c>
    </row>
    <row r="38" spans="1:9" x14ac:dyDescent="0.3">
      <c r="A38" t="s">
        <v>31</v>
      </c>
      <c r="B38" t="s">
        <v>7</v>
      </c>
      <c r="C38">
        <v>1.5</v>
      </c>
      <c r="D38" s="6">
        <v>45608</v>
      </c>
      <c r="E38" t="s">
        <v>166</v>
      </c>
      <c r="F38" s="1">
        <f>VLOOKUP(E38,'[1]TIỀN MUA PHỤ'!$A:$B,2,0)</f>
        <v>32000</v>
      </c>
      <c r="G38" s="1">
        <f t="shared" si="0"/>
        <v>48000</v>
      </c>
      <c r="H38" s="1">
        <v>32000</v>
      </c>
      <c r="I38" s="1">
        <v>48000</v>
      </c>
    </row>
    <row r="39" spans="1:9" x14ac:dyDescent="0.3">
      <c r="A39" t="s">
        <v>32</v>
      </c>
      <c r="B39" t="s">
        <v>7</v>
      </c>
      <c r="C39">
        <v>12</v>
      </c>
      <c r="D39" s="6">
        <v>45608</v>
      </c>
      <c r="E39" t="s">
        <v>167</v>
      </c>
      <c r="F39" s="1">
        <f>VLOOKUP(E39,'[1]TIỀN MUA PHỤ'!$A:$B,2,0)</f>
        <v>55000</v>
      </c>
      <c r="G39" s="1">
        <f t="shared" si="0"/>
        <v>660000</v>
      </c>
      <c r="H39" s="1">
        <v>55000</v>
      </c>
      <c r="I39" s="1">
        <v>660000</v>
      </c>
    </row>
    <row r="40" spans="1:9" x14ac:dyDescent="0.3">
      <c r="A40" t="s">
        <v>57</v>
      </c>
      <c r="B40" t="s">
        <v>7</v>
      </c>
      <c r="C40">
        <v>22</v>
      </c>
      <c r="D40" s="6">
        <v>45608</v>
      </c>
      <c r="E40" t="s">
        <v>168</v>
      </c>
      <c r="F40" s="1">
        <f>VLOOKUP(E40,'[1]TIỀN MUA PHỤ'!$A:$B,2,0)</f>
        <v>48000</v>
      </c>
      <c r="G40" s="1">
        <f t="shared" si="0"/>
        <v>1056000</v>
      </c>
      <c r="H40" s="1">
        <v>48000</v>
      </c>
      <c r="I40" s="1">
        <v>1056000</v>
      </c>
    </row>
    <row r="41" spans="1:9" x14ac:dyDescent="0.3">
      <c r="A41" t="s">
        <v>58</v>
      </c>
      <c r="B41" t="s">
        <v>59</v>
      </c>
      <c r="C41">
        <v>150</v>
      </c>
      <c r="D41" s="6">
        <v>45608</v>
      </c>
      <c r="E41" t="s">
        <v>169</v>
      </c>
      <c r="F41" s="1">
        <f>42000/4</f>
        <v>10500</v>
      </c>
      <c r="G41" s="1">
        <f t="shared" si="0"/>
        <v>1575000</v>
      </c>
      <c r="H41" s="1">
        <v>10500</v>
      </c>
      <c r="I41" s="1">
        <v>1575000</v>
      </c>
    </row>
    <row r="42" spans="1:9" x14ac:dyDescent="0.3">
      <c r="A42" t="s">
        <v>60</v>
      </c>
      <c r="B42" t="s">
        <v>7</v>
      </c>
      <c r="C42">
        <v>12</v>
      </c>
      <c r="D42" s="6">
        <v>45608</v>
      </c>
      <c r="E42" t="s">
        <v>170</v>
      </c>
      <c r="F42" s="1">
        <f>VLOOKUP(E42,'[1]TIỀN MUA PHỤ'!$A:$B,2,0)</f>
        <v>58000</v>
      </c>
      <c r="G42" s="1">
        <f t="shared" si="0"/>
        <v>696000</v>
      </c>
      <c r="H42" s="1">
        <v>58000</v>
      </c>
      <c r="I42" s="1">
        <v>696000</v>
      </c>
    </row>
    <row r="43" spans="1:9" x14ac:dyDescent="0.3">
      <c r="A43" t="s">
        <v>61</v>
      </c>
      <c r="B43" t="s">
        <v>59</v>
      </c>
      <c r="C43">
        <v>160</v>
      </c>
      <c r="D43" s="6">
        <v>45608</v>
      </c>
      <c r="E43" t="s">
        <v>171</v>
      </c>
      <c r="F43" s="1">
        <f>22000/4</f>
        <v>5500</v>
      </c>
      <c r="G43" s="1">
        <f t="shared" si="0"/>
        <v>880000</v>
      </c>
      <c r="H43" s="1">
        <v>5500</v>
      </c>
      <c r="I43" s="1">
        <v>880000</v>
      </c>
    </row>
    <row r="44" spans="1:9" x14ac:dyDescent="0.3">
      <c r="A44" t="s">
        <v>62</v>
      </c>
      <c r="B44" t="s">
        <v>59</v>
      </c>
      <c r="C44">
        <v>40</v>
      </c>
      <c r="D44" s="6">
        <v>45608</v>
      </c>
      <c r="E44" t="s">
        <v>172</v>
      </c>
      <c r="F44" s="1">
        <f>25000/4</f>
        <v>6250</v>
      </c>
      <c r="G44" s="1">
        <f t="shared" si="0"/>
        <v>250000</v>
      </c>
      <c r="H44" s="1">
        <v>6250</v>
      </c>
      <c r="I44" s="1">
        <v>250000</v>
      </c>
    </row>
    <row r="45" spans="1:9" x14ac:dyDescent="0.3">
      <c r="A45" t="s">
        <v>97</v>
      </c>
      <c r="B45" t="s">
        <v>22</v>
      </c>
      <c r="C45">
        <v>180</v>
      </c>
      <c r="D45" s="6">
        <v>45608</v>
      </c>
      <c r="E45" t="s">
        <v>173</v>
      </c>
      <c r="F45" s="1">
        <f>VLOOKUP(E45,'[1]TIỀN MUA PHỤ'!$A:$B,2,0)</f>
        <v>22000</v>
      </c>
      <c r="G45" s="1">
        <f t="shared" si="0"/>
        <v>3960000</v>
      </c>
      <c r="H45" s="1">
        <v>22000</v>
      </c>
      <c r="I45" s="1">
        <v>3960000</v>
      </c>
    </row>
    <row r="46" spans="1:9" x14ac:dyDescent="0.3">
      <c r="A46" t="s">
        <v>66</v>
      </c>
      <c r="B46" t="s">
        <v>48</v>
      </c>
      <c r="C46">
        <v>8</v>
      </c>
      <c r="D46" s="6">
        <v>45608</v>
      </c>
      <c r="E46" t="s">
        <v>174</v>
      </c>
      <c r="F46" s="1">
        <f>VLOOKUP(E46,'[1]TIỀN MUA PHỤ'!$A:$B,2,0)</f>
        <v>35000</v>
      </c>
      <c r="G46" s="1">
        <f t="shared" si="0"/>
        <v>280000</v>
      </c>
      <c r="H46" s="1">
        <v>35000</v>
      </c>
      <c r="I46" s="1">
        <v>280000</v>
      </c>
    </row>
    <row r="47" spans="1:9" x14ac:dyDescent="0.3">
      <c r="A47" t="s">
        <v>128</v>
      </c>
      <c r="B47" t="s">
        <v>7</v>
      </c>
      <c r="D47" s="6">
        <v>45608</v>
      </c>
      <c r="E47" t="s">
        <v>175</v>
      </c>
      <c r="G47" s="1">
        <f t="shared" si="0"/>
        <v>0</v>
      </c>
      <c r="I47" s="1">
        <v>0</v>
      </c>
    </row>
    <row r="48" spans="1:9" x14ac:dyDescent="0.3">
      <c r="A48" t="s">
        <v>34</v>
      </c>
      <c r="B48" t="s">
        <v>7</v>
      </c>
      <c r="C48">
        <v>60</v>
      </c>
      <c r="D48" s="6">
        <v>45608</v>
      </c>
      <c r="E48" t="s">
        <v>176</v>
      </c>
      <c r="F48" s="1">
        <f>VLOOKUP(E48,'[1]TIỀN MUA PHỤ'!$A:$B,2,0)</f>
        <v>30000</v>
      </c>
      <c r="G48" s="1">
        <f t="shared" si="0"/>
        <v>1800000</v>
      </c>
      <c r="H48" s="1">
        <v>30000</v>
      </c>
      <c r="I48" s="1">
        <v>1800000</v>
      </c>
    </row>
    <row r="49" spans="1:9" x14ac:dyDescent="0.3">
      <c r="A49" t="s">
        <v>35</v>
      </c>
      <c r="B49" t="s">
        <v>7</v>
      </c>
      <c r="C49">
        <v>30</v>
      </c>
      <c r="D49" s="6">
        <v>45608</v>
      </c>
      <c r="E49" t="s">
        <v>177</v>
      </c>
      <c r="F49" s="1">
        <f>VLOOKUP(E49,'[1]TIỀN MUA PHỤ'!$A:$B,2,0)</f>
        <v>28000</v>
      </c>
      <c r="G49" s="1">
        <f t="shared" si="0"/>
        <v>840000</v>
      </c>
      <c r="H49" s="1">
        <v>28000</v>
      </c>
      <c r="I49" s="1">
        <v>840000</v>
      </c>
    </row>
    <row r="50" spans="1:9" x14ac:dyDescent="0.3">
      <c r="A50" t="s">
        <v>36</v>
      </c>
      <c r="B50" t="s">
        <v>27</v>
      </c>
      <c r="C50">
        <v>100</v>
      </c>
      <c r="D50" s="6">
        <v>45608</v>
      </c>
      <c r="E50" t="s">
        <v>178</v>
      </c>
      <c r="F50" s="1">
        <f>VLOOKUP(E50,'[1]TIỀN MUA PHỤ'!$A:$B,2,0)</f>
        <v>6800</v>
      </c>
      <c r="G50" s="1">
        <f t="shared" si="0"/>
        <v>680000</v>
      </c>
      <c r="H50" s="1">
        <v>6800</v>
      </c>
      <c r="I50" s="1">
        <v>680000</v>
      </c>
    </row>
    <row r="51" spans="1:9" x14ac:dyDescent="0.3">
      <c r="A51" t="s">
        <v>40</v>
      </c>
      <c r="B51" t="s">
        <v>7</v>
      </c>
      <c r="C51">
        <v>55</v>
      </c>
      <c r="D51" s="6">
        <v>45608</v>
      </c>
      <c r="E51" t="s">
        <v>179</v>
      </c>
      <c r="F51" s="1">
        <v>28000</v>
      </c>
      <c r="G51" s="1">
        <f t="shared" si="0"/>
        <v>1540000</v>
      </c>
      <c r="H51" s="1">
        <v>28000</v>
      </c>
      <c r="I51" s="1">
        <v>1540000</v>
      </c>
    </row>
    <row r="52" spans="1:9" x14ac:dyDescent="0.3">
      <c r="A52" t="s">
        <v>38</v>
      </c>
      <c r="B52" t="s">
        <v>27</v>
      </c>
      <c r="D52" s="6">
        <v>45608</v>
      </c>
      <c r="E52" t="s">
        <v>180</v>
      </c>
      <c r="F52" s="1">
        <f>VLOOKUP(E52,'[1]TIỀN MUA PHỤ'!$A:$B,2,0)</f>
        <v>6800</v>
      </c>
      <c r="G52" s="1">
        <f t="shared" si="0"/>
        <v>0</v>
      </c>
      <c r="H52" s="1">
        <v>6800</v>
      </c>
      <c r="I52" s="1">
        <v>0</v>
      </c>
    </row>
    <row r="53" spans="1:9" x14ac:dyDescent="0.3">
      <c r="A53" t="s">
        <v>39</v>
      </c>
      <c r="B53" t="s">
        <v>7</v>
      </c>
      <c r="C53">
        <v>38</v>
      </c>
      <c r="D53" s="6">
        <v>45608</v>
      </c>
      <c r="E53" t="s">
        <v>181</v>
      </c>
      <c r="F53" s="1">
        <f>VLOOKUP(E53,'[1]TIỀN MUA PHỤ'!$A:$B,2,0)</f>
        <v>38000</v>
      </c>
      <c r="G53" s="1">
        <f t="shared" si="0"/>
        <v>1444000</v>
      </c>
      <c r="H53" s="1">
        <v>38000</v>
      </c>
      <c r="I53" s="1">
        <v>1444000</v>
      </c>
    </row>
    <row r="54" spans="1:9" x14ac:dyDescent="0.3">
      <c r="A54" t="s">
        <v>82</v>
      </c>
      <c r="B54" t="s">
        <v>7</v>
      </c>
      <c r="C54">
        <v>2.5</v>
      </c>
      <c r="D54" s="6">
        <v>45608</v>
      </c>
      <c r="E54" t="s">
        <v>182</v>
      </c>
      <c r="F54" s="1">
        <f>VLOOKUP(E54,'[1]TIỀN MUA PHỤ'!$A:$B,2,0)</f>
        <v>120000</v>
      </c>
      <c r="G54" s="1">
        <f t="shared" si="0"/>
        <v>300000</v>
      </c>
      <c r="H54" s="1">
        <v>120000</v>
      </c>
      <c r="I54" s="1">
        <v>300000</v>
      </c>
    </row>
    <row r="55" spans="1:9" x14ac:dyDescent="0.3">
      <c r="A55" t="s">
        <v>84</v>
      </c>
      <c r="B55" t="s">
        <v>27</v>
      </c>
      <c r="C55">
        <v>10</v>
      </c>
      <c r="D55" s="6">
        <v>45608</v>
      </c>
      <c r="E55" t="s">
        <v>183</v>
      </c>
      <c r="F55" s="1">
        <f>VLOOKUP(E55,'[1]TIỀN MUA PHỤ'!$A:$B,2,0)</f>
        <v>8000</v>
      </c>
      <c r="G55" s="1">
        <f t="shared" si="0"/>
        <v>80000</v>
      </c>
      <c r="H55" s="1">
        <v>8000</v>
      </c>
      <c r="I55" s="1">
        <v>80000</v>
      </c>
    </row>
    <row r="56" spans="1:9" x14ac:dyDescent="0.3">
      <c r="A56" t="s">
        <v>70</v>
      </c>
      <c r="B56" t="s">
        <v>7</v>
      </c>
      <c r="C56">
        <v>5</v>
      </c>
      <c r="D56" s="6">
        <v>45608</v>
      </c>
      <c r="E56" t="s">
        <v>184</v>
      </c>
      <c r="F56" s="1">
        <v>33000</v>
      </c>
      <c r="G56" s="1">
        <f t="shared" si="0"/>
        <v>165000</v>
      </c>
      <c r="H56" s="1">
        <v>33000</v>
      </c>
      <c r="I56" s="1">
        <v>165000</v>
      </c>
    </row>
    <row r="57" spans="1:9" x14ac:dyDescent="0.3">
      <c r="A57" t="s">
        <v>129</v>
      </c>
      <c r="B57" t="s">
        <v>7</v>
      </c>
      <c r="C57">
        <v>2</v>
      </c>
      <c r="D57" s="6">
        <v>45608</v>
      </c>
      <c r="E57" t="s">
        <v>185</v>
      </c>
      <c r="F57" s="1">
        <f>VLOOKUP(E57,'[1]TIỀN MUA PHỤ'!$A:$B,2,0)</f>
        <v>9000</v>
      </c>
      <c r="G57" s="1">
        <f t="shared" si="0"/>
        <v>18000</v>
      </c>
      <c r="H57" s="1">
        <v>9000</v>
      </c>
      <c r="I57" s="1">
        <v>18000</v>
      </c>
    </row>
    <row r="58" spans="1:9" x14ac:dyDescent="0.3">
      <c r="A58" t="s">
        <v>19</v>
      </c>
      <c r="B58" t="s">
        <v>7</v>
      </c>
      <c r="C58">
        <v>3</v>
      </c>
      <c r="D58" s="6">
        <v>45608</v>
      </c>
      <c r="E58" t="s">
        <v>134</v>
      </c>
      <c r="F58" s="1">
        <f>VLOOKUP(E58,'[1]TIỀN MUA PHỤ'!$A:$B,2,0)</f>
        <v>11000</v>
      </c>
      <c r="G58" s="1">
        <f t="shared" si="0"/>
        <v>33000</v>
      </c>
      <c r="H58" s="1">
        <v>11000</v>
      </c>
      <c r="I58" s="1">
        <v>33000</v>
      </c>
    </row>
    <row r="59" spans="1:9" x14ac:dyDescent="0.3">
      <c r="A59" t="s">
        <v>41</v>
      </c>
      <c r="B59" t="s">
        <v>7</v>
      </c>
      <c r="C59">
        <v>33</v>
      </c>
      <c r="D59" s="6">
        <v>45608</v>
      </c>
      <c r="E59" t="s">
        <v>136</v>
      </c>
      <c r="F59" s="1">
        <f>VLOOKUP(E59,'[1]TIỀN MUA PHỤ'!$A:$B,2,0)</f>
        <v>17000</v>
      </c>
      <c r="G59" s="1">
        <f t="shared" si="0"/>
        <v>561000</v>
      </c>
      <c r="H59" s="1">
        <v>17000</v>
      </c>
      <c r="I59" s="1">
        <v>561000</v>
      </c>
    </row>
    <row r="60" spans="1:9" x14ac:dyDescent="0.3">
      <c r="A60" t="s">
        <v>6</v>
      </c>
      <c r="B60" t="s">
        <v>7</v>
      </c>
      <c r="C60">
        <v>63</v>
      </c>
      <c r="D60" s="6">
        <v>45608</v>
      </c>
      <c r="E60" t="s">
        <v>145</v>
      </c>
      <c r="F60" s="1">
        <f>VLOOKUP(E60,'[1]TIỀN MUA PHỤ'!$A:$B,2,0)</f>
        <v>16000</v>
      </c>
      <c r="G60" s="1">
        <f t="shared" si="0"/>
        <v>1008000</v>
      </c>
      <c r="H60" s="1">
        <v>16000</v>
      </c>
      <c r="I60" s="1">
        <v>1008000</v>
      </c>
    </row>
    <row r="61" spans="1:9" x14ac:dyDescent="0.3">
      <c r="A61" t="s">
        <v>104</v>
      </c>
      <c r="B61" t="s">
        <v>22</v>
      </c>
      <c r="C61">
        <v>15</v>
      </c>
      <c r="D61" s="6">
        <v>45608</v>
      </c>
      <c r="E61" t="s">
        <v>186</v>
      </c>
      <c r="F61" s="1">
        <f>VLOOKUP(E61,'[1]TIỀN MUA PHỤ'!$A:$B,2,0)</f>
        <v>6000</v>
      </c>
      <c r="G61" s="1">
        <f t="shared" si="0"/>
        <v>90000</v>
      </c>
      <c r="H61" s="1">
        <v>6000</v>
      </c>
      <c r="I61" s="1">
        <v>90000</v>
      </c>
    </row>
    <row r="62" spans="1:9" x14ac:dyDescent="0.3">
      <c r="A62" t="s">
        <v>56</v>
      </c>
      <c r="B62" t="s">
        <v>7</v>
      </c>
      <c r="C62">
        <v>2</v>
      </c>
      <c r="D62" s="6">
        <v>45608</v>
      </c>
      <c r="E62" t="s">
        <v>160</v>
      </c>
      <c r="F62" s="1">
        <v>9000</v>
      </c>
      <c r="G62" s="1">
        <f t="shared" si="0"/>
        <v>18000</v>
      </c>
      <c r="H62" s="1">
        <v>9000</v>
      </c>
      <c r="I62" s="1">
        <v>18000</v>
      </c>
    </row>
    <row r="63" spans="1:9" x14ac:dyDescent="0.3">
      <c r="A63" t="s">
        <v>13</v>
      </c>
      <c r="B63" t="s">
        <v>7</v>
      </c>
      <c r="C63">
        <v>6.5</v>
      </c>
      <c r="D63" s="6">
        <v>45608</v>
      </c>
      <c r="E63" t="s">
        <v>153</v>
      </c>
      <c r="F63" s="1">
        <v>23000</v>
      </c>
      <c r="G63" s="1">
        <f t="shared" si="0"/>
        <v>149500</v>
      </c>
      <c r="H63" s="1">
        <v>23000</v>
      </c>
      <c r="I63" s="1">
        <v>149500</v>
      </c>
    </row>
    <row r="64" spans="1:9" x14ac:dyDescent="0.3">
      <c r="A64" t="s">
        <v>93</v>
      </c>
      <c r="B64" t="s">
        <v>7</v>
      </c>
      <c r="C64">
        <v>11.5</v>
      </c>
      <c r="D64" s="6">
        <v>45608</v>
      </c>
      <c r="E64" t="s">
        <v>187</v>
      </c>
      <c r="F64" s="1">
        <f>VLOOKUP(E64,'[1]TIỀN MUA PHỤ'!$A:$B,2,0)</f>
        <v>15000</v>
      </c>
      <c r="G64" s="1">
        <f t="shared" si="0"/>
        <v>172500</v>
      </c>
      <c r="H64" s="1">
        <v>15000</v>
      </c>
      <c r="I64" s="1">
        <v>172500</v>
      </c>
    </row>
    <row r="65" spans="1:9" x14ac:dyDescent="0.3">
      <c r="A65" t="s">
        <v>58</v>
      </c>
      <c r="B65" t="s">
        <v>7</v>
      </c>
      <c r="C65">
        <v>2</v>
      </c>
      <c r="D65" s="6">
        <v>45608</v>
      </c>
      <c r="E65" t="s">
        <v>169</v>
      </c>
      <c r="F65" s="1">
        <f>VLOOKUP(E65,'[1]TIỀN MUA PHỤ'!$A:$B,2,0)</f>
        <v>42000</v>
      </c>
      <c r="G65" s="1">
        <f t="shared" si="0"/>
        <v>84000</v>
      </c>
      <c r="H65" s="1">
        <v>42000</v>
      </c>
      <c r="I65" s="1">
        <v>84000</v>
      </c>
    </row>
    <row r="66" spans="1:9" x14ac:dyDescent="0.3">
      <c r="A66" t="s">
        <v>61</v>
      </c>
      <c r="B66" t="s">
        <v>7</v>
      </c>
      <c r="C66">
        <v>1</v>
      </c>
      <c r="D66" s="6">
        <v>45608</v>
      </c>
      <c r="E66" t="s">
        <v>171</v>
      </c>
      <c r="F66" s="1">
        <f>VLOOKUP(E66,'[1]TIỀN MUA PHỤ'!$A:$B,2,0)</f>
        <v>22000</v>
      </c>
      <c r="G66" s="1">
        <f t="shared" si="0"/>
        <v>22000</v>
      </c>
      <c r="H66" s="1">
        <v>22000</v>
      </c>
      <c r="I66" s="1">
        <v>22000</v>
      </c>
    </row>
    <row r="67" spans="1:9" x14ac:dyDescent="0.3">
      <c r="A67" t="s">
        <v>62</v>
      </c>
      <c r="B67" t="s">
        <v>7</v>
      </c>
      <c r="C67">
        <v>4</v>
      </c>
      <c r="D67" s="6">
        <v>45608</v>
      </c>
      <c r="E67" t="s">
        <v>172</v>
      </c>
      <c r="F67" s="1">
        <f>VLOOKUP(E67,'[1]TIỀN MUA PHỤ'!$A:$B,2,0)</f>
        <v>25000</v>
      </c>
      <c r="G67" s="1">
        <f t="shared" ref="G67:G71" si="1">F67*C67</f>
        <v>100000</v>
      </c>
      <c r="H67" s="1">
        <v>25000</v>
      </c>
      <c r="I67" s="1">
        <v>100000</v>
      </c>
    </row>
    <row r="68" spans="1:9" x14ac:dyDescent="0.3">
      <c r="A68" t="s">
        <v>23</v>
      </c>
      <c r="B68" t="s">
        <v>7</v>
      </c>
      <c r="C68">
        <v>6</v>
      </c>
      <c r="D68" s="6">
        <v>45608</v>
      </c>
      <c r="E68" t="s">
        <v>148</v>
      </c>
      <c r="F68" s="1">
        <f>VLOOKUP(E68,'[1]TIỀN MUA PHỤ'!$A:$B,2,0)</f>
        <v>33500</v>
      </c>
      <c r="G68" s="1">
        <f t="shared" si="1"/>
        <v>201000</v>
      </c>
      <c r="H68" s="1">
        <v>33500</v>
      </c>
      <c r="I68" s="1">
        <v>201000</v>
      </c>
    </row>
    <row r="69" spans="1:9" x14ac:dyDescent="0.3">
      <c r="A69" t="s">
        <v>17</v>
      </c>
      <c r="B69" t="s">
        <v>7</v>
      </c>
      <c r="C69">
        <v>44</v>
      </c>
      <c r="D69" s="6">
        <v>45608</v>
      </c>
      <c r="E69" t="s">
        <v>139</v>
      </c>
      <c r="F69" s="1">
        <f>VLOOKUP(E69,'[1]TIỀN MUA PHỤ'!$A:$B,2,0)</f>
        <v>40000</v>
      </c>
      <c r="G69" s="1">
        <f t="shared" si="1"/>
        <v>1760000</v>
      </c>
      <c r="H69" s="1">
        <v>40000</v>
      </c>
      <c r="I69" s="1">
        <v>1760000</v>
      </c>
    </row>
    <row r="70" spans="1:9" x14ac:dyDescent="0.3">
      <c r="A70" t="s">
        <v>34</v>
      </c>
      <c r="B70" t="s">
        <v>7</v>
      </c>
      <c r="C70">
        <v>7</v>
      </c>
      <c r="D70" s="6">
        <v>45608</v>
      </c>
      <c r="E70" t="s">
        <v>176</v>
      </c>
      <c r="F70" s="1">
        <f>VLOOKUP(E70,'[1]TIỀN MUA PHỤ'!$A:$B,2,0)</f>
        <v>30000</v>
      </c>
      <c r="G70" s="1">
        <f t="shared" si="1"/>
        <v>210000</v>
      </c>
      <c r="H70" s="1">
        <v>30000</v>
      </c>
      <c r="I70" s="1">
        <v>210000</v>
      </c>
    </row>
    <row r="71" spans="1:9" x14ac:dyDescent="0.3">
      <c r="A71" t="s">
        <v>29</v>
      </c>
      <c r="B71" t="s">
        <v>22</v>
      </c>
      <c r="C71">
        <v>128</v>
      </c>
      <c r="D71" s="6">
        <v>45608</v>
      </c>
      <c r="E71" t="s">
        <v>164</v>
      </c>
      <c r="F71" s="1">
        <f>VLOOKUP(E71,'[1]TIỀN MUA PHỤ'!$A:$B,2,0)</f>
        <v>40000</v>
      </c>
      <c r="G71" s="1">
        <f t="shared" si="1"/>
        <v>5120000</v>
      </c>
      <c r="H71" s="1">
        <v>40000</v>
      </c>
      <c r="I71" s="1">
        <v>5120000</v>
      </c>
    </row>
    <row r="72" spans="1:9" x14ac:dyDescent="0.3">
      <c r="G72" s="1">
        <f>SUM(G2:G71)</f>
        <v>53183150</v>
      </c>
    </row>
  </sheetData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A2F8-B76C-4ED4-9CE2-1D65D919C4DB}">
  <dimension ref="A1:I72"/>
  <sheetViews>
    <sheetView topLeftCell="A25" workbookViewId="0">
      <selection activeCell="I1" sqref="I1:I1048576"/>
    </sheetView>
  </sheetViews>
  <sheetFormatPr defaultRowHeight="14.4" x14ac:dyDescent="0.3"/>
  <cols>
    <col min="1" max="1" width="22.88671875" customWidth="1"/>
    <col min="4" max="4" width="10.5546875" bestFit="1" customWidth="1"/>
    <col min="5" max="5" width="29.33203125" customWidth="1"/>
    <col min="6" max="6" width="10.33203125" style="1" bestFit="1" customWidth="1"/>
    <col min="7" max="7" width="13.88671875" style="1" bestFit="1" customWidth="1"/>
    <col min="8" max="8" width="8.88671875" style="1"/>
    <col min="9" max="9" width="11.5546875" style="1" customWidth="1"/>
  </cols>
  <sheetData>
    <row r="1" spans="1:9" x14ac:dyDescent="0.3">
      <c r="A1" t="s">
        <v>124</v>
      </c>
      <c r="B1" t="s">
        <v>5</v>
      </c>
      <c r="C1" t="s">
        <v>125</v>
      </c>
      <c r="D1" t="s">
        <v>130</v>
      </c>
      <c r="E1" t="s">
        <v>120</v>
      </c>
      <c r="F1" s="1" t="s">
        <v>131</v>
      </c>
      <c r="G1" s="1" t="s">
        <v>108</v>
      </c>
    </row>
    <row r="2" spans="1:9" x14ac:dyDescent="0.3">
      <c r="A2" t="s">
        <v>78</v>
      </c>
      <c r="B2" t="s">
        <v>7</v>
      </c>
      <c r="C2">
        <v>2</v>
      </c>
      <c r="D2" s="6">
        <v>45607</v>
      </c>
      <c r="E2" t="s">
        <v>188</v>
      </c>
      <c r="F2" s="1">
        <f>VLOOKUP(E2,'[1]TIỀN MUA PHỤ'!$A:$B,2,0)</f>
        <v>30000</v>
      </c>
      <c r="G2" s="1">
        <f>F2*C2</f>
        <v>60000</v>
      </c>
      <c r="H2" s="1">
        <v>30000</v>
      </c>
      <c r="I2" s="1">
        <v>60000</v>
      </c>
    </row>
    <row r="3" spans="1:9" x14ac:dyDescent="0.3">
      <c r="A3" t="s">
        <v>79</v>
      </c>
      <c r="B3" t="s">
        <v>7</v>
      </c>
      <c r="C3">
        <v>20</v>
      </c>
      <c r="D3" s="6">
        <v>45607</v>
      </c>
      <c r="E3" t="s">
        <v>189</v>
      </c>
      <c r="F3" s="1">
        <f>VLOOKUP(E3,'[1]TIỀN MUA PHỤ'!$A:$B,2,0)</f>
        <v>18000</v>
      </c>
      <c r="G3" s="1">
        <f t="shared" ref="G3:G66" si="0">F3*C3</f>
        <v>360000</v>
      </c>
      <c r="H3" s="1">
        <v>18000</v>
      </c>
      <c r="I3" s="1">
        <v>360000</v>
      </c>
    </row>
    <row r="4" spans="1:9" x14ac:dyDescent="0.3">
      <c r="A4" t="s">
        <v>80</v>
      </c>
      <c r="B4" t="s">
        <v>44</v>
      </c>
      <c r="C4">
        <v>25</v>
      </c>
      <c r="D4" s="6">
        <v>45607</v>
      </c>
      <c r="E4" t="s">
        <v>190</v>
      </c>
      <c r="F4" s="1">
        <f>7500/2</f>
        <v>3750</v>
      </c>
      <c r="G4" s="1">
        <f t="shared" si="0"/>
        <v>93750</v>
      </c>
      <c r="H4" s="1">
        <v>3750</v>
      </c>
      <c r="I4" s="1">
        <v>93750</v>
      </c>
    </row>
    <row r="5" spans="1:9" x14ac:dyDescent="0.3">
      <c r="A5" t="s">
        <v>126</v>
      </c>
      <c r="B5" t="s">
        <v>7</v>
      </c>
      <c r="C5">
        <v>5</v>
      </c>
      <c r="D5" s="6">
        <v>45607</v>
      </c>
      <c r="E5" t="s">
        <v>191</v>
      </c>
      <c r="F5" s="1">
        <f>VLOOKUP(E5,'[1]TIỀN MUA PHỤ'!$A:$B,2,0)</f>
        <v>55000</v>
      </c>
      <c r="G5" s="1">
        <f t="shared" si="0"/>
        <v>275000</v>
      </c>
      <c r="H5" s="1">
        <v>55000</v>
      </c>
      <c r="I5" s="1">
        <v>275000</v>
      </c>
    </row>
    <row r="6" spans="1:9" x14ac:dyDescent="0.3">
      <c r="A6" t="s">
        <v>41</v>
      </c>
      <c r="B6" t="s">
        <v>42</v>
      </c>
      <c r="C6">
        <v>400</v>
      </c>
      <c r="D6" s="6">
        <v>45607</v>
      </c>
      <c r="E6" t="s">
        <v>192</v>
      </c>
      <c r="F6" s="1">
        <f>20000*0.3</f>
        <v>6000</v>
      </c>
      <c r="G6" s="1">
        <f t="shared" si="0"/>
        <v>2400000</v>
      </c>
      <c r="H6" s="1">
        <v>6000</v>
      </c>
      <c r="I6" s="1">
        <v>2400000</v>
      </c>
    </row>
    <row r="7" spans="1:9" x14ac:dyDescent="0.3">
      <c r="A7" t="s">
        <v>43</v>
      </c>
      <c r="B7" t="s">
        <v>44</v>
      </c>
      <c r="C7">
        <v>140</v>
      </c>
      <c r="D7" s="6">
        <v>45607</v>
      </c>
      <c r="E7" t="s">
        <v>193</v>
      </c>
      <c r="F7" s="1">
        <f>13000*0.3</f>
        <v>3900</v>
      </c>
      <c r="G7" s="1">
        <f t="shared" si="0"/>
        <v>546000</v>
      </c>
      <c r="H7" s="1">
        <v>3900</v>
      </c>
      <c r="I7" s="1">
        <v>546000</v>
      </c>
    </row>
    <row r="8" spans="1:9" x14ac:dyDescent="0.3">
      <c r="A8" t="s">
        <v>67</v>
      </c>
      <c r="B8" t="s">
        <v>7</v>
      </c>
      <c r="C8">
        <v>90</v>
      </c>
      <c r="D8" s="6">
        <v>45607</v>
      </c>
      <c r="E8" t="s">
        <v>194</v>
      </c>
      <c r="F8" s="1">
        <f>VLOOKUP(E8,'[1]TIỀN MUA PHỤ'!$A:$B,2,0)</f>
        <v>26000</v>
      </c>
      <c r="G8" s="1">
        <f t="shared" si="0"/>
        <v>2340000</v>
      </c>
      <c r="H8" s="1">
        <v>26000</v>
      </c>
      <c r="I8" s="1">
        <v>2340000</v>
      </c>
    </row>
    <row r="9" spans="1:9" x14ac:dyDescent="0.3">
      <c r="A9" t="s">
        <v>17</v>
      </c>
      <c r="B9" t="s">
        <v>7</v>
      </c>
      <c r="C9">
        <v>40</v>
      </c>
      <c r="D9" s="6">
        <v>45607</v>
      </c>
      <c r="E9" t="s">
        <v>195</v>
      </c>
      <c r="F9" s="1">
        <f>VLOOKUP(E9,'[1]TIỀN MUA PHỤ'!$A:$B,2,0)</f>
        <v>39000</v>
      </c>
      <c r="G9" s="1">
        <f t="shared" si="0"/>
        <v>1560000</v>
      </c>
      <c r="H9" s="1">
        <v>39000</v>
      </c>
      <c r="I9" s="1">
        <v>1560000</v>
      </c>
    </row>
    <row r="10" spans="1:9" x14ac:dyDescent="0.3">
      <c r="A10" t="s">
        <v>18</v>
      </c>
      <c r="B10" t="s">
        <v>9</v>
      </c>
      <c r="C10">
        <v>35</v>
      </c>
      <c r="D10" s="6">
        <v>45607</v>
      </c>
      <c r="E10" t="s">
        <v>196</v>
      </c>
      <c r="F10" s="1">
        <f>VLOOKUP(E10,'[1]TIỀN MUA PHỤ'!$A:$B,2,0)</f>
        <v>57000</v>
      </c>
      <c r="G10" s="1">
        <f t="shared" si="0"/>
        <v>1995000</v>
      </c>
      <c r="H10" s="1">
        <v>58000</v>
      </c>
      <c r="I10" s="1">
        <v>2030000</v>
      </c>
    </row>
    <row r="11" spans="1:9" x14ac:dyDescent="0.3">
      <c r="A11" t="s">
        <v>45</v>
      </c>
      <c r="B11" t="s">
        <v>7</v>
      </c>
      <c r="C11">
        <v>170</v>
      </c>
      <c r="D11" s="6">
        <v>45607</v>
      </c>
      <c r="E11" t="s">
        <v>197</v>
      </c>
      <c r="F11" s="1">
        <f>VLOOKUP(E11,'[1]TIỀN MUA PHỤ'!$A:$B,2,0)</f>
        <v>24000</v>
      </c>
      <c r="G11" s="1">
        <f t="shared" si="0"/>
        <v>4080000</v>
      </c>
      <c r="H11" s="1">
        <v>24000</v>
      </c>
      <c r="I11" s="1">
        <v>4080000</v>
      </c>
    </row>
    <row r="12" spans="1:9" x14ac:dyDescent="0.3">
      <c r="A12" t="s">
        <v>89</v>
      </c>
      <c r="B12" t="s">
        <v>7</v>
      </c>
      <c r="C12">
        <v>40</v>
      </c>
      <c r="D12" s="6">
        <v>45607</v>
      </c>
      <c r="E12" t="s">
        <v>198</v>
      </c>
      <c r="F12" s="1">
        <f>VLOOKUP(E12,'[1]TIỀN MUA PHỤ'!$A:$B,2,0)</f>
        <v>21000</v>
      </c>
      <c r="G12" s="1">
        <f t="shared" si="0"/>
        <v>840000</v>
      </c>
      <c r="H12" s="1">
        <v>21000</v>
      </c>
      <c r="I12" s="1">
        <v>840000</v>
      </c>
    </row>
    <row r="13" spans="1:9" x14ac:dyDescent="0.3">
      <c r="A13" t="s">
        <v>89</v>
      </c>
      <c r="B13" t="s">
        <v>105</v>
      </c>
      <c r="C13">
        <v>100</v>
      </c>
      <c r="D13" s="6">
        <v>45607</v>
      </c>
      <c r="E13" t="s">
        <v>198</v>
      </c>
      <c r="F13" s="1">
        <v>11500</v>
      </c>
      <c r="G13" s="1">
        <f t="shared" si="0"/>
        <v>1150000</v>
      </c>
      <c r="H13" s="1">
        <v>11500</v>
      </c>
      <c r="I13" s="1">
        <v>1150000</v>
      </c>
    </row>
    <row r="14" spans="1:9" x14ac:dyDescent="0.3">
      <c r="A14" t="s">
        <v>70</v>
      </c>
      <c r="B14" t="s">
        <v>7</v>
      </c>
      <c r="C14">
        <v>5</v>
      </c>
      <c r="D14" s="6">
        <v>45607</v>
      </c>
      <c r="E14" t="s">
        <v>199</v>
      </c>
      <c r="F14" s="1">
        <v>33000</v>
      </c>
      <c r="G14" s="1">
        <f t="shared" si="0"/>
        <v>165000</v>
      </c>
      <c r="H14" s="1">
        <v>33000</v>
      </c>
      <c r="I14" s="1">
        <v>165000</v>
      </c>
    </row>
    <row r="15" spans="1:9" x14ac:dyDescent="0.3">
      <c r="A15" t="s">
        <v>70</v>
      </c>
      <c r="B15" t="s">
        <v>106</v>
      </c>
      <c r="C15">
        <v>60</v>
      </c>
      <c r="D15" s="6">
        <v>45607</v>
      </c>
      <c r="E15" t="s">
        <v>199</v>
      </c>
      <c r="F15" s="1">
        <f>VLOOKUP(E15,'[1]TIỀN MUA PHỤ'!$A:$B,2,0)</f>
        <v>16500</v>
      </c>
      <c r="G15" s="1">
        <f t="shared" si="0"/>
        <v>990000</v>
      </c>
      <c r="H15" s="1">
        <v>16500</v>
      </c>
      <c r="I15" s="1">
        <v>990000</v>
      </c>
    </row>
    <row r="16" spans="1:9" x14ac:dyDescent="0.3">
      <c r="A16" t="s">
        <v>49</v>
      </c>
      <c r="B16" t="s">
        <v>106</v>
      </c>
      <c r="C16">
        <v>244</v>
      </c>
      <c r="D16" s="6">
        <v>45607</v>
      </c>
      <c r="E16" t="s">
        <v>200</v>
      </c>
      <c r="F16" s="1">
        <v>14000</v>
      </c>
      <c r="G16" s="1">
        <f t="shared" si="0"/>
        <v>3416000</v>
      </c>
      <c r="H16" s="1">
        <v>14000</v>
      </c>
      <c r="I16" s="1">
        <v>3416000</v>
      </c>
    </row>
    <row r="17" spans="1:9" x14ac:dyDescent="0.3">
      <c r="A17" t="s">
        <v>50</v>
      </c>
      <c r="B17" t="s">
        <v>7</v>
      </c>
      <c r="C17">
        <v>40</v>
      </c>
      <c r="D17" s="6">
        <v>45607</v>
      </c>
      <c r="E17" t="s">
        <v>201</v>
      </c>
      <c r="F17" s="1">
        <f>VLOOKUP(E17,'[1]TIỀN MUA PHỤ'!$A:$B,2,0)</f>
        <v>18000</v>
      </c>
      <c r="G17" s="1">
        <f t="shared" si="0"/>
        <v>720000</v>
      </c>
      <c r="H17" s="1">
        <v>18000</v>
      </c>
      <c r="I17" s="1">
        <v>720000</v>
      </c>
    </row>
    <row r="18" spans="1:9" x14ac:dyDescent="0.3">
      <c r="A18" t="s">
        <v>6</v>
      </c>
      <c r="B18" t="s">
        <v>7</v>
      </c>
      <c r="C18">
        <v>120</v>
      </c>
      <c r="D18" s="6">
        <v>45607</v>
      </c>
      <c r="E18" t="s">
        <v>202</v>
      </c>
      <c r="F18" s="1">
        <f>VLOOKUP(E18,'[1]TIỀN MUA PHỤ'!$A:$B,2,0)</f>
        <v>15000</v>
      </c>
      <c r="G18" s="1">
        <f t="shared" si="0"/>
        <v>1800000</v>
      </c>
      <c r="H18" s="1">
        <v>15000</v>
      </c>
      <c r="I18" s="1">
        <v>1800000</v>
      </c>
    </row>
    <row r="19" spans="1:9" x14ac:dyDescent="0.3">
      <c r="A19" t="s">
        <v>8</v>
      </c>
      <c r="B19" t="s">
        <v>9</v>
      </c>
      <c r="C19">
        <v>90</v>
      </c>
      <c r="D19" s="6">
        <v>45607</v>
      </c>
      <c r="E19" t="s">
        <v>203</v>
      </c>
      <c r="F19" s="1">
        <v>11000</v>
      </c>
      <c r="G19" s="1">
        <f t="shared" si="0"/>
        <v>990000</v>
      </c>
      <c r="H19" s="1">
        <v>11000</v>
      </c>
      <c r="I19" s="1">
        <v>990000</v>
      </c>
    </row>
    <row r="20" spans="1:9" x14ac:dyDescent="0.3">
      <c r="A20" t="s">
        <v>20</v>
      </c>
      <c r="B20" t="s">
        <v>7</v>
      </c>
      <c r="C20">
        <v>30</v>
      </c>
      <c r="D20" s="6">
        <v>45607</v>
      </c>
      <c r="E20" t="s">
        <v>204</v>
      </c>
      <c r="F20" s="1">
        <f>VLOOKUP(E20,'[1]TIỀN MUA PHỤ'!$A:$B,2,0)</f>
        <v>32000</v>
      </c>
      <c r="G20" s="1">
        <f t="shared" si="0"/>
        <v>960000</v>
      </c>
      <c r="H20" s="1">
        <v>32000</v>
      </c>
      <c r="I20" s="1">
        <v>960000</v>
      </c>
    </row>
    <row r="21" spans="1:9" x14ac:dyDescent="0.3">
      <c r="A21" t="s">
        <v>23</v>
      </c>
      <c r="B21" t="s">
        <v>22</v>
      </c>
      <c r="C21">
        <v>175</v>
      </c>
      <c r="D21" s="6">
        <v>45607</v>
      </c>
      <c r="E21" t="s">
        <v>205</v>
      </c>
      <c r="F21" s="1">
        <f>VLOOKUP(E21,'[1]TIỀN MUA PHỤ'!$A:$B,2,0)*0.3</f>
        <v>10050</v>
      </c>
      <c r="G21" s="1">
        <f t="shared" si="0"/>
        <v>1758750</v>
      </c>
      <c r="H21" s="1">
        <v>10050</v>
      </c>
      <c r="I21" s="1">
        <v>1758750</v>
      </c>
    </row>
    <row r="22" spans="1:9" x14ac:dyDescent="0.3">
      <c r="A22" t="s">
        <v>23</v>
      </c>
      <c r="B22" t="s">
        <v>24</v>
      </c>
      <c r="C22">
        <v>10</v>
      </c>
      <c r="D22" s="6">
        <v>45607</v>
      </c>
      <c r="E22" t="s">
        <v>205</v>
      </c>
      <c r="F22" s="1">
        <f>VLOOKUP(E22,'[1]TIỀN MUA PHỤ'!$A:$B,2,0)*0.15</f>
        <v>5025</v>
      </c>
      <c r="G22" s="1">
        <f t="shared" si="0"/>
        <v>50250</v>
      </c>
      <c r="H22" s="1">
        <v>5025</v>
      </c>
      <c r="I22" s="1">
        <v>50250</v>
      </c>
    </row>
    <row r="23" spans="1:9" x14ac:dyDescent="0.3">
      <c r="A23" t="s">
        <v>25</v>
      </c>
      <c r="B23" t="s">
        <v>7</v>
      </c>
      <c r="C23">
        <v>60</v>
      </c>
      <c r="D23" s="6">
        <v>45607</v>
      </c>
      <c r="E23" t="s">
        <v>206</v>
      </c>
      <c r="F23" s="1">
        <f>VLOOKUP(E23,'[1]TIỀN MUA PHỤ'!$A:$B,2,0)</f>
        <v>7500</v>
      </c>
      <c r="G23" s="1">
        <f t="shared" si="0"/>
        <v>450000</v>
      </c>
      <c r="H23" s="1">
        <v>7500</v>
      </c>
      <c r="I23" s="1">
        <v>450000</v>
      </c>
    </row>
    <row r="24" spans="1:9" x14ac:dyDescent="0.3">
      <c r="A24" t="s">
        <v>26</v>
      </c>
      <c r="B24" t="s">
        <v>27</v>
      </c>
      <c r="C24">
        <v>200</v>
      </c>
      <c r="D24" s="6">
        <v>45607</v>
      </c>
      <c r="E24" t="s">
        <v>207</v>
      </c>
      <c r="F24" s="1">
        <v>6000</v>
      </c>
      <c r="G24" s="1">
        <f t="shared" si="0"/>
        <v>1200000</v>
      </c>
      <c r="H24" s="1">
        <v>6000</v>
      </c>
      <c r="I24" s="1">
        <v>1200000</v>
      </c>
    </row>
    <row r="25" spans="1:9" x14ac:dyDescent="0.3">
      <c r="A25" t="s">
        <v>51</v>
      </c>
      <c r="B25" t="s">
        <v>9</v>
      </c>
      <c r="C25">
        <v>42</v>
      </c>
      <c r="D25" s="6">
        <v>45607</v>
      </c>
      <c r="E25" t="s">
        <v>208</v>
      </c>
      <c r="F25" s="1">
        <f>VLOOKUP(E25,'[1]TIỀN MUA PHỤ'!$A:$B,2,0)/4</f>
        <v>6500</v>
      </c>
      <c r="G25" s="1">
        <f t="shared" si="0"/>
        <v>273000</v>
      </c>
      <c r="H25" s="1">
        <v>6500</v>
      </c>
      <c r="I25" s="1">
        <v>273000</v>
      </c>
    </row>
    <row r="26" spans="1:9" x14ac:dyDescent="0.3">
      <c r="A26" t="s">
        <v>103</v>
      </c>
      <c r="B26" t="s">
        <v>48</v>
      </c>
      <c r="C26">
        <v>5</v>
      </c>
      <c r="D26" s="6">
        <v>45607</v>
      </c>
      <c r="E26" t="s">
        <v>209</v>
      </c>
      <c r="F26" s="1">
        <f>VLOOKUP(E26,'[1]TIỀN MUA PHỤ'!$A:$B,2,0)</f>
        <v>13000</v>
      </c>
      <c r="G26" s="1">
        <f t="shared" si="0"/>
        <v>65000</v>
      </c>
      <c r="H26" s="1">
        <v>13000</v>
      </c>
      <c r="I26" s="1">
        <v>65000</v>
      </c>
    </row>
    <row r="27" spans="1:9" x14ac:dyDescent="0.3">
      <c r="A27" t="s">
        <v>12</v>
      </c>
      <c r="B27" t="s">
        <v>7</v>
      </c>
      <c r="C27">
        <v>60</v>
      </c>
      <c r="D27" s="6">
        <v>45607</v>
      </c>
      <c r="E27" t="s">
        <v>210</v>
      </c>
      <c r="F27" s="1">
        <v>22000</v>
      </c>
      <c r="G27" s="1">
        <f t="shared" si="0"/>
        <v>1320000</v>
      </c>
      <c r="H27" s="1">
        <v>22000</v>
      </c>
      <c r="I27" s="1">
        <v>1320000</v>
      </c>
    </row>
    <row r="28" spans="1:9" x14ac:dyDescent="0.3">
      <c r="A28" t="s">
        <v>91</v>
      </c>
      <c r="B28" t="s">
        <v>7</v>
      </c>
      <c r="C28">
        <v>20</v>
      </c>
      <c r="D28" s="6">
        <v>45607</v>
      </c>
      <c r="E28" t="s">
        <v>211</v>
      </c>
      <c r="F28" s="1">
        <f>VLOOKUP(E28,'[1]TIỀN MUA PHỤ'!$A:$B,2,0)</f>
        <v>20000</v>
      </c>
      <c r="G28" s="1">
        <f t="shared" si="0"/>
        <v>400000</v>
      </c>
      <c r="H28" s="1">
        <v>20000</v>
      </c>
      <c r="I28" s="1">
        <v>400000</v>
      </c>
    </row>
    <row r="29" spans="1:9" x14ac:dyDescent="0.3">
      <c r="A29" t="s">
        <v>13</v>
      </c>
      <c r="B29" t="s">
        <v>7</v>
      </c>
      <c r="C29">
        <v>100</v>
      </c>
      <c r="D29" s="6">
        <v>45607</v>
      </c>
      <c r="E29" t="s">
        <v>212</v>
      </c>
      <c r="F29" s="1">
        <v>23000</v>
      </c>
      <c r="G29" s="1">
        <f t="shared" si="0"/>
        <v>2300000</v>
      </c>
      <c r="H29" s="1">
        <v>23000</v>
      </c>
      <c r="I29" s="1">
        <v>2300000</v>
      </c>
    </row>
    <row r="30" spans="1:9" x14ac:dyDescent="0.3">
      <c r="A30" t="s">
        <v>14</v>
      </c>
      <c r="B30" t="s">
        <v>7</v>
      </c>
      <c r="C30">
        <v>100</v>
      </c>
      <c r="D30" s="6">
        <v>45607</v>
      </c>
      <c r="E30" t="s">
        <v>213</v>
      </c>
      <c r="F30" s="1">
        <f>VLOOKUP(E30,'[1]TIỀN MUA PHỤ'!$A:$B,2,0)</f>
        <v>19000</v>
      </c>
      <c r="G30" s="1">
        <f t="shared" si="0"/>
        <v>1900000</v>
      </c>
      <c r="H30" s="1">
        <v>19000</v>
      </c>
      <c r="I30" s="1">
        <v>1900000</v>
      </c>
    </row>
    <row r="31" spans="1:9" x14ac:dyDescent="0.3">
      <c r="A31" t="s">
        <v>16</v>
      </c>
      <c r="B31" t="s">
        <v>7</v>
      </c>
      <c r="C31">
        <v>10</v>
      </c>
      <c r="D31" s="6">
        <v>45607</v>
      </c>
      <c r="E31" t="s">
        <v>214</v>
      </c>
      <c r="F31" s="1">
        <f>VLOOKUP(E31,'[1]TIỀN MUA PHỤ'!$A:$B,2,0)</f>
        <v>18000</v>
      </c>
      <c r="G31" s="1">
        <f t="shared" si="0"/>
        <v>180000</v>
      </c>
      <c r="H31" s="1">
        <v>18000</v>
      </c>
      <c r="I31" s="1">
        <v>180000</v>
      </c>
    </row>
    <row r="32" spans="1:9" x14ac:dyDescent="0.3">
      <c r="A32" t="s">
        <v>87</v>
      </c>
      <c r="B32" t="s">
        <v>107</v>
      </c>
      <c r="C32">
        <v>30</v>
      </c>
      <c r="D32" s="6">
        <v>45607</v>
      </c>
      <c r="E32" t="s">
        <v>215</v>
      </c>
      <c r="F32" s="1">
        <f>VLOOKUP(E32,'[1]TIỀN MUA PHỤ'!$A:$B,2,0)*2/3</f>
        <v>6666.666666666667</v>
      </c>
      <c r="G32" s="1">
        <f t="shared" si="0"/>
        <v>200000</v>
      </c>
      <c r="H32" s="1">
        <v>6666.666666666667</v>
      </c>
      <c r="I32" s="1">
        <v>200000</v>
      </c>
    </row>
    <row r="33" spans="1:9" x14ac:dyDescent="0.3">
      <c r="A33" t="s">
        <v>95</v>
      </c>
      <c r="B33" t="s">
        <v>7</v>
      </c>
      <c r="C33">
        <v>4</v>
      </c>
      <c r="D33" s="6">
        <v>45607</v>
      </c>
      <c r="E33" t="s">
        <v>216</v>
      </c>
      <c r="F33" s="1">
        <f>VLOOKUP(E33,'[1]TIỀN MUA PHỤ'!$A:$B,2,0)</f>
        <v>80000</v>
      </c>
      <c r="G33" s="1">
        <f t="shared" si="0"/>
        <v>320000</v>
      </c>
      <c r="H33" s="1">
        <v>80000</v>
      </c>
      <c r="I33" s="1">
        <v>320000</v>
      </c>
    </row>
    <row r="34" spans="1:9" x14ac:dyDescent="0.3">
      <c r="A34" t="s">
        <v>53</v>
      </c>
      <c r="B34" t="s">
        <v>9</v>
      </c>
      <c r="C34">
        <v>760</v>
      </c>
      <c r="D34" s="6">
        <v>45607</v>
      </c>
      <c r="E34" t="s">
        <v>217</v>
      </c>
      <c r="F34" s="1">
        <f>VLOOKUP(E34,'[1]TIỀN MUA PHỤ'!$A:$B,2,0)</f>
        <v>6000</v>
      </c>
      <c r="G34" s="1">
        <f t="shared" si="0"/>
        <v>4560000</v>
      </c>
      <c r="H34" s="1">
        <v>6000</v>
      </c>
      <c r="I34" s="1">
        <v>4560000</v>
      </c>
    </row>
    <row r="35" spans="1:9" x14ac:dyDescent="0.3">
      <c r="A35" t="s">
        <v>56</v>
      </c>
      <c r="B35" t="s">
        <v>7</v>
      </c>
      <c r="C35">
        <v>10</v>
      </c>
      <c r="D35" s="6">
        <v>45607</v>
      </c>
      <c r="E35" t="s">
        <v>218</v>
      </c>
      <c r="F35" s="1">
        <v>6000</v>
      </c>
      <c r="G35" s="1">
        <f t="shared" si="0"/>
        <v>60000</v>
      </c>
      <c r="H35" s="1">
        <v>6000</v>
      </c>
      <c r="I35" s="1">
        <v>60000</v>
      </c>
    </row>
    <row r="36" spans="1:9" x14ac:dyDescent="0.3">
      <c r="A36" t="s">
        <v>28</v>
      </c>
      <c r="B36" t="s">
        <v>7</v>
      </c>
      <c r="C36">
        <v>9</v>
      </c>
      <c r="D36" s="6">
        <v>45607</v>
      </c>
      <c r="E36" t="s">
        <v>219</v>
      </c>
      <c r="F36" s="1">
        <f>VLOOKUP(E36,'[1]TIỀN MUA PHỤ'!$A:$B,2,0)</f>
        <v>38000</v>
      </c>
      <c r="G36" s="1">
        <f t="shared" si="0"/>
        <v>342000</v>
      </c>
      <c r="H36" s="1">
        <v>38000</v>
      </c>
      <c r="I36" s="1">
        <v>342000</v>
      </c>
    </row>
    <row r="37" spans="1:9" x14ac:dyDescent="0.3">
      <c r="A37" t="s">
        <v>28</v>
      </c>
      <c r="B37" t="s">
        <v>27</v>
      </c>
      <c r="C37">
        <v>70</v>
      </c>
      <c r="D37" s="6">
        <v>45607</v>
      </c>
      <c r="E37" t="s">
        <v>219</v>
      </c>
      <c r="F37" s="1">
        <f>F36/5</f>
        <v>7600</v>
      </c>
      <c r="G37" s="1">
        <f t="shared" si="0"/>
        <v>532000</v>
      </c>
      <c r="H37" s="1">
        <v>7600</v>
      </c>
      <c r="I37" s="1">
        <v>532000</v>
      </c>
    </row>
    <row r="38" spans="1:9" x14ac:dyDescent="0.3">
      <c r="A38" t="s">
        <v>73</v>
      </c>
      <c r="B38" t="s">
        <v>7</v>
      </c>
      <c r="C38">
        <v>4</v>
      </c>
      <c r="D38" s="6">
        <v>45607</v>
      </c>
      <c r="E38" t="s">
        <v>220</v>
      </c>
      <c r="F38" s="1">
        <f>VLOOKUP(E38,'[1]TIỀN MUA PHỤ'!$A:$B,2,0)</f>
        <v>29000</v>
      </c>
      <c r="G38" s="1">
        <f t="shared" si="0"/>
        <v>116000</v>
      </c>
      <c r="H38" s="1">
        <v>29000</v>
      </c>
      <c r="I38" s="1">
        <v>116000</v>
      </c>
    </row>
    <row r="39" spans="1:9" x14ac:dyDescent="0.3">
      <c r="A39" t="s">
        <v>29</v>
      </c>
      <c r="B39" t="s">
        <v>22</v>
      </c>
      <c r="C39">
        <v>300</v>
      </c>
      <c r="D39" s="6">
        <v>45607</v>
      </c>
      <c r="E39" t="s">
        <v>221</v>
      </c>
      <c r="F39" s="1">
        <v>2000</v>
      </c>
      <c r="G39" s="1">
        <f t="shared" si="0"/>
        <v>600000</v>
      </c>
      <c r="H39" s="1">
        <v>2000</v>
      </c>
      <c r="I39" s="1">
        <v>600000</v>
      </c>
    </row>
    <row r="40" spans="1:9" x14ac:dyDescent="0.3">
      <c r="A40" t="s">
        <v>31</v>
      </c>
      <c r="B40" t="s">
        <v>7</v>
      </c>
      <c r="C40">
        <v>2</v>
      </c>
      <c r="D40" s="6">
        <v>45607</v>
      </c>
      <c r="E40" t="s">
        <v>222</v>
      </c>
      <c r="F40" s="1">
        <f>VLOOKUP(E40,'[1]TIỀN MUA PHỤ'!$A:$B,2,0)</f>
        <v>32000</v>
      </c>
      <c r="G40" s="1">
        <f t="shared" si="0"/>
        <v>64000</v>
      </c>
      <c r="H40" s="1">
        <v>32000</v>
      </c>
      <c r="I40" s="1">
        <v>64000</v>
      </c>
    </row>
    <row r="41" spans="1:9" x14ac:dyDescent="0.3">
      <c r="A41" t="s">
        <v>32</v>
      </c>
      <c r="B41" t="s">
        <v>7</v>
      </c>
      <c r="C41">
        <v>40</v>
      </c>
      <c r="D41" s="6">
        <v>45607</v>
      </c>
      <c r="E41" t="s">
        <v>223</v>
      </c>
      <c r="F41" s="1">
        <f>VLOOKUP(E41,'[1]TIỀN MUA PHỤ'!$A:$B,2,0)</f>
        <v>57000</v>
      </c>
      <c r="G41" s="1">
        <f t="shared" si="0"/>
        <v>2280000</v>
      </c>
      <c r="H41" s="1">
        <v>57000</v>
      </c>
      <c r="I41" s="1">
        <v>2280000</v>
      </c>
    </row>
    <row r="42" spans="1:9" x14ac:dyDescent="0.3">
      <c r="A42" t="s">
        <v>109</v>
      </c>
      <c r="B42" t="s">
        <v>9</v>
      </c>
      <c r="C42">
        <v>6</v>
      </c>
      <c r="D42" s="6">
        <v>45607</v>
      </c>
      <c r="E42" t="s">
        <v>224</v>
      </c>
      <c r="F42" s="1">
        <v>23000</v>
      </c>
      <c r="G42" s="1">
        <f t="shared" si="0"/>
        <v>138000</v>
      </c>
      <c r="H42" s="1">
        <v>23000</v>
      </c>
      <c r="I42" s="1">
        <v>138000</v>
      </c>
    </row>
    <row r="43" spans="1:9" x14ac:dyDescent="0.3">
      <c r="A43" t="s">
        <v>57</v>
      </c>
      <c r="B43" t="s">
        <v>7</v>
      </c>
      <c r="C43">
        <v>30</v>
      </c>
      <c r="D43" s="6">
        <v>45607</v>
      </c>
      <c r="E43" t="s">
        <v>225</v>
      </c>
      <c r="F43" s="1">
        <f>VLOOKUP(E43,'[1]TIỀN MUA PHỤ'!$A:$B,2,0)</f>
        <v>48000</v>
      </c>
      <c r="G43" s="1">
        <f t="shared" si="0"/>
        <v>1440000</v>
      </c>
      <c r="H43" s="1">
        <v>48000</v>
      </c>
      <c r="I43" s="1">
        <v>1440000</v>
      </c>
    </row>
    <row r="44" spans="1:9" x14ac:dyDescent="0.3">
      <c r="A44" t="s">
        <v>58</v>
      </c>
      <c r="B44" t="s">
        <v>59</v>
      </c>
      <c r="C44">
        <v>200</v>
      </c>
      <c r="D44" s="6">
        <v>45607</v>
      </c>
      <c r="E44" t="s">
        <v>226</v>
      </c>
      <c r="F44" s="1">
        <f>VLOOKUP(E44,'[1]TIỀN MUA PHỤ'!$A:$B,2,0)/4</f>
        <v>10250</v>
      </c>
      <c r="G44" s="1">
        <f t="shared" si="0"/>
        <v>2050000</v>
      </c>
      <c r="H44" s="1">
        <v>10250</v>
      </c>
      <c r="I44" s="1">
        <v>2050000</v>
      </c>
    </row>
    <row r="45" spans="1:9" x14ac:dyDescent="0.3">
      <c r="A45" t="s">
        <v>60</v>
      </c>
      <c r="B45" t="s">
        <v>7</v>
      </c>
      <c r="C45">
        <v>15</v>
      </c>
      <c r="D45" s="6">
        <v>45607</v>
      </c>
      <c r="E45" t="s">
        <v>227</v>
      </c>
      <c r="F45" s="1">
        <f>VLOOKUP(E45,'[1]TIỀN MUA PHỤ'!$A:$B,2,0)</f>
        <v>58000</v>
      </c>
      <c r="G45" s="1">
        <f t="shared" si="0"/>
        <v>870000</v>
      </c>
      <c r="H45" s="1">
        <v>58000</v>
      </c>
      <c r="I45" s="1">
        <v>870000</v>
      </c>
    </row>
    <row r="46" spans="1:9" x14ac:dyDescent="0.3">
      <c r="A46" t="s">
        <v>61</v>
      </c>
      <c r="B46" t="s">
        <v>59</v>
      </c>
      <c r="C46">
        <v>120</v>
      </c>
      <c r="D46" s="6">
        <v>45607</v>
      </c>
      <c r="E46" t="s">
        <v>228</v>
      </c>
      <c r="F46" s="1">
        <f>VLOOKUP(E46,'[1]TIỀN MUA PHỤ'!$A:$B,2,0)/4</f>
        <v>5000</v>
      </c>
      <c r="G46" s="1">
        <f t="shared" si="0"/>
        <v>600000</v>
      </c>
      <c r="H46" s="1">
        <v>5000</v>
      </c>
      <c r="I46" s="1">
        <v>600000</v>
      </c>
    </row>
    <row r="47" spans="1:9" x14ac:dyDescent="0.3">
      <c r="A47" t="s">
        <v>62</v>
      </c>
      <c r="B47" t="s">
        <v>59</v>
      </c>
      <c r="C47">
        <v>30</v>
      </c>
      <c r="D47" s="6">
        <v>45607</v>
      </c>
      <c r="E47" t="s">
        <v>229</v>
      </c>
      <c r="F47" s="1">
        <f>VLOOKUP(E47,'[1]TIỀN MUA PHỤ'!$A:$B,2,0)/4</f>
        <v>7000</v>
      </c>
      <c r="G47" s="1">
        <f t="shared" si="0"/>
        <v>210000</v>
      </c>
      <c r="H47" s="1">
        <v>7000</v>
      </c>
      <c r="I47" s="1">
        <v>210000</v>
      </c>
    </row>
    <row r="48" spans="1:9" x14ac:dyDescent="0.3">
      <c r="A48" t="s">
        <v>97</v>
      </c>
      <c r="B48" t="s">
        <v>22</v>
      </c>
      <c r="C48">
        <v>295</v>
      </c>
      <c r="D48" s="6">
        <v>45607</v>
      </c>
      <c r="E48" t="s">
        <v>230</v>
      </c>
      <c r="F48" s="1">
        <v>22000</v>
      </c>
      <c r="G48" s="1">
        <f t="shared" si="0"/>
        <v>6490000</v>
      </c>
      <c r="H48" s="1">
        <v>22000</v>
      </c>
      <c r="I48" s="1">
        <v>6490000</v>
      </c>
    </row>
    <row r="49" spans="1:9" x14ac:dyDescent="0.3">
      <c r="A49" t="s">
        <v>66</v>
      </c>
      <c r="B49" t="s">
        <v>48</v>
      </c>
      <c r="C49">
        <v>5</v>
      </c>
      <c r="D49" s="6">
        <v>45607</v>
      </c>
      <c r="E49" t="s">
        <v>231</v>
      </c>
      <c r="F49" s="1">
        <f>VLOOKUP(E49,'[1]TIỀN MUA PHỤ'!$A:$B,2,0)</f>
        <v>35000</v>
      </c>
      <c r="G49" s="1">
        <f t="shared" si="0"/>
        <v>175000</v>
      </c>
      <c r="H49" s="1">
        <v>35000</v>
      </c>
      <c r="I49" s="1">
        <v>175000</v>
      </c>
    </row>
    <row r="50" spans="1:9" x14ac:dyDescent="0.3">
      <c r="A50" t="s">
        <v>113</v>
      </c>
      <c r="B50" t="s">
        <v>7</v>
      </c>
      <c r="C50">
        <v>5</v>
      </c>
      <c r="D50" s="6">
        <v>45607</v>
      </c>
      <c r="E50" t="s">
        <v>232</v>
      </c>
      <c r="F50" s="1">
        <f>VLOOKUP(E50,'[1]TIỀN MUA PHỤ'!$A:$B,2,0)</f>
        <v>50000</v>
      </c>
      <c r="G50" s="1">
        <f t="shared" si="0"/>
        <v>250000</v>
      </c>
      <c r="H50" s="1">
        <v>50000</v>
      </c>
      <c r="I50" s="1">
        <v>250000</v>
      </c>
    </row>
    <row r="51" spans="1:9" x14ac:dyDescent="0.3">
      <c r="A51" t="s">
        <v>34</v>
      </c>
      <c r="B51" t="s">
        <v>7</v>
      </c>
      <c r="C51">
        <v>98</v>
      </c>
      <c r="D51" s="6">
        <v>45607</v>
      </c>
      <c r="E51" t="s">
        <v>233</v>
      </c>
      <c r="F51" s="1">
        <f>VLOOKUP(E51,'[1]TIỀN MUA PHỤ'!$A:$B,2,0)</f>
        <v>30000</v>
      </c>
      <c r="G51" s="1">
        <f t="shared" si="0"/>
        <v>2940000</v>
      </c>
      <c r="H51" s="1">
        <v>30000</v>
      </c>
      <c r="I51" s="1">
        <v>2940000</v>
      </c>
    </row>
    <row r="52" spans="1:9" x14ac:dyDescent="0.3">
      <c r="A52" t="s">
        <v>35</v>
      </c>
      <c r="B52" t="s">
        <v>7</v>
      </c>
      <c r="C52">
        <v>30</v>
      </c>
      <c r="D52" s="6">
        <v>45607</v>
      </c>
      <c r="E52" t="s">
        <v>234</v>
      </c>
      <c r="F52" s="1">
        <f>VLOOKUP(E52,'[1]TIỀN MUA PHỤ'!$A:$B,2,0)</f>
        <v>28000</v>
      </c>
      <c r="G52" s="1">
        <f t="shared" si="0"/>
        <v>840000</v>
      </c>
      <c r="H52" s="1">
        <v>28000</v>
      </c>
      <c r="I52" s="1">
        <v>840000</v>
      </c>
    </row>
    <row r="53" spans="1:9" x14ac:dyDescent="0.3">
      <c r="A53" t="s">
        <v>36</v>
      </c>
      <c r="B53" t="s">
        <v>27</v>
      </c>
      <c r="C53">
        <v>150</v>
      </c>
      <c r="D53" s="6">
        <v>45607</v>
      </c>
      <c r="E53" t="s">
        <v>235</v>
      </c>
      <c r="F53" s="1">
        <f>VLOOKUP(E53,'[1]TIỀN MUA PHỤ'!$A:$B,2,0)</f>
        <v>6800</v>
      </c>
      <c r="G53" s="1">
        <f t="shared" si="0"/>
        <v>1020000</v>
      </c>
      <c r="H53" s="1">
        <v>6800</v>
      </c>
      <c r="I53" s="1">
        <v>1020000</v>
      </c>
    </row>
    <row r="54" spans="1:9" x14ac:dyDescent="0.3">
      <c r="A54" t="s">
        <v>40</v>
      </c>
      <c r="B54" t="s">
        <v>7</v>
      </c>
      <c r="C54">
        <v>50</v>
      </c>
      <c r="D54" s="6">
        <v>45607</v>
      </c>
      <c r="E54" t="s">
        <v>236</v>
      </c>
      <c r="F54" s="1">
        <v>28000</v>
      </c>
      <c r="G54" s="1">
        <f t="shared" si="0"/>
        <v>1400000</v>
      </c>
      <c r="H54" s="1">
        <v>28000</v>
      </c>
      <c r="I54" s="1">
        <v>1400000</v>
      </c>
    </row>
    <row r="55" spans="1:9" x14ac:dyDescent="0.3">
      <c r="A55" t="s">
        <v>38</v>
      </c>
      <c r="B55" t="s">
        <v>27</v>
      </c>
      <c r="C55">
        <v>30</v>
      </c>
      <c r="D55" s="6">
        <v>45607</v>
      </c>
      <c r="E55" t="s">
        <v>237</v>
      </c>
      <c r="F55" s="1">
        <f>VLOOKUP(E55,'[1]TIỀN MUA PHỤ'!$A:$B,2,0)</f>
        <v>6800</v>
      </c>
      <c r="G55" s="1">
        <f t="shared" si="0"/>
        <v>204000</v>
      </c>
      <c r="H55" s="1">
        <v>6800</v>
      </c>
      <c r="I55" s="1">
        <v>204000</v>
      </c>
    </row>
    <row r="56" spans="1:9" x14ac:dyDescent="0.3">
      <c r="A56" t="s">
        <v>39</v>
      </c>
      <c r="B56" t="s">
        <v>7</v>
      </c>
      <c r="C56">
        <v>40</v>
      </c>
      <c r="D56" s="6">
        <v>45607</v>
      </c>
      <c r="E56" t="s">
        <v>238</v>
      </c>
      <c r="F56" s="1">
        <f>VLOOKUP(E56,'[1]TIỀN MUA PHỤ'!$A:$B,2,0)</f>
        <v>38000</v>
      </c>
      <c r="G56" s="1">
        <f t="shared" si="0"/>
        <v>1520000</v>
      </c>
      <c r="H56" s="1">
        <v>38000</v>
      </c>
      <c r="I56" s="1">
        <v>1520000</v>
      </c>
    </row>
    <row r="57" spans="1:9" x14ac:dyDescent="0.3">
      <c r="A57" t="s">
        <v>84</v>
      </c>
      <c r="B57" t="s">
        <v>27</v>
      </c>
      <c r="C57">
        <v>10</v>
      </c>
      <c r="D57" s="6">
        <v>45607</v>
      </c>
      <c r="E57" t="s">
        <v>239</v>
      </c>
      <c r="F57" s="1">
        <f>VLOOKUP(E57,'[1]TIỀN MUA PHỤ'!$A:$B,2,0)</f>
        <v>6800</v>
      </c>
      <c r="G57" s="1">
        <f t="shared" si="0"/>
        <v>68000</v>
      </c>
      <c r="H57" s="1">
        <v>6800</v>
      </c>
      <c r="I57" s="1">
        <v>68000</v>
      </c>
    </row>
    <row r="58" spans="1:9" x14ac:dyDescent="0.3">
      <c r="A58" t="s">
        <v>19</v>
      </c>
      <c r="B58" t="s">
        <v>7</v>
      </c>
      <c r="C58">
        <v>50</v>
      </c>
      <c r="D58" s="6">
        <v>45607</v>
      </c>
      <c r="E58" t="s">
        <v>240</v>
      </c>
      <c r="F58" s="1">
        <f>VLOOKUP(E58,'[1]TIỀN MUA PHỤ'!$A:$B,2,0)</f>
        <v>11000</v>
      </c>
      <c r="G58" s="1">
        <f t="shared" si="0"/>
        <v>550000</v>
      </c>
      <c r="H58" s="1">
        <v>11000</v>
      </c>
      <c r="I58" s="1">
        <v>550000</v>
      </c>
    </row>
    <row r="59" spans="1:9" x14ac:dyDescent="0.3">
      <c r="A59" t="s">
        <v>89</v>
      </c>
      <c r="B59" t="s">
        <v>7</v>
      </c>
      <c r="C59">
        <v>120</v>
      </c>
      <c r="D59" s="6">
        <v>45607</v>
      </c>
      <c r="E59" t="s">
        <v>198</v>
      </c>
      <c r="F59" s="1">
        <f>VLOOKUP(E59,'[1]TIỀN MUA PHỤ'!$A:$B,2,0)</f>
        <v>21000</v>
      </c>
      <c r="G59" s="1">
        <f t="shared" si="0"/>
        <v>2520000</v>
      </c>
      <c r="H59" s="1">
        <v>21000</v>
      </c>
      <c r="I59" s="1">
        <v>2520000</v>
      </c>
    </row>
    <row r="60" spans="1:9" x14ac:dyDescent="0.3">
      <c r="A60" t="s">
        <v>26</v>
      </c>
      <c r="B60" t="s">
        <v>7</v>
      </c>
      <c r="C60">
        <v>89</v>
      </c>
      <c r="D60" s="6">
        <v>45607</v>
      </c>
      <c r="E60" t="s">
        <v>207</v>
      </c>
      <c r="F60" s="1">
        <f>VLOOKUP(E60,'[1]TIỀN MUA PHỤ'!$A:$B,2,0)</f>
        <v>10000</v>
      </c>
      <c r="G60" s="1">
        <f t="shared" si="0"/>
        <v>890000</v>
      </c>
      <c r="H60" s="1">
        <v>10000</v>
      </c>
      <c r="I60" s="1">
        <v>890000</v>
      </c>
    </row>
    <row r="61" spans="1:9" x14ac:dyDescent="0.3">
      <c r="A61" t="s">
        <v>104</v>
      </c>
      <c r="B61" t="s">
        <v>22</v>
      </c>
      <c r="C61">
        <v>60</v>
      </c>
      <c r="D61" s="6">
        <v>45607</v>
      </c>
      <c r="E61" t="s">
        <v>241</v>
      </c>
      <c r="F61" s="1">
        <f>VLOOKUP(E61,'[1]TIỀN MUA PHỤ'!$A:$B,2,0)</f>
        <v>6000</v>
      </c>
      <c r="G61" s="1">
        <f t="shared" si="0"/>
        <v>360000</v>
      </c>
      <c r="H61" s="1">
        <v>6000</v>
      </c>
      <c r="I61" s="1">
        <v>360000</v>
      </c>
    </row>
    <row r="62" spans="1:9" x14ac:dyDescent="0.3">
      <c r="A62" t="s">
        <v>56</v>
      </c>
      <c r="B62" t="s">
        <v>7</v>
      </c>
      <c r="C62">
        <v>42</v>
      </c>
      <c r="D62" s="6">
        <v>45607</v>
      </c>
      <c r="E62" t="s">
        <v>218</v>
      </c>
      <c r="F62" s="1">
        <f>VLOOKUP(E62,'[1]TIỀN MUA PHỤ'!$A:$B,2,0)</f>
        <v>9000</v>
      </c>
      <c r="G62" s="1">
        <f t="shared" si="0"/>
        <v>378000</v>
      </c>
      <c r="H62" s="1">
        <v>9000</v>
      </c>
      <c r="I62" s="1">
        <v>378000</v>
      </c>
    </row>
    <row r="63" spans="1:9" x14ac:dyDescent="0.3">
      <c r="A63" t="s">
        <v>13</v>
      </c>
      <c r="B63" t="s">
        <v>7</v>
      </c>
      <c r="C63">
        <v>2.5</v>
      </c>
      <c r="D63" s="6">
        <v>45607</v>
      </c>
      <c r="E63" t="s">
        <v>212</v>
      </c>
      <c r="F63" s="1">
        <v>23000</v>
      </c>
      <c r="G63" s="1">
        <f t="shared" si="0"/>
        <v>57500</v>
      </c>
      <c r="H63" s="1">
        <v>23000</v>
      </c>
      <c r="I63" s="1">
        <v>57500</v>
      </c>
    </row>
    <row r="64" spans="1:9" x14ac:dyDescent="0.3">
      <c r="A64" t="s">
        <v>93</v>
      </c>
      <c r="B64" t="s">
        <v>7</v>
      </c>
      <c r="C64">
        <v>15.5</v>
      </c>
      <c r="D64" s="6">
        <v>45607</v>
      </c>
      <c r="E64" t="s">
        <v>242</v>
      </c>
      <c r="F64" s="1">
        <f>VLOOKUP(E64,'[1]TIỀN MUA PHỤ'!$A:$B,2,0)</f>
        <v>15000</v>
      </c>
      <c r="G64" s="1">
        <f t="shared" si="0"/>
        <v>232500</v>
      </c>
      <c r="H64" s="1">
        <v>15000</v>
      </c>
      <c r="I64" s="1">
        <v>232500</v>
      </c>
    </row>
    <row r="65" spans="1:9" x14ac:dyDescent="0.3">
      <c r="A65" t="s">
        <v>109</v>
      </c>
      <c r="B65" t="s">
        <v>7</v>
      </c>
      <c r="C65">
        <v>31.5</v>
      </c>
      <c r="D65" s="6">
        <v>45607</v>
      </c>
      <c r="E65" t="s">
        <v>224</v>
      </c>
      <c r="F65" s="1">
        <f>88000/3</f>
        <v>29333.333333333332</v>
      </c>
      <c r="G65" s="1">
        <f t="shared" si="0"/>
        <v>924000</v>
      </c>
      <c r="H65" s="1">
        <v>29333.333333333332</v>
      </c>
      <c r="I65" s="1">
        <v>924000</v>
      </c>
    </row>
    <row r="66" spans="1:9" x14ac:dyDescent="0.3">
      <c r="A66" t="s">
        <v>58</v>
      </c>
      <c r="B66" t="s">
        <v>7</v>
      </c>
      <c r="C66">
        <v>14</v>
      </c>
      <c r="D66" s="6">
        <v>45607</v>
      </c>
      <c r="E66" t="s">
        <v>226</v>
      </c>
      <c r="F66" s="1">
        <f>VLOOKUP(E66,'[1]TIỀN MUA PHỤ'!$A:$B,2,0)</f>
        <v>41000</v>
      </c>
      <c r="G66" s="1">
        <f t="shared" si="0"/>
        <v>574000</v>
      </c>
      <c r="H66" s="1">
        <v>41000</v>
      </c>
      <c r="I66" s="1">
        <v>574000</v>
      </c>
    </row>
    <row r="67" spans="1:9" x14ac:dyDescent="0.3">
      <c r="A67" t="s">
        <v>61</v>
      </c>
      <c r="B67" t="s">
        <v>7</v>
      </c>
      <c r="C67">
        <v>6</v>
      </c>
      <c r="D67" s="6">
        <v>45607</v>
      </c>
      <c r="E67" t="s">
        <v>228</v>
      </c>
      <c r="F67" s="1">
        <f>VLOOKUP(E67,'[1]TIỀN MUA PHỤ'!$A:$B,2,0)</f>
        <v>20000</v>
      </c>
      <c r="G67" s="1">
        <f t="shared" ref="G67:G71" si="1">F67*C67</f>
        <v>120000</v>
      </c>
      <c r="H67" s="1">
        <v>20000</v>
      </c>
      <c r="I67" s="1">
        <v>120000</v>
      </c>
    </row>
    <row r="68" spans="1:9" x14ac:dyDescent="0.3">
      <c r="A68" t="s">
        <v>62</v>
      </c>
      <c r="B68" t="s">
        <v>7</v>
      </c>
      <c r="C68">
        <v>5.5</v>
      </c>
      <c r="D68" s="6">
        <v>45607</v>
      </c>
      <c r="E68" t="s">
        <v>229</v>
      </c>
      <c r="F68" s="1">
        <f>VLOOKUP(E68,'[1]TIỀN MUA PHỤ'!$A:$B,2,0)</f>
        <v>28000</v>
      </c>
      <c r="G68" s="1">
        <f t="shared" si="1"/>
        <v>154000</v>
      </c>
      <c r="H68" s="1">
        <v>28000</v>
      </c>
      <c r="I68" s="1">
        <v>154000</v>
      </c>
    </row>
    <row r="69" spans="1:9" x14ac:dyDescent="0.3">
      <c r="A69" t="s">
        <v>23</v>
      </c>
      <c r="B69" t="s">
        <v>7</v>
      </c>
      <c r="C69">
        <v>27</v>
      </c>
      <c r="D69" s="6">
        <v>45607</v>
      </c>
      <c r="E69" t="s">
        <v>205</v>
      </c>
      <c r="F69" s="1">
        <f>VLOOKUP(E69,'[1]TIỀN MUA PHỤ'!$A:$B,2,0)</f>
        <v>33500</v>
      </c>
      <c r="G69" s="1">
        <f t="shared" si="1"/>
        <v>904500</v>
      </c>
      <c r="H69" s="1">
        <v>33500</v>
      </c>
      <c r="I69" s="1">
        <v>904500</v>
      </c>
    </row>
    <row r="70" spans="1:9" x14ac:dyDescent="0.3">
      <c r="A70" t="s">
        <v>12</v>
      </c>
      <c r="B70" t="s">
        <v>7</v>
      </c>
      <c r="C70">
        <v>29.5</v>
      </c>
      <c r="D70" s="6">
        <v>45607</v>
      </c>
      <c r="E70" t="s">
        <v>210</v>
      </c>
      <c r="F70" s="1">
        <v>22000</v>
      </c>
      <c r="G70" s="1">
        <f t="shared" si="1"/>
        <v>649000</v>
      </c>
      <c r="H70" s="1">
        <v>22000</v>
      </c>
      <c r="I70" s="1">
        <v>649000</v>
      </c>
    </row>
    <row r="71" spans="1:9" x14ac:dyDescent="0.3">
      <c r="A71" t="s">
        <v>34</v>
      </c>
      <c r="B71" t="s">
        <v>7</v>
      </c>
      <c r="C71">
        <v>16</v>
      </c>
      <c r="D71" s="6">
        <v>45607</v>
      </c>
      <c r="E71" t="s">
        <v>233</v>
      </c>
      <c r="F71" s="1">
        <f>VLOOKUP(E71,'[1]TIỀN MUA PHỤ'!$A:$B,2,0)</f>
        <v>30000</v>
      </c>
      <c r="G71" s="1">
        <f t="shared" si="1"/>
        <v>480000</v>
      </c>
      <c r="H71" s="1">
        <v>30000</v>
      </c>
      <c r="I71" s="1">
        <v>480000</v>
      </c>
    </row>
    <row r="72" spans="1:9" x14ac:dyDescent="0.3">
      <c r="G72" s="1">
        <f>SUM(G2:G71)</f>
        <v>72720250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8BE6-5208-4E0B-9FFF-0B61D3D3932E}">
  <dimension ref="A1:I52"/>
  <sheetViews>
    <sheetView topLeftCell="A37" workbookViewId="0">
      <selection activeCell="M55" sqref="M55"/>
    </sheetView>
  </sheetViews>
  <sheetFormatPr defaultRowHeight="14.4" x14ac:dyDescent="0.3"/>
  <cols>
    <col min="1" max="1" width="20" customWidth="1"/>
    <col min="4" max="4" width="10.5546875" bestFit="1" customWidth="1"/>
    <col min="5" max="5" width="26.5546875" customWidth="1"/>
    <col min="6" max="6" width="10.33203125" style="1" bestFit="1" customWidth="1"/>
    <col min="7" max="7" width="11.21875" style="1" customWidth="1"/>
    <col min="8" max="9" width="8.88671875" style="1"/>
  </cols>
  <sheetData>
    <row r="1" spans="1:9" x14ac:dyDescent="0.3">
      <c r="A1" t="s">
        <v>124</v>
      </c>
      <c r="B1" t="s">
        <v>5</v>
      </c>
      <c r="C1" t="s">
        <v>125</v>
      </c>
      <c r="D1" t="s">
        <v>130</v>
      </c>
      <c r="E1" t="s">
        <v>120</v>
      </c>
      <c r="F1" s="1" t="s">
        <v>131</v>
      </c>
      <c r="G1" s="1" t="s">
        <v>108</v>
      </c>
    </row>
    <row r="2" spans="1:9" x14ac:dyDescent="0.3">
      <c r="A2" t="s">
        <v>79</v>
      </c>
      <c r="B2" t="s">
        <v>7</v>
      </c>
      <c r="C2">
        <v>15</v>
      </c>
      <c r="D2" s="6">
        <v>45606</v>
      </c>
      <c r="E2" t="s">
        <v>243</v>
      </c>
      <c r="F2" s="1">
        <f>VLOOKUP(E2,'[1]TIỀN MUA PHỤ'!$A:$B,2,0)</f>
        <v>21000</v>
      </c>
      <c r="G2" s="1">
        <f>C2*F2</f>
        <v>315000</v>
      </c>
      <c r="H2" s="1">
        <v>21000</v>
      </c>
      <c r="I2" s="1">
        <v>315000</v>
      </c>
    </row>
    <row r="3" spans="1:9" x14ac:dyDescent="0.3">
      <c r="A3" t="s">
        <v>126</v>
      </c>
      <c r="B3" t="s">
        <v>7</v>
      </c>
      <c r="C3">
        <v>5</v>
      </c>
      <c r="D3" s="6">
        <v>45606</v>
      </c>
      <c r="E3" t="s">
        <v>244</v>
      </c>
      <c r="F3" s="1">
        <f>VLOOKUP(E3,'[1]TIỀN MUA PHỤ'!$A:$B,2,0)</f>
        <v>55000</v>
      </c>
      <c r="G3" s="1">
        <f t="shared" ref="G3:G51" si="0">C3*F3</f>
        <v>275000</v>
      </c>
      <c r="H3" s="1">
        <v>55000</v>
      </c>
      <c r="I3" s="1">
        <v>275000</v>
      </c>
    </row>
    <row r="4" spans="1:9" x14ac:dyDescent="0.3">
      <c r="A4" t="s">
        <v>69</v>
      </c>
      <c r="B4" t="s">
        <v>7</v>
      </c>
      <c r="C4">
        <v>5</v>
      </c>
      <c r="D4" s="6">
        <v>45606</v>
      </c>
      <c r="E4" t="s">
        <v>245</v>
      </c>
      <c r="F4" s="1">
        <f>VLOOKUP(E4,'[1]TIỀN MUA PHỤ'!$A:$B,2,0)</f>
        <v>60000</v>
      </c>
      <c r="G4" s="1">
        <f t="shared" si="0"/>
        <v>300000</v>
      </c>
      <c r="H4" s="1">
        <v>60000</v>
      </c>
      <c r="I4" s="1">
        <v>300000</v>
      </c>
    </row>
    <row r="5" spans="1:9" x14ac:dyDescent="0.3">
      <c r="A5" t="s">
        <v>41</v>
      </c>
      <c r="B5" t="s">
        <v>42</v>
      </c>
      <c r="C5">
        <v>300</v>
      </c>
      <c r="D5" s="6">
        <v>45606</v>
      </c>
      <c r="E5" t="s">
        <v>246</v>
      </c>
      <c r="F5" s="1">
        <f>VLOOKUP(E5,'[1]TIỀN MUA PHỤ'!$A:$B,2,0)*0.3</f>
        <v>6000</v>
      </c>
      <c r="G5" s="1">
        <f t="shared" si="0"/>
        <v>1800000</v>
      </c>
      <c r="H5" s="1">
        <v>6000</v>
      </c>
      <c r="I5" s="1">
        <v>1800000</v>
      </c>
    </row>
    <row r="6" spans="1:9" x14ac:dyDescent="0.3">
      <c r="A6" t="s">
        <v>43</v>
      </c>
      <c r="B6" t="s">
        <v>44</v>
      </c>
      <c r="C6">
        <v>90</v>
      </c>
      <c r="D6" s="6">
        <v>45606</v>
      </c>
      <c r="E6" t="s">
        <v>247</v>
      </c>
      <c r="F6" s="1">
        <f>13000*0.3</f>
        <v>3900</v>
      </c>
      <c r="G6" s="1">
        <f t="shared" si="0"/>
        <v>351000</v>
      </c>
      <c r="H6" s="1">
        <v>3900</v>
      </c>
      <c r="I6" s="1">
        <v>351000</v>
      </c>
    </row>
    <row r="7" spans="1:9" x14ac:dyDescent="0.3">
      <c r="A7" t="s">
        <v>67</v>
      </c>
      <c r="B7" t="s">
        <v>7</v>
      </c>
      <c r="C7">
        <v>75</v>
      </c>
      <c r="D7" s="6">
        <v>45606</v>
      </c>
      <c r="E7" t="s">
        <v>248</v>
      </c>
      <c r="F7" s="1">
        <f>VLOOKUP(E7,'[1]TIỀN MUA PHỤ'!$A:$B,2,0)</f>
        <v>26000</v>
      </c>
      <c r="G7" s="1">
        <f t="shared" si="0"/>
        <v>1950000</v>
      </c>
      <c r="H7" s="1">
        <v>26000</v>
      </c>
      <c r="I7" s="1">
        <v>1950000</v>
      </c>
    </row>
    <row r="8" spans="1:9" x14ac:dyDescent="0.3">
      <c r="A8" t="s">
        <v>17</v>
      </c>
      <c r="B8" t="s">
        <v>7</v>
      </c>
      <c r="C8">
        <v>50</v>
      </c>
      <c r="D8" s="6">
        <v>45606</v>
      </c>
      <c r="E8" t="s">
        <v>249</v>
      </c>
      <c r="F8" s="1">
        <f>VLOOKUP(E8,'[1]TIỀN MUA PHỤ'!$A:$B,2,0)</f>
        <v>40000</v>
      </c>
      <c r="G8" s="1">
        <f t="shared" si="0"/>
        <v>2000000</v>
      </c>
      <c r="H8" s="1">
        <v>40000</v>
      </c>
      <c r="I8" s="1">
        <v>2000000</v>
      </c>
    </row>
    <row r="9" spans="1:9" x14ac:dyDescent="0.3">
      <c r="A9" t="s">
        <v>18</v>
      </c>
      <c r="B9" t="s">
        <v>7</v>
      </c>
      <c r="C9">
        <v>10</v>
      </c>
      <c r="D9" s="6">
        <v>45606</v>
      </c>
      <c r="E9" t="s">
        <v>250</v>
      </c>
      <c r="F9" s="1">
        <f>VLOOKUP(E9,'[1]TIỀN MUA PHỤ'!$A:$B,2,0)</f>
        <v>57000</v>
      </c>
      <c r="G9" s="1">
        <f t="shared" si="0"/>
        <v>570000</v>
      </c>
      <c r="H9" s="1">
        <v>57000</v>
      </c>
      <c r="I9" s="1">
        <v>570000</v>
      </c>
    </row>
    <row r="10" spans="1:9" x14ac:dyDescent="0.3">
      <c r="A10" t="s">
        <v>45</v>
      </c>
      <c r="B10" t="s">
        <v>7</v>
      </c>
      <c r="C10">
        <v>70</v>
      </c>
      <c r="D10" s="6">
        <v>45606</v>
      </c>
      <c r="E10" t="s">
        <v>251</v>
      </c>
      <c r="F10" s="1">
        <f>VLOOKUP(E10,'[1]TIỀN MUA PHỤ'!$A:$B,2,0)</f>
        <v>23000</v>
      </c>
      <c r="G10" s="1">
        <f t="shared" si="0"/>
        <v>1610000</v>
      </c>
      <c r="H10" s="1">
        <v>23000</v>
      </c>
      <c r="I10" s="1">
        <v>1610000</v>
      </c>
    </row>
    <row r="11" spans="1:9" x14ac:dyDescent="0.3">
      <c r="A11" t="s">
        <v>89</v>
      </c>
      <c r="B11" t="s">
        <v>105</v>
      </c>
      <c r="C11">
        <v>200</v>
      </c>
      <c r="D11" s="6">
        <v>45606</v>
      </c>
      <c r="E11" t="s">
        <v>252</v>
      </c>
      <c r="F11" s="1">
        <v>11000</v>
      </c>
      <c r="G11" s="1">
        <f t="shared" si="0"/>
        <v>2200000</v>
      </c>
      <c r="H11" s="1">
        <v>11000</v>
      </c>
      <c r="I11" s="1">
        <v>2200000</v>
      </c>
    </row>
    <row r="12" spans="1:9" x14ac:dyDescent="0.3">
      <c r="A12" t="s">
        <v>70</v>
      </c>
      <c r="B12" t="s">
        <v>106</v>
      </c>
      <c r="C12">
        <v>72</v>
      </c>
      <c r="D12" s="6">
        <v>45606</v>
      </c>
      <c r="E12" t="s">
        <v>253</v>
      </c>
      <c r="F12" s="1">
        <f>33000*0.3</f>
        <v>9900</v>
      </c>
      <c r="G12" s="1">
        <f t="shared" si="0"/>
        <v>712800</v>
      </c>
      <c r="H12" s="1">
        <v>9900</v>
      </c>
      <c r="I12" s="1">
        <v>712800</v>
      </c>
    </row>
    <row r="13" spans="1:9" x14ac:dyDescent="0.3">
      <c r="A13" t="s">
        <v>47</v>
      </c>
      <c r="B13" t="s">
        <v>48</v>
      </c>
      <c r="C13">
        <v>36</v>
      </c>
      <c r="D13" s="6">
        <v>45606</v>
      </c>
      <c r="E13" t="s">
        <v>254</v>
      </c>
      <c r="F13" s="1">
        <f>56500*0.3</f>
        <v>16950</v>
      </c>
      <c r="G13" s="1">
        <f t="shared" si="0"/>
        <v>610200</v>
      </c>
      <c r="H13" s="1">
        <v>16950</v>
      </c>
      <c r="I13" s="1">
        <v>610200</v>
      </c>
    </row>
    <row r="14" spans="1:9" x14ac:dyDescent="0.3">
      <c r="A14" t="s">
        <v>49</v>
      </c>
      <c r="B14" t="s">
        <v>106</v>
      </c>
      <c r="C14">
        <v>200</v>
      </c>
      <c r="D14" s="6">
        <v>45606</v>
      </c>
      <c r="E14" t="s">
        <v>255</v>
      </c>
      <c r="F14" s="1">
        <f>VLOOKUP(E14,'[1]TIỀN MUA PHỤ'!$A:$B,2,0)*0.3</f>
        <v>13950</v>
      </c>
      <c r="G14" s="1">
        <f t="shared" si="0"/>
        <v>2790000</v>
      </c>
      <c r="H14" s="1">
        <v>13950</v>
      </c>
      <c r="I14" s="1">
        <v>2790000</v>
      </c>
    </row>
    <row r="15" spans="1:9" x14ac:dyDescent="0.3">
      <c r="A15" t="s">
        <v>50</v>
      </c>
      <c r="B15" t="s">
        <v>7</v>
      </c>
      <c r="C15">
        <v>110</v>
      </c>
      <c r="D15" s="6">
        <v>45606</v>
      </c>
      <c r="E15" t="s">
        <v>256</v>
      </c>
      <c r="F15" s="1">
        <f>VLOOKUP(E15,'[1]TIỀN MUA PHỤ'!$A:$B,2,0)</f>
        <v>16000</v>
      </c>
      <c r="G15" s="1">
        <f t="shared" si="0"/>
        <v>1760000</v>
      </c>
      <c r="H15" s="1">
        <v>16000</v>
      </c>
      <c r="I15" s="1">
        <v>1760000</v>
      </c>
    </row>
    <row r="16" spans="1:9" x14ac:dyDescent="0.3">
      <c r="A16" t="s">
        <v>6</v>
      </c>
      <c r="B16" t="s">
        <v>7</v>
      </c>
      <c r="C16">
        <v>100</v>
      </c>
      <c r="D16" s="6">
        <v>45606</v>
      </c>
      <c r="E16" t="s">
        <v>257</v>
      </c>
      <c r="F16" s="1">
        <f>VLOOKUP(E16,'[1]TIỀN MUA PHỤ'!$A:$B,2,0)</f>
        <v>16000</v>
      </c>
      <c r="G16" s="1">
        <f t="shared" si="0"/>
        <v>1600000</v>
      </c>
      <c r="H16" s="1">
        <v>16000</v>
      </c>
      <c r="I16" s="1">
        <v>1600000</v>
      </c>
    </row>
    <row r="17" spans="1:9" x14ac:dyDescent="0.3">
      <c r="A17" t="s">
        <v>8</v>
      </c>
      <c r="B17" t="s">
        <v>9</v>
      </c>
      <c r="C17">
        <v>54</v>
      </c>
      <c r="D17" s="6">
        <v>45606</v>
      </c>
      <c r="E17" t="s">
        <v>258</v>
      </c>
      <c r="F17" s="1">
        <v>11000</v>
      </c>
      <c r="G17" s="1">
        <f t="shared" si="0"/>
        <v>594000</v>
      </c>
      <c r="H17" s="1">
        <v>11000</v>
      </c>
      <c r="I17" s="1">
        <v>594000</v>
      </c>
    </row>
    <row r="18" spans="1:9" x14ac:dyDescent="0.3">
      <c r="A18" t="s">
        <v>20</v>
      </c>
      <c r="B18" t="s">
        <v>7</v>
      </c>
      <c r="C18">
        <v>40</v>
      </c>
      <c r="D18" s="6">
        <v>45606</v>
      </c>
      <c r="E18" t="s">
        <v>259</v>
      </c>
      <c r="F18" s="1">
        <v>36000</v>
      </c>
      <c r="G18" s="1">
        <f t="shared" si="0"/>
        <v>1440000</v>
      </c>
      <c r="H18" s="1">
        <v>36000</v>
      </c>
      <c r="I18" s="1">
        <v>1440000</v>
      </c>
    </row>
    <row r="19" spans="1:9" x14ac:dyDescent="0.3">
      <c r="A19" t="s">
        <v>23</v>
      </c>
      <c r="B19" t="s">
        <v>22</v>
      </c>
      <c r="C19">
        <v>150</v>
      </c>
      <c r="D19" s="6">
        <v>45606</v>
      </c>
      <c r="E19" t="s">
        <v>260</v>
      </c>
      <c r="F19" s="1">
        <f>VLOOKUP(E19,'[1]TIỀN MUA PHỤ'!$A:$B,2,0)*0.3</f>
        <v>10050</v>
      </c>
      <c r="G19" s="1">
        <f t="shared" si="0"/>
        <v>1507500</v>
      </c>
      <c r="H19" s="1">
        <v>10050</v>
      </c>
      <c r="I19" s="1">
        <v>1507500</v>
      </c>
    </row>
    <row r="20" spans="1:9" x14ac:dyDescent="0.3">
      <c r="A20" t="s">
        <v>23</v>
      </c>
      <c r="B20" t="s">
        <v>7</v>
      </c>
      <c r="C20">
        <v>2</v>
      </c>
      <c r="D20" s="6">
        <v>45606</v>
      </c>
      <c r="E20" t="s">
        <v>260</v>
      </c>
      <c r="F20" s="1">
        <f>VLOOKUP(E20,'[1]TIỀN MUA PHỤ'!$A:$B,2,0)</f>
        <v>33500</v>
      </c>
      <c r="G20" s="1">
        <f t="shared" si="0"/>
        <v>67000</v>
      </c>
      <c r="H20" s="1">
        <v>33500</v>
      </c>
      <c r="I20" s="1">
        <v>67000</v>
      </c>
    </row>
    <row r="21" spans="1:9" ht="13.2" customHeight="1" x14ac:dyDescent="0.3">
      <c r="A21" t="s">
        <v>26</v>
      </c>
      <c r="B21" t="s">
        <v>27</v>
      </c>
      <c r="C21">
        <v>200</v>
      </c>
      <c r="D21" s="6">
        <v>45606</v>
      </c>
      <c r="E21" t="s">
        <v>261</v>
      </c>
      <c r="F21" s="1">
        <v>6000</v>
      </c>
      <c r="G21" s="1">
        <f t="shared" si="0"/>
        <v>1200000</v>
      </c>
      <c r="H21" s="1">
        <v>6000</v>
      </c>
      <c r="I21" s="1">
        <v>1200000</v>
      </c>
    </row>
    <row r="22" spans="1:9" x14ac:dyDescent="0.3">
      <c r="A22" t="s">
        <v>103</v>
      </c>
      <c r="B22" t="s">
        <v>48</v>
      </c>
      <c r="D22" s="6">
        <v>45606</v>
      </c>
      <c r="E22" t="s">
        <v>262</v>
      </c>
      <c r="G22" s="1">
        <f t="shared" si="0"/>
        <v>0</v>
      </c>
      <c r="I22" s="1">
        <v>0</v>
      </c>
    </row>
    <row r="23" spans="1:9" x14ac:dyDescent="0.3">
      <c r="A23" t="s">
        <v>10</v>
      </c>
      <c r="B23" t="s">
        <v>7</v>
      </c>
      <c r="C23">
        <v>30</v>
      </c>
      <c r="D23" s="6">
        <v>45606</v>
      </c>
      <c r="E23" t="s">
        <v>263</v>
      </c>
      <c r="F23" s="1">
        <f>VLOOKUP(E23,'[1]TIỀN MUA PHỤ'!$A:$B,2,0)</f>
        <v>7000</v>
      </c>
      <c r="G23" s="1">
        <f t="shared" si="0"/>
        <v>210000</v>
      </c>
      <c r="H23" s="1">
        <v>7000</v>
      </c>
      <c r="I23" s="1">
        <v>210000</v>
      </c>
    </row>
    <row r="24" spans="1:9" x14ac:dyDescent="0.3">
      <c r="A24" t="s">
        <v>12</v>
      </c>
      <c r="B24" t="s">
        <v>7</v>
      </c>
      <c r="C24">
        <v>65</v>
      </c>
      <c r="D24" s="6">
        <v>45606</v>
      </c>
      <c r="E24" t="s">
        <v>264</v>
      </c>
      <c r="F24" s="1">
        <v>28000</v>
      </c>
      <c r="G24" s="1">
        <f t="shared" si="0"/>
        <v>1820000</v>
      </c>
      <c r="H24" s="1">
        <v>28000</v>
      </c>
      <c r="I24" s="1">
        <v>1820000</v>
      </c>
    </row>
    <row r="25" spans="1:9" x14ac:dyDescent="0.3">
      <c r="A25" t="s">
        <v>91</v>
      </c>
      <c r="B25" t="s">
        <v>7</v>
      </c>
      <c r="C25">
        <v>20</v>
      </c>
      <c r="D25" s="6">
        <v>45606</v>
      </c>
      <c r="E25" t="s">
        <v>265</v>
      </c>
      <c r="F25" s="1">
        <f>VLOOKUP(E25,'[1]TIỀN MUA PHỤ'!$A:$B,2,0)</f>
        <v>20000</v>
      </c>
      <c r="G25" s="1">
        <f t="shared" si="0"/>
        <v>400000</v>
      </c>
      <c r="H25" s="1">
        <v>20000</v>
      </c>
      <c r="I25" s="1">
        <v>400000</v>
      </c>
    </row>
    <row r="26" spans="1:9" x14ac:dyDescent="0.3">
      <c r="A26" t="s">
        <v>15</v>
      </c>
      <c r="B26" t="s">
        <v>7</v>
      </c>
      <c r="C26">
        <v>10</v>
      </c>
      <c r="D26" s="6">
        <v>45606</v>
      </c>
      <c r="E26" t="s">
        <v>266</v>
      </c>
      <c r="F26" s="1">
        <f>VLOOKUP(E26,'[1]TIỀN MUA PHỤ'!$A:$B,2,0)</f>
        <v>30000</v>
      </c>
      <c r="G26" s="1">
        <f t="shared" si="0"/>
        <v>300000</v>
      </c>
      <c r="H26" s="1">
        <v>30000</v>
      </c>
      <c r="I26" s="1">
        <v>300000</v>
      </c>
    </row>
    <row r="27" spans="1:9" x14ac:dyDescent="0.3">
      <c r="A27" t="s">
        <v>87</v>
      </c>
      <c r="B27" t="s">
        <v>107</v>
      </c>
      <c r="C27">
        <v>30</v>
      </c>
      <c r="D27" s="6">
        <v>45606</v>
      </c>
      <c r="E27" t="s">
        <v>267</v>
      </c>
      <c r="F27" s="1">
        <f>22000*0.3</f>
        <v>6600</v>
      </c>
      <c r="G27" s="1">
        <f t="shared" si="0"/>
        <v>198000</v>
      </c>
      <c r="H27" s="1">
        <v>6600</v>
      </c>
      <c r="I27" s="1">
        <v>198000</v>
      </c>
    </row>
    <row r="28" spans="1:9" x14ac:dyDescent="0.3">
      <c r="A28" t="s">
        <v>53</v>
      </c>
      <c r="B28" t="s">
        <v>9</v>
      </c>
      <c r="C28">
        <v>275</v>
      </c>
      <c r="D28" s="6">
        <v>45606</v>
      </c>
      <c r="E28" t="s">
        <v>268</v>
      </c>
      <c r="F28" s="1">
        <v>6000</v>
      </c>
      <c r="G28" s="1">
        <f t="shared" si="0"/>
        <v>1650000</v>
      </c>
      <c r="H28" s="1">
        <v>6000</v>
      </c>
      <c r="I28" s="1">
        <v>1650000</v>
      </c>
    </row>
    <row r="29" spans="1:9" x14ac:dyDescent="0.3">
      <c r="A29" t="s">
        <v>55</v>
      </c>
      <c r="B29" t="s">
        <v>22</v>
      </c>
      <c r="C29">
        <v>20</v>
      </c>
      <c r="D29" s="6">
        <v>45606</v>
      </c>
      <c r="E29" t="s">
        <v>269</v>
      </c>
      <c r="F29" s="1">
        <f>VLOOKUP(E29,'[1]TIỀN MUA PHỤ'!$A:$B,2,0)*0.6</f>
        <v>6600</v>
      </c>
      <c r="G29" s="1">
        <f t="shared" si="0"/>
        <v>132000</v>
      </c>
      <c r="H29" s="1">
        <v>6600</v>
      </c>
      <c r="I29" s="1">
        <v>132000</v>
      </c>
    </row>
    <row r="30" spans="1:9" x14ac:dyDescent="0.3">
      <c r="A30" t="s">
        <v>56</v>
      </c>
      <c r="B30" t="s">
        <v>7</v>
      </c>
      <c r="C30">
        <v>40</v>
      </c>
      <c r="D30" s="6">
        <v>45606</v>
      </c>
      <c r="E30" t="s">
        <v>270</v>
      </c>
      <c r="F30" s="1">
        <f>VLOOKUP(E30,'[1]TIỀN MUA PHỤ'!$A:$B,2,0)</f>
        <v>6000</v>
      </c>
      <c r="G30" s="1">
        <f t="shared" si="0"/>
        <v>240000</v>
      </c>
      <c r="H30" s="1">
        <v>6000</v>
      </c>
      <c r="I30" s="1">
        <v>240000</v>
      </c>
    </row>
    <row r="31" spans="1:9" x14ac:dyDescent="0.3">
      <c r="A31" t="s">
        <v>28</v>
      </c>
      <c r="B31" t="s">
        <v>27</v>
      </c>
      <c r="C31">
        <v>60</v>
      </c>
      <c r="D31" s="6">
        <v>45606</v>
      </c>
      <c r="E31" t="s">
        <v>271</v>
      </c>
      <c r="F31" s="1">
        <f>F32/5</f>
        <v>7400</v>
      </c>
      <c r="G31" s="1">
        <f t="shared" si="0"/>
        <v>444000</v>
      </c>
      <c r="H31" s="1">
        <v>7400</v>
      </c>
      <c r="I31" s="1">
        <v>444000</v>
      </c>
    </row>
    <row r="32" spans="1:9" x14ac:dyDescent="0.3">
      <c r="A32" t="s">
        <v>28</v>
      </c>
      <c r="B32" t="s">
        <v>7</v>
      </c>
      <c r="C32">
        <v>10</v>
      </c>
      <c r="D32" s="6">
        <v>45606</v>
      </c>
      <c r="E32" t="s">
        <v>271</v>
      </c>
      <c r="F32" s="1">
        <f>VLOOKUP(E32,'[1]TIỀN MUA PHỤ'!$A:$B,2,0)</f>
        <v>37000</v>
      </c>
      <c r="G32" s="1">
        <f t="shared" si="0"/>
        <v>370000</v>
      </c>
      <c r="H32" s="1">
        <v>37000</v>
      </c>
      <c r="I32" s="1">
        <v>370000</v>
      </c>
    </row>
    <row r="33" spans="1:9" x14ac:dyDescent="0.3">
      <c r="A33" t="s">
        <v>100</v>
      </c>
      <c r="B33" t="s">
        <v>22</v>
      </c>
      <c r="D33" s="6">
        <v>45606</v>
      </c>
      <c r="E33" t="s">
        <v>272</v>
      </c>
      <c r="G33" s="1">
        <f t="shared" si="0"/>
        <v>0</v>
      </c>
      <c r="I33" s="1">
        <v>0</v>
      </c>
    </row>
    <row r="34" spans="1:9" x14ac:dyDescent="0.3">
      <c r="A34" t="s">
        <v>29</v>
      </c>
      <c r="B34" t="s">
        <v>22</v>
      </c>
      <c r="C34">
        <v>233</v>
      </c>
      <c r="D34" s="6">
        <v>45606</v>
      </c>
      <c r="E34" t="s">
        <v>273</v>
      </c>
      <c r="F34" s="1">
        <v>2000</v>
      </c>
      <c r="G34" s="1">
        <f t="shared" si="0"/>
        <v>466000</v>
      </c>
      <c r="H34" s="1">
        <v>2000</v>
      </c>
      <c r="I34" s="1">
        <v>466000</v>
      </c>
    </row>
    <row r="35" spans="1:9" x14ac:dyDescent="0.3">
      <c r="A35" t="s">
        <v>32</v>
      </c>
      <c r="B35" t="s">
        <v>7</v>
      </c>
      <c r="C35">
        <v>10</v>
      </c>
      <c r="D35" s="6">
        <v>45606</v>
      </c>
      <c r="E35" t="s">
        <v>274</v>
      </c>
      <c r="F35" s="1">
        <f>VLOOKUP(E35,'[1]TIỀN MUA PHỤ'!$A:$B,2,0)</f>
        <v>53000</v>
      </c>
      <c r="G35" s="1">
        <f t="shared" si="0"/>
        <v>530000</v>
      </c>
      <c r="H35" s="1">
        <v>53000</v>
      </c>
      <c r="I35" s="1">
        <v>530000</v>
      </c>
    </row>
    <row r="36" spans="1:9" x14ac:dyDescent="0.3">
      <c r="A36" t="s">
        <v>109</v>
      </c>
      <c r="B36" t="s">
        <v>9</v>
      </c>
      <c r="C36">
        <v>5</v>
      </c>
      <c r="D36" s="6">
        <v>45606</v>
      </c>
      <c r="E36" t="s">
        <v>275</v>
      </c>
      <c r="F36" s="1">
        <v>23000</v>
      </c>
      <c r="G36" s="1">
        <f t="shared" si="0"/>
        <v>115000</v>
      </c>
      <c r="H36" s="1">
        <v>23000</v>
      </c>
      <c r="I36" s="1">
        <v>115000</v>
      </c>
    </row>
    <row r="37" spans="1:9" x14ac:dyDescent="0.3">
      <c r="A37" t="s">
        <v>58</v>
      </c>
      <c r="B37" t="s">
        <v>59</v>
      </c>
      <c r="C37">
        <v>200</v>
      </c>
      <c r="D37" s="6">
        <v>45606</v>
      </c>
      <c r="E37" t="s">
        <v>276</v>
      </c>
      <c r="F37" s="1">
        <f>VLOOKUP(E37,'[1]TIỀN MUA PHỤ'!$A:$B,2,0)/4</f>
        <v>10500</v>
      </c>
      <c r="G37" s="1">
        <f t="shared" si="0"/>
        <v>2100000</v>
      </c>
      <c r="H37" s="1">
        <v>10500</v>
      </c>
      <c r="I37" s="1">
        <v>2100000</v>
      </c>
    </row>
    <row r="38" spans="1:9" x14ac:dyDescent="0.3">
      <c r="A38" t="s">
        <v>60</v>
      </c>
      <c r="B38" t="s">
        <v>48</v>
      </c>
      <c r="C38">
        <v>9</v>
      </c>
      <c r="D38" s="6">
        <v>45606</v>
      </c>
      <c r="E38" t="s">
        <v>277</v>
      </c>
      <c r="F38" s="1">
        <f>VLOOKUP(E38,'[1]TIỀN MUA PHỤ'!$A:$B,2,0)</f>
        <v>58000</v>
      </c>
      <c r="G38" s="1">
        <f t="shared" si="0"/>
        <v>522000</v>
      </c>
      <c r="H38" s="1">
        <v>58000</v>
      </c>
      <c r="I38" s="1">
        <v>522000</v>
      </c>
    </row>
    <row r="39" spans="1:9" x14ac:dyDescent="0.3">
      <c r="A39" t="s">
        <v>61</v>
      </c>
      <c r="B39" t="s">
        <v>59</v>
      </c>
      <c r="C39">
        <v>80</v>
      </c>
      <c r="D39" s="6">
        <v>45606</v>
      </c>
      <c r="E39" t="s">
        <v>278</v>
      </c>
      <c r="F39" s="1">
        <f>VLOOKUP(E39,'[1]TIỀN MUA PHỤ'!$A:$B,2,0)/4</f>
        <v>5500</v>
      </c>
      <c r="G39" s="1">
        <f t="shared" si="0"/>
        <v>440000</v>
      </c>
      <c r="H39" s="1">
        <v>5500</v>
      </c>
      <c r="I39" s="1">
        <v>440000</v>
      </c>
    </row>
    <row r="40" spans="1:9" x14ac:dyDescent="0.3">
      <c r="A40" t="s">
        <v>62</v>
      </c>
      <c r="B40" t="s">
        <v>59</v>
      </c>
      <c r="C40">
        <v>20</v>
      </c>
      <c r="D40" s="6">
        <v>45606</v>
      </c>
      <c r="E40" t="s">
        <v>279</v>
      </c>
      <c r="F40" s="1">
        <f>28000/4</f>
        <v>7000</v>
      </c>
      <c r="G40" s="1">
        <f t="shared" si="0"/>
        <v>140000</v>
      </c>
      <c r="H40" s="1">
        <v>7000</v>
      </c>
      <c r="I40" s="1">
        <v>140000</v>
      </c>
    </row>
    <row r="41" spans="1:9" x14ac:dyDescent="0.3">
      <c r="A41" t="s">
        <v>97</v>
      </c>
      <c r="B41" t="s">
        <v>22</v>
      </c>
      <c r="C41">
        <v>150</v>
      </c>
      <c r="D41" s="6">
        <v>45606</v>
      </c>
      <c r="E41" t="s">
        <v>280</v>
      </c>
      <c r="F41" s="1">
        <f>VLOOKUP(E41,'[1]TIỀN MUA PHỤ'!$A:$B,2,0)</f>
        <v>23000</v>
      </c>
      <c r="G41" s="1">
        <f t="shared" si="0"/>
        <v>3450000</v>
      </c>
      <c r="H41" s="1">
        <v>23000</v>
      </c>
      <c r="I41" s="1">
        <v>3450000</v>
      </c>
    </row>
    <row r="42" spans="1:9" x14ac:dyDescent="0.3">
      <c r="A42" t="s">
        <v>33</v>
      </c>
      <c r="B42" t="s">
        <v>7</v>
      </c>
      <c r="C42">
        <v>10</v>
      </c>
      <c r="D42" s="6">
        <v>45606</v>
      </c>
      <c r="E42" t="s">
        <v>281</v>
      </c>
      <c r="F42" s="1">
        <f>VLOOKUP(E42,'[1]TIỀN MUA PHỤ'!$A:$B,2,0)</f>
        <v>35000</v>
      </c>
      <c r="G42" s="1">
        <f t="shared" si="0"/>
        <v>350000</v>
      </c>
      <c r="H42" s="1">
        <v>35000</v>
      </c>
      <c r="I42" s="1">
        <v>350000</v>
      </c>
    </row>
    <row r="43" spans="1:9" x14ac:dyDescent="0.3">
      <c r="A43" t="s">
        <v>66</v>
      </c>
      <c r="B43" t="s">
        <v>48</v>
      </c>
      <c r="C43">
        <v>10</v>
      </c>
      <c r="D43" s="6">
        <v>45606</v>
      </c>
      <c r="E43" t="s">
        <v>282</v>
      </c>
      <c r="F43" s="1">
        <f>VLOOKUP(E43,'[1]TIỀN MUA PHỤ'!$A:$B,2,0)</f>
        <v>35000</v>
      </c>
      <c r="G43" s="1">
        <f t="shared" si="0"/>
        <v>350000</v>
      </c>
      <c r="H43" s="1">
        <v>35000</v>
      </c>
      <c r="I43" s="1">
        <v>350000</v>
      </c>
    </row>
    <row r="44" spans="1:9" x14ac:dyDescent="0.3">
      <c r="A44" t="s">
        <v>113</v>
      </c>
      <c r="B44" t="s">
        <v>7</v>
      </c>
      <c r="C44">
        <v>5</v>
      </c>
      <c r="D44" s="6">
        <v>45606</v>
      </c>
      <c r="E44" t="s">
        <v>283</v>
      </c>
      <c r="F44" s="1">
        <f>VLOOKUP(E44,'[1]TIỀN MUA PHỤ'!$A:$B,2,0)</f>
        <v>50000</v>
      </c>
      <c r="G44" s="1">
        <f t="shared" si="0"/>
        <v>250000</v>
      </c>
      <c r="H44" s="1">
        <v>50000</v>
      </c>
      <c r="I44" s="1">
        <v>250000</v>
      </c>
    </row>
    <row r="45" spans="1:9" x14ac:dyDescent="0.3">
      <c r="A45" t="s">
        <v>34</v>
      </c>
      <c r="B45" t="s">
        <v>7</v>
      </c>
      <c r="C45">
        <v>96</v>
      </c>
      <c r="D45" s="6">
        <v>45606</v>
      </c>
      <c r="E45" t="s">
        <v>284</v>
      </c>
      <c r="F45" s="1">
        <f>VLOOKUP(E45,'[1]TIỀN MUA PHỤ'!$A:$B,2,0)</f>
        <v>30000</v>
      </c>
      <c r="G45" s="1">
        <f t="shared" si="0"/>
        <v>2880000</v>
      </c>
      <c r="H45" s="1">
        <v>30000</v>
      </c>
      <c r="I45" s="1">
        <v>2880000</v>
      </c>
    </row>
    <row r="46" spans="1:9" x14ac:dyDescent="0.3">
      <c r="A46" t="s">
        <v>35</v>
      </c>
      <c r="B46" t="s">
        <v>7</v>
      </c>
      <c r="C46">
        <v>60</v>
      </c>
      <c r="D46" s="6">
        <v>45606</v>
      </c>
      <c r="E46" t="s">
        <v>285</v>
      </c>
      <c r="F46" s="1">
        <f>VLOOKUP(E46,'[1]TIỀN MUA PHỤ'!$A:$B,2,0)</f>
        <v>28000</v>
      </c>
      <c r="G46" s="1">
        <f t="shared" si="0"/>
        <v>1680000</v>
      </c>
      <c r="H46" s="1">
        <v>28000</v>
      </c>
      <c r="I46" s="1">
        <v>1680000</v>
      </c>
    </row>
    <row r="47" spans="1:9" x14ac:dyDescent="0.3">
      <c r="A47" t="s">
        <v>36</v>
      </c>
      <c r="B47" t="s">
        <v>27</v>
      </c>
      <c r="C47">
        <v>100</v>
      </c>
      <c r="D47" s="6">
        <v>45606</v>
      </c>
      <c r="E47" t="s">
        <v>286</v>
      </c>
      <c r="F47" s="1">
        <f>VLOOKUP(E47,'[1]TIỀN MUA PHỤ'!$A:$B,2,0)</f>
        <v>6800</v>
      </c>
      <c r="G47" s="1">
        <f t="shared" si="0"/>
        <v>680000</v>
      </c>
      <c r="H47" s="1">
        <v>6800</v>
      </c>
      <c r="I47" s="1">
        <v>680000</v>
      </c>
    </row>
    <row r="48" spans="1:9" x14ac:dyDescent="0.3">
      <c r="A48" t="s">
        <v>40</v>
      </c>
      <c r="B48" t="s">
        <v>7</v>
      </c>
      <c r="C48">
        <v>40</v>
      </c>
      <c r="D48" s="6">
        <v>45606</v>
      </c>
      <c r="E48" t="s">
        <v>287</v>
      </c>
      <c r="F48" s="1">
        <v>28000</v>
      </c>
      <c r="G48" s="1">
        <f t="shared" si="0"/>
        <v>1120000</v>
      </c>
      <c r="H48" s="1">
        <v>28000</v>
      </c>
      <c r="I48" s="1">
        <v>1120000</v>
      </c>
    </row>
    <row r="49" spans="1:9" x14ac:dyDescent="0.3">
      <c r="A49" t="s">
        <v>38</v>
      </c>
      <c r="B49" t="s">
        <v>27</v>
      </c>
      <c r="C49">
        <v>20</v>
      </c>
      <c r="D49" s="6">
        <v>45606</v>
      </c>
      <c r="E49" t="s">
        <v>288</v>
      </c>
      <c r="F49" s="1">
        <f>VLOOKUP(E49,'[1]TIỀN MUA PHỤ'!$A:$B,2,0)</f>
        <v>6800</v>
      </c>
      <c r="G49" s="1">
        <f t="shared" si="0"/>
        <v>136000</v>
      </c>
      <c r="H49" s="1">
        <v>6800</v>
      </c>
      <c r="I49" s="1">
        <v>136000</v>
      </c>
    </row>
    <row r="50" spans="1:9" x14ac:dyDescent="0.3">
      <c r="A50" t="s">
        <v>39</v>
      </c>
      <c r="B50" t="s">
        <v>7</v>
      </c>
      <c r="C50">
        <v>20</v>
      </c>
      <c r="D50" s="6">
        <v>45606</v>
      </c>
      <c r="E50" t="s">
        <v>289</v>
      </c>
      <c r="F50" s="1">
        <f>VLOOKUP(E50,'[1]TIỀN MUA PHỤ'!$A:$B,2,0)</f>
        <v>38000</v>
      </c>
      <c r="G50" s="1">
        <f t="shared" si="0"/>
        <v>760000</v>
      </c>
      <c r="H50" s="1">
        <v>38000</v>
      </c>
      <c r="I50" s="1">
        <v>760000</v>
      </c>
    </row>
    <row r="51" spans="1:9" x14ac:dyDescent="0.3">
      <c r="A51" t="s">
        <v>84</v>
      </c>
      <c r="B51" t="s">
        <v>27</v>
      </c>
      <c r="C51">
        <v>20</v>
      </c>
      <c r="D51" s="6">
        <v>45606</v>
      </c>
      <c r="E51" t="s">
        <v>290</v>
      </c>
      <c r="F51" s="1">
        <f>VLOOKUP(E51,'[1]TIỀN MUA PHỤ'!$A:$B,2,0)</f>
        <v>6800</v>
      </c>
      <c r="G51" s="1">
        <f t="shared" si="0"/>
        <v>136000</v>
      </c>
      <c r="H51" s="1">
        <v>6800</v>
      </c>
      <c r="I51" s="1">
        <v>136000</v>
      </c>
    </row>
    <row r="52" spans="1:9" x14ac:dyDescent="0.3">
      <c r="G52" s="1">
        <f>SUM(G2:G51)</f>
        <v>45521500</v>
      </c>
      <c r="I52" s="1">
        <v>45521500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3883-D9A0-4C67-9209-973EA322351B}">
  <dimension ref="A1:I80"/>
  <sheetViews>
    <sheetView topLeftCell="A60" workbookViewId="0">
      <selection activeCell="G80" sqref="G80"/>
    </sheetView>
  </sheetViews>
  <sheetFormatPr defaultRowHeight="14.4" x14ac:dyDescent="0.3"/>
  <cols>
    <col min="1" max="1" width="20.21875" customWidth="1"/>
    <col min="4" max="4" width="10.5546875" bestFit="1" customWidth="1"/>
    <col min="5" max="5" width="22.21875" customWidth="1"/>
    <col min="6" max="6" width="13.21875" style="1" customWidth="1"/>
    <col min="7" max="7" width="14.5546875" style="1" customWidth="1"/>
    <col min="8" max="9" width="8.88671875" style="1"/>
  </cols>
  <sheetData>
    <row r="1" spans="1:7" x14ac:dyDescent="0.3">
      <c r="A1" t="s">
        <v>124</v>
      </c>
      <c r="B1" t="s">
        <v>5</v>
      </c>
      <c r="C1" t="s">
        <v>125</v>
      </c>
      <c r="D1" t="s">
        <v>130</v>
      </c>
      <c r="E1" t="s">
        <v>120</v>
      </c>
      <c r="F1" s="1" t="s">
        <v>131</v>
      </c>
      <c r="G1" s="1" t="s">
        <v>108</v>
      </c>
    </row>
    <row r="2" spans="1:7" x14ac:dyDescent="0.3">
      <c r="A2" t="s">
        <v>78</v>
      </c>
      <c r="B2" t="s">
        <v>7</v>
      </c>
      <c r="C2">
        <v>15</v>
      </c>
      <c r="D2" s="6">
        <v>45605</v>
      </c>
      <c r="E2" t="s">
        <v>291</v>
      </c>
      <c r="F2" s="1">
        <f>VLOOKUP(E2,'[1]TIỀN MUA PHỤ'!$A:$B,2,0)</f>
        <v>30000</v>
      </c>
      <c r="G2" s="1">
        <f>C2*F2</f>
        <v>450000</v>
      </c>
    </row>
    <row r="3" spans="1:7" x14ac:dyDescent="0.3">
      <c r="A3" t="s">
        <v>80</v>
      </c>
      <c r="B3" t="s">
        <v>7</v>
      </c>
      <c r="C3">
        <v>3</v>
      </c>
      <c r="D3" s="6">
        <v>45605</v>
      </c>
      <c r="E3" t="s">
        <v>292</v>
      </c>
      <c r="F3" s="1">
        <f>VLOOKUP(E3,'[1]TIỀN MUA PHỤ'!$A:$B,2,0)</f>
        <v>7000</v>
      </c>
      <c r="G3" s="1">
        <f t="shared" ref="G3:G66" si="0">C3*F3</f>
        <v>21000</v>
      </c>
    </row>
    <row r="4" spans="1:7" x14ac:dyDescent="0.3">
      <c r="A4" t="s">
        <v>41</v>
      </c>
      <c r="B4" t="s">
        <v>7</v>
      </c>
      <c r="C4">
        <v>15</v>
      </c>
      <c r="D4" s="6">
        <v>45605</v>
      </c>
      <c r="E4" t="s">
        <v>293</v>
      </c>
      <c r="F4" s="1">
        <f>VLOOKUP(E4,'[1]TIỀN MUA PHỤ'!$A:$B,2,0)</f>
        <v>26000</v>
      </c>
      <c r="G4" s="1">
        <f t="shared" si="0"/>
        <v>390000</v>
      </c>
    </row>
    <row r="5" spans="1:7" x14ac:dyDescent="0.3">
      <c r="A5" t="s">
        <v>41</v>
      </c>
      <c r="B5" t="s">
        <v>42</v>
      </c>
      <c r="C5">
        <v>255</v>
      </c>
      <c r="D5" s="6">
        <v>45605</v>
      </c>
      <c r="E5" t="s">
        <v>293</v>
      </c>
      <c r="F5" s="1">
        <f>F4*0.3</f>
        <v>7800</v>
      </c>
      <c r="G5" s="1">
        <f t="shared" si="0"/>
        <v>1989000</v>
      </c>
    </row>
    <row r="6" spans="1:7" x14ac:dyDescent="0.3">
      <c r="A6" t="s">
        <v>43</v>
      </c>
      <c r="B6" t="s">
        <v>44</v>
      </c>
      <c r="C6">
        <v>195</v>
      </c>
      <c r="D6" s="6">
        <v>45605</v>
      </c>
      <c r="E6" t="s">
        <v>294</v>
      </c>
      <c r="F6" s="1">
        <f>VLOOKUP(E6,'[1]TIỀN MUA PHỤ'!$A:$B,2,0)*0.3</f>
        <v>4500</v>
      </c>
      <c r="G6" s="1">
        <f t="shared" si="0"/>
        <v>877500</v>
      </c>
    </row>
    <row r="7" spans="1:7" x14ac:dyDescent="0.3">
      <c r="A7" t="s">
        <v>67</v>
      </c>
      <c r="B7" t="s">
        <v>7</v>
      </c>
      <c r="C7">
        <v>35</v>
      </c>
      <c r="D7" s="6">
        <v>45605</v>
      </c>
      <c r="E7" t="s">
        <v>295</v>
      </c>
      <c r="F7" s="1">
        <f>VLOOKUP(E7,'[1]TIỀN MUA PHỤ'!$A:$B,2,0)</f>
        <v>26000</v>
      </c>
      <c r="G7" s="1">
        <f t="shared" si="0"/>
        <v>910000</v>
      </c>
    </row>
    <row r="8" spans="1:7" x14ac:dyDescent="0.3">
      <c r="A8" t="s">
        <v>17</v>
      </c>
      <c r="B8" t="s">
        <v>7</v>
      </c>
      <c r="C8">
        <v>49</v>
      </c>
      <c r="D8" s="6">
        <v>45605</v>
      </c>
      <c r="E8" t="s">
        <v>296</v>
      </c>
      <c r="F8" s="1">
        <f>VLOOKUP(E8,'[1]TIỀN MUA PHỤ'!$A:$B,2,0)</f>
        <v>39000</v>
      </c>
      <c r="G8" s="1">
        <f t="shared" si="0"/>
        <v>1911000</v>
      </c>
    </row>
    <row r="9" spans="1:7" x14ac:dyDescent="0.3">
      <c r="A9" t="s">
        <v>18</v>
      </c>
      <c r="B9" t="s">
        <v>9</v>
      </c>
      <c r="C9">
        <v>70</v>
      </c>
      <c r="D9" s="6">
        <v>45605</v>
      </c>
      <c r="E9" t="s">
        <v>297</v>
      </c>
      <c r="F9" s="1">
        <f>VLOOKUP(E9,'[1]TIỀN MUA PHỤ'!$A:$B,2,0)/5</f>
        <v>11400</v>
      </c>
      <c r="G9" s="1">
        <f t="shared" si="0"/>
        <v>798000</v>
      </c>
    </row>
    <row r="10" spans="1:7" x14ac:dyDescent="0.3">
      <c r="A10" t="s">
        <v>45</v>
      </c>
      <c r="B10" t="s">
        <v>7</v>
      </c>
      <c r="C10">
        <v>150</v>
      </c>
      <c r="D10" s="6">
        <v>45605</v>
      </c>
      <c r="E10" t="s">
        <v>298</v>
      </c>
      <c r="F10" s="1">
        <f>VLOOKUP(E10,'[1]TIỀN MUA PHỤ'!$A:$B,2,0)</f>
        <v>24000</v>
      </c>
      <c r="G10" s="1">
        <f t="shared" si="0"/>
        <v>3600000</v>
      </c>
    </row>
    <row r="11" spans="1:7" x14ac:dyDescent="0.3">
      <c r="A11" t="s">
        <v>89</v>
      </c>
      <c r="B11" t="s">
        <v>7</v>
      </c>
      <c r="C11">
        <v>40</v>
      </c>
      <c r="D11" s="6">
        <v>45605</v>
      </c>
      <c r="E11" t="s">
        <v>299</v>
      </c>
      <c r="F11" s="1">
        <v>22000</v>
      </c>
      <c r="G11" s="1">
        <f t="shared" si="0"/>
        <v>880000</v>
      </c>
    </row>
    <row r="12" spans="1:7" x14ac:dyDescent="0.3">
      <c r="A12" t="s">
        <v>89</v>
      </c>
      <c r="B12" t="s">
        <v>105</v>
      </c>
      <c r="C12">
        <v>67</v>
      </c>
      <c r="D12" s="6">
        <v>45605</v>
      </c>
      <c r="E12" t="s">
        <v>299</v>
      </c>
      <c r="F12" s="1">
        <v>11000</v>
      </c>
      <c r="G12" s="1">
        <f t="shared" si="0"/>
        <v>737000</v>
      </c>
    </row>
    <row r="13" spans="1:7" x14ac:dyDescent="0.3">
      <c r="A13" t="s">
        <v>70</v>
      </c>
      <c r="B13" t="s">
        <v>7</v>
      </c>
      <c r="C13">
        <v>10.5</v>
      </c>
      <c r="D13" s="6">
        <v>45605</v>
      </c>
      <c r="E13" t="s">
        <v>300</v>
      </c>
      <c r="F13" s="1">
        <v>38000</v>
      </c>
      <c r="G13" s="1">
        <f t="shared" si="0"/>
        <v>399000</v>
      </c>
    </row>
    <row r="14" spans="1:7" x14ac:dyDescent="0.3">
      <c r="A14" t="s">
        <v>70</v>
      </c>
      <c r="B14" t="s">
        <v>106</v>
      </c>
      <c r="C14">
        <v>90</v>
      </c>
      <c r="D14" s="6">
        <v>45605</v>
      </c>
      <c r="E14" t="s">
        <v>300</v>
      </c>
      <c r="F14" s="1">
        <f>VLOOKUP(E14,'[1]TIỀN MUA PHỤ'!$A:$B,2,0)</f>
        <v>11400</v>
      </c>
      <c r="G14" s="1">
        <f t="shared" si="0"/>
        <v>1026000</v>
      </c>
    </row>
    <row r="15" spans="1:7" x14ac:dyDescent="0.3">
      <c r="A15" t="s">
        <v>47</v>
      </c>
      <c r="B15" t="s">
        <v>48</v>
      </c>
      <c r="C15">
        <v>51</v>
      </c>
      <c r="D15" s="6">
        <v>45605</v>
      </c>
      <c r="E15" t="s">
        <v>301</v>
      </c>
      <c r="F15" s="1">
        <f>VLOOKUP(E15,'[1]TIỀN MUA PHỤ'!$A:$B,2,0)*0.3</f>
        <v>16500</v>
      </c>
      <c r="G15" s="1">
        <f t="shared" si="0"/>
        <v>841500</v>
      </c>
    </row>
    <row r="16" spans="1:7" x14ac:dyDescent="0.3">
      <c r="A16" t="s">
        <v>49</v>
      </c>
      <c r="B16" t="s">
        <v>106</v>
      </c>
      <c r="C16">
        <v>302</v>
      </c>
      <c r="D16" s="6">
        <v>45605</v>
      </c>
      <c r="E16" t="s">
        <v>302</v>
      </c>
      <c r="F16" s="1">
        <f>VLOOKUP(E16,'[1]TIỀN MUA PHỤ'!$A:$B,2,0)</f>
        <v>8500</v>
      </c>
      <c r="G16" s="1">
        <f t="shared" si="0"/>
        <v>2567000</v>
      </c>
    </row>
    <row r="17" spans="1:7" x14ac:dyDescent="0.3">
      <c r="A17" t="s">
        <v>50</v>
      </c>
      <c r="B17" t="s">
        <v>7</v>
      </c>
      <c r="C17">
        <v>68</v>
      </c>
      <c r="D17" s="6">
        <v>45605</v>
      </c>
      <c r="E17" t="s">
        <v>303</v>
      </c>
      <c r="F17" s="1">
        <f>VLOOKUP(E17,'[1]TIỀN MUA PHỤ'!$A:$B,2,0)</f>
        <v>16500</v>
      </c>
      <c r="G17" s="1">
        <f t="shared" si="0"/>
        <v>1122000</v>
      </c>
    </row>
    <row r="18" spans="1:7" x14ac:dyDescent="0.3">
      <c r="A18" t="s">
        <v>6</v>
      </c>
      <c r="B18" t="s">
        <v>7</v>
      </c>
      <c r="C18">
        <v>140</v>
      </c>
      <c r="D18" s="6">
        <v>45605</v>
      </c>
      <c r="E18" t="s">
        <v>304</v>
      </c>
      <c r="F18" s="1">
        <f>VLOOKUP(E18,'[1]TIỀN MUA PHỤ'!$A:$B,2,0)</f>
        <v>16500</v>
      </c>
      <c r="G18" s="1">
        <f t="shared" si="0"/>
        <v>2310000</v>
      </c>
    </row>
    <row r="19" spans="1:7" x14ac:dyDescent="0.3">
      <c r="A19" t="s">
        <v>8</v>
      </c>
      <c r="B19" t="s">
        <v>9</v>
      </c>
      <c r="C19">
        <v>40</v>
      </c>
      <c r="D19" s="6">
        <v>45605</v>
      </c>
      <c r="E19" t="s">
        <v>305</v>
      </c>
      <c r="F19" s="1">
        <v>11000</v>
      </c>
      <c r="G19" s="1">
        <f t="shared" si="0"/>
        <v>440000</v>
      </c>
    </row>
    <row r="20" spans="1:7" x14ac:dyDescent="0.3">
      <c r="A20" t="s">
        <v>115</v>
      </c>
      <c r="B20" t="s">
        <v>7</v>
      </c>
      <c r="C20">
        <v>3</v>
      </c>
      <c r="D20" s="6">
        <v>45605</v>
      </c>
      <c r="E20" t="s">
        <v>306</v>
      </c>
      <c r="F20" s="1">
        <f>VLOOKUP(E20,'[1]TIỀN MUA PHỤ'!$A:$B,2,0)</f>
        <v>45000</v>
      </c>
      <c r="G20" s="1">
        <f t="shared" si="0"/>
        <v>135000</v>
      </c>
    </row>
    <row r="21" spans="1:7" x14ac:dyDescent="0.3">
      <c r="A21" t="s">
        <v>20</v>
      </c>
      <c r="B21" t="s">
        <v>7</v>
      </c>
      <c r="C21">
        <v>70</v>
      </c>
      <c r="D21" s="6">
        <v>45605</v>
      </c>
      <c r="E21" t="s">
        <v>307</v>
      </c>
      <c r="F21" s="1">
        <f>VLOOKUP(E21,'[1]TIỀN MUA PHỤ'!$A:$B,2,0)</f>
        <v>34000</v>
      </c>
      <c r="G21" s="1">
        <f t="shared" si="0"/>
        <v>2380000</v>
      </c>
    </row>
    <row r="22" spans="1:7" x14ac:dyDescent="0.3">
      <c r="A22" t="s">
        <v>23</v>
      </c>
      <c r="B22" t="s">
        <v>22</v>
      </c>
      <c r="C22">
        <v>68</v>
      </c>
      <c r="D22" s="6">
        <v>45605</v>
      </c>
      <c r="E22" t="s">
        <v>308</v>
      </c>
      <c r="F22" s="1">
        <f>33500*0.3</f>
        <v>10050</v>
      </c>
      <c r="G22" s="1">
        <f t="shared" si="0"/>
        <v>683400</v>
      </c>
    </row>
    <row r="23" spans="1:7" x14ac:dyDescent="0.3">
      <c r="A23" t="s">
        <v>23</v>
      </c>
      <c r="B23" t="s">
        <v>24</v>
      </c>
      <c r="C23">
        <v>4</v>
      </c>
      <c r="D23" s="6">
        <v>45605</v>
      </c>
      <c r="E23" t="s">
        <v>308</v>
      </c>
      <c r="F23" s="1">
        <f>F22/2</f>
        <v>5025</v>
      </c>
      <c r="G23" s="1">
        <f t="shared" si="0"/>
        <v>20100</v>
      </c>
    </row>
    <row r="24" spans="1:7" x14ac:dyDescent="0.3">
      <c r="A24" t="s">
        <v>25</v>
      </c>
      <c r="B24" t="s">
        <v>7</v>
      </c>
      <c r="C24">
        <v>30</v>
      </c>
      <c r="D24" s="6">
        <v>45605</v>
      </c>
      <c r="E24" t="s">
        <v>309</v>
      </c>
      <c r="F24" s="1">
        <f>VLOOKUP(E24,'[1]TIỀN MUA PHỤ'!$A:$B,2,0)</f>
        <v>7500</v>
      </c>
      <c r="G24" s="1">
        <f t="shared" si="0"/>
        <v>225000</v>
      </c>
    </row>
    <row r="25" spans="1:7" x14ac:dyDescent="0.3">
      <c r="A25" t="s">
        <v>26</v>
      </c>
      <c r="B25" t="s">
        <v>27</v>
      </c>
      <c r="C25">
        <v>200</v>
      </c>
      <c r="D25" s="6">
        <v>45605</v>
      </c>
      <c r="E25" t="s">
        <v>310</v>
      </c>
      <c r="F25" s="1">
        <v>6000</v>
      </c>
      <c r="G25" s="1">
        <f t="shared" si="0"/>
        <v>1200000</v>
      </c>
    </row>
    <row r="26" spans="1:7" x14ac:dyDescent="0.3">
      <c r="A26" t="s">
        <v>51</v>
      </c>
      <c r="B26" t="s">
        <v>9</v>
      </c>
      <c r="C26">
        <v>17</v>
      </c>
      <c r="D26" s="6">
        <v>45605</v>
      </c>
      <c r="E26" t="s">
        <v>311</v>
      </c>
      <c r="F26" s="1">
        <f>VLOOKUP(E26,'[1]TIỀN MUA PHỤ'!$A:$B,2,0)/4</f>
        <v>6500</v>
      </c>
      <c r="G26" s="1">
        <f t="shared" si="0"/>
        <v>110500</v>
      </c>
    </row>
    <row r="27" spans="1:7" x14ac:dyDescent="0.3">
      <c r="A27" t="s">
        <v>103</v>
      </c>
      <c r="B27" t="s">
        <v>48</v>
      </c>
      <c r="C27">
        <v>18</v>
      </c>
      <c r="D27" s="6">
        <v>45605</v>
      </c>
      <c r="E27" t="s">
        <v>312</v>
      </c>
      <c r="F27" s="1">
        <f>VLOOKUP(E27,'[1]TIỀN MUA PHỤ'!$A:$B,2,0)</f>
        <v>13000</v>
      </c>
      <c r="G27" s="1">
        <f t="shared" si="0"/>
        <v>234000</v>
      </c>
    </row>
    <row r="28" spans="1:7" x14ac:dyDescent="0.3">
      <c r="A28" t="s">
        <v>10</v>
      </c>
      <c r="B28" t="s">
        <v>7</v>
      </c>
      <c r="C28">
        <v>22.5</v>
      </c>
      <c r="D28" s="6">
        <v>45605</v>
      </c>
      <c r="E28" t="s">
        <v>313</v>
      </c>
      <c r="F28" s="1">
        <f>VLOOKUP(E28,'[1]TIỀN MUA PHỤ'!$A:$B,2,0)</f>
        <v>7000</v>
      </c>
      <c r="G28" s="1">
        <f t="shared" si="0"/>
        <v>157500</v>
      </c>
    </row>
    <row r="29" spans="1:7" x14ac:dyDescent="0.3">
      <c r="A29" t="s">
        <v>11</v>
      </c>
      <c r="B29" t="s">
        <v>7</v>
      </c>
      <c r="C29">
        <v>16</v>
      </c>
      <c r="D29" s="6">
        <v>45605</v>
      </c>
      <c r="E29" t="s">
        <v>314</v>
      </c>
      <c r="F29" s="1">
        <f>VLOOKUP(E29,'[1]TIỀN MUA PHỤ'!$A:$B,2,0)</f>
        <v>16000</v>
      </c>
      <c r="G29" s="1">
        <f t="shared" si="0"/>
        <v>256000</v>
      </c>
    </row>
    <row r="30" spans="1:7" x14ac:dyDescent="0.3">
      <c r="A30" t="s">
        <v>14</v>
      </c>
      <c r="B30" t="s">
        <v>7</v>
      </c>
      <c r="C30">
        <v>210</v>
      </c>
      <c r="D30" s="6">
        <v>45605</v>
      </c>
      <c r="E30" t="s">
        <v>315</v>
      </c>
      <c r="F30" s="1">
        <f>VLOOKUP(E30,'[1]TIỀN MUA PHỤ'!$A:$B,2,0)</f>
        <v>19000</v>
      </c>
      <c r="G30" s="1">
        <f t="shared" si="0"/>
        <v>3990000</v>
      </c>
    </row>
    <row r="31" spans="1:7" x14ac:dyDescent="0.3">
      <c r="A31" t="s">
        <v>15</v>
      </c>
      <c r="B31" t="s">
        <v>7</v>
      </c>
      <c r="C31">
        <v>10</v>
      </c>
      <c r="D31" s="6">
        <v>45605</v>
      </c>
      <c r="E31" t="s">
        <v>316</v>
      </c>
      <c r="F31" s="1">
        <f>VLOOKUP(E31,'[1]TIỀN MUA PHỤ'!$A:$B,2,0)</f>
        <v>30000</v>
      </c>
      <c r="G31" s="1">
        <f t="shared" si="0"/>
        <v>300000</v>
      </c>
    </row>
    <row r="32" spans="1:7" x14ac:dyDescent="0.3">
      <c r="A32" t="s">
        <v>93</v>
      </c>
      <c r="B32" t="s">
        <v>7</v>
      </c>
      <c r="C32">
        <v>30</v>
      </c>
      <c r="D32" s="6">
        <v>45605</v>
      </c>
      <c r="E32" t="s">
        <v>317</v>
      </c>
      <c r="F32" s="1">
        <f>VLOOKUP(E32,'[1]TIỀN MUA PHỤ'!$A:$B,2,0)</f>
        <v>15000</v>
      </c>
      <c r="G32" s="1">
        <f t="shared" si="0"/>
        <v>450000</v>
      </c>
    </row>
    <row r="33" spans="1:7" x14ac:dyDescent="0.3">
      <c r="A33" t="s">
        <v>16</v>
      </c>
      <c r="B33" t="s">
        <v>7</v>
      </c>
      <c r="C33">
        <v>3</v>
      </c>
      <c r="D33" s="6">
        <v>45605</v>
      </c>
      <c r="E33" t="s">
        <v>318</v>
      </c>
      <c r="F33" s="1">
        <f>VLOOKUP(E33,'[1]TIỀN MUA PHỤ'!$A:$B,2,0)</f>
        <v>18000</v>
      </c>
      <c r="G33" s="1">
        <f t="shared" si="0"/>
        <v>54000</v>
      </c>
    </row>
    <row r="34" spans="1:7" x14ac:dyDescent="0.3">
      <c r="A34" t="s">
        <v>87</v>
      </c>
      <c r="B34" t="s">
        <v>107</v>
      </c>
      <c r="C34">
        <v>37</v>
      </c>
      <c r="D34" s="6">
        <v>45605</v>
      </c>
      <c r="E34" t="s">
        <v>319</v>
      </c>
      <c r="F34" s="1">
        <f>VLOOKUP(E34,'[1]TIỀN MUA PHỤ'!$A:$B,2,0)*2/3</f>
        <v>8000</v>
      </c>
      <c r="G34" s="1">
        <f t="shared" si="0"/>
        <v>296000</v>
      </c>
    </row>
    <row r="35" spans="1:7" x14ac:dyDescent="0.3">
      <c r="A35" t="s">
        <v>95</v>
      </c>
      <c r="B35" t="s">
        <v>7</v>
      </c>
      <c r="C35">
        <v>2</v>
      </c>
      <c r="D35" s="6">
        <v>45605</v>
      </c>
      <c r="E35" t="s">
        <v>320</v>
      </c>
      <c r="F35" s="1">
        <f>VLOOKUP(E35,'[1]TIỀN MUA PHỤ'!$A:$B,2,0)</f>
        <v>80000</v>
      </c>
      <c r="G35" s="1">
        <f t="shared" si="0"/>
        <v>160000</v>
      </c>
    </row>
    <row r="36" spans="1:7" x14ac:dyDescent="0.3">
      <c r="A36" t="s">
        <v>53</v>
      </c>
      <c r="B36" t="s">
        <v>9</v>
      </c>
      <c r="C36">
        <v>740</v>
      </c>
      <c r="D36" s="6">
        <v>45605</v>
      </c>
      <c r="E36" t="s">
        <v>321</v>
      </c>
      <c r="F36" s="1">
        <f>VLOOKUP(E36,'[1]TIỀN MUA PHỤ'!$A:$B,2,0)</f>
        <v>6000</v>
      </c>
      <c r="G36" s="1">
        <f t="shared" si="0"/>
        <v>4440000</v>
      </c>
    </row>
    <row r="37" spans="1:7" x14ac:dyDescent="0.3">
      <c r="A37" t="s">
        <v>55</v>
      </c>
      <c r="B37" t="s">
        <v>22</v>
      </c>
      <c r="C37">
        <v>24</v>
      </c>
      <c r="D37" s="6">
        <v>45605</v>
      </c>
      <c r="E37" t="s">
        <v>322</v>
      </c>
      <c r="F37" s="1">
        <f>VLOOKUP(E37,'[1]TIỀN MUA PHỤ'!$A:$B,2,0)*0.6</f>
        <v>6600</v>
      </c>
      <c r="G37" s="1">
        <f t="shared" si="0"/>
        <v>158400</v>
      </c>
    </row>
    <row r="38" spans="1:7" x14ac:dyDescent="0.3">
      <c r="A38" t="s">
        <v>28</v>
      </c>
      <c r="B38" t="s">
        <v>7</v>
      </c>
      <c r="C38">
        <v>4</v>
      </c>
      <c r="D38" s="6">
        <v>45605</v>
      </c>
      <c r="E38" t="s">
        <v>323</v>
      </c>
      <c r="F38" s="1">
        <f>VLOOKUP(E38,'[1]TIỀN MUA PHỤ'!$A:$B,2,0)</f>
        <v>48000</v>
      </c>
      <c r="G38" s="1">
        <f t="shared" si="0"/>
        <v>192000</v>
      </c>
    </row>
    <row r="39" spans="1:7" x14ac:dyDescent="0.3">
      <c r="A39" t="s">
        <v>28</v>
      </c>
      <c r="B39" t="s">
        <v>27</v>
      </c>
      <c r="C39">
        <v>59</v>
      </c>
      <c r="D39" s="6">
        <v>45605</v>
      </c>
      <c r="E39" t="s">
        <v>323</v>
      </c>
      <c r="F39" s="1">
        <f>VLOOKUP(E39,'[1]TIỀN MUA PHỤ'!$A:$B,2,0)/5</f>
        <v>9600</v>
      </c>
      <c r="G39" s="1">
        <f t="shared" si="0"/>
        <v>566400</v>
      </c>
    </row>
    <row r="40" spans="1:7" x14ac:dyDescent="0.3">
      <c r="A40" t="s">
        <v>99</v>
      </c>
      <c r="B40" t="s">
        <v>7</v>
      </c>
      <c r="C40">
        <v>225</v>
      </c>
      <c r="D40" s="6">
        <v>45605</v>
      </c>
      <c r="E40" t="s">
        <v>324</v>
      </c>
      <c r="F40" s="1">
        <v>20000</v>
      </c>
      <c r="G40" s="1">
        <f t="shared" si="0"/>
        <v>4500000</v>
      </c>
    </row>
    <row r="41" spans="1:7" x14ac:dyDescent="0.3">
      <c r="A41" t="s">
        <v>73</v>
      </c>
      <c r="B41" t="s">
        <v>7</v>
      </c>
      <c r="C41">
        <v>5</v>
      </c>
      <c r="D41" s="6">
        <v>45605</v>
      </c>
      <c r="E41" t="s">
        <v>325</v>
      </c>
      <c r="F41" s="1">
        <f>VLOOKUP(E41,'[1]TIỀN MUA PHỤ'!$A:$B,2,0)</f>
        <v>27000</v>
      </c>
      <c r="G41" s="1">
        <f t="shared" si="0"/>
        <v>135000</v>
      </c>
    </row>
    <row r="42" spans="1:7" x14ac:dyDescent="0.3">
      <c r="A42" t="s">
        <v>29</v>
      </c>
      <c r="B42" t="s">
        <v>22</v>
      </c>
      <c r="C42">
        <v>100</v>
      </c>
      <c r="D42" s="6">
        <v>45605</v>
      </c>
      <c r="E42" t="s">
        <v>326</v>
      </c>
      <c r="F42" s="1">
        <v>2000</v>
      </c>
      <c r="G42" s="1">
        <f t="shared" si="0"/>
        <v>200000</v>
      </c>
    </row>
    <row r="43" spans="1:7" x14ac:dyDescent="0.3">
      <c r="A43" t="s">
        <v>30</v>
      </c>
      <c r="B43" t="s">
        <v>7</v>
      </c>
      <c r="C43">
        <v>4</v>
      </c>
      <c r="D43" s="6">
        <v>45605</v>
      </c>
      <c r="E43" t="s">
        <v>327</v>
      </c>
      <c r="F43" s="1">
        <f>VLOOKUP(E43,'[1]TIỀN MUA PHỤ'!$A:$B,2,0)</f>
        <v>14000</v>
      </c>
      <c r="G43" s="1">
        <f t="shared" si="0"/>
        <v>56000</v>
      </c>
    </row>
    <row r="44" spans="1:7" x14ac:dyDescent="0.3">
      <c r="A44" t="s">
        <v>31</v>
      </c>
      <c r="B44" t="s">
        <v>7</v>
      </c>
      <c r="C44">
        <v>2</v>
      </c>
      <c r="D44" s="6">
        <v>45605</v>
      </c>
      <c r="E44" t="s">
        <v>328</v>
      </c>
      <c r="F44" s="1">
        <f>VLOOKUP(E44,'[1]TIỀN MUA PHỤ'!$A:$B,2,0)</f>
        <v>32000</v>
      </c>
      <c r="G44" s="1">
        <f t="shared" si="0"/>
        <v>64000</v>
      </c>
    </row>
    <row r="45" spans="1:7" x14ac:dyDescent="0.3">
      <c r="A45" t="s">
        <v>32</v>
      </c>
      <c r="B45" t="s">
        <v>7</v>
      </c>
      <c r="C45">
        <v>30</v>
      </c>
      <c r="D45" s="6">
        <v>45605</v>
      </c>
      <c r="E45" t="s">
        <v>329</v>
      </c>
      <c r="F45" s="1">
        <f>VLOOKUP(E45,'[1]TIỀN MUA PHỤ'!$A:$B,2,0)</f>
        <v>52000</v>
      </c>
      <c r="G45" s="1">
        <f t="shared" si="0"/>
        <v>1560000</v>
      </c>
    </row>
    <row r="46" spans="1:7" x14ac:dyDescent="0.3">
      <c r="A46" t="s">
        <v>109</v>
      </c>
      <c r="B46" t="s">
        <v>9</v>
      </c>
      <c r="C46">
        <v>6</v>
      </c>
      <c r="D46" s="6">
        <v>45605</v>
      </c>
      <c r="E46" t="s">
        <v>330</v>
      </c>
      <c r="F46" s="1">
        <v>23000</v>
      </c>
      <c r="G46" s="1">
        <f t="shared" si="0"/>
        <v>138000</v>
      </c>
    </row>
    <row r="47" spans="1:7" x14ac:dyDescent="0.3">
      <c r="A47" t="s">
        <v>58</v>
      </c>
      <c r="B47" t="s">
        <v>7</v>
      </c>
      <c r="C47">
        <v>14</v>
      </c>
      <c r="D47" s="6">
        <v>45605</v>
      </c>
      <c r="E47" t="s">
        <v>331</v>
      </c>
      <c r="F47" s="1">
        <f>VLOOKUP(E47,'[1]TIỀN MUA PHỤ'!$A:$B,2,0)</f>
        <v>42000</v>
      </c>
      <c r="G47" s="1">
        <f t="shared" si="0"/>
        <v>588000</v>
      </c>
    </row>
    <row r="48" spans="1:7" x14ac:dyDescent="0.3">
      <c r="A48" t="s">
        <v>58</v>
      </c>
      <c r="B48" t="s">
        <v>59</v>
      </c>
      <c r="C48">
        <v>197</v>
      </c>
      <c r="D48" s="6">
        <v>45605</v>
      </c>
      <c r="E48" t="s">
        <v>331</v>
      </c>
      <c r="F48" s="1">
        <f>F47/4</f>
        <v>10500</v>
      </c>
      <c r="G48" s="1">
        <f t="shared" si="0"/>
        <v>2068500</v>
      </c>
    </row>
    <row r="49" spans="1:7" x14ac:dyDescent="0.3">
      <c r="A49" t="s">
        <v>61</v>
      </c>
      <c r="B49" t="s">
        <v>7</v>
      </c>
      <c r="C49">
        <v>6</v>
      </c>
      <c r="D49" s="6">
        <v>45605</v>
      </c>
      <c r="E49" t="s">
        <v>332</v>
      </c>
      <c r="F49" s="1">
        <f>VLOOKUP(E49,'[1]TIỀN MUA PHỤ'!$A:$B,2,0)</f>
        <v>22000</v>
      </c>
      <c r="G49" s="1">
        <f t="shared" si="0"/>
        <v>132000</v>
      </c>
    </row>
    <row r="50" spans="1:7" x14ac:dyDescent="0.3">
      <c r="A50" t="s">
        <v>61</v>
      </c>
      <c r="B50" t="s">
        <v>59</v>
      </c>
      <c r="C50">
        <v>89</v>
      </c>
      <c r="D50" s="6">
        <v>45605</v>
      </c>
      <c r="E50" t="s">
        <v>332</v>
      </c>
      <c r="F50" s="1">
        <f>F49/4</f>
        <v>5500</v>
      </c>
      <c r="G50" s="1">
        <f t="shared" si="0"/>
        <v>489500</v>
      </c>
    </row>
    <row r="51" spans="1:7" x14ac:dyDescent="0.3">
      <c r="A51" t="s">
        <v>62</v>
      </c>
      <c r="B51" t="s">
        <v>7</v>
      </c>
      <c r="C51">
        <v>2</v>
      </c>
      <c r="D51" s="6">
        <v>45605</v>
      </c>
      <c r="E51" t="s">
        <v>333</v>
      </c>
      <c r="F51" s="1">
        <f>VLOOKUP(E51,'[1]TIỀN MUA PHỤ'!$A:$B,2,0)</f>
        <v>35000</v>
      </c>
      <c r="G51" s="1">
        <f t="shared" si="0"/>
        <v>70000</v>
      </c>
    </row>
    <row r="52" spans="1:7" x14ac:dyDescent="0.3">
      <c r="A52" t="s">
        <v>62</v>
      </c>
      <c r="B52" t="s">
        <v>59</v>
      </c>
      <c r="C52">
        <v>37</v>
      </c>
      <c r="D52" s="6">
        <v>45605</v>
      </c>
      <c r="E52" t="s">
        <v>333</v>
      </c>
      <c r="F52" s="1">
        <f>F51/4</f>
        <v>8750</v>
      </c>
      <c r="G52" s="1">
        <f t="shared" si="0"/>
        <v>323750</v>
      </c>
    </row>
    <row r="53" spans="1:7" x14ac:dyDescent="0.3">
      <c r="A53" t="s">
        <v>97</v>
      </c>
      <c r="B53" t="s">
        <v>22</v>
      </c>
      <c r="C53">
        <v>100</v>
      </c>
      <c r="D53" s="6">
        <v>45605</v>
      </c>
      <c r="E53" t="s">
        <v>334</v>
      </c>
      <c r="F53" s="1">
        <v>23000</v>
      </c>
      <c r="G53" s="1">
        <f t="shared" si="0"/>
        <v>2300000</v>
      </c>
    </row>
    <row r="54" spans="1:7" x14ac:dyDescent="0.3">
      <c r="A54" t="s">
        <v>33</v>
      </c>
      <c r="B54" t="s">
        <v>7</v>
      </c>
      <c r="C54">
        <v>10</v>
      </c>
      <c r="D54" s="6">
        <v>45605</v>
      </c>
      <c r="E54" t="s">
        <v>335</v>
      </c>
      <c r="F54" s="1">
        <f>VLOOKUP(E54,'[1]TIỀN MUA PHỤ'!$A:$B,2,0)</f>
        <v>35000</v>
      </c>
      <c r="G54" s="1">
        <f t="shared" si="0"/>
        <v>350000</v>
      </c>
    </row>
    <row r="55" spans="1:7" x14ac:dyDescent="0.3">
      <c r="A55" t="s">
        <v>64</v>
      </c>
      <c r="B55" t="s">
        <v>7</v>
      </c>
      <c r="C55">
        <v>20</v>
      </c>
      <c r="D55" s="6">
        <v>45605</v>
      </c>
      <c r="E55" t="s">
        <v>336</v>
      </c>
      <c r="F55" s="1">
        <f>VLOOKUP(E55,'[1]TIỀN MUA PHỤ'!$A:$B,2,0)</f>
        <v>60000</v>
      </c>
      <c r="G55" s="1">
        <f t="shared" si="0"/>
        <v>1200000</v>
      </c>
    </row>
    <row r="56" spans="1:7" x14ac:dyDescent="0.3">
      <c r="A56" t="s">
        <v>113</v>
      </c>
      <c r="B56" t="s">
        <v>7</v>
      </c>
      <c r="C56">
        <v>5</v>
      </c>
      <c r="D56" s="6">
        <v>45605</v>
      </c>
      <c r="E56" t="s">
        <v>337</v>
      </c>
      <c r="F56" s="1">
        <f>VLOOKUP(E56,'[1]TIỀN MUA PHỤ'!$A:$B,2,0)</f>
        <v>50000</v>
      </c>
      <c r="G56" s="1">
        <f t="shared" si="0"/>
        <v>250000</v>
      </c>
    </row>
    <row r="57" spans="1:7" x14ac:dyDescent="0.3">
      <c r="A57" t="s">
        <v>34</v>
      </c>
      <c r="B57" t="s">
        <v>7</v>
      </c>
      <c r="C57">
        <v>134</v>
      </c>
      <c r="D57" s="6">
        <v>45605</v>
      </c>
      <c r="E57" t="s">
        <v>338</v>
      </c>
      <c r="F57" s="1">
        <f>VLOOKUP(E57,'[1]TIỀN MUA PHỤ'!$A:$B,2,0)</f>
        <v>32000</v>
      </c>
      <c r="G57" s="1">
        <f t="shared" si="0"/>
        <v>4288000</v>
      </c>
    </row>
    <row r="58" spans="1:7" x14ac:dyDescent="0.3">
      <c r="A58" t="s">
        <v>35</v>
      </c>
      <c r="B58" t="s">
        <v>7</v>
      </c>
      <c r="C58">
        <v>30</v>
      </c>
      <c r="D58" s="6">
        <v>45605</v>
      </c>
      <c r="E58" t="s">
        <v>339</v>
      </c>
      <c r="F58" s="1">
        <f>VLOOKUP(E58,'[1]TIỀN MUA PHỤ'!$A:$B,2,0)</f>
        <v>26000</v>
      </c>
      <c r="G58" s="1">
        <f t="shared" si="0"/>
        <v>780000</v>
      </c>
    </row>
    <row r="59" spans="1:7" x14ac:dyDescent="0.3">
      <c r="A59" t="s">
        <v>36</v>
      </c>
      <c r="B59" t="s">
        <v>27</v>
      </c>
      <c r="C59">
        <v>107</v>
      </c>
      <c r="D59" s="6">
        <v>45605</v>
      </c>
      <c r="E59" t="s">
        <v>340</v>
      </c>
      <c r="F59" s="1">
        <f>VLOOKUP(E59,'[1]TIỀN MUA PHỤ'!$A:$B,2,0)</f>
        <v>6800</v>
      </c>
      <c r="G59" s="1">
        <f t="shared" si="0"/>
        <v>727600</v>
      </c>
    </row>
    <row r="60" spans="1:7" x14ac:dyDescent="0.3">
      <c r="A60" t="s">
        <v>40</v>
      </c>
      <c r="B60" t="s">
        <v>7</v>
      </c>
      <c r="C60">
        <v>40</v>
      </c>
      <c r="D60" s="6">
        <v>45605</v>
      </c>
      <c r="E60" t="s">
        <v>341</v>
      </c>
      <c r="F60" s="1">
        <v>28000</v>
      </c>
      <c r="G60" s="1">
        <f t="shared" si="0"/>
        <v>1120000</v>
      </c>
    </row>
    <row r="61" spans="1:7" x14ac:dyDescent="0.3">
      <c r="A61" t="s">
        <v>38</v>
      </c>
      <c r="B61" t="s">
        <v>27</v>
      </c>
      <c r="C61">
        <v>5</v>
      </c>
      <c r="D61" s="6">
        <v>45605</v>
      </c>
      <c r="E61" t="s">
        <v>342</v>
      </c>
      <c r="F61" s="1">
        <f>VLOOKUP(E61,'[1]TIỀN MUA PHỤ'!$A:$B,2,0)</f>
        <v>6800</v>
      </c>
      <c r="G61" s="1">
        <f t="shared" si="0"/>
        <v>34000</v>
      </c>
    </row>
    <row r="62" spans="1:7" x14ac:dyDescent="0.3">
      <c r="A62" t="s">
        <v>39</v>
      </c>
      <c r="B62" t="s">
        <v>7</v>
      </c>
      <c r="C62">
        <v>19</v>
      </c>
      <c r="D62" s="6">
        <v>45605</v>
      </c>
      <c r="E62" t="s">
        <v>343</v>
      </c>
      <c r="F62" s="1">
        <f>VLOOKUP(E62,'[1]TIỀN MUA PHỤ'!$A:$B,2,0)</f>
        <v>38000</v>
      </c>
      <c r="G62" s="1">
        <f t="shared" si="0"/>
        <v>722000</v>
      </c>
    </row>
    <row r="63" spans="1:7" x14ac:dyDescent="0.3">
      <c r="A63" t="s">
        <v>82</v>
      </c>
      <c r="B63" t="s">
        <v>7</v>
      </c>
      <c r="C63">
        <v>2.5</v>
      </c>
      <c r="D63" s="6">
        <v>45605</v>
      </c>
      <c r="E63" t="s">
        <v>344</v>
      </c>
      <c r="F63" s="1">
        <f>VLOOKUP(E63,'[1]TIỀN MUA PHỤ'!$A:$B,2,0)</f>
        <v>120000</v>
      </c>
      <c r="G63" s="1">
        <f t="shared" si="0"/>
        <v>300000</v>
      </c>
    </row>
    <row r="64" spans="1:7" x14ac:dyDescent="0.3">
      <c r="A64" t="s">
        <v>83</v>
      </c>
      <c r="B64" t="s">
        <v>7</v>
      </c>
      <c r="C64">
        <v>5</v>
      </c>
      <c r="D64" s="6">
        <v>45605</v>
      </c>
      <c r="E64" t="s">
        <v>345</v>
      </c>
      <c r="F64" s="1">
        <f>VLOOKUP(E64,'[1]TIỀN MUA PHỤ'!$A:$B,2,0)</f>
        <v>30000</v>
      </c>
      <c r="G64" s="1">
        <f t="shared" si="0"/>
        <v>150000</v>
      </c>
    </row>
    <row r="65" spans="1:7" x14ac:dyDescent="0.3">
      <c r="A65" t="s">
        <v>50</v>
      </c>
      <c r="B65" t="s">
        <v>7</v>
      </c>
      <c r="C65">
        <v>75</v>
      </c>
      <c r="D65" s="6">
        <v>45605</v>
      </c>
      <c r="E65" t="s">
        <v>303</v>
      </c>
      <c r="F65" s="1">
        <f>VLOOKUP(E65,'[1]TIỀN MUA PHỤ'!$A:$B,2,0)</f>
        <v>16500</v>
      </c>
      <c r="G65" s="1">
        <f t="shared" si="0"/>
        <v>1237500</v>
      </c>
    </row>
    <row r="66" spans="1:7" x14ac:dyDescent="0.3">
      <c r="A66" t="s">
        <v>53</v>
      </c>
      <c r="B66" t="s">
        <v>7</v>
      </c>
      <c r="C66">
        <v>80</v>
      </c>
      <c r="D66" s="6">
        <v>45605</v>
      </c>
      <c r="E66" t="s">
        <v>321</v>
      </c>
      <c r="F66" s="1">
        <v>12000</v>
      </c>
      <c r="G66" s="1">
        <f t="shared" si="0"/>
        <v>960000</v>
      </c>
    </row>
    <row r="67" spans="1:7" x14ac:dyDescent="0.3">
      <c r="A67" t="s">
        <v>89</v>
      </c>
      <c r="B67" t="s">
        <v>7</v>
      </c>
      <c r="C67">
        <v>60</v>
      </c>
      <c r="D67" s="6">
        <v>45605</v>
      </c>
      <c r="E67" t="s">
        <v>299</v>
      </c>
      <c r="F67" s="1">
        <f>VLOOKUP(E67,'[1]TIỀN MUA PHỤ'!$A:$B,2,0)</f>
        <v>17000</v>
      </c>
      <c r="G67" s="1">
        <f t="shared" ref="G67:G79" si="1">C67*F67</f>
        <v>1020000</v>
      </c>
    </row>
    <row r="68" spans="1:7" x14ac:dyDescent="0.3">
      <c r="A68" t="s">
        <v>58</v>
      </c>
      <c r="B68" t="s">
        <v>7</v>
      </c>
      <c r="C68">
        <v>45</v>
      </c>
      <c r="D68" s="6">
        <v>45605</v>
      </c>
      <c r="E68" t="s">
        <v>331</v>
      </c>
      <c r="F68" s="1">
        <f>VLOOKUP(E68,'[1]TIỀN MUA PHỤ'!$A:$B,2,0)</f>
        <v>42000</v>
      </c>
      <c r="G68" s="1">
        <f t="shared" si="1"/>
        <v>1890000</v>
      </c>
    </row>
    <row r="69" spans="1:7" x14ac:dyDescent="0.3">
      <c r="A69" t="s">
        <v>70</v>
      </c>
      <c r="B69" t="s">
        <v>7</v>
      </c>
      <c r="C69">
        <v>35</v>
      </c>
      <c r="D69" s="6">
        <v>45605</v>
      </c>
      <c r="E69" t="s">
        <v>300</v>
      </c>
      <c r="F69" s="1">
        <v>38000</v>
      </c>
      <c r="G69" s="1">
        <f t="shared" si="1"/>
        <v>1330000</v>
      </c>
    </row>
    <row r="70" spans="1:7" x14ac:dyDescent="0.3">
      <c r="A70" t="s">
        <v>97</v>
      </c>
      <c r="B70" t="s">
        <v>7</v>
      </c>
      <c r="C70">
        <v>30</v>
      </c>
      <c r="D70" s="6">
        <v>45605</v>
      </c>
      <c r="E70" t="s">
        <v>334</v>
      </c>
      <c r="F70" s="1">
        <f>VLOOKUP(E70,'[1]TIỀN MUA PHỤ'!$A:$B,2,0)</f>
        <v>21000</v>
      </c>
      <c r="G70" s="1">
        <f t="shared" si="1"/>
        <v>630000</v>
      </c>
    </row>
    <row r="71" spans="1:7" x14ac:dyDescent="0.3">
      <c r="A71" t="s">
        <v>11</v>
      </c>
      <c r="B71" t="s">
        <v>7</v>
      </c>
      <c r="C71">
        <v>25</v>
      </c>
      <c r="D71" s="6">
        <v>45605</v>
      </c>
      <c r="E71" t="s">
        <v>314</v>
      </c>
      <c r="F71" s="1">
        <f>VLOOKUP(E71,'[1]TIỀN MUA PHỤ'!$A:$B,2,0)</f>
        <v>16000</v>
      </c>
      <c r="G71" s="1">
        <f t="shared" si="1"/>
        <v>400000</v>
      </c>
    </row>
    <row r="72" spans="1:7" x14ac:dyDescent="0.3">
      <c r="A72" t="s">
        <v>43</v>
      </c>
      <c r="B72" t="s">
        <v>7</v>
      </c>
      <c r="C72">
        <v>20</v>
      </c>
      <c r="D72" s="6">
        <v>45605</v>
      </c>
      <c r="E72" t="s">
        <v>294</v>
      </c>
      <c r="F72" s="1">
        <f>VLOOKUP(E72,'[1]TIỀN MUA PHỤ'!$A:$B,2,0)</f>
        <v>15000</v>
      </c>
      <c r="G72" s="1">
        <f t="shared" si="1"/>
        <v>300000</v>
      </c>
    </row>
    <row r="73" spans="1:7" x14ac:dyDescent="0.3">
      <c r="A73" t="s">
        <v>61</v>
      </c>
      <c r="B73" t="s">
        <v>7</v>
      </c>
      <c r="C73">
        <v>20</v>
      </c>
      <c r="D73" s="6">
        <v>45605</v>
      </c>
      <c r="E73" t="s">
        <v>332</v>
      </c>
      <c r="F73" s="1">
        <f>VLOOKUP(E73,'[1]TIỀN MUA PHỤ'!$A:$B,2,0)</f>
        <v>22000</v>
      </c>
      <c r="G73" s="1">
        <f t="shared" si="1"/>
        <v>440000</v>
      </c>
    </row>
    <row r="74" spans="1:7" x14ac:dyDescent="0.3">
      <c r="A74" t="s">
        <v>8</v>
      </c>
      <c r="B74" t="s">
        <v>7</v>
      </c>
      <c r="C74">
        <v>10</v>
      </c>
      <c r="D74" s="6">
        <v>45605</v>
      </c>
      <c r="E74" t="s">
        <v>305</v>
      </c>
      <c r="F74" s="1">
        <f>VLOOKUP(E74,'[1]TIỀN MUA PHỤ'!$A:$B,2,0)</f>
        <v>55000</v>
      </c>
      <c r="G74" s="1">
        <f t="shared" si="1"/>
        <v>550000</v>
      </c>
    </row>
    <row r="75" spans="1:7" x14ac:dyDescent="0.3">
      <c r="A75" t="s">
        <v>29</v>
      </c>
      <c r="B75" t="s">
        <v>7</v>
      </c>
      <c r="C75">
        <v>10</v>
      </c>
      <c r="D75" s="6">
        <v>45605</v>
      </c>
      <c r="E75" t="s">
        <v>326</v>
      </c>
      <c r="F75" s="1">
        <f>VLOOKUP(E75,'[1]TIỀN MUA PHỤ'!$A:$B,2,0)</f>
        <v>39000</v>
      </c>
      <c r="G75" s="1">
        <f t="shared" si="1"/>
        <v>390000</v>
      </c>
    </row>
    <row r="76" spans="1:7" x14ac:dyDescent="0.3">
      <c r="A76" t="s">
        <v>87</v>
      </c>
      <c r="B76" t="s">
        <v>7</v>
      </c>
      <c r="C76">
        <v>10</v>
      </c>
      <c r="D76" s="6">
        <v>45605</v>
      </c>
      <c r="E76" t="s">
        <v>319</v>
      </c>
      <c r="F76" s="1">
        <v>24000</v>
      </c>
      <c r="G76" s="1">
        <f t="shared" si="1"/>
        <v>240000</v>
      </c>
    </row>
    <row r="77" spans="1:7" x14ac:dyDescent="0.3">
      <c r="A77" t="s">
        <v>62</v>
      </c>
      <c r="B77" t="s">
        <v>7</v>
      </c>
      <c r="C77">
        <v>10</v>
      </c>
      <c r="D77" s="6">
        <v>45605</v>
      </c>
      <c r="E77" t="s">
        <v>333</v>
      </c>
      <c r="F77" s="1">
        <f>VLOOKUP(E77,'[1]TIỀN MUA PHỤ'!$A:$B,2,0)</f>
        <v>35000</v>
      </c>
      <c r="G77" s="1">
        <f t="shared" si="1"/>
        <v>350000</v>
      </c>
    </row>
    <row r="78" spans="1:7" x14ac:dyDescent="0.3">
      <c r="A78" t="s">
        <v>37</v>
      </c>
      <c r="B78" t="s">
        <v>7</v>
      </c>
      <c r="C78">
        <v>8</v>
      </c>
      <c r="D78" s="6">
        <v>45605</v>
      </c>
      <c r="E78" t="s">
        <v>346</v>
      </c>
      <c r="F78" s="1">
        <f>VLOOKUP(E78,'[1]TIỀN MUA PHỤ'!$A:$B,2,0)</f>
        <v>26000</v>
      </c>
      <c r="G78" s="1">
        <f t="shared" si="1"/>
        <v>208000</v>
      </c>
    </row>
    <row r="79" spans="1:7" x14ac:dyDescent="0.3">
      <c r="A79" t="s">
        <v>41</v>
      </c>
      <c r="B79" t="s">
        <v>7</v>
      </c>
      <c r="C79">
        <v>18</v>
      </c>
      <c r="D79" s="6">
        <v>45605</v>
      </c>
      <c r="E79" t="s">
        <v>293</v>
      </c>
      <c r="F79" s="1">
        <f>VLOOKUP(E79,'[1]TIỀN MUA PHỤ'!$A:$B,2,0)</f>
        <v>26000</v>
      </c>
      <c r="G79" s="1">
        <f t="shared" si="1"/>
        <v>468000</v>
      </c>
    </row>
    <row r="80" spans="1:7" x14ac:dyDescent="0.3">
      <c r="G80" s="1">
        <f>SUM(G2:G79)</f>
        <v>70237150</v>
      </c>
    </row>
  </sheetData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5618-F910-4398-83EE-8AB43177F4CA}">
  <dimension ref="A1:I59"/>
  <sheetViews>
    <sheetView topLeftCell="A28" workbookViewId="0">
      <selection activeCell="G59" sqref="G59"/>
    </sheetView>
  </sheetViews>
  <sheetFormatPr defaultRowHeight="14.4" x14ac:dyDescent="0.3"/>
  <cols>
    <col min="1" max="1" width="23.33203125" customWidth="1"/>
    <col min="2" max="2" width="9" customWidth="1"/>
    <col min="4" max="4" width="12.5546875" customWidth="1"/>
    <col min="5" max="5" width="32.21875" customWidth="1"/>
    <col min="6" max="6" width="12.5546875" style="1" customWidth="1"/>
    <col min="7" max="7" width="12.5546875" customWidth="1"/>
    <col min="8" max="8" width="11.33203125" bestFit="1" customWidth="1"/>
    <col min="9" max="9" width="12.77734375" bestFit="1" customWidth="1"/>
  </cols>
  <sheetData>
    <row r="1" spans="1:9" x14ac:dyDescent="0.3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s="1" t="s">
        <v>76</v>
      </c>
      <c r="G1" t="s">
        <v>108</v>
      </c>
      <c r="H1" t="s">
        <v>121</v>
      </c>
      <c r="I1" t="s">
        <v>122</v>
      </c>
    </row>
    <row r="2" spans="1:9" x14ac:dyDescent="0.3">
      <c r="A2" t="s">
        <v>78</v>
      </c>
      <c r="B2" t="s">
        <v>7</v>
      </c>
      <c r="C2">
        <v>40</v>
      </c>
      <c r="D2" s="6">
        <v>45604</v>
      </c>
      <c r="E2" t="str">
        <f>Table10[[#This Row],[TÊN MẶT HÀNG]]&amp;" "&amp;TEXT(Table10[[#This Row],[NGÀY LẤY GIÁ]],"dd/mm/yyyy")</f>
        <v>Bắp Cải Tím 08/11/2024</v>
      </c>
      <c r="F2" s="1">
        <f>VLOOKUP(Table10[[#This Row],[CỘT PHỤ]],'[1]TIỀN MUA PHỤ'!$A:$B,2,0)</f>
        <v>28000</v>
      </c>
      <c r="G2" s="2">
        <f>Table10[[#This Row],[SL]]*Table10[[#This Row],[ĐƠN GIÁ]]</f>
        <v>1120000</v>
      </c>
      <c r="H2" s="1">
        <v>28000</v>
      </c>
      <c r="I2" s="1">
        <v>1120000</v>
      </c>
    </row>
    <row r="3" spans="1:9" x14ac:dyDescent="0.3">
      <c r="A3" t="s">
        <v>80</v>
      </c>
      <c r="B3" t="s">
        <v>44</v>
      </c>
      <c r="C3">
        <v>20</v>
      </c>
      <c r="D3" s="6">
        <v>45604</v>
      </c>
      <c r="E3" t="str">
        <f>Table10[[#This Row],[TÊN MẶT HÀNG]]&amp;" "&amp;TEXT(Table10[[#This Row],[NGÀY LẤY GIÁ]],"dd/mm/yyyy")</f>
        <v>Bí Đao Xanh 08/11/2024</v>
      </c>
      <c r="F3" s="1">
        <v>3500</v>
      </c>
      <c r="G3" s="2">
        <f>Table10[[#This Row],[SL]]*Table10[[#This Row],[ĐƠN GIÁ]]</f>
        <v>70000</v>
      </c>
      <c r="H3" s="1">
        <v>3500</v>
      </c>
      <c r="I3" s="1">
        <v>70000</v>
      </c>
    </row>
    <row r="4" spans="1:9" x14ac:dyDescent="0.3">
      <c r="A4" t="s">
        <v>69</v>
      </c>
      <c r="B4" t="s">
        <v>7</v>
      </c>
      <c r="C4">
        <v>3</v>
      </c>
      <c r="D4" s="6">
        <v>45604</v>
      </c>
      <c r="E4" t="str">
        <f>Table10[[#This Row],[TÊN MẶT HÀNG]]&amp;" "&amp;TEXT(Table10[[#This Row],[NGÀY LẤY GIÁ]],"dd/mm/yyyy")</f>
        <v>Bí Ngòi Vàng 08/11/2024</v>
      </c>
      <c r="F4" s="1">
        <f>VLOOKUP(Table10[[#This Row],[CỘT PHỤ]],'[1]TIỀN MUA PHỤ'!$A:$B,2,0)</f>
        <v>45000</v>
      </c>
      <c r="G4" s="2">
        <f>Table10[[#This Row],[SL]]*Table10[[#This Row],[ĐƠN GIÁ]]</f>
        <v>135000</v>
      </c>
      <c r="H4" s="1">
        <v>45000</v>
      </c>
      <c r="I4" s="1">
        <v>135000</v>
      </c>
    </row>
    <row r="5" spans="1:9" x14ac:dyDescent="0.3">
      <c r="A5" t="s">
        <v>41</v>
      </c>
      <c r="B5" t="s">
        <v>42</v>
      </c>
      <c r="C5">
        <v>300</v>
      </c>
      <c r="D5" s="6">
        <v>45604</v>
      </c>
      <c r="E5" t="str">
        <f>Table10[[#This Row],[TÊN MẶT HÀNG]]&amp;" "&amp;TEXT(Table10[[#This Row],[NGÀY LẤY GIÁ]],"dd/mm/yyyy")</f>
        <v>Bí Ngòi Xanh 08/11/2024</v>
      </c>
      <c r="F5" s="1">
        <f>25000*0.3</f>
        <v>7500</v>
      </c>
      <c r="G5" s="2">
        <f>Table10[[#This Row],[SL]]*Table10[[#This Row],[ĐƠN GIÁ]]</f>
        <v>2250000</v>
      </c>
      <c r="H5" s="1">
        <v>7500</v>
      </c>
      <c r="I5" s="1">
        <v>2250000</v>
      </c>
    </row>
    <row r="6" spans="1:9" x14ac:dyDescent="0.3">
      <c r="A6" t="s">
        <v>43</v>
      </c>
      <c r="B6" t="s">
        <v>44</v>
      </c>
      <c r="C6">
        <v>150</v>
      </c>
      <c r="D6" s="6">
        <v>45604</v>
      </c>
      <c r="E6" t="str">
        <f>Table10[[#This Row],[TÊN MẶT HÀNG]]&amp;" "&amp;TEXT(Table10[[#This Row],[NGÀY LẤY GIÁ]],"dd/mm/yyyy")</f>
        <v>Bí Non Nhật 08/11/2024</v>
      </c>
      <c r="F6" s="1">
        <f>15000*0.3</f>
        <v>4500</v>
      </c>
      <c r="G6" s="2">
        <f>Table10[[#This Row],[SL]]*Table10[[#This Row],[ĐƠN GIÁ]]</f>
        <v>675000</v>
      </c>
      <c r="H6" s="1">
        <v>7500</v>
      </c>
      <c r="I6" s="1">
        <v>1125000</v>
      </c>
    </row>
    <row r="7" spans="1:9" x14ac:dyDescent="0.3">
      <c r="A7" t="s">
        <v>67</v>
      </c>
      <c r="B7" t="s">
        <v>7</v>
      </c>
      <c r="C7">
        <v>60</v>
      </c>
      <c r="D7" s="6">
        <v>45604</v>
      </c>
      <c r="E7" t="str">
        <f>Table10[[#This Row],[TÊN MẶT HÀNG]]&amp;" "&amp;TEXT(Table10[[#This Row],[NGÀY LẤY GIÁ]],"dd/mm/yyyy")</f>
        <v>Bơ Booth 08/11/2024</v>
      </c>
      <c r="F7" s="1">
        <f>VLOOKUP(Table10[[#This Row],[CỘT PHỤ]],'[1]TIỀN MUA PHỤ'!$A:$B,2,0)</f>
        <v>26000</v>
      </c>
      <c r="G7" s="2">
        <f>Table10[[#This Row],[SL]]*Table10[[#This Row],[ĐƠN GIÁ]]</f>
        <v>1560000</v>
      </c>
      <c r="H7" s="1">
        <v>26000</v>
      </c>
      <c r="I7" s="1">
        <v>1560000</v>
      </c>
    </row>
    <row r="8" spans="1:9" x14ac:dyDescent="0.3">
      <c r="A8" t="s">
        <v>17</v>
      </c>
      <c r="B8" t="s">
        <v>7</v>
      </c>
      <c r="C8">
        <v>90</v>
      </c>
      <c r="D8" s="6">
        <v>45604</v>
      </c>
      <c r="E8" t="str">
        <f>Table10[[#This Row],[TÊN MẶT HÀNG]]&amp;" "&amp;TEXT(Table10[[#This Row],[NGÀY LẤY GIÁ]],"dd/mm/yyyy")</f>
        <v>Bông Cải Xanh 7Cm 08/11/2024</v>
      </c>
      <c r="F8" s="1">
        <f>VLOOKUP(Table10[[#This Row],[CỘT PHỤ]],'[1]TIỀN MUA PHỤ'!$A:$B,2,0)</f>
        <v>40000</v>
      </c>
      <c r="G8" s="2">
        <f>Table10[[#This Row],[SL]]*Table10[[#This Row],[ĐƠN GIÁ]]</f>
        <v>3600000</v>
      </c>
      <c r="H8" s="1">
        <v>40000</v>
      </c>
      <c r="I8" s="1">
        <v>3600000</v>
      </c>
    </row>
    <row r="9" spans="1:9" x14ac:dyDescent="0.3">
      <c r="A9" t="s">
        <v>18</v>
      </c>
      <c r="B9" t="s">
        <v>9</v>
      </c>
      <c r="C9">
        <v>50</v>
      </c>
      <c r="D9" s="6">
        <v>45604</v>
      </c>
      <c r="E9" t="str">
        <f>Table10[[#This Row],[TÊN MẶT HÀNG]]&amp;" "&amp;TEXT(Table10[[#This Row],[NGÀY LẤY GIÁ]],"dd/mm/yyyy")</f>
        <v>Bông Cải Xanh Baby 08/11/2024</v>
      </c>
      <c r="F9" s="1">
        <v>10000</v>
      </c>
      <c r="G9" s="2">
        <f>Table10[[#This Row],[SL]]*Table10[[#This Row],[ĐƠN GIÁ]]</f>
        <v>500000</v>
      </c>
      <c r="H9" s="1">
        <v>10000</v>
      </c>
      <c r="I9" s="1">
        <v>500000</v>
      </c>
    </row>
    <row r="10" spans="1:9" x14ac:dyDescent="0.3">
      <c r="A10" t="s">
        <v>45</v>
      </c>
      <c r="B10" t="s">
        <v>7</v>
      </c>
      <c r="C10">
        <v>120</v>
      </c>
      <c r="D10" s="6">
        <v>45604</v>
      </c>
      <c r="E10" t="str">
        <f>Table10[[#This Row],[TÊN MẶT HÀNG]]&amp;" "&amp;TEXT(Table10[[#This Row],[NGÀY LẤY GIÁ]],"dd/mm/yyyy")</f>
        <v>Cà Chua Beef 08/11/2024</v>
      </c>
      <c r="F10" s="1">
        <f>VLOOKUP(Table10[[#This Row],[CỘT PHỤ]],'[1]TIỀN MUA PHỤ'!$A:$B,2,0)</f>
        <v>25000</v>
      </c>
      <c r="G10" s="2">
        <f>Table10[[#This Row],[SL]]*Table10[[#This Row],[ĐƠN GIÁ]]</f>
        <v>3000000</v>
      </c>
      <c r="H10" s="1">
        <v>25000</v>
      </c>
      <c r="I10" s="1">
        <v>3000000</v>
      </c>
    </row>
    <row r="11" spans="1:9" x14ac:dyDescent="0.3">
      <c r="A11" t="s">
        <v>89</v>
      </c>
      <c r="B11" t="s">
        <v>7</v>
      </c>
      <c r="C11">
        <v>20</v>
      </c>
      <c r="D11" s="6">
        <v>45604</v>
      </c>
      <c r="E11" t="str">
        <f>Table10[[#This Row],[TÊN MẶT HÀNG]]&amp;" "&amp;TEXT(Table10[[#This Row],[NGÀY LẤY GIÁ]],"dd/mm/yyyy")</f>
        <v>Cà Chua Beef Trung 08/11/2024</v>
      </c>
      <c r="F11" s="1">
        <f>VLOOKUP(Table10[[#This Row],[CỘT PHỤ]],'[1]TIỀN MUA PHỤ'!$A:$B,2,0)</f>
        <v>17000</v>
      </c>
      <c r="G11" s="2">
        <f>Table10[[#This Row],[SL]]*Table10[[#This Row],[ĐƠN GIÁ]]</f>
        <v>340000</v>
      </c>
      <c r="H11" s="1">
        <v>17000</v>
      </c>
      <c r="I11" s="1">
        <v>340000</v>
      </c>
    </row>
    <row r="12" spans="1:9" x14ac:dyDescent="0.3">
      <c r="A12" t="s">
        <v>89</v>
      </c>
      <c r="B12" t="s">
        <v>105</v>
      </c>
      <c r="C12">
        <v>69</v>
      </c>
      <c r="D12" s="6">
        <v>45604</v>
      </c>
      <c r="E12" t="str">
        <f>Table10[[#This Row],[TÊN MẶT HÀNG]]&amp;" "&amp;TEXT(Table10[[#This Row],[NGÀY LẤY GIÁ]],"dd/mm/yyyy")</f>
        <v>Cà Chua Beef Trung 08/11/2024</v>
      </c>
      <c r="F12" s="1">
        <v>11000</v>
      </c>
      <c r="G12" s="2">
        <f>Table10[[#This Row],[SL]]*Table10[[#This Row],[ĐƠN GIÁ]]</f>
        <v>759000</v>
      </c>
      <c r="H12" s="1">
        <v>11000</v>
      </c>
      <c r="I12" s="1">
        <v>759000</v>
      </c>
    </row>
    <row r="13" spans="1:9" x14ac:dyDescent="0.3">
      <c r="A13" t="s">
        <v>70</v>
      </c>
      <c r="B13" t="s">
        <v>7</v>
      </c>
      <c r="C13">
        <v>10</v>
      </c>
      <c r="D13" s="6">
        <v>45604</v>
      </c>
      <c r="E13" t="str">
        <f>Table10[[#This Row],[TÊN MẶT HÀNG]]&amp;" "&amp;TEXT(Table10[[#This Row],[NGÀY LẤY GIÁ]],"dd/mm/yyyy")</f>
        <v>Cà Chua Bi Đỏ 08/11/2024</v>
      </c>
      <c r="F13" s="1">
        <v>38000</v>
      </c>
      <c r="G13" s="2">
        <f>Table10[[#This Row],[SL]]*Table10[[#This Row],[ĐƠN GIÁ]]</f>
        <v>380000</v>
      </c>
      <c r="H13" s="1">
        <v>38000</v>
      </c>
      <c r="I13" s="1">
        <v>380000</v>
      </c>
    </row>
    <row r="14" spans="1:9" x14ac:dyDescent="0.3">
      <c r="A14" t="s">
        <v>70</v>
      </c>
      <c r="B14" t="s">
        <v>106</v>
      </c>
      <c r="C14">
        <v>100</v>
      </c>
      <c r="D14" s="6">
        <v>45604</v>
      </c>
      <c r="E14" t="str">
        <f>Table10[[#This Row],[TÊN MẶT HÀNG]]&amp;" "&amp;TEXT(Table10[[#This Row],[NGÀY LẤY GIÁ]],"dd/mm/yyyy")</f>
        <v>Cà Chua Bi Đỏ 08/11/2024</v>
      </c>
      <c r="F14" s="1">
        <f>VLOOKUP(Table10[[#This Row],[CỘT PHỤ]],'[1]TIỀN MUA PHỤ'!$A:$B,2,0)</f>
        <v>11400</v>
      </c>
      <c r="G14" s="2">
        <f>Table10[[#This Row],[SL]]*Table10[[#This Row],[ĐƠN GIÁ]]</f>
        <v>1140000</v>
      </c>
      <c r="H14" s="1">
        <v>11400</v>
      </c>
      <c r="I14" s="1">
        <v>1140000</v>
      </c>
    </row>
    <row r="15" spans="1:9" x14ac:dyDescent="0.3">
      <c r="A15" t="s">
        <v>47</v>
      </c>
      <c r="B15" t="s">
        <v>48</v>
      </c>
      <c r="C15">
        <v>65</v>
      </c>
      <c r="D15" s="6">
        <v>45604</v>
      </c>
      <c r="E15" t="str">
        <f>Table10[[#This Row],[TÊN MẶT HÀNG]]&amp;" "&amp;TEXT(Table10[[#This Row],[NGÀY LẤY GIÁ]],"dd/mm/yyyy")</f>
        <v>Cà Chua Bi Mix 08/11/2024</v>
      </c>
      <c r="F15" s="1">
        <f>VLOOKUP(Table10[[#This Row],[CỘT PHỤ]],'[1]TIỀN MUA PHỤ'!$A:$B,2,0)*0.3</f>
        <v>15000</v>
      </c>
      <c r="G15" s="2">
        <f>Table10[[#This Row],[SL]]*Table10[[#This Row],[ĐƠN GIÁ]]</f>
        <v>975000</v>
      </c>
      <c r="H15" s="1">
        <v>15000</v>
      </c>
      <c r="I15" s="1">
        <v>975000</v>
      </c>
    </row>
    <row r="16" spans="1:9" x14ac:dyDescent="0.3">
      <c r="A16" t="s">
        <v>49</v>
      </c>
      <c r="B16" t="s">
        <v>7</v>
      </c>
      <c r="C16">
        <v>10</v>
      </c>
      <c r="D16" s="6">
        <v>45604</v>
      </c>
      <c r="E16" t="str">
        <f>Table10[[#This Row],[TÊN MẶT HÀNG]]&amp;" "&amp;TEXT(Table10[[#This Row],[NGÀY LẤY GIÁ]],"dd/mm/yyyy")</f>
        <v>Cà Chua Socola 08/11/2024</v>
      </c>
      <c r="F16" s="1">
        <f>14000/3*10</f>
        <v>46666.666666666672</v>
      </c>
      <c r="G16" s="2">
        <f>Table10[[#This Row],[SL]]*Table10[[#This Row],[ĐƠN GIÁ]]</f>
        <v>466666.66666666674</v>
      </c>
      <c r="H16" s="1">
        <v>46666.666666666672</v>
      </c>
      <c r="I16" s="1">
        <v>466666.66666666674</v>
      </c>
    </row>
    <row r="17" spans="1:9" x14ac:dyDescent="0.3">
      <c r="A17" t="s">
        <v>49</v>
      </c>
      <c r="B17" t="s">
        <v>106</v>
      </c>
      <c r="C17">
        <v>31</v>
      </c>
      <c r="D17" s="6">
        <v>45604</v>
      </c>
      <c r="E17" t="str">
        <f>Table10[[#This Row],[TÊN MẶT HÀNG]]&amp;" "&amp;TEXT(Table10[[#This Row],[NGÀY LẤY GIÁ]],"dd/mm/yyyy")</f>
        <v>Cà Chua Socola 08/11/2024</v>
      </c>
      <c r="F17" s="1">
        <v>14000</v>
      </c>
      <c r="G17" s="2">
        <f>Table10[[#This Row],[SL]]*Table10[[#This Row],[ĐƠN GIÁ]]</f>
        <v>434000</v>
      </c>
      <c r="H17" s="1">
        <v>14000</v>
      </c>
      <c r="I17" s="1">
        <v>434000</v>
      </c>
    </row>
    <row r="18" spans="1:9" x14ac:dyDescent="0.3">
      <c r="A18" t="s">
        <v>50</v>
      </c>
      <c r="B18" t="s">
        <v>7</v>
      </c>
      <c r="C18">
        <v>25</v>
      </c>
      <c r="D18" s="6">
        <v>45604</v>
      </c>
      <c r="E18" t="str">
        <f>Table10[[#This Row],[TÊN MẶT HÀNG]]&amp;" "&amp;TEXT(Table10[[#This Row],[NGÀY LẤY GIÁ]],"dd/mm/yyyy")</f>
        <v>Cà Chua Thường 08/11/2024</v>
      </c>
      <c r="F18" s="1">
        <f>VLOOKUP(Table10[[#This Row],[CỘT PHỤ]],'[1]TIỀN MUA PHỤ'!$A:$B,2,0)</f>
        <v>17000</v>
      </c>
      <c r="G18" s="2">
        <f>Table10[[#This Row],[SL]]*Table10[[#This Row],[ĐƠN GIÁ]]</f>
        <v>425000</v>
      </c>
      <c r="H18" s="1">
        <v>17000</v>
      </c>
      <c r="I18" s="1">
        <v>425000</v>
      </c>
    </row>
    <row r="19" spans="1:9" x14ac:dyDescent="0.3">
      <c r="A19" t="s">
        <v>6</v>
      </c>
      <c r="B19" t="s">
        <v>7</v>
      </c>
      <c r="C19">
        <v>200</v>
      </c>
      <c r="D19" s="6">
        <v>45604</v>
      </c>
      <c r="E19" t="str">
        <f>Table10[[#This Row],[TÊN MẶT HÀNG]]&amp;" "&amp;TEXT(Table10[[#This Row],[NGÀY LẤY GIÁ]],"dd/mm/yyyy")</f>
        <v>Cà Rốt 08/11/2024</v>
      </c>
      <c r="F19" s="1">
        <f>VLOOKUP(Table10[[#This Row],[CỘT PHỤ]],'[1]TIỀN MUA PHỤ'!$A:$B,2,0)</f>
        <v>18500</v>
      </c>
      <c r="G19" s="2">
        <f>Table10[[#This Row],[SL]]*Table10[[#This Row],[ĐƠN GIÁ]]</f>
        <v>3700000</v>
      </c>
      <c r="H19" s="1">
        <v>18500</v>
      </c>
      <c r="I19" s="1">
        <v>3700000</v>
      </c>
    </row>
    <row r="20" spans="1:9" x14ac:dyDescent="0.3">
      <c r="A20" t="s">
        <v>8</v>
      </c>
      <c r="B20" t="s">
        <v>9</v>
      </c>
      <c r="C20">
        <v>90</v>
      </c>
      <c r="D20" s="6">
        <v>45604</v>
      </c>
      <c r="E20" t="str">
        <f>Table10[[#This Row],[TÊN MẶT HÀNG]]&amp;" "&amp;TEXT(Table10[[#This Row],[NGÀY LẤY GIÁ]],"dd/mm/yyyy")</f>
        <v>Cà Rốt Baby 08/11/2024</v>
      </c>
      <c r="F20" s="1">
        <v>12000</v>
      </c>
      <c r="G20" s="2">
        <f>Table10[[#This Row],[SL]]*Table10[[#This Row],[ĐƠN GIÁ]]</f>
        <v>1080000</v>
      </c>
      <c r="H20" s="1">
        <v>12000</v>
      </c>
      <c r="I20" s="1">
        <v>1080000</v>
      </c>
    </row>
    <row r="21" spans="1:9" x14ac:dyDescent="0.3">
      <c r="A21" t="s">
        <v>115</v>
      </c>
      <c r="B21" t="s">
        <v>7</v>
      </c>
      <c r="C21">
        <v>6</v>
      </c>
      <c r="D21" s="6">
        <v>45604</v>
      </c>
      <c r="E21" t="str">
        <f>Table10[[#This Row],[TÊN MẶT HÀNG]]&amp;" "&amp;TEXT(Table10[[#This Row],[NGÀY LẤY GIÁ]],"dd/mm/yyyy")</f>
        <v>Cải Bẹ Dún T.C 08/11/2024</v>
      </c>
      <c r="F21" s="1">
        <f>VLOOKUP(Table10[[#This Row],[CỘT PHỤ]],'[1]TIỀN MUA PHỤ'!$A:$B,2,0)</f>
        <v>45000</v>
      </c>
      <c r="G21" s="2">
        <f>Table10[[#This Row],[SL]]*Table10[[#This Row],[ĐƠN GIÁ]]</f>
        <v>270000</v>
      </c>
      <c r="H21" s="1">
        <v>45000</v>
      </c>
      <c r="I21" s="1">
        <v>270000</v>
      </c>
    </row>
    <row r="22" spans="1:9" x14ac:dyDescent="0.3">
      <c r="A22" t="s">
        <v>20</v>
      </c>
      <c r="B22" t="s">
        <v>7</v>
      </c>
      <c r="C22">
        <v>85</v>
      </c>
      <c r="D22" s="6">
        <v>45604</v>
      </c>
      <c r="E22" t="str">
        <f>Table10[[#This Row],[TÊN MẶT HÀNG]]&amp;" "&amp;TEXT(Table10[[#This Row],[NGÀY LẤY GIÁ]],"dd/mm/yyyy")</f>
        <v>Cải Bó Xôi 08/11/2024</v>
      </c>
      <c r="F22" s="1">
        <f>VLOOKUP(Table10[[#This Row],[CỘT PHỤ]],'[1]TIỀN MUA PHỤ'!$A:$B,2,0)</f>
        <v>34000</v>
      </c>
      <c r="G22" s="2">
        <f>Table10[[#This Row],[SL]]*Table10[[#This Row],[ĐƠN GIÁ]]</f>
        <v>2890000</v>
      </c>
      <c r="H22" s="1">
        <v>34000</v>
      </c>
      <c r="I22" s="1">
        <v>2890000</v>
      </c>
    </row>
    <row r="23" spans="1:9" x14ac:dyDescent="0.3">
      <c r="A23" t="s">
        <v>23</v>
      </c>
      <c r="B23" t="s">
        <v>22</v>
      </c>
      <c r="C23">
        <v>245</v>
      </c>
      <c r="D23" s="6">
        <v>45604</v>
      </c>
      <c r="E23" t="str">
        <f>Table10[[#This Row],[TÊN MẶT HÀNG]]&amp;" "&amp;TEXT(Table10[[#This Row],[NGÀY LẤY GIÁ]],"dd/mm/yyyy")</f>
        <v>Cải Kale 08/11/2024</v>
      </c>
      <c r="F23" s="1">
        <f>VLOOKUP(Table10[[#This Row],[CỘT PHỤ]],'[1]TIỀN MUA PHỤ'!$A:$B,2,0)</f>
        <v>27000</v>
      </c>
      <c r="G23" s="2">
        <f>Table10[[#This Row],[SL]]*Table10[[#This Row],[ĐƠN GIÁ]]</f>
        <v>6615000</v>
      </c>
      <c r="H23" s="1">
        <v>27000</v>
      </c>
      <c r="I23" s="1">
        <v>6615000</v>
      </c>
    </row>
    <row r="24" spans="1:9" x14ac:dyDescent="0.3">
      <c r="A24" t="s">
        <v>26</v>
      </c>
      <c r="B24" t="s">
        <v>27</v>
      </c>
      <c r="C24">
        <v>180</v>
      </c>
      <c r="D24" s="6">
        <v>45604</v>
      </c>
      <c r="E24" t="str">
        <f>Table10[[#This Row],[TÊN MẶT HÀNG]]&amp;" "&amp;TEXT(Table10[[#This Row],[NGÀY LẤY GIÁ]],"dd/mm/yyyy")</f>
        <v>Cần Tây 08/11/2024</v>
      </c>
      <c r="F24" s="1">
        <v>6000</v>
      </c>
      <c r="G24" s="2">
        <f>Table10[[#This Row],[SL]]*Table10[[#This Row],[ĐƠN GIÁ]]</f>
        <v>1080000</v>
      </c>
      <c r="H24" s="1">
        <v>6000</v>
      </c>
      <c r="I24" s="1">
        <v>1080000</v>
      </c>
    </row>
    <row r="25" spans="1:9" x14ac:dyDescent="0.3">
      <c r="A25" t="s">
        <v>51</v>
      </c>
      <c r="B25" t="s">
        <v>9</v>
      </c>
      <c r="C25">
        <v>70</v>
      </c>
      <c r="D25" s="6">
        <v>45604</v>
      </c>
      <c r="E25" t="str">
        <f>Table10[[#This Row],[TÊN MẶT HÀNG]]&amp;" "&amp;TEXT(Table10[[#This Row],[NGÀY LẤY GIÁ]],"dd/mm/yyyy")</f>
        <v>Chanh Không Hạt 08/11/2024</v>
      </c>
      <c r="F25" s="1">
        <f>VLOOKUP(Table10[[#This Row],[CỘT PHỤ]],'[1]TIỀN MUA PHỤ'!$A:$B,2,0)/4</f>
        <v>6500</v>
      </c>
      <c r="G25" s="2">
        <f>Table10[[#This Row],[SL]]*Table10[[#This Row],[ĐƠN GIÁ]]</f>
        <v>455000</v>
      </c>
      <c r="H25" s="1">
        <v>6500</v>
      </c>
      <c r="I25" s="1">
        <v>455000</v>
      </c>
    </row>
    <row r="26" spans="1:9" x14ac:dyDescent="0.3">
      <c r="A26" t="s">
        <v>103</v>
      </c>
      <c r="B26" t="s">
        <v>48</v>
      </c>
      <c r="C26">
        <v>7</v>
      </c>
      <c r="D26" s="6">
        <v>45604</v>
      </c>
      <c r="E26" t="str">
        <f>Table10[[#This Row],[TÊN MẶT HÀNG]]&amp;" "&amp;TEXT(Table10[[#This Row],[NGÀY LẤY GIÁ]],"dd/mm/yyyy")</f>
        <v>Củ Cải Đỏ 08/11/2024</v>
      </c>
      <c r="F26" s="1">
        <f>VLOOKUP(Table10[[#This Row],[CỘT PHỤ]],'[1]TIỀN MUA PHỤ'!$A:$B,2,0)</f>
        <v>13000</v>
      </c>
      <c r="G26" s="2">
        <f>Table10[[#This Row],[SL]]*Table10[[#This Row],[ĐƠN GIÁ]]</f>
        <v>91000</v>
      </c>
      <c r="H26" s="1">
        <v>13000</v>
      </c>
      <c r="I26" s="1">
        <v>91000</v>
      </c>
    </row>
    <row r="27" spans="1:9" x14ac:dyDescent="0.3">
      <c r="A27" t="s">
        <v>10</v>
      </c>
      <c r="B27" t="s">
        <v>7</v>
      </c>
      <c r="C27">
        <v>20</v>
      </c>
      <c r="D27" s="6">
        <v>45604</v>
      </c>
      <c r="E27" t="str">
        <f>Table10[[#This Row],[TÊN MẶT HÀNG]]&amp;" "&amp;TEXT(Table10[[#This Row],[NGÀY LẤY GIÁ]],"dd/mm/yyyy")</f>
        <v>Củ Cải Trắng 08/11/2024</v>
      </c>
      <c r="F27" s="1">
        <f>VLOOKUP(Table10[[#This Row],[CỘT PHỤ]],'[1]TIỀN MUA PHỤ'!$A:$B,2,0)</f>
        <v>6500</v>
      </c>
      <c r="G27" s="2">
        <f>Table10[[#This Row],[SL]]*Table10[[#This Row],[ĐƠN GIÁ]]</f>
        <v>130000</v>
      </c>
      <c r="H27" s="1">
        <v>6500</v>
      </c>
      <c r="I27" s="1">
        <v>130000</v>
      </c>
    </row>
    <row r="28" spans="1:9" x14ac:dyDescent="0.3">
      <c r="A28" t="s">
        <v>11</v>
      </c>
      <c r="B28" t="s">
        <v>7</v>
      </c>
      <c r="C28">
        <v>20</v>
      </c>
      <c r="D28" s="6">
        <v>45604</v>
      </c>
      <c r="E28" t="str">
        <f>Table10[[#This Row],[TÊN MẶT HÀNG]]&amp;" "&amp;TEXT(Table10[[#This Row],[NGÀY LẤY GIÁ]],"dd/mm/yyyy")</f>
        <v>Củ Dền 08/11/2024</v>
      </c>
      <c r="F28" s="1">
        <f>VLOOKUP(Table10[[#This Row],[CỘT PHỤ]],'[1]TIỀN MUA PHỤ'!$A:$B,2,0)</f>
        <v>15000</v>
      </c>
      <c r="G28" s="2">
        <f>Table10[[#This Row],[SL]]*Table10[[#This Row],[ĐƠN GIÁ]]</f>
        <v>300000</v>
      </c>
      <c r="H28" s="1">
        <v>15000</v>
      </c>
      <c r="I28" s="1">
        <v>300000</v>
      </c>
    </row>
    <row r="29" spans="1:9" x14ac:dyDescent="0.3">
      <c r="A29" t="s">
        <v>12</v>
      </c>
      <c r="B29" t="s">
        <v>7</v>
      </c>
      <c r="C29">
        <v>44</v>
      </c>
      <c r="D29" s="6">
        <v>45604</v>
      </c>
      <c r="E29" t="str">
        <f>Table10[[#This Row],[TÊN MẶT HÀNG]]&amp;" "&amp;TEXT(Table10[[#This Row],[NGÀY LẤY GIÁ]],"dd/mm/yyyy")</f>
        <v>Củ Hành Tây 08/11/2024</v>
      </c>
      <c r="F29" s="1">
        <v>28000</v>
      </c>
      <c r="G29" s="2">
        <f>Table10[[#This Row],[SL]]*Table10[[#This Row],[ĐƠN GIÁ]]</f>
        <v>1232000</v>
      </c>
      <c r="H29" s="1">
        <v>28000</v>
      </c>
      <c r="I29" s="1">
        <v>1232000</v>
      </c>
    </row>
    <row r="30" spans="1:9" x14ac:dyDescent="0.3">
      <c r="A30" t="s">
        <v>14</v>
      </c>
      <c r="B30" t="s">
        <v>7</v>
      </c>
      <c r="C30">
        <v>300</v>
      </c>
      <c r="D30" s="6">
        <v>45604</v>
      </c>
      <c r="E30" t="str">
        <f>Table10[[#This Row],[TÊN MẶT HÀNG]]&amp;" "&amp;TEXT(Table10[[#This Row],[NGÀY LẤY GIÁ]],"dd/mm/yyyy")</f>
        <v>Củ Khoai Lang Nhật 08/11/2024</v>
      </c>
      <c r="F30" s="1">
        <f>VLOOKUP(Table10[[#This Row],[CỘT PHỤ]],'[1]TIỀN MUA PHỤ'!$A:$B,2,0)</f>
        <v>19000</v>
      </c>
      <c r="G30" s="2">
        <f>Table10[[#This Row],[SL]]*Table10[[#This Row],[ĐƠN GIÁ]]</f>
        <v>5700000</v>
      </c>
      <c r="H30" s="1">
        <v>19000</v>
      </c>
      <c r="I30" s="1">
        <v>5700000</v>
      </c>
    </row>
    <row r="31" spans="1:9" x14ac:dyDescent="0.3">
      <c r="A31" t="s">
        <v>15</v>
      </c>
      <c r="B31" t="s">
        <v>7</v>
      </c>
      <c r="C31">
        <v>10</v>
      </c>
      <c r="D31" s="6">
        <v>45604</v>
      </c>
      <c r="E31" t="str">
        <f>Table10[[#This Row],[TÊN MẶT HÀNG]]&amp;" "&amp;TEXT(Table10[[#This Row],[NGÀY LẤY GIÁ]],"dd/mm/yyyy")</f>
        <v>Củ Khoai Mỡ 08/11/2024</v>
      </c>
      <c r="F31" s="1">
        <f>VLOOKUP(Table10[[#This Row],[CỘT PHỤ]],'[1]TIỀN MUA PHỤ'!$A:$B,2,0)</f>
        <v>29000</v>
      </c>
      <c r="G31" s="2">
        <f>Table10[[#This Row],[SL]]*Table10[[#This Row],[ĐƠN GIÁ]]</f>
        <v>290000</v>
      </c>
      <c r="H31" s="1">
        <v>29000</v>
      </c>
      <c r="I31" s="1">
        <v>290000</v>
      </c>
    </row>
    <row r="32" spans="1:9" x14ac:dyDescent="0.3">
      <c r="A32" t="s">
        <v>93</v>
      </c>
      <c r="B32" t="s">
        <v>7</v>
      </c>
      <c r="C32">
        <v>30</v>
      </c>
      <c r="D32" s="6">
        <v>45604</v>
      </c>
      <c r="E32" t="str">
        <f>Table10[[#This Row],[TÊN MẶT HÀNG]]&amp;" "&amp;TEXT(Table10[[#This Row],[NGÀY LẤY GIÁ]],"dd/mm/yyyy")</f>
        <v>Củ Khoai Tây Vàng 08/11/2024</v>
      </c>
      <c r="F32" s="1">
        <f>VLOOKUP(Table10[[#This Row],[CỘT PHỤ]],'[1]TIỀN MUA PHỤ'!$A:$B,2,0)</f>
        <v>15000</v>
      </c>
      <c r="G32" s="2">
        <f>Table10[[#This Row],[SL]]*Table10[[#This Row],[ĐƠN GIÁ]]</f>
        <v>450000</v>
      </c>
      <c r="H32" s="1">
        <v>15000</v>
      </c>
      <c r="I32" s="1">
        <v>450000</v>
      </c>
    </row>
    <row r="33" spans="1:9" x14ac:dyDescent="0.3">
      <c r="A33" t="s">
        <v>16</v>
      </c>
      <c r="B33" t="s">
        <v>7</v>
      </c>
      <c r="C33">
        <v>10</v>
      </c>
      <c r="D33" s="6">
        <v>45604</v>
      </c>
      <c r="E33" t="str">
        <f>Table10[[#This Row],[TÊN MẶT HÀNG]]&amp;" "&amp;TEXT(Table10[[#This Row],[NGÀY LẤY GIÁ]],"dd/mm/yyyy")</f>
        <v>Củ Su Hào 08/11/2024</v>
      </c>
      <c r="F33" s="1">
        <f>VLOOKUP(Table10[[#This Row],[CỘT PHỤ]],'[1]TIỀN MUA PHỤ'!$A:$B,2,0)</f>
        <v>18000</v>
      </c>
      <c r="G33" s="2">
        <f>Table10[[#This Row],[SL]]*Table10[[#This Row],[ĐƠN GIÁ]]</f>
        <v>180000</v>
      </c>
      <c r="H33" s="1">
        <v>18000</v>
      </c>
      <c r="I33" s="1">
        <v>180000</v>
      </c>
    </row>
    <row r="34" spans="1:9" x14ac:dyDescent="0.3">
      <c r="A34" t="s">
        <v>104</v>
      </c>
      <c r="B34" t="s">
        <v>22</v>
      </c>
      <c r="C34">
        <v>10</v>
      </c>
      <c r="D34" s="6">
        <v>45604</v>
      </c>
      <c r="E34" t="str">
        <f>Table10[[#This Row],[TÊN MẶT HÀNG]]&amp;" "&amp;TEXT(Table10[[#This Row],[NGÀY LẤY GIÁ]],"dd/mm/yyyy")</f>
        <v>Đậu Cove Nhật 08/11/2024</v>
      </c>
      <c r="F34" s="1">
        <f>VLOOKUP(Table10[[#This Row],[CỘT PHỤ]],'[1]TIỀN MUA PHỤ'!$A:$B,2,0)</f>
        <v>9000</v>
      </c>
      <c r="G34" s="2">
        <f>Table10[[#This Row],[SL]]*Table10[[#This Row],[ĐƠN GIÁ]]</f>
        <v>90000</v>
      </c>
      <c r="H34" s="1">
        <v>9000</v>
      </c>
      <c r="I34" s="1">
        <v>90000</v>
      </c>
    </row>
    <row r="35" spans="1:9" x14ac:dyDescent="0.3">
      <c r="A35" t="s">
        <v>87</v>
      </c>
      <c r="B35" t="s">
        <v>107</v>
      </c>
      <c r="C35">
        <v>45</v>
      </c>
      <c r="D35" s="6">
        <v>45604</v>
      </c>
      <c r="E35" t="str">
        <f>Table10[[#This Row],[TÊN MẶT HÀNG]]&amp;" "&amp;TEXT(Table10[[#This Row],[NGÀY LẤY GIÁ]],"dd/mm/yyyy")</f>
        <v>Đậu Cove Trắng 08/11/2024</v>
      </c>
      <c r="F35" s="1">
        <f>26000*0.3</f>
        <v>7800</v>
      </c>
      <c r="G35" s="2">
        <f>Table10[[#This Row],[SL]]*Table10[[#This Row],[ĐƠN GIÁ]]</f>
        <v>351000</v>
      </c>
      <c r="H35" s="1">
        <v>7800</v>
      </c>
      <c r="I35" s="1">
        <v>351000</v>
      </c>
    </row>
    <row r="36" spans="1:9" x14ac:dyDescent="0.3">
      <c r="A36" t="s">
        <v>53</v>
      </c>
      <c r="B36" t="s">
        <v>9</v>
      </c>
      <c r="C36">
        <v>602</v>
      </c>
      <c r="D36" s="6">
        <v>45604</v>
      </c>
      <c r="E36" t="str">
        <f>Table10[[#This Row],[TÊN MẶT HÀNG]]&amp;" "&amp;TEXT(Table10[[#This Row],[NGÀY LẤY GIÁ]],"dd/mm/yyyy")</f>
        <v>Dưa Leo Baby 08/11/2024</v>
      </c>
      <c r="F36" s="1">
        <f>VLOOKUP(Table10[[#This Row],[CỘT PHỤ]],'[1]TIỀN MUA PHỤ'!$A:$B,2,0)</f>
        <v>6000</v>
      </c>
      <c r="G36" s="2">
        <f>Table10[[#This Row],[SL]]*Table10[[#This Row],[ĐƠN GIÁ]]</f>
        <v>3612000</v>
      </c>
      <c r="H36" s="1">
        <v>6000</v>
      </c>
      <c r="I36" s="1">
        <v>3612000</v>
      </c>
    </row>
    <row r="37" spans="1:9" x14ac:dyDescent="0.3">
      <c r="A37" t="s">
        <v>55</v>
      </c>
      <c r="B37" t="s">
        <v>22</v>
      </c>
      <c r="C37">
        <v>30</v>
      </c>
      <c r="D37" s="6">
        <v>45604</v>
      </c>
      <c r="E37" t="str">
        <f>Table10[[#This Row],[TÊN MẶT HÀNG]]&amp;" "&amp;TEXT(Table10[[#This Row],[NGÀY LẤY GIÁ]],"dd/mm/yyyy")</f>
        <v>Dưa Leo Nhật 08/11/2024</v>
      </c>
      <c r="F37" s="1">
        <f>VLOOKUP(Table10[[#This Row],[CỘT PHỤ]],'[1]TIỀN MUA PHỤ'!$A:$B,2,0)*0.6</f>
        <v>6600</v>
      </c>
      <c r="G37" s="2">
        <f>Table10[[#This Row],[SL]]*Table10[[#This Row],[ĐƠN GIÁ]]</f>
        <v>198000</v>
      </c>
      <c r="H37" s="1">
        <v>6600</v>
      </c>
      <c r="I37" s="1">
        <v>198000</v>
      </c>
    </row>
    <row r="38" spans="1:9" x14ac:dyDescent="0.3">
      <c r="A38" t="s">
        <v>56</v>
      </c>
      <c r="B38" t="s">
        <v>7</v>
      </c>
      <c r="C38">
        <v>30</v>
      </c>
      <c r="D38" s="6">
        <v>45604</v>
      </c>
      <c r="E38" t="str">
        <f>Table10[[#This Row],[TÊN MẶT HÀNG]]&amp;" "&amp;TEXT(Table10[[#This Row],[NGÀY LẤY GIÁ]],"dd/mm/yyyy")</f>
        <v>Dưa Leo Thường 08/11/2024</v>
      </c>
      <c r="F38" s="1">
        <v>7000</v>
      </c>
      <c r="G38" s="2">
        <f>Table10[[#This Row],[SL]]*Table10[[#This Row],[ĐƠN GIÁ]]</f>
        <v>210000</v>
      </c>
      <c r="H38" s="1">
        <v>7000</v>
      </c>
      <c r="I38" s="1">
        <v>210000</v>
      </c>
    </row>
    <row r="39" spans="1:9" x14ac:dyDescent="0.3">
      <c r="A39" t="s">
        <v>28</v>
      </c>
      <c r="B39" t="s">
        <v>27</v>
      </c>
      <c r="C39">
        <v>100</v>
      </c>
      <c r="D39" s="6">
        <v>45604</v>
      </c>
      <c r="E39" t="str">
        <f>Table10[[#This Row],[TÊN MẶT HÀNG]]&amp;" "&amp;TEXT(Table10[[#This Row],[NGÀY LẤY GIÁ]],"dd/mm/yyyy")</f>
        <v>Hành Paro 08/11/2024</v>
      </c>
      <c r="F39" s="1">
        <f>VLOOKUP(Table10[[#This Row],[CỘT PHỤ]],'[1]TIỀN MUA PHỤ'!$A:$B,2,0)/5</f>
        <v>9600</v>
      </c>
      <c r="G39" s="2">
        <f>Table10[[#This Row],[SL]]*Table10[[#This Row],[ĐƠN GIÁ]]</f>
        <v>960000</v>
      </c>
      <c r="H39" s="1">
        <v>9600</v>
      </c>
      <c r="I39" s="1">
        <v>960000</v>
      </c>
    </row>
    <row r="40" spans="1:9" x14ac:dyDescent="0.3">
      <c r="A40" t="s">
        <v>29</v>
      </c>
      <c r="B40" t="s">
        <v>22</v>
      </c>
      <c r="C40">
        <v>200</v>
      </c>
      <c r="D40" s="6">
        <v>45604</v>
      </c>
      <c r="E40" t="str">
        <f>Table10[[#This Row],[TÊN MẶT HÀNG]]&amp;" "&amp;TEXT(Table10[[#This Row],[NGÀY LẤY GIÁ]],"dd/mm/yyyy")</f>
        <v>Lá Mè 08/11/2024</v>
      </c>
      <c r="F40" s="1">
        <f>VLOOKUP(Table10[[#This Row],[CỘT PHỤ]],'[1]TIỀN MUA PHỤ'!$A:$B,2,0)/20</f>
        <v>2000</v>
      </c>
      <c r="G40" s="2">
        <f>Table10[[#This Row],[SL]]*Table10[[#This Row],[ĐƠN GIÁ]]</f>
        <v>400000</v>
      </c>
      <c r="H40" s="1">
        <v>2000</v>
      </c>
      <c r="I40" s="1">
        <v>400000</v>
      </c>
    </row>
    <row r="41" spans="1:9" x14ac:dyDescent="0.3">
      <c r="A41" t="s">
        <v>30</v>
      </c>
      <c r="B41" t="s">
        <v>7</v>
      </c>
      <c r="C41">
        <v>5</v>
      </c>
      <c r="D41" s="6">
        <v>45604</v>
      </c>
      <c r="E41" t="str">
        <f>Table10[[#This Row],[TÊN MẶT HÀNG]]&amp;" "&amp;TEXT(Table10[[#This Row],[NGÀY LẤY GIÁ]],"dd/mm/yyyy")</f>
        <v>Lá Nha Đam 08/11/2024</v>
      </c>
      <c r="F41" s="1">
        <f>VLOOKUP(Table10[[#This Row],[CỘT PHỤ]],'[1]TIỀN MUA PHỤ'!$A:$B,2,0)</f>
        <v>14000</v>
      </c>
      <c r="G41" s="2">
        <f>Table10[[#This Row],[SL]]*Table10[[#This Row],[ĐƠN GIÁ]]</f>
        <v>70000</v>
      </c>
      <c r="H41" s="1">
        <v>14000</v>
      </c>
      <c r="I41" s="1">
        <v>70000</v>
      </c>
    </row>
    <row r="42" spans="1:9" x14ac:dyDescent="0.3">
      <c r="A42" t="s">
        <v>31</v>
      </c>
      <c r="B42" t="s">
        <v>7</v>
      </c>
      <c r="C42">
        <v>1.2</v>
      </c>
      <c r="D42" s="6">
        <v>45604</v>
      </c>
      <c r="E42" t="str">
        <f>Table10[[#This Row],[TÊN MẶT HÀNG]]&amp;" "&amp;TEXT(Table10[[#This Row],[NGÀY LẤY GIÁ]],"dd/mm/yyyy")</f>
        <v>Lá Tía Tô 08/11/2024</v>
      </c>
      <c r="F42" s="1">
        <f>VLOOKUP(Table10[[#This Row],[CỘT PHỤ]],'[1]TIỀN MUA PHỤ'!$A:$B,2,0)</f>
        <v>32000</v>
      </c>
      <c r="G42" s="2">
        <f>Table10[[#This Row],[SL]]*Table10[[#This Row],[ĐƠN GIÁ]]</f>
        <v>38400</v>
      </c>
      <c r="H42" s="1">
        <v>32000</v>
      </c>
      <c r="I42" s="1">
        <v>38400</v>
      </c>
    </row>
    <row r="43" spans="1:9" x14ac:dyDescent="0.3">
      <c r="A43" t="s">
        <v>32</v>
      </c>
      <c r="B43" t="s">
        <v>7</v>
      </c>
      <c r="C43">
        <v>25</v>
      </c>
      <c r="D43" s="6">
        <v>45604</v>
      </c>
      <c r="E43" t="str">
        <f>Table10[[#This Row],[TÊN MẶT HÀNG]]&amp;" "&amp;TEXT(Table10[[#This Row],[NGÀY LẤY GIÁ]],"dd/mm/yyyy")</f>
        <v>Măng Tây 08/11/2024</v>
      </c>
      <c r="F43" s="1">
        <f>VLOOKUP(Table10[[#This Row],[CỘT PHỤ]],'[1]TIỀN MUA PHỤ'!$A:$B,2,0)</f>
        <v>52000</v>
      </c>
      <c r="G43" s="2">
        <f>Table10[[#This Row],[SL]]*Table10[[#This Row],[ĐƠN GIÁ]]</f>
        <v>1300000</v>
      </c>
      <c r="H43" s="1">
        <v>52000</v>
      </c>
      <c r="I43" s="1">
        <v>1300000</v>
      </c>
    </row>
    <row r="44" spans="1:9" x14ac:dyDescent="0.3">
      <c r="A44" t="s">
        <v>109</v>
      </c>
      <c r="B44" t="s">
        <v>9</v>
      </c>
      <c r="C44">
        <v>8</v>
      </c>
      <c r="D44" s="6">
        <v>45604</v>
      </c>
      <c r="E44" t="str">
        <f>Table10[[#This Row],[TÊN MẶT HÀNG]]&amp;" "&amp;TEXT(Table10[[#This Row],[NGÀY LẤY GIÁ]],"dd/mm/yyyy")</f>
        <v>Ớt Chuông Ba Màu 08/11/2024</v>
      </c>
      <c r="F44" s="1">
        <v>23000</v>
      </c>
      <c r="G44" s="2">
        <f>Table10[[#This Row],[SL]]*Table10[[#This Row],[ĐƠN GIÁ]]</f>
        <v>184000</v>
      </c>
      <c r="H44" s="1">
        <v>23000</v>
      </c>
      <c r="I44" s="1">
        <v>184000</v>
      </c>
    </row>
    <row r="45" spans="1:9" x14ac:dyDescent="0.3">
      <c r="A45" t="s">
        <v>57</v>
      </c>
      <c r="B45" t="s">
        <v>7</v>
      </c>
      <c r="C45">
        <v>35</v>
      </c>
      <c r="D45" s="6">
        <v>45604</v>
      </c>
      <c r="E45" t="str">
        <f>Table10[[#This Row],[TÊN MẶT HÀNG]]&amp;" "&amp;TEXT(Table10[[#This Row],[NGÀY LẤY GIÁ]],"dd/mm/yyyy")</f>
        <v>Ớt Chuông Baby 08/11/2024</v>
      </c>
      <c r="F45" s="1">
        <f>VLOOKUP(Table10[[#This Row],[CỘT PHỤ]],'[1]TIỀN MUA PHỤ'!$A:$B,2,0)</f>
        <v>48000</v>
      </c>
      <c r="G45" s="2">
        <f>Table10[[#This Row],[SL]]*Table10[[#This Row],[ĐƠN GIÁ]]</f>
        <v>1680000</v>
      </c>
      <c r="H45" s="1">
        <v>48000</v>
      </c>
      <c r="I45" s="1">
        <v>1680000</v>
      </c>
    </row>
    <row r="46" spans="1:9" x14ac:dyDescent="0.3">
      <c r="A46" t="s">
        <v>58</v>
      </c>
      <c r="B46" t="s">
        <v>59</v>
      </c>
      <c r="C46">
        <v>100</v>
      </c>
      <c r="D46" s="6">
        <v>45604</v>
      </c>
      <c r="E46" t="str">
        <f>Table10[[#This Row],[TÊN MẶT HÀNG]]&amp;" "&amp;TEXT(Table10[[#This Row],[NGÀY LẤY GIÁ]],"dd/mm/yyyy")</f>
        <v>Ớt Chuông Đỏ 08/11/2024</v>
      </c>
      <c r="F46" s="1">
        <f>VLOOKUP(Table10[[#This Row],[CỘT PHỤ]],'[1]TIỀN MUA PHỤ'!$A:$B,2,0)/4</f>
        <v>10500</v>
      </c>
      <c r="G46" s="2">
        <f>Table10[[#This Row],[SL]]*Table10[[#This Row],[ĐƠN GIÁ]]</f>
        <v>1050000</v>
      </c>
      <c r="H46" s="1">
        <v>10500</v>
      </c>
      <c r="I46" s="1">
        <v>1050000</v>
      </c>
    </row>
    <row r="47" spans="1:9" x14ac:dyDescent="0.3">
      <c r="A47" t="s">
        <v>61</v>
      </c>
      <c r="B47" t="s">
        <v>59</v>
      </c>
      <c r="C47">
        <v>80</v>
      </c>
      <c r="D47" s="6">
        <v>45604</v>
      </c>
      <c r="E47" t="str">
        <f>Table10[[#This Row],[TÊN MẶT HÀNG]]&amp;" "&amp;TEXT(Table10[[#This Row],[NGÀY LẤY GIÁ]],"dd/mm/yyyy")</f>
        <v>Ớt Chuông Vàng 08/11/2024</v>
      </c>
      <c r="F47" s="1">
        <f>VLOOKUP(Table10[[#This Row],[CỘT PHỤ]],'[1]TIỀN MUA PHỤ'!$A:$B,2,0)/4</f>
        <v>5500</v>
      </c>
      <c r="G47" s="2">
        <f>Table10[[#This Row],[SL]]*Table10[[#This Row],[ĐƠN GIÁ]]</f>
        <v>440000</v>
      </c>
      <c r="H47" s="1">
        <v>5500</v>
      </c>
      <c r="I47" s="1">
        <v>440000</v>
      </c>
    </row>
    <row r="48" spans="1:9" x14ac:dyDescent="0.3">
      <c r="A48" t="s">
        <v>97</v>
      </c>
      <c r="B48" t="s">
        <v>22</v>
      </c>
      <c r="C48">
        <v>360</v>
      </c>
      <c r="D48" s="6">
        <v>45604</v>
      </c>
      <c r="E48" t="str">
        <f>Table10[[#This Row],[TÊN MẶT HÀNG]]&amp;" "&amp;TEXT(Table10[[#This Row],[NGÀY LẤY GIÁ]],"dd/mm/yyyy")</f>
        <v>Ớt Sweet Palemo 08/11/2024</v>
      </c>
      <c r="F48" s="1">
        <f>VLOOKUP(Table10[[#This Row],[CỘT PHỤ]],'[1]TIỀN MUA PHỤ'!$A:$B,2,0)</f>
        <v>21000</v>
      </c>
      <c r="G48" s="2">
        <f>Table10[[#This Row],[SL]]*Table10[[#This Row],[ĐƠN GIÁ]]</f>
        <v>7560000</v>
      </c>
      <c r="H48" s="1">
        <v>21000</v>
      </c>
      <c r="I48" s="1">
        <v>7560000</v>
      </c>
    </row>
    <row r="49" spans="1:9" x14ac:dyDescent="0.3">
      <c r="A49" t="s">
        <v>33</v>
      </c>
      <c r="B49" t="s">
        <v>7</v>
      </c>
      <c r="C49">
        <v>10</v>
      </c>
      <c r="D49" s="6">
        <v>45604</v>
      </c>
      <c r="E49" t="str">
        <f>Table10[[#This Row],[TÊN MẶT HÀNG]]&amp;" "&amp;TEXT(Table10[[#This Row],[NGÀY LẤY GIÁ]],"dd/mm/yyyy")</f>
        <v>Rau Ngò Rí 08/11/2024</v>
      </c>
      <c r="F49" s="1">
        <f>VLOOKUP(Table10[[#This Row],[CỘT PHỤ]],'[1]TIỀN MUA PHỤ'!$A:$B,2,0)</f>
        <v>35000</v>
      </c>
      <c r="G49" s="2">
        <f>Table10[[#This Row],[SL]]*Table10[[#This Row],[ĐƠN GIÁ]]</f>
        <v>350000</v>
      </c>
      <c r="H49" s="1">
        <v>35000</v>
      </c>
      <c r="I49" s="1">
        <v>350000</v>
      </c>
    </row>
    <row r="50" spans="1:9" x14ac:dyDescent="0.3">
      <c r="A50" t="s">
        <v>64</v>
      </c>
      <c r="B50" t="s">
        <v>7</v>
      </c>
      <c r="C50">
        <v>13</v>
      </c>
      <c r="D50" s="6">
        <v>45604</v>
      </c>
      <c r="E50" t="str">
        <f>Table10[[#This Row],[TÊN MẶT HÀNG]]&amp;" "&amp;TEXT(Table10[[#This Row],[NGÀY LẤY GIÁ]],"dd/mm/yyyy")</f>
        <v>Trái Chanh Vàng 08/11/2024</v>
      </c>
      <c r="F50" s="1">
        <f>VLOOKUP(Table10[[#This Row],[CỘT PHỤ]],'[1]TIỀN MUA PHỤ'!$A:$B,2,0)</f>
        <v>60000</v>
      </c>
      <c r="G50" s="2">
        <f>Table10[[#This Row],[SL]]*Table10[[#This Row],[ĐƠN GIÁ]]</f>
        <v>780000</v>
      </c>
      <c r="H50" s="1">
        <v>60000</v>
      </c>
      <c r="I50" s="1">
        <v>780000</v>
      </c>
    </row>
    <row r="51" spans="1:9" x14ac:dyDescent="0.3">
      <c r="A51" t="s">
        <v>113</v>
      </c>
      <c r="B51" t="s">
        <v>7</v>
      </c>
      <c r="C51">
        <v>5</v>
      </c>
      <c r="D51" s="6">
        <v>45604</v>
      </c>
      <c r="E51" t="str">
        <f>Table10[[#This Row],[TÊN MẶT HÀNG]]&amp;" "&amp;TEXT(Table10[[#This Row],[NGÀY LẤY GIÁ]],"dd/mm/yyyy")</f>
        <v>Xà Lách Lolo Tím 08/11/2024</v>
      </c>
      <c r="F51" s="1">
        <f>VLOOKUP(Table10[[#This Row],[CỘT PHỤ]],'[1]TIỀN MUA PHỤ'!$A:$B,2,0)</f>
        <v>50000</v>
      </c>
      <c r="G51" s="2">
        <f>Table10[[#This Row],[SL]]*Table10[[#This Row],[ĐƠN GIÁ]]</f>
        <v>250000</v>
      </c>
      <c r="H51" s="1">
        <v>50000</v>
      </c>
      <c r="I51" s="1">
        <v>250000</v>
      </c>
    </row>
    <row r="52" spans="1:9" x14ac:dyDescent="0.3">
      <c r="A52" t="s">
        <v>34</v>
      </c>
      <c r="B52" t="s">
        <v>7</v>
      </c>
      <c r="C52">
        <v>200</v>
      </c>
      <c r="D52" s="6">
        <v>45604</v>
      </c>
      <c r="E52" t="str">
        <f>Table10[[#This Row],[TÊN MẶT HÀNG]]&amp;" "&amp;TEXT(Table10[[#This Row],[NGÀY LẤY GIÁ]],"dd/mm/yyyy")</f>
        <v>Xà Lách Lolo Xanh 08/11/2024</v>
      </c>
      <c r="F52" s="1">
        <f>VLOOKUP(Table10[[#This Row],[CỘT PHỤ]],'[1]TIỀN MUA PHỤ'!$A:$B,2,0)</f>
        <v>32000</v>
      </c>
      <c r="G52" s="2">
        <f>Table10[[#This Row],[SL]]*Table10[[#This Row],[ĐƠN GIÁ]]</f>
        <v>6400000</v>
      </c>
      <c r="H52" s="1">
        <v>32000</v>
      </c>
      <c r="I52" s="1">
        <v>6400000</v>
      </c>
    </row>
    <row r="53" spans="1:9" x14ac:dyDescent="0.3">
      <c r="A53" t="s">
        <v>74</v>
      </c>
      <c r="B53" t="s">
        <v>7</v>
      </c>
      <c r="C53">
        <v>30</v>
      </c>
      <c r="D53" s="6">
        <v>45604</v>
      </c>
      <c r="E53" t="str">
        <f>Table10[[#This Row],[TÊN MẶT HÀNG]]&amp;" "&amp;TEXT(Table10[[#This Row],[NGÀY LẤY GIÁ]],"dd/mm/yyyy")</f>
        <v>Xà Lách Lolo Xanh Sushi 08/11/2024</v>
      </c>
      <c r="F53" s="1">
        <v>32000</v>
      </c>
      <c r="G53" s="2">
        <f>Table10[[#This Row],[SL]]*Table10[[#This Row],[ĐƠN GIÁ]]</f>
        <v>960000</v>
      </c>
      <c r="H53" s="1">
        <v>32000</v>
      </c>
      <c r="I53" s="1">
        <v>960000</v>
      </c>
    </row>
    <row r="54" spans="1:9" x14ac:dyDescent="0.3">
      <c r="A54" t="s">
        <v>36</v>
      </c>
      <c r="B54" t="s">
        <v>27</v>
      </c>
      <c r="C54">
        <v>200</v>
      </c>
      <c r="D54" s="6">
        <v>45604</v>
      </c>
      <c r="E54" t="str">
        <f>Table10[[#This Row],[TÊN MẶT HÀNG]]&amp;" "&amp;TEXT(Table10[[#This Row],[NGÀY LẤY GIÁ]],"dd/mm/yyyy")</f>
        <v>Xà Lách Lolo Xanh T.C Cây 08/11/2024</v>
      </c>
      <c r="F54" s="1">
        <f>VLOOKUP(Table10[[#This Row],[CỘT PHỤ]],'[1]TIỀN MUA PHỤ'!$A:$B,2,0)</f>
        <v>6800</v>
      </c>
      <c r="G54" s="2">
        <f>Table10[[#This Row],[SL]]*Table10[[#This Row],[ĐƠN GIÁ]]</f>
        <v>1360000</v>
      </c>
      <c r="H54" s="1">
        <v>6800</v>
      </c>
      <c r="I54" s="1">
        <v>1360000</v>
      </c>
    </row>
    <row r="55" spans="1:9" x14ac:dyDescent="0.3">
      <c r="A55" t="s">
        <v>40</v>
      </c>
      <c r="B55" t="s">
        <v>7</v>
      </c>
      <c r="C55">
        <v>42</v>
      </c>
      <c r="D55" s="6">
        <v>45604</v>
      </c>
      <c r="E55" t="str">
        <f>Table10[[#This Row],[TÊN MẶT HÀNG]]&amp;" "&amp;TEXT(Table10[[#This Row],[NGÀY LẤY GIÁ]],"dd/mm/yyyy")</f>
        <v>Xà Lách Mỡ 08/11/2024</v>
      </c>
      <c r="F55" s="1">
        <v>26000</v>
      </c>
      <c r="G55" s="2">
        <f>Table10[[#This Row],[SL]]*Table10[[#This Row],[ĐƠN GIÁ]]</f>
        <v>1092000</v>
      </c>
      <c r="H55" s="1">
        <v>26000</v>
      </c>
      <c r="I55" s="1">
        <v>1092000</v>
      </c>
    </row>
    <row r="56" spans="1:9" x14ac:dyDescent="0.3">
      <c r="A56" t="s">
        <v>38</v>
      </c>
      <c r="B56" t="s">
        <v>27</v>
      </c>
      <c r="C56">
        <v>20</v>
      </c>
      <c r="D56" s="6">
        <v>45604</v>
      </c>
      <c r="E56" t="str">
        <f>Table10[[#This Row],[TÊN MẶT HÀNG]]&amp;" "&amp;TEXT(Table10[[#This Row],[NGÀY LẤY GIÁ]],"dd/mm/yyyy")</f>
        <v>Xà Lách Mỡ T.C Cây 08/11/2024</v>
      </c>
      <c r="F56" s="1">
        <f>VLOOKUP(Table10[[#This Row],[CỘT PHỤ]],'[1]TIỀN MUA PHỤ'!$A:$B,2,0)</f>
        <v>6800</v>
      </c>
      <c r="G56" s="2">
        <f>Table10[[#This Row],[SL]]*Table10[[#This Row],[ĐƠN GIÁ]]</f>
        <v>136000</v>
      </c>
      <c r="H56" s="1">
        <v>6800</v>
      </c>
      <c r="I56" s="1">
        <v>136000</v>
      </c>
    </row>
    <row r="57" spans="1:9" x14ac:dyDescent="0.3">
      <c r="A57" t="s">
        <v>39</v>
      </c>
      <c r="B57" t="s">
        <v>7</v>
      </c>
      <c r="C57">
        <v>30</v>
      </c>
      <c r="D57" s="6">
        <v>45604</v>
      </c>
      <c r="E57" t="str">
        <f>Table10[[#This Row],[TÊN MẶT HÀNG]]&amp;" "&amp;TEXT(Table10[[#This Row],[NGÀY LẤY GIÁ]],"dd/mm/yyyy")</f>
        <v>Xà Lách Mỹ 08/11/2024</v>
      </c>
      <c r="F57" s="1">
        <f>VLOOKUP(Table10[[#This Row],[CỘT PHỤ]],'[1]TIỀN MUA PHỤ'!$A:$B,2,0)</f>
        <v>38000</v>
      </c>
      <c r="G57" s="2">
        <f>Table10[[#This Row],[SL]]*Table10[[#This Row],[ĐƠN GIÁ]]</f>
        <v>1140000</v>
      </c>
      <c r="H57" s="1">
        <v>38000</v>
      </c>
      <c r="I57" s="1">
        <v>1140000</v>
      </c>
    </row>
    <row r="58" spans="1:9" x14ac:dyDescent="0.3">
      <c r="A58" t="s">
        <v>82</v>
      </c>
      <c r="B58" t="s">
        <v>7</v>
      </c>
      <c r="C58">
        <v>5</v>
      </c>
      <c r="D58" s="6">
        <v>45604</v>
      </c>
      <c r="E58" t="str">
        <f>Table10[[#This Row],[TÊN MẶT HÀNG]]&amp;" "&amp;TEXT(Table10[[#This Row],[NGÀY LẤY GIÁ]],"dd/mm/yyyy")</f>
        <v>Xà Lách Rocket 08/11/2024</v>
      </c>
      <c r="F58" s="1">
        <f>VLOOKUP(Table10[[#This Row],[CỘT PHỤ]],'[1]TIỀN MUA PHỤ'!$A:$B,2,0)</f>
        <v>120000</v>
      </c>
      <c r="G58" s="2">
        <f>Table10[[#This Row],[SL]]*Table10[[#This Row],[ĐƠN GIÁ]]</f>
        <v>600000</v>
      </c>
      <c r="H58" s="1">
        <v>120000</v>
      </c>
      <c r="I58" s="1">
        <v>600000</v>
      </c>
    </row>
    <row r="59" spans="1:9" x14ac:dyDescent="0.3">
      <c r="G59" s="2">
        <f>SUM(Table10[THÀNH TIỀN])</f>
        <v>73504066.666666672</v>
      </c>
      <c r="H59" s="1"/>
      <c r="I59" s="1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2777-EC23-45B4-8AA3-742CE579E32F}">
  <dimension ref="A1:I72"/>
  <sheetViews>
    <sheetView workbookViewId="0">
      <selection activeCell="G72" sqref="G72"/>
    </sheetView>
  </sheetViews>
  <sheetFormatPr defaultRowHeight="14.4" x14ac:dyDescent="0.3"/>
  <cols>
    <col min="1" max="1" width="26.6640625" customWidth="1"/>
    <col min="2" max="2" width="9" customWidth="1"/>
    <col min="4" max="4" width="16.109375" customWidth="1"/>
    <col min="5" max="5" width="28.77734375" customWidth="1"/>
    <col min="6" max="6" width="10.21875" style="1" customWidth="1"/>
    <col min="7" max="7" width="13.5546875" customWidth="1"/>
    <col min="8" max="8" width="11.33203125" bestFit="1" customWidth="1"/>
    <col min="9" max="9" width="12.77734375" bestFit="1" customWidth="1"/>
  </cols>
  <sheetData>
    <row r="1" spans="1:9" x14ac:dyDescent="0.3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s="1" t="s">
        <v>76</v>
      </c>
      <c r="G1" t="s">
        <v>4</v>
      </c>
      <c r="H1" t="s">
        <v>123</v>
      </c>
      <c r="I1" t="s">
        <v>122</v>
      </c>
    </row>
    <row r="2" spans="1:9" x14ac:dyDescent="0.3">
      <c r="A2" t="s">
        <v>78</v>
      </c>
      <c r="B2" t="s">
        <v>7</v>
      </c>
      <c r="C2">
        <v>25</v>
      </c>
      <c r="D2" s="6">
        <v>45603</v>
      </c>
      <c r="E2" s="6" t="str">
        <f>Table9[[#This Row],[TÊN MẶT HÀNG]]&amp;" "&amp;TEXT(Table9[[#This Row],[NGÀY LẤY GIÁ]],"dd/mm/yyyy")</f>
        <v>Bắp Cải Tím 07/11/2024</v>
      </c>
      <c r="F2" s="1">
        <f>VLOOKUP(Table9[[#This Row],[CỘT PHỤ]],'[1]TIỀN MUA PHỤ'!$A:$B,2,0)</f>
        <v>28000</v>
      </c>
      <c r="G2" s="2">
        <f>Table9[[#This Row],[SL]]*Table9[[#This Row],[ĐƠN GIÁ]]</f>
        <v>700000</v>
      </c>
      <c r="H2" s="1">
        <v>26000</v>
      </c>
      <c r="I2" s="1">
        <v>650000</v>
      </c>
    </row>
    <row r="3" spans="1:9" x14ac:dyDescent="0.3">
      <c r="A3" t="s">
        <v>79</v>
      </c>
      <c r="B3" t="s">
        <v>7</v>
      </c>
      <c r="C3">
        <v>15</v>
      </c>
      <c r="D3" s="6">
        <v>45603</v>
      </c>
      <c r="E3" s="6" t="str">
        <f>Table9[[#This Row],[TÊN MẶT HÀNG]]&amp;" "&amp;TEXT(Table9[[#This Row],[NGÀY LẤY GIÁ]],"dd/mm/yyyy")</f>
        <v>Bắp Cải Trái Tim 07/11/2024</v>
      </c>
      <c r="F3" s="1">
        <f>VLOOKUP(Table9[[#This Row],[CỘT PHỤ]],'[1]TIỀN MUA PHỤ'!$A:$B,2,0)</f>
        <v>12000</v>
      </c>
      <c r="G3" s="2">
        <f>Table9[[#This Row],[SL]]*Table9[[#This Row],[ĐƠN GIÁ]]</f>
        <v>180000</v>
      </c>
      <c r="H3" s="1">
        <v>12000</v>
      </c>
      <c r="I3" s="1">
        <v>180000</v>
      </c>
    </row>
    <row r="4" spans="1:9" x14ac:dyDescent="0.3">
      <c r="A4" t="s">
        <v>80</v>
      </c>
      <c r="B4" t="s">
        <v>7</v>
      </c>
      <c r="C4">
        <v>15</v>
      </c>
      <c r="D4" s="6">
        <v>45603</v>
      </c>
      <c r="E4" s="6" t="str">
        <f>Table9[[#This Row],[TÊN MẶT HÀNG]]&amp;" "&amp;TEXT(Table9[[#This Row],[NGÀY LẤY GIÁ]],"dd/mm/yyyy")</f>
        <v>Bí Đao Xanh 07/11/2024</v>
      </c>
      <c r="F4" s="1">
        <f>VLOOKUP(Table9[[#This Row],[CỘT PHỤ]],'[1]TIỀN MUA PHỤ'!$A:$B,2,0)</f>
        <v>10000</v>
      </c>
      <c r="G4" s="2">
        <f>Table9[[#This Row],[SL]]*Table9[[#This Row],[ĐƠN GIÁ]]</f>
        <v>150000</v>
      </c>
      <c r="H4" s="1">
        <v>10000</v>
      </c>
      <c r="I4" s="1">
        <v>150000</v>
      </c>
    </row>
    <row r="5" spans="1:9" x14ac:dyDescent="0.3">
      <c r="A5" t="s">
        <v>41</v>
      </c>
      <c r="B5" t="s">
        <v>7</v>
      </c>
      <c r="C5">
        <v>16.5</v>
      </c>
      <c r="D5" s="6">
        <v>45603</v>
      </c>
      <c r="E5" s="6" t="str">
        <f>Table9[[#This Row],[TÊN MẶT HÀNG]]&amp;" "&amp;TEXT(Table9[[#This Row],[NGÀY LẤY GIÁ]],"dd/mm/yyyy")</f>
        <v>Bí Ngòi Xanh 07/11/2024</v>
      </c>
      <c r="F5" s="1">
        <f>VLOOKUP(Table9[[#This Row],[CỘT PHỤ]],'[1]TIỀN MUA PHỤ'!$A:$B,2,0)</f>
        <v>21500</v>
      </c>
      <c r="G5" s="2">
        <f>Table9[[#This Row],[SL]]*Table9[[#This Row],[ĐƠN GIÁ]]</f>
        <v>354750</v>
      </c>
      <c r="H5" s="1">
        <v>21500</v>
      </c>
      <c r="I5" s="1">
        <v>354750</v>
      </c>
    </row>
    <row r="6" spans="1:9" x14ac:dyDescent="0.3">
      <c r="A6" t="s">
        <v>41</v>
      </c>
      <c r="B6" t="s">
        <v>42</v>
      </c>
      <c r="C6">
        <v>299</v>
      </c>
      <c r="D6" s="6">
        <v>45603</v>
      </c>
      <c r="E6" s="6" t="str">
        <f>Table9[[#This Row],[TÊN MẶT HÀNG]]&amp;" "&amp;TEXT(Table9[[#This Row],[NGÀY LẤY GIÁ]],"dd/mm/yyyy")</f>
        <v>Bí Ngòi Xanh 07/11/2024</v>
      </c>
      <c r="F6" s="1">
        <f>F5*0.3</f>
        <v>6450</v>
      </c>
      <c r="G6" s="2">
        <f>Table9[[#This Row],[SL]]*Table9[[#This Row],[ĐƠN GIÁ]]</f>
        <v>1928550</v>
      </c>
      <c r="H6" s="1">
        <v>6450</v>
      </c>
      <c r="I6" s="1">
        <v>1928550</v>
      </c>
    </row>
    <row r="7" spans="1:9" x14ac:dyDescent="0.3">
      <c r="A7" t="s">
        <v>43</v>
      </c>
      <c r="B7" t="s">
        <v>44</v>
      </c>
      <c r="C7">
        <v>280</v>
      </c>
      <c r="D7" s="6">
        <v>45603</v>
      </c>
      <c r="E7" s="6" t="str">
        <f>Table9[[#This Row],[TÊN MẶT HÀNG]]&amp;" "&amp;TEXT(Table9[[#This Row],[NGÀY LẤY GIÁ]],"dd/mm/yyyy")</f>
        <v>Bí Non Nhật 07/11/2024</v>
      </c>
      <c r="F7" s="1">
        <f>15000*0.3</f>
        <v>4500</v>
      </c>
      <c r="G7" s="2">
        <f>Table9[[#This Row],[SL]]*Table9[[#This Row],[ĐƠN GIÁ]]</f>
        <v>1260000</v>
      </c>
      <c r="H7" s="1">
        <v>4500</v>
      </c>
      <c r="I7" s="1">
        <v>1260000</v>
      </c>
    </row>
    <row r="8" spans="1:9" x14ac:dyDescent="0.3">
      <c r="A8" t="s">
        <v>67</v>
      </c>
      <c r="B8" t="s">
        <v>7</v>
      </c>
      <c r="C8">
        <v>80</v>
      </c>
      <c r="D8" s="6">
        <v>45603</v>
      </c>
      <c r="E8" s="6" t="str">
        <f>Table9[[#This Row],[TÊN MẶT HÀNG]]&amp;" "&amp;TEXT(Table9[[#This Row],[NGÀY LẤY GIÁ]],"dd/mm/yyyy")</f>
        <v>Bơ Booth 07/11/2024</v>
      </c>
      <c r="F8" s="1">
        <f>VLOOKUP(Table9[[#This Row],[CỘT PHỤ]],'[1]TIỀN MUA PHỤ'!$A:$B,2,0)</f>
        <v>26000</v>
      </c>
      <c r="G8" s="2">
        <f>Table9[[#This Row],[SL]]*Table9[[#This Row],[ĐƠN GIÁ]]</f>
        <v>2080000</v>
      </c>
      <c r="H8" s="1">
        <v>26000</v>
      </c>
      <c r="I8" s="1">
        <v>2080000</v>
      </c>
    </row>
    <row r="9" spans="1:9" x14ac:dyDescent="0.3">
      <c r="A9" t="s">
        <v>17</v>
      </c>
      <c r="B9" t="s">
        <v>7</v>
      </c>
      <c r="C9">
        <v>100</v>
      </c>
      <c r="D9" s="6">
        <v>45603</v>
      </c>
      <c r="E9" s="6" t="str">
        <f>Table9[[#This Row],[TÊN MẶT HÀNG]]&amp;" "&amp;TEXT(Table9[[#This Row],[NGÀY LẤY GIÁ]],"dd/mm/yyyy")</f>
        <v>Bông Cải Xanh 7Cm 07/11/2024</v>
      </c>
      <c r="F9" s="1">
        <f>VLOOKUP(Table9[[#This Row],[CỘT PHỤ]],'[1]TIỀN MUA PHỤ'!$A:$B,2,0)</f>
        <v>39000</v>
      </c>
      <c r="G9" s="2">
        <f>Table9[[#This Row],[SL]]*Table9[[#This Row],[ĐƠN GIÁ]]</f>
        <v>3900000</v>
      </c>
      <c r="H9" s="1">
        <v>39000</v>
      </c>
      <c r="I9" s="1">
        <v>3900000</v>
      </c>
    </row>
    <row r="10" spans="1:9" x14ac:dyDescent="0.3">
      <c r="A10" t="s">
        <v>18</v>
      </c>
      <c r="B10" t="s">
        <v>7</v>
      </c>
      <c r="C10">
        <v>10</v>
      </c>
      <c r="D10" s="6">
        <v>45603</v>
      </c>
      <c r="E10" s="6" t="str">
        <f>Table9[[#This Row],[TÊN MẶT HÀNG]]&amp;" "&amp;TEXT(Table9[[#This Row],[NGÀY LẤY GIÁ]],"dd/mm/yyyy")</f>
        <v>Bông Cải Xanh Baby 07/11/2024</v>
      </c>
      <c r="F10" s="1">
        <f>VLOOKUP(Table9[[#This Row],[CỘT PHỤ]],'[1]TIỀN MUA PHỤ'!$A:$B,2,0)</f>
        <v>55000</v>
      </c>
      <c r="G10" s="2">
        <f>Table9[[#This Row],[SL]]*Table9[[#This Row],[ĐƠN GIÁ]]</f>
        <v>550000</v>
      </c>
      <c r="H10" s="1">
        <v>55000</v>
      </c>
      <c r="I10" s="1">
        <v>550000</v>
      </c>
    </row>
    <row r="11" spans="1:9" x14ac:dyDescent="0.3">
      <c r="A11" t="s">
        <v>45</v>
      </c>
      <c r="B11" t="s">
        <v>7</v>
      </c>
      <c r="C11">
        <v>170</v>
      </c>
      <c r="D11" s="6">
        <v>45603</v>
      </c>
      <c r="E11" s="6" t="str">
        <f>Table9[[#This Row],[TÊN MẶT HÀNG]]&amp;" "&amp;TEXT(Table9[[#This Row],[NGÀY LẤY GIÁ]],"dd/mm/yyyy")</f>
        <v>Cà Chua Beef 07/11/2024</v>
      </c>
      <c r="F11" s="1">
        <f>VLOOKUP(Table9[[#This Row],[CỘT PHỤ]],'[1]TIỀN MUA PHỤ'!$A:$B,2,0)</f>
        <v>24000</v>
      </c>
      <c r="G11" s="2">
        <f>Table9[[#This Row],[SL]]*Table9[[#This Row],[ĐƠN GIÁ]]</f>
        <v>4080000</v>
      </c>
      <c r="H11" s="1">
        <v>24000</v>
      </c>
      <c r="I11" s="1">
        <v>4080000</v>
      </c>
    </row>
    <row r="12" spans="1:9" x14ac:dyDescent="0.3">
      <c r="A12" t="s">
        <v>89</v>
      </c>
      <c r="B12" t="s">
        <v>7</v>
      </c>
      <c r="C12">
        <v>21</v>
      </c>
      <c r="D12" s="6">
        <v>45603</v>
      </c>
      <c r="E12" s="6" t="str">
        <f>Table9[[#This Row],[TÊN MẶT HÀNG]]&amp;" "&amp;TEXT(Table9[[#This Row],[NGÀY LẤY GIÁ]],"dd/mm/yyyy")</f>
        <v>Cà Chua Beef Trung 07/11/2024</v>
      </c>
      <c r="F12" s="1">
        <f>VLOOKUP(Table9[[#This Row],[CỘT PHỤ]],'[1]TIỀN MUA PHỤ'!$A:$B,2,0)</f>
        <v>23000</v>
      </c>
      <c r="G12" s="2">
        <f>Table9[[#This Row],[SL]]*Table9[[#This Row],[ĐƠN GIÁ]]</f>
        <v>483000</v>
      </c>
      <c r="H12" s="1">
        <v>23000</v>
      </c>
      <c r="I12" s="1">
        <v>483000</v>
      </c>
    </row>
    <row r="13" spans="1:9" x14ac:dyDescent="0.3">
      <c r="A13" t="s">
        <v>89</v>
      </c>
      <c r="B13" t="s">
        <v>105</v>
      </c>
      <c r="C13">
        <v>104</v>
      </c>
      <c r="D13" s="6">
        <v>45603</v>
      </c>
      <c r="E13" s="6" t="str">
        <f>Table9[[#This Row],[TÊN MẶT HÀNG]]&amp;" "&amp;TEXT(Table9[[#This Row],[NGÀY LẤY GIÁ]],"dd/mm/yyyy")</f>
        <v>Cà Chua Beef Trung 07/11/2024</v>
      </c>
      <c r="F13" s="1">
        <v>11500</v>
      </c>
      <c r="G13" s="2">
        <f>Table9[[#This Row],[SL]]*Table9[[#This Row],[ĐƠN GIÁ]]</f>
        <v>1196000</v>
      </c>
      <c r="H13" s="1">
        <v>23000</v>
      </c>
      <c r="I13" s="1">
        <v>2392000</v>
      </c>
    </row>
    <row r="14" spans="1:9" x14ac:dyDescent="0.3">
      <c r="A14" t="s">
        <v>70</v>
      </c>
      <c r="B14" t="s">
        <v>7</v>
      </c>
      <c r="C14">
        <v>9</v>
      </c>
      <c r="D14" s="6">
        <v>45603</v>
      </c>
      <c r="E14" s="6" t="str">
        <f>Table9[[#This Row],[TÊN MẶT HÀNG]]&amp;" "&amp;TEXT(Table9[[#This Row],[NGÀY LẤY GIÁ]],"dd/mm/yyyy")</f>
        <v>Cà Chua Bi Đỏ 07/11/2024</v>
      </c>
      <c r="F14" s="1">
        <v>38000</v>
      </c>
      <c r="G14" s="2">
        <f>Table9[[#This Row],[SL]]*Table9[[#This Row],[ĐƠN GIÁ]]</f>
        <v>342000</v>
      </c>
      <c r="H14" s="1">
        <v>38000</v>
      </c>
      <c r="I14" s="1">
        <v>342000</v>
      </c>
    </row>
    <row r="15" spans="1:9" x14ac:dyDescent="0.3">
      <c r="A15" t="s">
        <v>70</v>
      </c>
      <c r="B15" t="s">
        <v>106</v>
      </c>
      <c r="C15">
        <v>90</v>
      </c>
      <c r="D15" s="6">
        <v>45603</v>
      </c>
      <c r="E15" s="6" t="str">
        <f>Table9[[#This Row],[TÊN MẶT HÀNG]]&amp;" "&amp;TEXT(Table9[[#This Row],[NGÀY LẤY GIÁ]],"dd/mm/yyyy")</f>
        <v>Cà Chua Bi Đỏ 07/11/2024</v>
      </c>
      <c r="F15" s="1">
        <f>VLOOKUP(Table9[[#This Row],[CỘT PHỤ]],'[1]TIỀN MUA PHỤ'!$A:$B,2,0)</f>
        <v>11400</v>
      </c>
      <c r="G15" s="2">
        <f>Table9[[#This Row],[SL]]*Table9[[#This Row],[ĐƠN GIÁ]]</f>
        <v>1026000</v>
      </c>
      <c r="H15" s="1">
        <v>11400</v>
      </c>
      <c r="I15" s="1">
        <v>1026000</v>
      </c>
    </row>
    <row r="16" spans="1:9" x14ac:dyDescent="0.3">
      <c r="A16" t="s">
        <v>47</v>
      </c>
      <c r="B16" t="s">
        <v>48</v>
      </c>
      <c r="C16">
        <v>64</v>
      </c>
      <c r="D16" s="6">
        <v>45603</v>
      </c>
      <c r="E16" s="6" t="str">
        <f>Table9[[#This Row],[TÊN MẶT HÀNG]]&amp;" "&amp;TEXT(Table9[[#This Row],[NGÀY LẤY GIÁ]],"dd/mm/yyyy")</f>
        <v>Cà Chua Bi Mix 07/11/2024</v>
      </c>
      <c r="F16" s="1">
        <f>VLOOKUP(Table9[[#This Row],[CỘT PHỤ]],'[1]TIỀN MUA PHỤ'!$A:$B,2,0)</f>
        <v>55500</v>
      </c>
      <c r="G16" s="2">
        <f>Table9[[#This Row],[SL]]*Table9[[#This Row],[ĐƠN GIÁ]]</f>
        <v>3552000</v>
      </c>
      <c r="H16" s="1">
        <v>55500</v>
      </c>
      <c r="I16" s="1">
        <v>3552000</v>
      </c>
    </row>
    <row r="17" spans="1:9" x14ac:dyDescent="0.3">
      <c r="A17" t="s">
        <v>49</v>
      </c>
      <c r="B17" t="s">
        <v>106</v>
      </c>
      <c r="C17">
        <v>139</v>
      </c>
      <c r="D17" s="6">
        <v>45603</v>
      </c>
      <c r="E17" s="6" t="str">
        <f>Table9[[#This Row],[TÊN MẶT HÀNG]]&amp;" "&amp;TEXT(Table9[[#This Row],[NGÀY LẤY GIÁ]],"dd/mm/yyyy")</f>
        <v>Cà Chua Socola 07/11/2024</v>
      </c>
      <c r="F17" s="1">
        <v>14000</v>
      </c>
      <c r="G17" s="2">
        <f>Table9[[#This Row],[SL]]*Table9[[#This Row],[ĐƠN GIÁ]]</f>
        <v>1946000</v>
      </c>
      <c r="H17" s="1">
        <v>14000</v>
      </c>
      <c r="I17" s="1">
        <v>1946000</v>
      </c>
    </row>
    <row r="18" spans="1:9" x14ac:dyDescent="0.3">
      <c r="A18" t="s">
        <v>50</v>
      </c>
      <c r="B18" t="s">
        <v>7</v>
      </c>
      <c r="C18">
        <v>27</v>
      </c>
      <c r="D18" s="6">
        <v>45603</v>
      </c>
      <c r="E18" s="6" t="str">
        <f>Table9[[#This Row],[TÊN MẶT HÀNG]]&amp;" "&amp;TEXT(Table9[[#This Row],[NGÀY LẤY GIÁ]],"dd/mm/yyyy")</f>
        <v>Cà Chua Thường 07/11/2024</v>
      </c>
      <c r="F18" s="1">
        <f>VLOOKUP(Table9[[#This Row],[CỘT PHỤ]],'[1]TIỀN MUA PHỤ'!$A:$B,2,0)</f>
        <v>22000</v>
      </c>
      <c r="G18" s="2">
        <f>Table9[[#This Row],[SL]]*Table9[[#This Row],[ĐƠN GIÁ]]</f>
        <v>594000</v>
      </c>
      <c r="H18" s="1">
        <v>22000</v>
      </c>
      <c r="I18" s="1">
        <v>594000</v>
      </c>
    </row>
    <row r="19" spans="1:9" x14ac:dyDescent="0.3">
      <c r="A19" t="s">
        <v>6</v>
      </c>
      <c r="B19" t="s">
        <v>7</v>
      </c>
      <c r="C19">
        <v>140</v>
      </c>
      <c r="D19" s="6">
        <v>45603</v>
      </c>
      <c r="E19" s="6" t="str">
        <f>Table9[[#This Row],[TÊN MẶT HÀNG]]&amp;" "&amp;TEXT(Table9[[#This Row],[NGÀY LẤY GIÁ]],"dd/mm/yyyy")</f>
        <v>Cà Rốt 07/11/2024</v>
      </c>
      <c r="F19" s="1">
        <f>VLOOKUP(Table9[[#This Row],[CỘT PHỤ]],'[1]TIỀN MUA PHỤ'!$A:$B,2,0)</f>
        <v>18500</v>
      </c>
      <c r="G19" s="2">
        <f>Table9[[#This Row],[SL]]*Table9[[#This Row],[ĐƠN GIÁ]]</f>
        <v>2590000</v>
      </c>
      <c r="H19" s="1">
        <v>18500</v>
      </c>
      <c r="I19" s="1">
        <v>2590000</v>
      </c>
    </row>
    <row r="20" spans="1:9" x14ac:dyDescent="0.3">
      <c r="A20" t="s">
        <v>8</v>
      </c>
      <c r="B20" t="s">
        <v>9</v>
      </c>
      <c r="C20">
        <v>161</v>
      </c>
      <c r="D20" s="6">
        <v>45603</v>
      </c>
      <c r="E20" s="6" t="str">
        <f>Table9[[#This Row],[TÊN MẶT HÀNG]]&amp;" "&amp;TEXT(Table9[[#This Row],[NGÀY LẤY GIÁ]],"dd/mm/yyyy")</f>
        <v>Cà Rốt Baby 07/11/2024</v>
      </c>
      <c r="F20" s="1">
        <f>60000/5</f>
        <v>12000</v>
      </c>
      <c r="G20" s="2">
        <f>Table9[[#This Row],[SL]]*Table9[[#This Row],[ĐƠN GIÁ]]</f>
        <v>1932000</v>
      </c>
      <c r="H20" s="1">
        <v>12000</v>
      </c>
      <c r="I20" s="1">
        <v>1932000</v>
      </c>
    </row>
    <row r="21" spans="1:9" x14ac:dyDescent="0.3">
      <c r="A21" t="s">
        <v>20</v>
      </c>
      <c r="B21" t="s">
        <v>7</v>
      </c>
      <c r="C21">
        <v>60</v>
      </c>
      <c r="D21" s="6">
        <v>45603</v>
      </c>
      <c r="E21" s="6" t="str">
        <f>Table9[[#This Row],[TÊN MẶT HÀNG]]&amp;" "&amp;TEXT(Table9[[#This Row],[NGÀY LẤY GIÁ]],"dd/mm/yyyy")</f>
        <v>Cải Bó Xôi 07/11/2024</v>
      </c>
      <c r="F21" s="1">
        <f>VLOOKUP(Table9[[#This Row],[CỘT PHỤ]],'[1]TIỀN MUA PHỤ'!$A:$B,2,0)</f>
        <v>34000</v>
      </c>
      <c r="G21" s="2">
        <f>Table9[[#This Row],[SL]]*Table9[[#This Row],[ĐƠN GIÁ]]</f>
        <v>2040000</v>
      </c>
      <c r="H21" s="1">
        <v>34000</v>
      </c>
      <c r="I21" s="1">
        <v>2040000</v>
      </c>
    </row>
    <row r="22" spans="1:9" x14ac:dyDescent="0.3">
      <c r="A22" t="s">
        <v>23</v>
      </c>
      <c r="B22" t="s">
        <v>22</v>
      </c>
      <c r="C22">
        <v>161</v>
      </c>
      <c r="D22" s="6">
        <v>45603</v>
      </c>
      <c r="E22" s="6" t="str">
        <f>Table9[[#This Row],[TÊN MẶT HÀNG]]&amp;" "&amp;TEXT(Table9[[#This Row],[NGÀY LẤY GIÁ]],"dd/mm/yyyy")</f>
        <v>Cải Kale 07/11/2024</v>
      </c>
      <c r="F22" s="1">
        <v>34000</v>
      </c>
      <c r="G22" s="2">
        <f>Table9[[#This Row],[SL]]*Table9[[#This Row],[ĐƠN GIÁ]]</f>
        <v>5474000</v>
      </c>
      <c r="H22" s="1">
        <v>34000</v>
      </c>
      <c r="I22" s="1">
        <v>5474000</v>
      </c>
    </row>
    <row r="23" spans="1:9" x14ac:dyDescent="0.3">
      <c r="A23" t="s">
        <v>23</v>
      </c>
      <c r="B23" t="s">
        <v>24</v>
      </c>
      <c r="C23">
        <v>10</v>
      </c>
      <c r="D23" s="6">
        <v>45603</v>
      </c>
      <c r="E23" s="6" t="str">
        <f>Table9[[#This Row],[TÊN MẶT HÀNG]]&amp;" "&amp;TEXT(Table9[[#This Row],[NGÀY LẤY GIÁ]],"dd/mm/yyyy")</f>
        <v>Cải Kale 07/11/2024</v>
      </c>
      <c r="F23" s="1">
        <f>35000*0.3</f>
        <v>10500</v>
      </c>
      <c r="G23" s="2">
        <f>Table9[[#This Row],[SL]]*Table9[[#This Row],[ĐƠN GIÁ]]</f>
        <v>105000</v>
      </c>
      <c r="H23" s="1">
        <v>10500</v>
      </c>
      <c r="I23" s="1">
        <v>105000</v>
      </c>
    </row>
    <row r="24" spans="1:9" x14ac:dyDescent="0.3">
      <c r="A24" t="s">
        <v>26</v>
      </c>
      <c r="B24" t="s">
        <v>27</v>
      </c>
      <c r="C24">
        <v>310</v>
      </c>
      <c r="D24" s="6">
        <v>45603</v>
      </c>
      <c r="E24" s="6" t="str">
        <f>Table9[[#This Row],[TÊN MẶT HÀNG]]&amp;" "&amp;TEXT(Table9[[#This Row],[NGÀY LẤY GIÁ]],"dd/mm/yyyy")</f>
        <v>Cần Tây 07/11/2024</v>
      </c>
      <c r="F24" s="1">
        <f>12000/2</f>
        <v>6000</v>
      </c>
      <c r="G24" s="2">
        <f>Table9[[#This Row],[SL]]*Table9[[#This Row],[ĐƠN GIÁ]]</f>
        <v>1860000</v>
      </c>
      <c r="H24" s="1">
        <v>6000</v>
      </c>
      <c r="I24" s="1">
        <v>1860000</v>
      </c>
    </row>
    <row r="25" spans="1:9" x14ac:dyDescent="0.3">
      <c r="A25" t="s">
        <v>51</v>
      </c>
      <c r="B25" t="s">
        <v>9</v>
      </c>
      <c r="C25">
        <v>20</v>
      </c>
      <c r="D25" s="6">
        <v>45603</v>
      </c>
      <c r="E25" s="6" t="str">
        <f>Table9[[#This Row],[TÊN MẶT HÀNG]]&amp;" "&amp;TEXT(Table9[[#This Row],[NGÀY LẤY GIÁ]],"dd/mm/yyyy")</f>
        <v>Chanh Không Hạt 07/11/2024</v>
      </c>
      <c r="F25" s="1">
        <f>26000/4</f>
        <v>6500</v>
      </c>
      <c r="G25" s="2">
        <f>Table9[[#This Row],[SL]]*Table9[[#This Row],[ĐƠN GIÁ]]</f>
        <v>130000</v>
      </c>
      <c r="H25" s="1">
        <v>6500</v>
      </c>
      <c r="I25" s="1">
        <v>130000</v>
      </c>
    </row>
    <row r="26" spans="1:9" x14ac:dyDescent="0.3">
      <c r="A26" t="s">
        <v>10</v>
      </c>
      <c r="B26" t="s">
        <v>7</v>
      </c>
      <c r="C26">
        <v>5</v>
      </c>
      <c r="D26" s="6">
        <v>45603</v>
      </c>
      <c r="E26" s="6" t="str">
        <f>Table9[[#This Row],[TÊN MẶT HÀNG]]&amp;" "&amp;TEXT(Table9[[#This Row],[NGÀY LẤY GIÁ]],"dd/mm/yyyy")</f>
        <v>Củ Cải Trắng 07/11/2024</v>
      </c>
      <c r="F26" s="1">
        <f>VLOOKUP(Table9[[#This Row],[CỘT PHỤ]],'[1]TIỀN MUA PHỤ'!$A:$B,2,0)</f>
        <v>6000</v>
      </c>
      <c r="G26" s="2">
        <f>Table9[[#This Row],[SL]]*Table9[[#This Row],[ĐƠN GIÁ]]</f>
        <v>30000</v>
      </c>
      <c r="H26" s="1">
        <v>6000</v>
      </c>
      <c r="I26" s="1">
        <v>30000</v>
      </c>
    </row>
    <row r="27" spans="1:9" x14ac:dyDescent="0.3">
      <c r="A27" t="s">
        <v>11</v>
      </c>
      <c r="B27" t="s">
        <v>7</v>
      </c>
      <c r="C27">
        <v>40</v>
      </c>
      <c r="D27" s="6">
        <v>45603</v>
      </c>
      <c r="E27" s="6" t="str">
        <f>Table9[[#This Row],[TÊN MẶT HÀNG]]&amp;" "&amp;TEXT(Table9[[#This Row],[NGÀY LẤY GIÁ]],"dd/mm/yyyy")</f>
        <v>Củ Dền 07/11/2024</v>
      </c>
      <c r="F27" s="1">
        <f>VLOOKUP(Table9[[#This Row],[CỘT PHỤ]],'[1]TIỀN MUA PHỤ'!$A:$B,2,0)</f>
        <v>16000</v>
      </c>
      <c r="G27" s="2">
        <f>Table9[[#This Row],[SL]]*Table9[[#This Row],[ĐƠN GIÁ]]</f>
        <v>640000</v>
      </c>
      <c r="H27" s="1">
        <v>16000</v>
      </c>
      <c r="I27" s="1">
        <v>640000</v>
      </c>
    </row>
    <row r="28" spans="1:9" x14ac:dyDescent="0.3">
      <c r="A28" t="s">
        <v>12</v>
      </c>
      <c r="B28" t="s">
        <v>7</v>
      </c>
      <c r="C28">
        <v>100</v>
      </c>
      <c r="D28" s="6">
        <v>45603</v>
      </c>
      <c r="E28" s="6" t="str">
        <f>Table9[[#This Row],[TÊN MẶT HÀNG]]&amp;" "&amp;TEXT(Table9[[#This Row],[NGÀY LẤY GIÁ]],"dd/mm/yyyy")</f>
        <v>Củ Hành Tây 07/11/2024</v>
      </c>
      <c r="F28" s="1">
        <v>28000</v>
      </c>
      <c r="G28" s="2">
        <f>Table9[[#This Row],[SL]]*Table9[[#This Row],[ĐƠN GIÁ]]</f>
        <v>2800000</v>
      </c>
      <c r="H28" s="1">
        <v>28000</v>
      </c>
      <c r="I28" s="1">
        <v>2800000</v>
      </c>
    </row>
    <row r="29" spans="1:9" x14ac:dyDescent="0.3">
      <c r="A29" t="s">
        <v>13</v>
      </c>
      <c r="B29" t="s">
        <v>7</v>
      </c>
      <c r="C29">
        <v>140</v>
      </c>
      <c r="D29" s="6">
        <v>45603</v>
      </c>
      <c r="E29" s="6" t="str">
        <f>Table9[[#This Row],[TÊN MẶT HÀNG]]&amp;" "&amp;TEXT(Table9[[#This Row],[NGÀY LẤY GIÁ]],"dd/mm/yyyy")</f>
        <v>Củ Khoai Lang Mật Size 46 07/11/2024</v>
      </c>
      <c r="F29" s="1">
        <v>22000</v>
      </c>
      <c r="G29" s="2">
        <f>Table9[[#This Row],[SL]]*Table9[[#This Row],[ĐƠN GIÁ]]</f>
        <v>3080000</v>
      </c>
      <c r="H29" s="1">
        <v>22000</v>
      </c>
      <c r="I29" s="1">
        <v>3080000</v>
      </c>
    </row>
    <row r="30" spans="1:9" x14ac:dyDescent="0.3">
      <c r="A30" t="s">
        <v>14</v>
      </c>
      <c r="B30" t="s">
        <v>7</v>
      </c>
      <c r="C30">
        <v>300</v>
      </c>
      <c r="D30" s="6">
        <v>45603</v>
      </c>
      <c r="E30" s="6" t="str">
        <f>Table9[[#This Row],[TÊN MẶT HÀNG]]&amp;" "&amp;TEXT(Table9[[#This Row],[NGÀY LẤY GIÁ]],"dd/mm/yyyy")</f>
        <v>Củ Khoai Lang Nhật 07/11/2024</v>
      </c>
      <c r="F30" s="1">
        <f>VLOOKUP(Table9[[#This Row],[CỘT PHỤ]],'[1]TIỀN MUA PHỤ'!$A:$B,2,0)</f>
        <v>19000</v>
      </c>
      <c r="G30" s="2">
        <f>Table9[[#This Row],[SL]]*Table9[[#This Row],[ĐƠN GIÁ]]</f>
        <v>5700000</v>
      </c>
      <c r="H30" s="1">
        <v>19000</v>
      </c>
      <c r="I30" s="1">
        <v>5700000</v>
      </c>
    </row>
    <row r="31" spans="1:9" x14ac:dyDescent="0.3">
      <c r="A31" t="s">
        <v>112</v>
      </c>
      <c r="B31" t="s">
        <v>7</v>
      </c>
      <c r="C31">
        <v>1</v>
      </c>
      <c r="D31" s="6">
        <v>45603</v>
      </c>
      <c r="E31" s="6" t="str">
        <f>Table9[[#This Row],[TÊN MẶT HÀNG]]&amp;" "&amp;TEXT(Table9[[#This Row],[NGÀY LẤY GIÁ]],"dd/mm/yyyy")</f>
        <v>Củ Khoai Tây Bi Vàng 07/11/2024</v>
      </c>
      <c r="F31" s="1">
        <f>VLOOKUP(Table9[[#This Row],[CỘT PHỤ]],'[1]TIỀN MUA PHỤ'!$A:$B,2,0)</f>
        <v>12000</v>
      </c>
      <c r="G31" s="2">
        <f>Table9[[#This Row],[SL]]*Table9[[#This Row],[ĐƠN GIÁ]]</f>
        <v>12000</v>
      </c>
      <c r="H31" s="1">
        <v>12000</v>
      </c>
      <c r="I31" s="1">
        <v>12000</v>
      </c>
    </row>
    <row r="32" spans="1:9" x14ac:dyDescent="0.3">
      <c r="A32" t="s">
        <v>93</v>
      </c>
      <c r="B32" t="s">
        <v>7</v>
      </c>
      <c r="C32">
        <v>20</v>
      </c>
      <c r="D32" s="6">
        <v>45603</v>
      </c>
      <c r="E32" s="6" t="str">
        <f>Table9[[#This Row],[TÊN MẶT HÀNG]]&amp;" "&amp;TEXT(Table9[[#This Row],[NGÀY LẤY GIÁ]],"dd/mm/yyyy")</f>
        <v>Củ Khoai Tây Vàng 07/11/2024</v>
      </c>
      <c r="F32" s="1">
        <f>VLOOKUP(Table9[[#This Row],[CỘT PHỤ]],'[1]TIỀN MUA PHỤ'!$A:$B,2,0)</f>
        <v>15000</v>
      </c>
      <c r="G32" s="2">
        <f>Table9[[#This Row],[SL]]*Table9[[#This Row],[ĐƠN GIÁ]]</f>
        <v>300000</v>
      </c>
      <c r="H32" s="1">
        <v>15000</v>
      </c>
      <c r="I32" s="1">
        <v>300000</v>
      </c>
    </row>
    <row r="33" spans="1:9" x14ac:dyDescent="0.3">
      <c r="A33" t="s">
        <v>104</v>
      </c>
      <c r="B33" t="s">
        <v>7</v>
      </c>
      <c r="C33">
        <v>1</v>
      </c>
      <c r="D33" s="6">
        <v>45603</v>
      </c>
      <c r="E33" s="6" t="str">
        <f>Table9[[#This Row],[TÊN MẶT HÀNG]]&amp;" "&amp;TEXT(Table9[[#This Row],[NGÀY LẤY GIÁ]],"dd/mm/yyyy")</f>
        <v>Đậu Cove Nhật 07/11/2024</v>
      </c>
      <c r="F33" s="1">
        <v>27000</v>
      </c>
      <c r="G33" s="2">
        <f>Table9[[#This Row],[SL]]*Table9[[#This Row],[ĐƠN GIÁ]]</f>
        <v>27000</v>
      </c>
      <c r="H33" s="1">
        <v>27000</v>
      </c>
      <c r="I33" s="1">
        <v>27000</v>
      </c>
    </row>
    <row r="34" spans="1:9" x14ac:dyDescent="0.3">
      <c r="A34" t="s">
        <v>104</v>
      </c>
      <c r="B34" t="s">
        <v>22</v>
      </c>
      <c r="C34">
        <v>15</v>
      </c>
      <c r="D34" s="6">
        <v>45603</v>
      </c>
      <c r="E34" s="6" t="str">
        <f>Table9[[#This Row],[TÊN MẶT HÀNG]]&amp;" "&amp;TEXT(Table9[[#This Row],[NGÀY LẤY GIÁ]],"dd/mm/yyyy")</f>
        <v>Đậu Cove Nhật 07/11/2024</v>
      </c>
      <c r="F34" s="1">
        <f>VLOOKUP(Table9[[#This Row],[CỘT PHỤ]],'[1]TIỀN MUA PHỤ'!$A:$B,2,0)</f>
        <v>9000</v>
      </c>
      <c r="G34" s="2">
        <f>Table9[[#This Row],[SL]]*Table9[[#This Row],[ĐƠN GIÁ]]</f>
        <v>135000</v>
      </c>
      <c r="H34" s="1">
        <v>9000</v>
      </c>
      <c r="I34" s="1">
        <v>135000</v>
      </c>
    </row>
    <row r="35" spans="1:9" x14ac:dyDescent="0.3">
      <c r="A35" t="s">
        <v>87</v>
      </c>
      <c r="B35" t="s">
        <v>107</v>
      </c>
      <c r="C35">
        <v>46</v>
      </c>
      <c r="D35" s="6">
        <v>45603</v>
      </c>
      <c r="E35" s="6" t="str">
        <f>Table9[[#This Row],[TÊN MẶT HÀNG]]&amp;" "&amp;TEXT(Table9[[#This Row],[NGÀY LẤY GIÁ]],"dd/mm/yyyy")</f>
        <v>Đậu Cove Trắng 07/11/2024</v>
      </c>
      <c r="F35" s="1">
        <f>25000/3</f>
        <v>8333.3333333333339</v>
      </c>
      <c r="G35" s="2">
        <f>Table9[[#This Row],[SL]]*Table9[[#This Row],[ĐƠN GIÁ]]</f>
        <v>383333.33333333337</v>
      </c>
      <c r="H35" s="1">
        <v>8333.3333333333339</v>
      </c>
      <c r="I35" s="1">
        <v>383333.33333333337</v>
      </c>
    </row>
    <row r="36" spans="1:9" x14ac:dyDescent="0.3">
      <c r="A36" t="s">
        <v>53</v>
      </c>
      <c r="B36" t="s">
        <v>7</v>
      </c>
      <c r="C36">
        <v>5</v>
      </c>
      <c r="D36" s="6">
        <v>45603</v>
      </c>
      <c r="E36" s="6" t="str">
        <f>Table9[[#This Row],[TÊN MẶT HÀNG]]&amp;" "&amp;TEXT(Table9[[#This Row],[NGÀY LẤY GIÁ]],"dd/mm/yyyy")</f>
        <v>Dưa Leo Baby 07/11/2024</v>
      </c>
      <c r="F36" s="1">
        <v>12000</v>
      </c>
      <c r="G36" s="2">
        <f>Table9[[#This Row],[SL]]*Table9[[#This Row],[ĐƠN GIÁ]]</f>
        <v>60000</v>
      </c>
      <c r="H36" s="1">
        <v>12000</v>
      </c>
      <c r="I36" s="1">
        <v>60000</v>
      </c>
    </row>
    <row r="37" spans="1:9" x14ac:dyDescent="0.3">
      <c r="A37" t="s">
        <v>53</v>
      </c>
      <c r="B37" t="s">
        <v>9</v>
      </c>
      <c r="C37">
        <v>963</v>
      </c>
      <c r="D37" s="6">
        <v>45603</v>
      </c>
      <c r="E37" s="6" t="str">
        <f>Table9[[#This Row],[TÊN MẶT HÀNG]]&amp;" "&amp;TEXT(Table9[[#This Row],[NGÀY LẤY GIÁ]],"dd/mm/yyyy")</f>
        <v>Dưa Leo Baby 07/11/2024</v>
      </c>
      <c r="F37" s="1">
        <f>VLOOKUP(Table9[[#This Row],[CỘT PHỤ]],'[1]TIỀN MUA PHỤ'!$A:$B,2,0)</f>
        <v>6000</v>
      </c>
      <c r="G37" s="2">
        <f>Table9[[#This Row],[SL]]*Table9[[#This Row],[ĐƠN GIÁ]]</f>
        <v>5778000</v>
      </c>
      <c r="H37" s="1">
        <v>6000</v>
      </c>
      <c r="I37" s="1">
        <v>5778000</v>
      </c>
    </row>
    <row r="38" spans="1:9" x14ac:dyDescent="0.3">
      <c r="A38" t="s">
        <v>55</v>
      </c>
      <c r="B38" t="s">
        <v>22</v>
      </c>
      <c r="C38">
        <v>45</v>
      </c>
      <c r="D38" s="6">
        <v>45603</v>
      </c>
      <c r="E38" s="6" t="str">
        <f>Table9[[#This Row],[TÊN MẶT HÀNG]]&amp;" "&amp;TEXT(Table9[[#This Row],[NGÀY LẤY GIÁ]],"dd/mm/yyyy")</f>
        <v>Dưa Leo Nhật 07/11/2024</v>
      </c>
      <c r="F38" s="1">
        <f>11000*0.6</f>
        <v>6600</v>
      </c>
      <c r="G38" s="2">
        <f>Table9[[#This Row],[SL]]*Table9[[#This Row],[ĐƠN GIÁ]]</f>
        <v>297000</v>
      </c>
      <c r="H38" s="1">
        <v>6600</v>
      </c>
      <c r="I38" s="1">
        <v>297000</v>
      </c>
    </row>
    <row r="39" spans="1:9" x14ac:dyDescent="0.3">
      <c r="A39" t="s">
        <v>56</v>
      </c>
      <c r="B39" t="s">
        <v>7</v>
      </c>
      <c r="C39">
        <v>35</v>
      </c>
      <c r="D39" s="6">
        <v>45603</v>
      </c>
      <c r="E39" s="6" t="str">
        <f>Table9[[#This Row],[TÊN MẶT HÀNG]]&amp;" "&amp;TEXT(Table9[[#This Row],[NGÀY LẤY GIÁ]],"dd/mm/yyyy")</f>
        <v>Dưa Leo Thường 07/11/2024</v>
      </c>
      <c r="F39" s="1">
        <f>VLOOKUP(Table9[[#This Row],[CỘT PHỤ]],'[1]TIỀN MUA PHỤ'!$A:$B,2,0)</f>
        <v>7000</v>
      </c>
      <c r="G39" s="2">
        <f>Table9[[#This Row],[SL]]*Table9[[#This Row],[ĐƠN GIÁ]]</f>
        <v>245000</v>
      </c>
      <c r="H39" s="1">
        <v>7000</v>
      </c>
      <c r="I39" s="1">
        <v>245000</v>
      </c>
    </row>
    <row r="40" spans="1:9" x14ac:dyDescent="0.3">
      <c r="A40" t="s">
        <v>28</v>
      </c>
      <c r="B40" t="s">
        <v>7</v>
      </c>
      <c r="C40">
        <f>17</f>
        <v>17</v>
      </c>
      <c r="D40" s="6">
        <v>45603</v>
      </c>
      <c r="E40" s="6" t="str">
        <f>Table9[[#This Row],[TÊN MẶT HÀNG]]&amp;" "&amp;TEXT(Table9[[#This Row],[NGÀY LẤY GIÁ]],"dd/mm/yyyy")</f>
        <v>Hành Paro 07/11/2024</v>
      </c>
      <c r="F40" s="1">
        <f>VLOOKUP(Table9[[#This Row],[CỘT PHỤ]],'[1]TIỀN MUA PHỤ'!$A:$B,2,0)</f>
        <v>48000</v>
      </c>
      <c r="G40" s="2">
        <f>Table9[[#This Row],[SL]]*Table9[[#This Row],[ĐƠN GIÁ]]</f>
        <v>816000</v>
      </c>
      <c r="H40" s="1">
        <v>48000</v>
      </c>
      <c r="I40" s="1">
        <v>816000</v>
      </c>
    </row>
    <row r="41" spans="1:9" x14ac:dyDescent="0.3">
      <c r="A41" t="s">
        <v>28</v>
      </c>
      <c r="B41" t="s">
        <v>27</v>
      </c>
      <c r="C41">
        <v>66</v>
      </c>
      <c r="D41" s="6">
        <v>45603</v>
      </c>
      <c r="E41" s="6" t="str">
        <f>Table9[[#This Row],[TÊN MẶT HÀNG]]&amp;" "&amp;TEXT(Table9[[#This Row],[NGÀY LẤY GIÁ]],"dd/mm/yyyy")</f>
        <v>Hành Paro 07/11/2024</v>
      </c>
      <c r="F41" s="1">
        <f>F40/5</f>
        <v>9600</v>
      </c>
      <c r="G41" s="2">
        <f>Table9[[#This Row],[SL]]*Table9[[#This Row],[ĐƠN GIÁ]]</f>
        <v>633600</v>
      </c>
      <c r="H41" s="1">
        <v>9600</v>
      </c>
      <c r="I41" s="1">
        <v>633600</v>
      </c>
    </row>
    <row r="42" spans="1:9" x14ac:dyDescent="0.3">
      <c r="A42" t="s">
        <v>72</v>
      </c>
      <c r="B42" t="s">
        <v>48</v>
      </c>
      <c r="C42">
        <v>7</v>
      </c>
      <c r="D42" s="6">
        <v>45603</v>
      </c>
      <c r="E42" s="6" t="str">
        <f>Table9[[#This Row],[TÊN MẶT HÀNG]]&amp;" "&amp;TEXT(Table9[[#This Row],[NGÀY LẤY GIÁ]],"dd/mm/yyyy")</f>
        <v>Hồng Treo Gió 07/11/2024</v>
      </c>
      <c r="F42" s="1">
        <v>100000</v>
      </c>
      <c r="G42" s="2">
        <f>Table9[[#This Row],[SL]]*Table9[[#This Row],[ĐƠN GIÁ]]</f>
        <v>700000</v>
      </c>
      <c r="H42" s="1">
        <v>100000</v>
      </c>
      <c r="I42" s="1">
        <v>700000</v>
      </c>
    </row>
    <row r="43" spans="1:9" x14ac:dyDescent="0.3">
      <c r="A43" t="s">
        <v>73</v>
      </c>
      <c r="B43" t="s">
        <v>7</v>
      </c>
      <c r="C43">
        <v>10</v>
      </c>
      <c r="D43" s="6">
        <v>45603</v>
      </c>
      <c r="E43" s="6" t="str">
        <f>Table9[[#This Row],[TÊN MẶT HÀNG]]&amp;" "&amp;TEXT(Table9[[#This Row],[NGÀY LẤY GIÁ]],"dd/mm/yyyy")</f>
        <v>Lá É 07/11/2024</v>
      </c>
      <c r="F43" s="1">
        <f>VLOOKUP(Table9[[#This Row],[CỘT PHỤ]],'[1]TIỀN MUA PHỤ'!$A:$B,2,0)</f>
        <v>25000</v>
      </c>
      <c r="G43" s="2">
        <f>Table9[[#This Row],[SL]]*Table9[[#This Row],[ĐƠN GIÁ]]</f>
        <v>250000</v>
      </c>
      <c r="H43" s="1">
        <v>25000</v>
      </c>
      <c r="I43" s="1">
        <v>250000</v>
      </c>
    </row>
    <row r="44" spans="1:9" x14ac:dyDescent="0.3">
      <c r="A44" t="s">
        <v>29</v>
      </c>
      <c r="B44" t="s">
        <v>22</v>
      </c>
      <c r="C44">
        <v>300</v>
      </c>
      <c r="D44" s="6">
        <v>45603</v>
      </c>
      <c r="E44" s="6" t="str">
        <f>Table9[[#This Row],[TÊN MẶT HÀNG]]&amp;" "&amp;TEXT(Table9[[#This Row],[NGÀY LẤY GIÁ]],"dd/mm/yyyy")</f>
        <v>Lá Mè 07/11/2024</v>
      </c>
      <c r="F44" s="1">
        <f>2000</f>
        <v>2000</v>
      </c>
      <c r="G44" s="2">
        <f>Table9[[#This Row],[SL]]*Table9[[#This Row],[ĐƠN GIÁ]]</f>
        <v>600000</v>
      </c>
      <c r="H44" s="1">
        <v>2000</v>
      </c>
      <c r="I44" s="1">
        <v>600000</v>
      </c>
    </row>
    <row r="45" spans="1:9" x14ac:dyDescent="0.3">
      <c r="A45" t="s">
        <v>30</v>
      </c>
      <c r="B45" t="s">
        <v>7</v>
      </c>
      <c r="C45">
        <v>4</v>
      </c>
      <c r="D45" s="6">
        <v>45603</v>
      </c>
      <c r="E45" s="6" t="str">
        <f>Table9[[#This Row],[TÊN MẶT HÀNG]]&amp;" "&amp;TEXT(Table9[[#This Row],[NGÀY LẤY GIÁ]],"dd/mm/yyyy")</f>
        <v>Lá Nha Đam 07/11/2024</v>
      </c>
      <c r="F45" s="1">
        <f>VLOOKUP(Table9[[#This Row],[CỘT PHỤ]],'[1]TIỀN MUA PHỤ'!$A:$B,2,0)</f>
        <v>14000</v>
      </c>
      <c r="G45" s="2">
        <f>Table9[[#This Row],[SL]]*Table9[[#This Row],[ĐƠN GIÁ]]</f>
        <v>56000</v>
      </c>
      <c r="H45" s="1">
        <v>14000</v>
      </c>
      <c r="I45" s="1">
        <v>56000</v>
      </c>
    </row>
    <row r="46" spans="1:9" x14ac:dyDescent="0.3">
      <c r="A46" t="s">
        <v>31</v>
      </c>
      <c r="B46" t="s">
        <v>7</v>
      </c>
      <c r="C46">
        <v>2</v>
      </c>
      <c r="D46" s="6">
        <v>45603</v>
      </c>
      <c r="E46" s="6" t="str">
        <f>Table9[[#This Row],[TÊN MẶT HÀNG]]&amp;" "&amp;TEXT(Table9[[#This Row],[NGÀY LẤY GIÁ]],"dd/mm/yyyy")</f>
        <v>Lá Tía Tô 07/11/2024</v>
      </c>
      <c r="F46" s="1">
        <f>VLOOKUP(Table9[[#This Row],[CỘT PHỤ]],'[1]TIỀN MUA PHỤ'!$A:$B,2,0)</f>
        <v>32000</v>
      </c>
      <c r="G46" s="2">
        <f>Table9[[#This Row],[SL]]*Table9[[#This Row],[ĐƠN GIÁ]]</f>
        <v>64000</v>
      </c>
      <c r="H46" s="1">
        <v>32000</v>
      </c>
      <c r="I46" s="1">
        <v>64000</v>
      </c>
    </row>
    <row r="47" spans="1:9" x14ac:dyDescent="0.3">
      <c r="A47" t="s">
        <v>32</v>
      </c>
      <c r="B47" t="s">
        <v>7</v>
      </c>
      <c r="C47">
        <v>60</v>
      </c>
      <c r="D47" s="6">
        <v>45603</v>
      </c>
      <c r="E47" s="6" t="str">
        <f>Table9[[#This Row],[TÊN MẶT HÀNG]]&amp;" "&amp;TEXT(Table9[[#This Row],[NGÀY LẤY GIÁ]],"dd/mm/yyyy")</f>
        <v>Măng Tây 07/11/2024</v>
      </c>
      <c r="F47" s="1">
        <f>VLOOKUP(Table9[[#This Row],[CỘT PHỤ]],'[1]TIỀN MUA PHỤ'!$A:$B,2,0)</f>
        <v>53428</v>
      </c>
      <c r="G47" s="2">
        <f>Table9[[#This Row],[SL]]*Table9[[#This Row],[ĐƠN GIÁ]]</f>
        <v>3205680</v>
      </c>
      <c r="H47" s="1">
        <v>53428</v>
      </c>
      <c r="I47" s="1">
        <v>3205680</v>
      </c>
    </row>
    <row r="48" spans="1:9" x14ac:dyDescent="0.3">
      <c r="A48" t="s">
        <v>109</v>
      </c>
      <c r="B48" t="s">
        <v>9</v>
      </c>
      <c r="C48">
        <v>3</v>
      </c>
      <c r="D48" s="6">
        <v>45603</v>
      </c>
      <c r="E48" s="6" t="str">
        <f>Table9[[#This Row],[TÊN MẶT HÀNG]]&amp;" "&amp;TEXT(Table9[[#This Row],[NGÀY LẤY GIÁ]],"dd/mm/yyyy")</f>
        <v>Ớt Chuông Ba Màu 07/11/2024</v>
      </c>
      <c r="F48" s="1">
        <v>23000</v>
      </c>
      <c r="G48" s="2">
        <f>Table9[[#This Row],[SL]]*Table9[[#This Row],[ĐƠN GIÁ]]</f>
        <v>69000</v>
      </c>
      <c r="H48" s="1">
        <v>23000</v>
      </c>
      <c r="I48" s="1">
        <v>69000</v>
      </c>
    </row>
    <row r="49" spans="1:9" x14ac:dyDescent="0.3">
      <c r="A49" t="s">
        <v>57</v>
      </c>
      <c r="B49" t="s">
        <v>7</v>
      </c>
      <c r="C49">
        <v>29</v>
      </c>
      <c r="D49" s="6">
        <v>45603</v>
      </c>
      <c r="E49" s="6" t="str">
        <f>Table9[[#This Row],[TÊN MẶT HÀNG]]&amp;" "&amp;TEXT(Table9[[#This Row],[NGÀY LẤY GIÁ]],"dd/mm/yyyy")</f>
        <v>Ớt Chuông Baby 07/11/2024</v>
      </c>
      <c r="F49" s="1">
        <f>VLOOKUP(Table9[[#This Row],[CỘT PHỤ]],'[1]TIỀN MUA PHỤ'!$A:$B,2,0)</f>
        <v>48000</v>
      </c>
      <c r="G49" s="2">
        <f>Table9[[#This Row],[SL]]*Table9[[#This Row],[ĐƠN GIÁ]]</f>
        <v>1392000</v>
      </c>
      <c r="H49" s="1">
        <v>48000</v>
      </c>
      <c r="I49" s="1">
        <v>1392000</v>
      </c>
    </row>
    <row r="50" spans="1:9" x14ac:dyDescent="0.3">
      <c r="A50" t="s">
        <v>58</v>
      </c>
      <c r="B50" t="s">
        <v>7</v>
      </c>
      <c r="C50">
        <v>9</v>
      </c>
      <c r="D50" s="6">
        <v>45603</v>
      </c>
      <c r="E50" s="6" t="str">
        <f>Table9[[#This Row],[TÊN MẶT HÀNG]]&amp;" "&amp;TEXT(Table9[[#This Row],[NGÀY LẤY GIÁ]],"dd/mm/yyyy")</f>
        <v>Ớt Chuông Đỏ 07/11/2024</v>
      </c>
      <c r="F50" s="1">
        <f>VLOOKUP(Table9[[#This Row],[CỘT PHỤ]],'[1]TIỀN MUA PHỤ'!$A:$B,2,0)</f>
        <v>44000</v>
      </c>
      <c r="G50" s="2">
        <f>Table9[[#This Row],[SL]]*Table9[[#This Row],[ĐƠN GIÁ]]</f>
        <v>396000</v>
      </c>
      <c r="H50" s="1">
        <v>44000</v>
      </c>
      <c r="I50" s="1">
        <v>396000</v>
      </c>
    </row>
    <row r="51" spans="1:9" x14ac:dyDescent="0.3">
      <c r="A51" t="s">
        <v>58</v>
      </c>
      <c r="B51" t="s">
        <v>59</v>
      </c>
      <c r="C51">
        <v>118</v>
      </c>
      <c r="D51" s="6">
        <v>45603</v>
      </c>
      <c r="E51" s="6" t="str">
        <f>Table9[[#This Row],[TÊN MẶT HÀNG]]&amp;" "&amp;TEXT(Table9[[#This Row],[NGÀY LẤY GIÁ]],"dd/mm/yyyy")</f>
        <v>Ớt Chuông Đỏ 07/11/2024</v>
      </c>
      <c r="F51" s="1">
        <f>F50/4</f>
        <v>11000</v>
      </c>
      <c r="G51" s="2">
        <f>Table9[[#This Row],[SL]]*Table9[[#This Row],[ĐƠN GIÁ]]</f>
        <v>1298000</v>
      </c>
      <c r="H51" s="1">
        <v>11000</v>
      </c>
      <c r="I51" s="1">
        <v>1298000</v>
      </c>
    </row>
    <row r="52" spans="1:9" x14ac:dyDescent="0.3">
      <c r="A52" t="s">
        <v>60</v>
      </c>
      <c r="B52" t="s">
        <v>7</v>
      </c>
      <c r="C52">
        <v>10</v>
      </c>
      <c r="D52" s="6">
        <v>45603</v>
      </c>
      <c r="E52" s="6" t="str">
        <f>Table9[[#This Row],[TÊN MẶT HÀNG]]&amp;" "&amp;TEXT(Table9[[#This Row],[NGÀY LẤY GIÁ]],"dd/mm/yyyy")</f>
        <v>Ớt Chuông Snack 07/11/2024</v>
      </c>
      <c r="F52" s="1">
        <f>VLOOKUP(Table9[[#This Row],[CỘT PHỤ]],'[1]TIỀN MUA PHỤ'!$A:$B,2,0)</f>
        <v>58000</v>
      </c>
      <c r="G52" s="2">
        <f>Table9[[#This Row],[SL]]*Table9[[#This Row],[ĐƠN GIÁ]]</f>
        <v>580000</v>
      </c>
      <c r="H52" s="1">
        <v>58000</v>
      </c>
      <c r="I52" s="1">
        <v>580000</v>
      </c>
    </row>
    <row r="53" spans="1:9" x14ac:dyDescent="0.3">
      <c r="A53" t="s">
        <v>61</v>
      </c>
      <c r="B53" t="s">
        <v>7</v>
      </c>
      <c r="C53">
        <v>10</v>
      </c>
      <c r="D53" s="6">
        <v>45603</v>
      </c>
      <c r="E53" s="6" t="str">
        <f>Table9[[#This Row],[TÊN MẶT HÀNG]]&amp;" "&amp;TEXT(Table9[[#This Row],[NGÀY LẤY GIÁ]],"dd/mm/yyyy")</f>
        <v>Ớt Chuông Vàng 07/11/2024</v>
      </c>
      <c r="F53" s="1">
        <f>VLOOKUP(Table9[[#This Row],[CỘT PHỤ]],'[1]TIỀN MUA PHỤ'!$A:$B,2,0)</f>
        <v>28000</v>
      </c>
      <c r="G53" s="2">
        <f>Table9[[#This Row],[SL]]*Table9[[#This Row],[ĐƠN GIÁ]]</f>
        <v>280000</v>
      </c>
      <c r="H53" s="1">
        <v>28000</v>
      </c>
      <c r="I53" s="1">
        <v>280000</v>
      </c>
    </row>
    <row r="54" spans="1:9" x14ac:dyDescent="0.3">
      <c r="A54" t="s">
        <v>61</v>
      </c>
      <c r="B54" t="s">
        <v>59</v>
      </c>
      <c r="C54">
        <v>43</v>
      </c>
      <c r="D54" s="6">
        <v>45603</v>
      </c>
      <c r="E54" s="6" t="str">
        <f>Table9[[#This Row],[TÊN MẶT HÀNG]]&amp;" "&amp;TEXT(Table9[[#This Row],[NGÀY LẤY GIÁ]],"dd/mm/yyyy")</f>
        <v>Ớt Chuông Vàng 07/11/2024</v>
      </c>
      <c r="F54" s="1">
        <f>28000/4</f>
        <v>7000</v>
      </c>
      <c r="G54" s="2">
        <f>Table9[[#This Row],[SL]]*Table9[[#This Row],[ĐƠN GIÁ]]</f>
        <v>301000</v>
      </c>
      <c r="H54" s="1">
        <v>7000</v>
      </c>
      <c r="I54" s="1">
        <v>301000</v>
      </c>
    </row>
    <row r="55" spans="1:9" x14ac:dyDescent="0.3">
      <c r="A55" t="s">
        <v>62</v>
      </c>
      <c r="B55" t="s">
        <v>7</v>
      </c>
      <c r="C55">
        <v>1</v>
      </c>
      <c r="D55" s="6">
        <v>45603</v>
      </c>
      <c r="E55" s="6" t="str">
        <f>Table9[[#This Row],[TÊN MẶT HÀNG]]&amp;" "&amp;TEXT(Table9[[#This Row],[NGÀY LẤY GIÁ]],"dd/mm/yyyy")</f>
        <v>Ớt Chuông Xanh 07/11/2024</v>
      </c>
      <c r="F55" s="1">
        <f>VLOOKUP(Table9[[#This Row],[CỘT PHỤ]],'[1]TIỀN MUA PHỤ'!$A:$B,2,0)</f>
        <v>28000</v>
      </c>
      <c r="G55" s="2">
        <f>Table9[[#This Row],[SL]]*Table9[[#This Row],[ĐƠN GIÁ]]</f>
        <v>28000</v>
      </c>
      <c r="H55" s="1">
        <v>28000</v>
      </c>
      <c r="I55" s="1">
        <v>28000</v>
      </c>
    </row>
    <row r="56" spans="1:9" x14ac:dyDescent="0.3">
      <c r="A56" t="s">
        <v>62</v>
      </c>
      <c r="B56" t="s">
        <v>59</v>
      </c>
      <c r="C56">
        <v>22</v>
      </c>
      <c r="D56" s="6">
        <v>45603</v>
      </c>
      <c r="E56" s="6" t="str">
        <f>Table9[[#This Row],[TÊN MẶT HÀNG]]&amp;" "&amp;TEXT(Table9[[#This Row],[NGÀY LẤY GIÁ]],"dd/mm/yyyy")</f>
        <v>Ớt Chuông Xanh 07/11/2024</v>
      </c>
      <c r="F56" s="1">
        <f>F55/4</f>
        <v>7000</v>
      </c>
      <c r="G56" s="2">
        <f>Table9[[#This Row],[SL]]*Table9[[#This Row],[ĐƠN GIÁ]]</f>
        <v>154000</v>
      </c>
      <c r="H56" s="1">
        <v>7000</v>
      </c>
      <c r="I56" s="1">
        <v>154000</v>
      </c>
    </row>
    <row r="57" spans="1:9" x14ac:dyDescent="0.3">
      <c r="A57" t="s">
        <v>97</v>
      </c>
      <c r="B57" t="s">
        <v>22</v>
      </c>
      <c r="C57">
        <v>285</v>
      </c>
      <c r="D57" s="6">
        <v>45603</v>
      </c>
      <c r="E57" s="6" t="str">
        <f>Table9[[#This Row],[TÊN MẶT HÀNG]]&amp;" "&amp;TEXT(Table9[[#This Row],[NGÀY LẤY GIÁ]],"dd/mm/yyyy")</f>
        <v>Ớt Sweet Palemo 07/11/2024</v>
      </c>
      <c r="F57" s="1">
        <f>VLOOKUP(Table9[[#This Row],[CỘT PHỤ]],'[1]TIỀN MUA PHỤ'!$A:$B,2,0)</f>
        <v>21000</v>
      </c>
      <c r="G57" s="2">
        <f>Table9[[#This Row],[SL]]*Table9[[#This Row],[ĐƠN GIÁ]]</f>
        <v>5985000</v>
      </c>
      <c r="H57" s="1">
        <v>21000</v>
      </c>
      <c r="I57" s="1">
        <v>5985000</v>
      </c>
    </row>
    <row r="58" spans="1:9" x14ac:dyDescent="0.3">
      <c r="A58" t="s">
        <v>33</v>
      </c>
      <c r="B58" t="s">
        <v>7</v>
      </c>
      <c r="C58">
        <v>10</v>
      </c>
      <c r="D58" s="6">
        <v>45603</v>
      </c>
      <c r="E58" s="6" t="str">
        <f>Table9[[#This Row],[TÊN MẶT HÀNG]]&amp;" "&amp;TEXT(Table9[[#This Row],[NGÀY LẤY GIÁ]],"dd/mm/yyyy")</f>
        <v>Rau Ngò Rí 07/11/2024</v>
      </c>
      <c r="F58" s="1">
        <f>VLOOKUP(Table9[[#This Row],[CỘT PHỤ]],'[1]TIỀN MUA PHỤ'!$A:$B,2,0)</f>
        <v>35000</v>
      </c>
      <c r="G58" s="2">
        <f>Table9[[#This Row],[SL]]*Table9[[#This Row],[ĐƠN GIÁ]]</f>
        <v>350000</v>
      </c>
      <c r="H58" s="1">
        <v>35000</v>
      </c>
      <c r="I58" s="1">
        <v>350000</v>
      </c>
    </row>
    <row r="59" spans="1:9" x14ac:dyDescent="0.3">
      <c r="A59" t="s">
        <v>71</v>
      </c>
      <c r="B59" t="s">
        <v>7</v>
      </c>
      <c r="C59">
        <v>10</v>
      </c>
      <c r="D59" s="6">
        <v>45603</v>
      </c>
      <c r="E59" s="6" t="str">
        <f>Table9[[#This Row],[TÊN MẶT HÀNG]]&amp;" "&amp;TEXT(Table9[[#This Row],[NGÀY LẤY GIÁ]],"dd/mm/yyyy")</f>
        <v>Rau Ngót 07/11/2024</v>
      </c>
      <c r="F59" s="1">
        <f>VLOOKUP(Table9[[#This Row],[CỘT PHỤ]],'[1]TIỀN MUA PHỤ'!$A:$B,2,0)</f>
        <v>18000</v>
      </c>
      <c r="G59" s="2">
        <f>Table9[[#This Row],[SL]]*Table9[[#This Row],[ĐƠN GIÁ]]</f>
        <v>180000</v>
      </c>
      <c r="H59" s="1">
        <v>18000</v>
      </c>
      <c r="I59" s="1">
        <v>180000</v>
      </c>
    </row>
    <row r="60" spans="1:9" x14ac:dyDescent="0.3">
      <c r="A60" t="s">
        <v>64</v>
      </c>
      <c r="B60" t="s">
        <v>7</v>
      </c>
      <c r="C60">
        <v>5</v>
      </c>
      <c r="D60" s="6">
        <v>45603</v>
      </c>
      <c r="E60" s="6" t="str">
        <f>Table9[[#This Row],[TÊN MẶT HÀNG]]&amp;" "&amp;TEXT(Table9[[#This Row],[NGÀY LẤY GIÁ]],"dd/mm/yyyy")</f>
        <v>Trái Chanh Vàng 07/11/2024</v>
      </c>
      <c r="F60" s="1">
        <f>VLOOKUP(Table9[[#This Row],[CỘT PHỤ]],'[1]TIỀN MUA PHỤ'!$A:$B,2,0)</f>
        <v>60000</v>
      </c>
      <c r="G60" s="2">
        <f>Table9[[#This Row],[SL]]*Table9[[#This Row],[ĐƠN GIÁ]]</f>
        <v>300000</v>
      </c>
      <c r="H60" s="1">
        <v>60000</v>
      </c>
      <c r="I60" s="1">
        <v>300000</v>
      </c>
    </row>
    <row r="61" spans="1:9" x14ac:dyDescent="0.3">
      <c r="A61" t="s">
        <v>66</v>
      </c>
      <c r="B61" t="s">
        <v>48</v>
      </c>
      <c r="C61">
        <v>10</v>
      </c>
      <c r="D61" s="6">
        <v>45603</v>
      </c>
      <c r="E61" s="6" t="str">
        <f>Table9[[#This Row],[TÊN MẶT HÀNG]]&amp;" "&amp;TEXT(Table9[[#This Row],[NGÀY LẤY GIÁ]],"dd/mm/yyyy")</f>
        <v>Trái Mâm Xôi 07/11/2024</v>
      </c>
      <c r="F61" s="1">
        <f>VLOOKUP(Table9[[#This Row],[CỘT PHỤ]],'[1]TIỀN MUA PHỤ'!$A:$B,2,0)</f>
        <v>35000</v>
      </c>
      <c r="G61" s="2">
        <f>Table9[[#This Row],[SL]]*Table9[[#This Row],[ĐƠN GIÁ]]</f>
        <v>350000</v>
      </c>
      <c r="H61" s="1">
        <v>35000</v>
      </c>
      <c r="I61" s="1">
        <v>350000</v>
      </c>
    </row>
    <row r="62" spans="1:9" x14ac:dyDescent="0.3">
      <c r="A62" t="s">
        <v>113</v>
      </c>
      <c r="B62" t="s">
        <v>7</v>
      </c>
      <c r="C62">
        <v>5</v>
      </c>
      <c r="D62" s="6">
        <v>45603</v>
      </c>
      <c r="E62" s="6" t="str">
        <f>Table9[[#This Row],[TÊN MẶT HÀNG]]&amp;" "&amp;TEXT(Table9[[#This Row],[NGÀY LẤY GIÁ]],"dd/mm/yyyy")</f>
        <v>Xà Lách Lolo Tím 07/11/2024</v>
      </c>
      <c r="F62" s="1">
        <f>VLOOKUP(Table9[[#This Row],[CỘT PHỤ]],'[1]TIỀN MUA PHỤ'!$A:$B,2,0)</f>
        <v>50000</v>
      </c>
      <c r="G62" s="2">
        <f>Table9[[#This Row],[SL]]*Table9[[#This Row],[ĐƠN GIÁ]]</f>
        <v>250000</v>
      </c>
      <c r="H62" s="1">
        <v>50000</v>
      </c>
      <c r="I62" s="1">
        <v>250000</v>
      </c>
    </row>
    <row r="63" spans="1:9" x14ac:dyDescent="0.3">
      <c r="A63" t="s">
        <v>34</v>
      </c>
      <c r="B63" t="s">
        <v>7</v>
      </c>
      <c r="C63">
        <v>190</v>
      </c>
      <c r="D63" s="6">
        <v>45603</v>
      </c>
      <c r="E63" s="6" t="str">
        <f>Table9[[#This Row],[TÊN MẶT HÀNG]]&amp;" "&amp;TEXT(Table9[[#This Row],[NGÀY LẤY GIÁ]],"dd/mm/yyyy")</f>
        <v>Xà Lách Lolo Xanh 07/11/2024</v>
      </c>
      <c r="F63" s="1">
        <f>VLOOKUP(Table9[[#This Row],[CỘT PHỤ]],'[1]TIỀN MUA PHỤ'!$A:$B,2,0)</f>
        <v>32000</v>
      </c>
      <c r="G63" s="2">
        <f>Table9[[#This Row],[SL]]*Table9[[#This Row],[ĐƠN GIÁ]]</f>
        <v>6080000</v>
      </c>
      <c r="H63" s="1">
        <v>32000</v>
      </c>
      <c r="I63" s="1">
        <v>6080000</v>
      </c>
    </row>
    <row r="64" spans="1:9" x14ac:dyDescent="0.3">
      <c r="A64" t="s">
        <v>35</v>
      </c>
      <c r="B64" t="s">
        <v>7</v>
      </c>
      <c r="C64">
        <v>30</v>
      </c>
      <c r="D64" s="6">
        <v>45603</v>
      </c>
      <c r="E64" s="6" t="str">
        <f>Table9[[#This Row],[TÊN MẶT HÀNG]]&amp;" "&amp;TEXT(Table9[[#This Row],[NGÀY LẤY GIÁ]],"dd/mm/yyyy")</f>
        <v>Xà Lách Lolo Xanh T.C 07/11/2024</v>
      </c>
      <c r="F64" s="1">
        <f>VLOOKUP(Table9[[#This Row],[CỘT PHỤ]],'[1]TIỀN MUA PHỤ'!$A:$B,2,0)</f>
        <v>28000</v>
      </c>
      <c r="G64" s="2">
        <f>Table9[[#This Row],[SL]]*Table9[[#This Row],[ĐƠN GIÁ]]</f>
        <v>840000</v>
      </c>
      <c r="H64" s="1">
        <v>28000</v>
      </c>
      <c r="I64" s="1">
        <v>840000</v>
      </c>
    </row>
    <row r="65" spans="1:9" x14ac:dyDescent="0.3">
      <c r="A65" t="s">
        <v>36</v>
      </c>
      <c r="B65" t="s">
        <v>27</v>
      </c>
      <c r="C65">
        <v>99</v>
      </c>
      <c r="D65" s="6">
        <v>45603</v>
      </c>
      <c r="E65" s="6" t="str">
        <f>Table9[[#This Row],[TÊN MẶT HÀNG]]&amp;" "&amp;TEXT(Table9[[#This Row],[NGÀY LẤY GIÁ]],"dd/mm/yyyy")</f>
        <v>Xà Lách Lolo Xanh T.C Cây 07/11/2024</v>
      </c>
      <c r="F65" s="1">
        <f>VLOOKUP(Table9[[#This Row],[CỘT PHỤ]],'[1]TIỀN MUA PHỤ'!$A:$B,2,0)</f>
        <v>6800</v>
      </c>
      <c r="G65" s="2">
        <f>Table9[[#This Row],[SL]]*Table9[[#This Row],[ĐƠN GIÁ]]</f>
        <v>673200</v>
      </c>
      <c r="H65" s="1">
        <v>6800</v>
      </c>
      <c r="I65" s="1">
        <v>673200</v>
      </c>
    </row>
    <row r="66" spans="1:9" x14ac:dyDescent="0.3">
      <c r="A66" t="s">
        <v>40</v>
      </c>
      <c r="B66" t="s">
        <v>7</v>
      </c>
      <c r="C66">
        <v>40</v>
      </c>
      <c r="D66" s="6">
        <v>45603</v>
      </c>
      <c r="E66" s="6" t="str">
        <f>Table9[[#This Row],[TÊN MẶT HÀNG]]&amp;" "&amp;TEXT(Table9[[#This Row],[NGÀY LẤY GIÁ]],"dd/mm/yyyy")</f>
        <v>Xà Lách Mỡ 07/11/2024</v>
      </c>
      <c r="F66" s="1">
        <v>26000</v>
      </c>
      <c r="G66" s="2">
        <f>Table9[[#This Row],[SL]]*Table9[[#This Row],[ĐƠN GIÁ]]</f>
        <v>1040000</v>
      </c>
      <c r="H66" s="1">
        <v>26000</v>
      </c>
      <c r="I66" s="1">
        <v>1040000</v>
      </c>
    </row>
    <row r="67" spans="1:9" x14ac:dyDescent="0.3">
      <c r="A67" t="s">
        <v>37</v>
      </c>
      <c r="B67" t="s">
        <v>7</v>
      </c>
      <c r="C67">
        <v>1</v>
      </c>
      <c r="D67" s="6">
        <v>45603</v>
      </c>
      <c r="E67" s="6" t="str">
        <f>Table9[[#This Row],[TÊN MẶT HÀNG]]&amp;" "&amp;TEXT(Table9[[#This Row],[NGÀY LẤY GIÁ]],"dd/mm/yyyy")</f>
        <v>Xà Lách Mỡ T.C 07/11/2024</v>
      </c>
      <c r="F67" s="1">
        <f>VLOOKUP(Table9[[#This Row],[CỘT PHỤ]],'[1]TIỀN MUA PHỤ'!$A:$B,2,0)</f>
        <v>26000</v>
      </c>
      <c r="G67" s="2">
        <f>Table9[[#This Row],[SL]]*Table9[[#This Row],[ĐƠN GIÁ]]</f>
        <v>26000</v>
      </c>
      <c r="H67" s="1">
        <v>26000</v>
      </c>
      <c r="I67" s="1">
        <v>26000</v>
      </c>
    </row>
    <row r="68" spans="1:9" x14ac:dyDescent="0.3">
      <c r="A68" t="s">
        <v>39</v>
      </c>
      <c r="B68" t="s">
        <v>7</v>
      </c>
      <c r="C68">
        <v>17</v>
      </c>
      <c r="D68" s="6">
        <v>45603</v>
      </c>
      <c r="E68" s="6" t="str">
        <f>Table9[[#This Row],[TÊN MẶT HÀNG]]&amp;" "&amp;TEXT(Table9[[#This Row],[NGÀY LẤY GIÁ]],"dd/mm/yyyy")</f>
        <v>Xà Lách Mỹ 07/11/2024</v>
      </c>
      <c r="F68" s="1">
        <f>VLOOKUP(Table9[[#This Row],[CỘT PHỤ]],'[1]TIỀN MUA PHỤ'!$A:$B,2,0)</f>
        <v>38000</v>
      </c>
      <c r="G68" s="2">
        <f>Table9[[#This Row],[SL]]*Table9[[#This Row],[ĐƠN GIÁ]]</f>
        <v>646000</v>
      </c>
      <c r="H68" s="1">
        <v>38000</v>
      </c>
      <c r="I68" s="1">
        <v>646000</v>
      </c>
    </row>
    <row r="69" spans="1:9" x14ac:dyDescent="0.3">
      <c r="A69" t="s">
        <v>82</v>
      </c>
      <c r="B69" t="s">
        <v>7</v>
      </c>
      <c r="C69">
        <v>3.5</v>
      </c>
      <c r="D69" s="6">
        <v>45603</v>
      </c>
      <c r="E69" s="6" t="str">
        <f>Table9[[#This Row],[TÊN MẶT HÀNG]]&amp;" "&amp;TEXT(Table9[[#This Row],[NGÀY LẤY GIÁ]],"dd/mm/yyyy")</f>
        <v>Xà Lách Rocket 07/11/2024</v>
      </c>
      <c r="F69" s="1">
        <f>VLOOKUP(Table9[[#This Row],[CỘT PHỤ]],'[1]TIỀN MUA PHỤ'!$A:$B,2,0)</f>
        <v>120000</v>
      </c>
      <c r="G69" s="2">
        <f>Table9[[#This Row],[SL]]*Table9[[#This Row],[ĐƠN GIÁ]]</f>
        <v>420000</v>
      </c>
      <c r="H69" s="1">
        <v>120000</v>
      </c>
      <c r="I69" s="1">
        <v>420000</v>
      </c>
    </row>
    <row r="70" spans="1:9" x14ac:dyDescent="0.3">
      <c r="A70" t="s">
        <v>84</v>
      </c>
      <c r="B70" t="s">
        <v>27</v>
      </c>
      <c r="C70">
        <v>6</v>
      </c>
      <c r="D70" s="6">
        <v>45603</v>
      </c>
      <c r="E70" s="6" t="str">
        <f>Table9[[#This Row],[TÊN MẶT HÀNG]]&amp;" "&amp;TEXT(Table9[[#This Row],[NGÀY LẤY GIÁ]],"dd/mm/yyyy")</f>
        <v>Xà Lách Thủy Tinh T.C Cây 07/11/2024</v>
      </c>
      <c r="F70" s="1">
        <f>VLOOKUP(Table9[[#This Row],[CỘT PHỤ]],'[1]TIỀN MUA PHỤ'!$A:$B,2,0)</f>
        <v>8000</v>
      </c>
      <c r="G70" s="2">
        <f>Table9[[#This Row],[SL]]*Table9[[#This Row],[ĐƠN GIÁ]]</f>
        <v>48000</v>
      </c>
      <c r="H70" s="1">
        <v>8000</v>
      </c>
      <c r="I70" s="1">
        <v>48000</v>
      </c>
    </row>
    <row r="71" spans="1:9" x14ac:dyDescent="0.3">
      <c r="A71" t="s">
        <v>114</v>
      </c>
      <c r="B71" t="s">
        <v>7</v>
      </c>
      <c r="C71">
        <v>5</v>
      </c>
      <c r="D71" s="6">
        <v>45603</v>
      </c>
      <c r="E71" s="6" t="str">
        <f>Table9[[#This Row],[TÊN MẶT HÀNG]]&amp;" "&amp;TEXT(Table9[[#This Row],[NGÀY LẤY GIÁ]],"dd/mm/yyyy")</f>
        <v>Trái Su Su 07/11/2024</v>
      </c>
      <c r="F71" s="1">
        <f>VLOOKUP(Table9[[#This Row],[CỘT PHỤ]],'[1]TIỀN MUA PHỤ'!$A:$B,2,0)</f>
        <v>8000</v>
      </c>
      <c r="G71" s="2">
        <f>Table9[[#This Row],[SL]]*Table9[[#This Row],[ĐƠN GIÁ]]</f>
        <v>40000</v>
      </c>
      <c r="H71" s="1">
        <v>8000</v>
      </c>
      <c r="I71" s="1">
        <v>40000</v>
      </c>
    </row>
    <row r="72" spans="1:9" x14ac:dyDescent="0.3">
      <c r="E72" s="6"/>
      <c r="G72" s="2">
        <f>SUM(Table9[TỔNG])</f>
        <v>85992113.333333343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6D5C-8EB3-4BDC-88D4-FB49E5BC04FB}">
  <dimension ref="A1:G62"/>
  <sheetViews>
    <sheetView topLeftCell="A49" workbookViewId="0">
      <selection activeCell="G69" sqref="G69"/>
    </sheetView>
  </sheetViews>
  <sheetFormatPr defaultRowHeight="14.4" x14ac:dyDescent="0.3"/>
  <cols>
    <col min="1" max="1" width="22.88671875" customWidth="1"/>
    <col min="6" max="6" width="10.21875" style="1" customWidth="1"/>
    <col min="7" max="7" width="12.5546875" style="1" customWidth="1"/>
    <col min="8" max="8" width="13.109375" customWidth="1"/>
  </cols>
  <sheetData>
    <row r="1" spans="1:7" x14ac:dyDescent="0.3">
      <c r="A1" t="s">
        <v>0</v>
      </c>
      <c r="B1" t="s">
        <v>5</v>
      </c>
      <c r="C1" t="s">
        <v>1</v>
      </c>
      <c r="D1" t="s">
        <v>3</v>
      </c>
      <c r="E1" t="s">
        <v>4</v>
      </c>
      <c r="F1" s="1" t="s">
        <v>76</v>
      </c>
      <c r="G1" t="s">
        <v>108</v>
      </c>
    </row>
    <row r="2" spans="1:7" x14ac:dyDescent="0.3">
      <c r="A2" t="s">
        <v>78</v>
      </c>
      <c r="B2" t="s">
        <v>7</v>
      </c>
      <c r="C2">
        <v>10</v>
      </c>
      <c r="E2">
        <f>SUM(Table689[[#This Row],[NT]]+Table689[[#This Row],[TMART]])</f>
        <v>10</v>
      </c>
      <c r="F2" s="1">
        <v>30000</v>
      </c>
      <c r="G2" s="2">
        <f>Table689[[#This Row],[ĐƠN GIÁ]]*Table689[[#This Row],[TỔNG]]</f>
        <v>300000</v>
      </c>
    </row>
    <row r="3" spans="1:7" x14ac:dyDescent="0.3">
      <c r="A3" t="s">
        <v>19</v>
      </c>
      <c r="B3" t="s">
        <v>7</v>
      </c>
      <c r="C3">
        <v>20</v>
      </c>
      <c r="E3">
        <f>SUM(Table689[[#This Row],[NT]]+Table689[[#This Row],[TMART]])</f>
        <v>20</v>
      </c>
      <c r="F3" s="1">
        <v>11000</v>
      </c>
      <c r="G3" s="2">
        <f>Table689[[#This Row],[ĐƠN GIÁ]]*Table689[[#This Row],[TỔNG]]</f>
        <v>220000</v>
      </c>
    </row>
    <row r="4" spans="1:7" x14ac:dyDescent="0.3">
      <c r="A4" t="s">
        <v>80</v>
      </c>
      <c r="B4" t="s">
        <v>7</v>
      </c>
      <c r="C4">
        <v>3</v>
      </c>
      <c r="E4">
        <f>SUM(Table689[[#This Row],[NT]]+Table689[[#This Row],[TMART]])</f>
        <v>3</v>
      </c>
      <c r="F4" s="1">
        <v>8000</v>
      </c>
      <c r="G4" s="2">
        <f>Table689[[#This Row],[ĐƠN GIÁ]]*Table689[[#This Row],[TỔNG]]</f>
        <v>24000</v>
      </c>
    </row>
    <row r="5" spans="1:7" x14ac:dyDescent="0.3">
      <c r="A5" t="s">
        <v>80</v>
      </c>
      <c r="B5" t="s">
        <v>44</v>
      </c>
      <c r="C5">
        <v>20</v>
      </c>
      <c r="E5">
        <f>SUM(Table689[[#This Row],[NT]]+Table689[[#This Row],[TMART]])</f>
        <v>20</v>
      </c>
      <c r="F5" s="1">
        <v>4000</v>
      </c>
      <c r="G5" s="2">
        <f>Table689[[#This Row],[ĐƠN GIÁ]]*Table689[[#This Row],[TỔNG]]</f>
        <v>80000</v>
      </c>
    </row>
    <row r="6" spans="1:7" x14ac:dyDescent="0.3">
      <c r="A6" t="s">
        <v>43</v>
      </c>
      <c r="B6" t="s">
        <v>44</v>
      </c>
      <c r="C6">
        <v>120</v>
      </c>
      <c r="E6">
        <f>SUM(Table689[[#This Row],[NT]]+Table689[[#This Row],[TMART]])</f>
        <v>120</v>
      </c>
      <c r="F6" s="1">
        <v>14000</v>
      </c>
      <c r="G6" s="2">
        <f>Table689[[#This Row],[ĐƠN GIÁ]]*Table689[[#This Row],[TỔNG]]</f>
        <v>1680000</v>
      </c>
    </row>
    <row r="7" spans="1:7" x14ac:dyDescent="0.3">
      <c r="A7" t="s">
        <v>67</v>
      </c>
      <c r="B7" t="s">
        <v>7</v>
      </c>
      <c r="C7">
        <v>30</v>
      </c>
      <c r="E7">
        <f>SUM(Table689[[#This Row],[NT]]+Table689[[#This Row],[TMART]])</f>
        <v>30</v>
      </c>
      <c r="F7" s="1">
        <v>26000</v>
      </c>
      <c r="G7" s="2">
        <f>Table689[[#This Row],[ĐƠN GIÁ]]*Table689[[#This Row],[TỔNG]]</f>
        <v>780000</v>
      </c>
    </row>
    <row r="8" spans="1:7" x14ac:dyDescent="0.3">
      <c r="A8" t="s">
        <v>17</v>
      </c>
      <c r="B8" t="s">
        <v>7</v>
      </c>
      <c r="C8">
        <v>50</v>
      </c>
      <c r="E8">
        <f>SUM(Table689[[#This Row],[NT]]+Table689[[#This Row],[TMART]])</f>
        <v>50</v>
      </c>
      <c r="F8" s="1">
        <v>39000</v>
      </c>
      <c r="G8" s="2">
        <f>Table689[[#This Row],[ĐƠN GIÁ]]*Table689[[#This Row],[TỔNG]]</f>
        <v>1950000</v>
      </c>
    </row>
    <row r="9" spans="1:7" x14ac:dyDescent="0.3">
      <c r="A9" t="s">
        <v>18</v>
      </c>
      <c r="B9" t="s">
        <v>9</v>
      </c>
      <c r="C9">
        <v>70</v>
      </c>
      <c r="E9">
        <f>SUM(Table689[[#This Row],[NT]]+Table689[[#This Row],[TMART]])</f>
        <v>70</v>
      </c>
      <c r="F9" s="1">
        <f>58000/5</f>
        <v>11600</v>
      </c>
      <c r="G9" s="2">
        <f>Table689[[#This Row],[ĐƠN GIÁ]]*Table689[[#This Row],[TỔNG]]</f>
        <v>812000</v>
      </c>
    </row>
    <row r="10" spans="1:7" x14ac:dyDescent="0.3">
      <c r="A10" t="s">
        <v>45</v>
      </c>
      <c r="B10" t="s">
        <v>7</v>
      </c>
      <c r="C10">
        <v>105</v>
      </c>
      <c r="E10">
        <f>SUM(Table689[[#This Row],[NT]]+Table689[[#This Row],[TMART]])</f>
        <v>105</v>
      </c>
      <c r="F10" s="1">
        <v>25000</v>
      </c>
      <c r="G10" s="2">
        <f>Table689[[#This Row],[ĐƠN GIÁ]]*Table689[[#This Row],[TỔNG]]</f>
        <v>2625000</v>
      </c>
    </row>
    <row r="11" spans="1:7" x14ac:dyDescent="0.3">
      <c r="A11" t="s">
        <v>89</v>
      </c>
      <c r="B11" t="s">
        <v>7</v>
      </c>
      <c r="C11">
        <v>20</v>
      </c>
      <c r="E11">
        <f>SUM(Table689[[#This Row],[NT]]+Table689[[#This Row],[TMART]])</f>
        <v>20</v>
      </c>
      <c r="F11" s="1">
        <v>22000</v>
      </c>
      <c r="G11" s="2">
        <f>Table689[[#This Row],[ĐƠN GIÁ]]*Table689[[#This Row],[TỔNG]]</f>
        <v>440000</v>
      </c>
    </row>
    <row r="12" spans="1:7" x14ac:dyDescent="0.3">
      <c r="A12" t="s">
        <v>89</v>
      </c>
      <c r="B12" t="s">
        <v>105</v>
      </c>
      <c r="C12">
        <v>155</v>
      </c>
      <c r="E12">
        <f>SUM(Table689[[#This Row],[NT]]+Table689[[#This Row],[TMART]])</f>
        <v>155</v>
      </c>
      <c r="F12" s="1">
        <v>11000</v>
      </c>
      <c r="G12" s="2">
        <f>Table689[[#This Row],[ĐƠN GIÁ]]*Table689[[#This Row],[TỔNG]]</f>
        <v>1705000</v>
      </c>
    </row>
    <row r="13" spans="1:7" x14ac:dyDescent="0.3">
      <c r="A13" t="s">
        <v>70</v>
      </c>
      <c r="B13" t="s">
        <v>7</v>
      </c>
      <c r="C13">
        <v>30</v>
      </c>
      <c r="E13">
        <f>SUM(Table689[[#This Row],[NT]]+Table689[[#This Row],[TMART]])</f>
        <v>30</v>
      </c>
      <c r="F13" s="1">
        <v>38000</v>
      </c>
      <c r="G13" s="2">
        <f>Table689[[#This Row],[ĐƠN GIÁ]]*Table689[[#This Row],[TỔNG]]</f>
        <v>1140000</v>
      </c>
    </row>
    <row r="14" spans="1:7" x14ac:dyDescent="0.3">
      <c r="A14" t="s">
        <v>70</v>
      </c>
      <c r="B14" t="s">
        <v>106</v>
      </c>
      <c r="C14">
        <v>200</v>
      </c>
      <c r="E14">
        <f>SUM(Table689[[#This Row],[NT]]+Table689[[#This Row],[TMART]])</f>
        <v>200</v>
      </c>
      <c r="F14" s="1">
        <f>F13*0.3</f>
        <v>11400</v>
      </c>
      <c r="G14" s="2">
        <f>Table689[[#This Row],[ĐƠN GIÁ]]*Table689[[#This Row],[TỔNG]]</f>
        <v>2280000</v>
      </c>
    </row>
    <row r="15" spans="1:7" x14ac:dyDescent="0.3">
      <c r="A15" t="s">
        <v>47</v>
      </c>
      <c r="B15" t="s">
        <v>48</v>
      </c>
      <c r="C15">
        <v>80</v>
      </c>
      <c r="E15">
        <f>SUM(Table689[[#This Row],[NT]]+Table689[[#This Row],[TMART]])</f>
        <v>80</v>
      </c>
      <c r="F15" s="1">
        <f>51000*0.3</f>
        <v>15300</v>
      </c>
      <c r="G15" s="2">
        <f>Table689[[#This Row],[ĐƠN GIÁ]]*Table689[[#This Row],[TỔNG]]</f>
        <v>1224000</v>
      </c>
    </row>
    <row r="16" spans="1:7" x14ac:dyDescent="0.3">
      <c r="A16" t="s">
        <v>49</v>
      </c>
      <c r="B16" t="s">
        <v>106</v>
      </c>
      <c r="C16">
        <v>140</v>
      </c>
      <c r="E16">
        <f>SUM(Table689[[#This Row],[NT]]+Table689[[#This Row],[TMART]])</f>
        <v>140</v>
      </c>
      <c r="F16" s="1">
        <f>41600*0.3</f>
        <v>12480</v>
      </c>
      <c r="G16" s="2">
        <f>Table689[[#This Row],[ĐƠN GIÁ]]*Table689[[#This Row],[TỔNG]]</f>
        <v>1747200</v>
      </c>
    </row>
    <row r="17" spans="1:7" x14ac:dyDescent="0.3">
      <c r="A17" t="s">
        <v>50</v>
      </c>
      <c r="B17" t="s">
        <v>7</v>
      </c>
      <c r="C17">
        <v>60</v>
      </c>
      <c r="E17">
        <f>SUM(Table689[[#This Row],[NT]]+Table689[[#This Row],[TMART]])</f>
        <v>60</v>
      </c>
      <c r="F17" s="1">
        <v>22000</v>
      </c>
      <c r="G17" s="2">
        <f>Table689[[#This Row],[ĐƠN GIÁ]]*Table689[[#This Row],[TỔNG]]</f>
        <v>1320000</v>
      </c>
    </row>
    <row r="18" spans="1:7" x14ac:dyDescent="0.3">
      <c r="A18" t="s">
        <v>6</v>
      </c>
      <c r="B18" t="s">
        <v>7</v>
      </c>
      <c r="C18">
        <v>90</v>
      </c>
      <c r="E18">
        <f>SUM(Table689[[#This Row],[NT]]+Table689[[#This Row],[TMART]])</f>
        <v>90</v>
      </c>
      <c r="F18" s="1">
        <v>18000</v>
      </c>
      <c r="G18" s="2">
        <f>Table689[[#This Row],[ĐƠN GIÁ]]*Table689[[#This Row],[TỔNG]]</f>
        <v>1620000</v>
      </c>
    </row>
    <row r="19" spans="1:7" x14ac:dyDescent="0.3">
      <c r="A19" t="s">
        <v>8</v>
      </c>
      <c r="B19" t="s">
        <v>9</v>
      </c>
      <c r="C19">
        <v>95</v>
      </c>
      <c r="E19">
        <f>SUM(Table689[[#This Row],[NT]]+Table689[[#This Row],[TMART]])</f>
        <v>95</v>
      </c>
      <c r="F19" s="1">
        <f>70000/5</f>
        <v>14000</v>
      </c>
      <c r="G19" s="2">
        <f>Table689[[#This Row],[ĐƠN GIÁ]]*Table689[[#This Row],[TỔNG]]</f>
        <v>1330000</v>
      </c>
    </row>
    <row r="20" spans="1:7" x14ac:dyDescent="0.3">
      <c r="A20" t="s">
        <v>49</v>
      </c>
      <c r="B20" t="s">
        <v>110</v>
      </c>
      <c r="C20">
        <v>52</v>
      </c>
      <c r="E20">
        <f>SUM(Table689[[#This Row],[NT]]+Table689[[#This Row],[TMART]])</f>
        <v>52</v>
      </c>
      <c r="F20" s="1">
        <v>18500</v>
      </c>
      <c r="G20" s="2">
        <f>Table689[[#This Row],[ĐƠN GIÁ]]*Table689[[#This Row],[TỔNG]]</f>
        <v>962000</v>
      </c>
    </row>
    <row r="21" spans="1:7" x14ac:dyDescent="0.3">
      <c r="A21" t="s">
        <v>20</v>
      </c>
      <c r="B21" t="s">
        <v>7</v>
      </c>
      <c r="C21">
        <v>20</v>
      </c>
      <c r="E21">
        <f>SUM(Table689[[#This Row],[NT]]+Table689[[#This Row],[TMART]])</f>
        <v>20</v>
      </c>
      <c r="F21" s="1">
        <v>35000</v>
      </c>
      <c r="G21" s="2">
        <f>Table689[[#This Row],[ĐƠN GIÁ]]*Table689[[#This Row],[TỔNG]]</f>
        <v>700000</v>
      </c>
    </row>
    <row r="22" spans="1:7" x14ac:dyDescent="0.3">
      <c r="A22" t="s">
        <v>21</v>
      </c>
      <c r="B22" t="s">
        <v>22</v>
      </c>
      <c r="C22">
        <v>3</v>
      </c>
      <c r="E22">
        <f>SUM(Table689[[#This Row],[NT]]+Table689[[#This Row],[TMART]])</f>
        <v>3</v>
      </c>
      <c r="F22" s="1">
        <f>20000*0.3</f>
        <v>6000</v>
      </c>
      <c r="G22" s="2">
        <f>Table689[[#This Row],[ĐƠN GIÁ]]*Table689[[#This Row],[TỔNG]]</f>
        <v>18000</v>
      </c>
    </row>
    <row r="23" spans="1:7" x14ac:dyDescent="0.3">
      <c r="A23" t="s">
        <v>23</v>
      </c>
      <c r="B23" t="s">
        <v>22</v>
      </c>
      <c r="C23">
        <v>164</v>
      </c>
      <c r="E23">
        <f>SUM(Table689[[#This Row],[NT]]+Table689[[#This Row],[TMART]])</f>
        <v>164</v>
      </c>
      <c r="F23" s="1">
        <f>32000*0.3</f>
        <v>9600</v>
      </c>
      <c r="G23" s="2">
        <f>Table689[[#This Row],[ĐƠN GIÁ]]*Table689[[#This Row],[TỔNG]]</f>
        <v>1574400</v>
      </c>
    </row>
    <row r="24" spans="1:7" x14ac:dyDescent="0.3">
      <c r="A24" t="s">
        <v>23</v>
      </c>
      <c r="B24" t="s">
        <v>24</v>
      </c>
      <c r="C24">
        <v>6</v>
      </c>
      <c r="E24">
        <f>SUM(Table689[[#This Row],[NT]]+Table689[[#This Row],[TMART]])</f>
        <v>6</v>
      </c>
      <c r="F24" s="1">
        <v>5250</v>
      </c>
      <c r="G24" s="2">
        <f>Table689[[#This Row],[ĐƠN GIÁ]]*Table689[[#This Row],[TỔNG]]</f>
        <v>31500</v>
      </c>
    </row>
    <row r="25" spans="1:7" x14ac:dyDescent="0.3">
      <c r="A25" t="s">
        <v>25</v>
      </c>
      <c r="B25" t="s">
        <v>7</v>
      </c>
      <c r="C25">
        <v>100</v>
      </c>
      <c r="E25">
        <f>SUM(Table689[[#This Row],[NT]]+Table689[[#This Row],[TMART]])</f>
        <v>100</v>
      </c>
      <c r="F25" s="1">
        <v>7500</v>
      </c>
      <c r="G25" s="2">
        <f>Table689[[#This Row],[ĐƠN GIÁ]]*Table689[[#This Row],[TỔNG]]</f>
        <v>750000</v>
      </c>
    </row>
    <row r="26" spans="1:7" x14ac:dyDescent="0.3">
      <c r="A26" t="s">
        <v>26</v>
      </c>
      <c r="B26" t="s">
        <v>27</v>
      </c>
      <c r="C26">
        <v>270</v>
      </c>
      <c r="E26">
        <f>SUM(Table689[[#This Row],[NT]]+Table689[[#This Row],[TMART]])</f>
        <v>270</v>
      </c>
      <c r="F26" s="1">
        <v>7800</v>
      </c>
      <c r="G26" s="2">
        <f>Table689[[#This Row],[ĐƠN GIÁ]]*Table689[[#This Row],[TỔNG]]</f>
        <v>2106000</v>
      </c>
    </row>
    <row r="27" spans="1:7" x14ac:dyDescent="0.3">
      <c r="A27" t="s">
        <v>51</v>
      </c>
      <c r="B27" t="s">
        <v>9</v>
      </c>
      <c r="C27">
        <v>30</v>
      </c>
      <c r="E27">
        <f>SUM(Table689[[#This Row],[NT]]+Table689[[#This Row],[TMART]])</f>
        <v>30</v>
      </c>
      <c r="F27" s="1">
        <f>VLOOKUP(Table689[[#This Row],[MẶT HÀNG]],Table68[[MẶT HÀNG]:[ĐƠN GIÁ]],7,0)</f>
        <v>6750</v>
      </c>
      <c r="G27" s="2">
        <f>Table689[[#This Row],[ĐƠN GIÁ]]*Table689[[#This Row],[TỔNG]]</f>
        <v>202500</v>
      </c>
    </row>
    <row r="28" spans="1:7" x14ac:dyDescent="0.3">
      <c r="A28" t="s">
        <v>11</v>
      </c>
      <c r="B28" t="s">
        <v>7</v>
      </c>
      <c r="C28">
        <v>40</v>
      </c>
      <c r="E28">
        <f>SUM(Table689[[#This Row],[NT]]+Table689[[#This Row],[TMART]])</f>
        <v>40</v>
      </c>
      <c r="F28" s="1">
        <f>VLOOKUP(Table689[[#This Row],[MẶT HÀNG]],Table68[[MẶT HÀNG]:[ĐƠN GIÁ]],7,0)</f>
        <v>16000</v>
      </c>
      <c r="G28" s="2">
        <f>Table689[[#This Row],[ĐƠN GIÁ]]*Table689[[#This Row],[TỔNG]]</f>
        <v>640000</v>
      </c>
    </row>
    <row r="29" spans="1:7" x14ac:dyDescent="0.3">
      <c r="A29" t="s">
        <v>91</v>
      </c>
      <c r="B29" t="s">
        <v>7</v>
      </c>
      <c r="C29">
        <v>20</v>
      </c>
      <c r="E29">
        <f>SUM(Table689[[#This Row],[NT]]+Table689[[#This Row],[TMART]])</f>
        <v>20</v>
      </c>
      <c r="F29" s="1">
        <f>VLOOKUP(Table689[[#This Row],[MẶT HÀNG]],Table68[[MẶT HÀNG]:[ĐƠN GIÁ]],7,0)</f>
        <v>20000</v>
      </c>
      <c r="G29" s="2">
        <f>Table689[[#This Row],[ĐƠN GIÁ]]*Table689[[#This Row],[TỔNG]]</f>
        <v>400000</v>
      </c>
    </row>
    <row r="30" spans="1:7" x14ac:dyDescent="0.3">
      <c r="A30" t="s">
        <v>13</v>
      </c>
      <c r="B30" t="s">
        <v>7</v>
      </c>
      <c r="C30">
        <v>100</v>
      </c>
      <c r="E30">
        <f>SUM(Table689[[#This Row],[NT]]+Table689[[#This Row],[TMART]])</f>
        <v>100</v>
      </c>
      <c r="F30" s="1">
        <f>VLOOKUP(Table689[[#This Row],[MẶT HÀNG]],Table68[[MẶT HÀNG]:[ĐƠN GIÁ]],7,0)</f>
        <v>22000</v>
      </c>
      <c r="G30" s="2">
        <f>Table689[[#This Row],[ĐƠN GIÁ]]*Table689[[#This Row],[TỔNG]]</f>
        <v>2200000</v>
      </c>
    </row>
    <row r="31" spans="1:7" x14ac:dyDescent="0.3">
      <c r="A31" t="s">
        <v>14</v>
      </c>
      <c r="B31" t="s">
        <v>7</v>
      </c>
      <c r="C31">
        <v>100</v>
      </c>
      <c r="E31">
        <f>SUM(Table689[[#This Row],[NT]]+Table689[[#This Row],[TMART]])</f>
        <v>100</v>
      </c>
      <c r="F31" s="1">
        <f>VLOOKUP(Table689[[#This Row],[MẶT HÀNG]],Table68[[MẶT HÀNG]:[ĐƠN GIÁ]],7,0)</f>
        <v>19000</v>
      </c>
      <c r="G31" s="2">
        <f>Table689[[#This Row],[ĐƠN GIÁ]]*Table689[[#This Row],[TỔNG]]</f>
        <v>1900000</v>
      </c>
    </row>
    <row r="32" spans="1:7" x14ac:dyDescent="0.3">
      <c r="A32" t="s">
        <v>15</v>
      </c>
      <c r="B32" t="s">
        <v>7</v>
      </c>
      <c r="C32">
        <v>20</v>
      </c>
      <c r="E32">
        <f>SUM(Table689[[#This Row],[NT]]+Table689[[#This Row],[TMART]])</f>
        <v>20</v>
      </c>
      <c r="F32" s="1">
        <f>VLOOKUP(Table689[[#This Row],[MẶT HÀNG]],Table68[[MẶT HÀNG]:[ĐƠN GIÁ]],7,0)</f>
        <v>28000</v>
      </c>
      <c r="G32" s="2">
        <f>Table689[[#This Row],[ĐƠN GIÁ]]*Table689[[#This Row],[TỔNG]]</f>
        <v>560000</v>
      </c>
    </row>
    <row r="33" spans="1:7" x14ac:dyDescent="0.3">
      <c r="A33" t="s">
        <v>93</v>
      </c>
      <c r="B33" t="s">
        <v>7</v>
      </c>
      <c r="C33">
        <v>45</v>
      </c>
      <c r="E33">
        <f>SUM(Table689[[#This Row],[NT]]+Table689[[#This Row],[TMART]])</f>
        <v>45</v>
      </c>
      <c r="F33" s="1">
        <f>VLOOKUP(Table689[[#This Row],[MẶT HÀNG]],Table68[[MẶT HÀNG]:[ĐƠN GIÁ]],7,0)</f>
        <v>7500</v>
      </c>
      <c r="G33" s="2">
        <f>Table689[[#This Row],[ĐƠN GIÁ]]*Table689[[#This Row],[TỔNG]]</f>
        <v>337500</v>
      </c>
    </row>
    <row r="34" spans="1:7" x14ac:dyDescent="0.3">
      <c r="A34" t="s">
        <v>87</v>
      </c>
      <c r="B34" t="s">
        <v>107</v>
      </c>
      <c r="C34">
        <v>30</v>
      </c>
      <c r="E34">
        <f>SUM(Table689[[#This Row],[NT]]+Table689[[#This Row],[TMART]])</f>
        <v>30</v>
      </c>
      <c r="F34" s="1">
        <f>VLOOKUP(Table689[[#This Row],[MẶT HÀNG]],Table68[[MẶT HÀNG]:[ĐƠN GIÁ]],7,0)</f>
        <v>7500</v>
      </c>
      <c r="G34" s="2">
        <f>Table689[[#This Row],[ĐƠN GIÁ]]*Table689[[#This Row],[TỔNG]]</f>
        <v>225000</v>
      </c>
    </row>
    <row r="35" spans="1:7" x14ac:dyDescent="0.3">
      <c r="A35" t="s">
        <v>95</v>
      </c>
      <c r="B35" t="s">
        <v>7</v>
      </c>
      <c r="C35">
        <v>5</v>
      </c>
      <c r="E35">
        <f>SUM(Table689[[#This Row],[NT]]+Table689[[#This Row],[TMART]])</f>
        <v>5</v>
      </c>
      <c r="F35" s="1">
        <f>VLOOKUP(Table689[[#This Row],[MẶT HÀNG]],Table68[[MẶT HÀNG]:[ĐƠN GIÁ]],7,0)</f>
        <v>80000</v>
      </c>
      <c r="G35" s="2">
        <f>Table689[[#This Row],[ĐƠN GIÁ]]*Table689[[#This Row],[TỔNG]]</f>
        <v>400000</v>
      </c>
    </row>
    <row r="36" spans="1:7" x14ac:dyDescent="0.3">
      <c r="A36" t="s">
        <v>53</v>
      </c>
      <c r="B36" t="s">
        <v>9</v>
      </c>
      <c r="C36">
        <v>946</v>
      </c>
      <c r="E36">
        <f>SUM(Table689[[#This Row],[NT]]+Table689[[#This Row],[TMART]])</f>
        <v>946</v>
      </c>
      <c r="F36" s="1">
        <f>VLOOKUP(Table689[[#This Row],[MẶT HÀNG]],Table68[[MẶT HÀNG]:[ĐƠN GIÁ]],7,0)</f>
        <v>6500</v>
      </c>
      <c r="G36" s="2">
        <f>Table689[[#This Row],[ĐƠN GIÁ]]*Table689[[#This Row],[TỔNG]]</f>
        <v>6149000</v>
      </c>
    </row>
    <row r="37" spans="1:7" x14ac:dyDescent="0.3">
      <c r="A37" t="s">
        <v>55</v>
      </c>
      <c r="B37" t="s">
        <v>22</v>
      </c>
      <c r="C37">
        <v>40</v>
      </c>
      <c r="E37">
        <f>SUM(Table689[[#This Row],[NT]]+Table689[[#This Row],[TMART]])</f>
        <v>40</v>
      </c>
      <c r="F37" s="1">
        <f>VLOOKUP(Table689[[#This Row],[MẶT HÀNG]],Table68[[MẶT HÀNG]:[ĐƠN GIÁ]],7,0)</f>
        <v>6600</v>
      </c>
      <c r="G37" s="2">
        <f>Table689[[#This Row],[ĐƠN GIÁ]]*Table689[[#This Row],[TỔNG]]</f>
        <v>264000</v>
      </c>
    </row>
    <row r="38" spans="1:7" x14ac:dyDescent="0.3">
      <c r="A38" t="s">
        <v>56</v>
      </c>
      <c r="B38" t="s">
        <v>7</v>
      </c>
      <c r="C38">
        <v>60</v>
      </c>
      <c r="E38">
        <f>SUM(Table689[[#This Row],[NT]]+Table689[[#This Row],[TMART]])</f>
        <v>60</v>
      </c>
      <c r="F38" s="1">
        <f>VLOOKUP(Table689[[#This Row],[MẶT HÀNG]],Table68[[MẶT HÀNG]:[ĐƠN GIÁ]],7,0)</f>
        <v>6000</v>
      </c>
      <c r="G38" s="2">
        <f>Table689[[#This Row],[ĐƠN GIÁ]]*Table689[[#This Row],[TỔNG]]</f>
        <v>360000</v>
      </c>
    </row>
    <row r="39" spans="1:7" x14ac:dyDescent="0.3">
      <c r="A39" t="s">
        <v>28</v>
      </c>
      <c r="B39" t="s">
        <v>27</v>
      </c>
      <c r="C39">
        <v>100</v>
      </c>
      <c r="E39">
        <f>SUM(Table689[[#This Row],[NT]]+Table689[[#This Row],[TMART]])</f>
        <v>100</v>
      </c>
      <c r="F39" s="1">
        <f>VLOOKUP(Table689[[#This Row],[MẶT HÀNG]],Table68[[MẶT HÀNG]:[ĐƠN GIÁ]],7,0)</f>
        <v>48000</v>
      </c>
      <c r="G39" s="2">
        <f>Table689[[#This Row],[ĐƠN GIÁ]]*Table689[[#This Row],[TỔNG]]</f>
        <v>4800000</v>
      </c>
    </row>
    <row r="40" spans="1:7" x14ac:dyDescent="0.3">
      <c r="A40" t="s">
        <v>28</v>
      </c>
      <c r="B40" t="s">
        <v>7</v>
      </c>
      <c r="D40">
        <v>6</v>
      </c>
      <c r="E40">
        <f>SUM(Table689[[#This Row],[NT]]+Table689[[#This Row],[TMART]])</f>
        <v>6</v>
      </c>
      <c r="F40" s="1">
        <f>VLOOKUP(Table689[[#This Row],[MẶT HÀNG]],Table68[[MẶT HÀNG]:[ĐƠN GIÁ]],7,0)</f>
        <v>48000</v>
      </c>
      <c r="G40" s="2">
        <f>Table689[[#This Row],[ĐƠN GIÁ]]*Table689[[#This Row],[TỔNG]]</f>
        <v>288000</v>
      </c>
    </row>
    <row r="41" spans="1:7" x14ac:dyDescent="0.3">
      <c r="A41" t="s">
        <v>73</v>
      </c>
      <c r="B41" t="s">
        <v>7</v>
      </c>
      <c r="C41">
        <v>10</v>
      </c>
      <c r="E41">
        <f>SUM(Table689[[#This Row],[NT]]+Table689[[#This Row],[TMART]])</f>
        <v>10</v>
      </c>
      <c r="F41" s="1">
        <f>VLOOKUP(Table689[[#This Row],[MẶT HÀNG]],Table68[[MẶT HÀNG]:[ĐƠN GIÁ]],7,0)</f>
        <v>27000</v>
      </c>
      <c r="G41" s="2">
        <f>Table689[[#This Row],[ĐƠN GIÁ]]*Table689[[#This Row],[TỔNG]]</f>
        <v>270000</v>
      </c>
    </row>
    <row r="42" spans="1:7" x14ac:dyDescent="0.3">
      <c r="A42" t="s">
        <v>29</v>
      </c>
      <c r="B42" t="s">
        <v>22</v>
      </c>
      <c r="C42">
        <v>200</v>
      </c>
      <c r="E42">
        <f>SUM(Table689[[#This Row],[NT]]+Table689[[#This Row],[TMART]])</f>
        <v>200</v>
      </c>
      <c r="F42" s="1">
        <f>VLOOKUP(Table689[[#This Row],[MẶT HÀNG]],Table68[[MẶT HÀNG]:[ĐƠN GIÁ]],7,0)</f>
        <v>2200</v>
      </c>
      <c r="G42" s="2">
        <f>Table689[[#This Row],[ĐƠN GIÁ]]*Table689[[#This Row],[TỔNG]]</f>
        <v>440000</v>
      </c>
    </row>
    <row r="43" spans="1:7" x14ac:dyDescent="0.3">
      <c r="A43" t="s">
        <v>30</v>
      </c>
      <c r="B43" t="s">
        <v>7</v>
      </c>
      <c r="C43">
        <v>5</v>
      </c>
      <c r="E43">
        <f>SUM(Table689[[#This Row],[NT]]+Table689[[#This Row],[TMART]])</f>
        <v>5</v>
      </c>
      <c r="F43" s="1">
        <f>VLOOKUP(Table689[[#This Row],[MẶT HÀNG]],Table68[[MẶT HÀNG]:[ĐƠN GIÁ]],7,0)</f>
        <v>14000</v>
      </c>
      <c r="G43" s="2">
        <f>Table689[[#This Row],[ĐƠN GIÁ]]*Table689[[#This Row],[TỔNG]]</f>
        <v>70000</v>
      </c>
    </row>
    <row r="44" spans="1:7" x14ac:dyDescent="0.3">
      <c r="A44" t="s">
        <v>31</v>
      </c>
      <c r="B44" t="s">
        <v>7</v>
      </c>
      <c r="C44">
        <v>4</v>
      </c>
      <c r="E44">
        <f>SUM(Table689[[#This Row],[NT]]+Table689[[#This Row],[TMART]])</f>
        <v>4</v>
      </c>
      <c r="F44" s="1">
        <f>VLOOKUP(Table689[[#This Row],[MẶT HÀNG]],Table68[[MẶT HÀNG]:[ĐƠN GIÁ]],7,0)</f>
        <v>32000</v>
      </c>
      <c r="G44" s="2">
        <f>Table689[[#This Row],[ĐƠN GIÁ]]*Table689[[#This Row],[TỔNG]]</f>
        <v>128000</v>
      </c>
    </row>
    <row r="45" spans="1:7" x14ac:dyDescent="0.3">
      <c r="A45" t="s">
        <v>32</v>
      </c>
      <c r="B45" t="s">
        <v>7</v>
      </c>
      <c r="C45">
        <v>30</v>
      </c>
      <c r="E45">
        <f>SUM(Table689[[#This Row],[NT]]+Table689[[#This Row],[TMART]])</f>
        <v>30</v>
      </c>
      <c r="F45" s="1">
        <v>45000</v>
      </c>
      <c r="G45" s="2">
        <f>Table689[[#This Row],[ĐƠN GIÁ]]*Table689[[#This Row],[TỔNG]]</f>
        <v>1350000</v>
      </c>
    </row>
    <row r="46" spans="1:7" x14ac:dyDescent="0.3">
      <c r="A46" t="s">
        <v>57</v>
      </c>
      <c r="B46" t="s">
        <v>7</v>
      </c>
      <c r="C46">
        <v>32</v>
      </c>
      <c r="E46">
        <f>SUM(Table689[[#This Row],[NT]]+Table689[[#This Row],[TMART]])</f>
        <v>32</v>
      </c>
      <c r="F46" s="1">
        <v>48000</v>
      </c>
      <c r="G46" s="2">
        <f>Table689[[#This Row],[ĐƠN GIÁ]]*Table689[[#This Row],[TỔNG]]</f>
        <v>1536000</v>
      </c>
    </row>
    <row r="47" spans="1:7" x14ac:dyDescent="0.3">
      <c r="A47" t="s">
        <v>58</v>
      </c>
      <c r="B47" t="s">
        <v>59</v>
      </c>
      <c r="C47">
        <v>200</v>
      </c>
      <c r="E47">
        <f>SUM(Table689[[#This Row],[NT]]+Table689[[#This Row],[TMART]])</f>
        <v>200</v>
      </c>
      <c r="F47" s="1">
        <v>11000</v>
      </c>
      <c r="G47" s="2">
        <f>Table689[[#This Row],[ĐƠN GIÁ]]*Table689[[#This Row],[TỔNG]]</f>
        <v>2200000</v>
      </c>
    </row>
    <row r="48" spans="1:7" x14ac:dyDescent="0.3">
      <c r="A48" t="s">
        <v>61</v>
      </c>
      <c r="B48" t="s">
        <v>59</v>
      </c>
      <c r="C48">
        <v>120</v>
      </c>
      <c r="E48">
        <f>SUM(Table689[[#This Row],[NT]]+Table689[[#This Row],[TMART]])</f>
        <v>120</v>
      </c>
      <c r="F48" s="1">
        <v>28000</v>
      </c>
      <c r="G48" s="2">
        <f>Table689[[#This Row],[ĐƠN GIÁ]]*Table689[[#This Row],[TỔNG]]</f>
        <v>3360000</v>
      </c>
    </row>
    <row r="49" spans="1:7" x14ac:dyDescent="0.3">
      <c r="A49" t="s">
        <v>62</v>
      </c>
      <c r="B49" t="s">
        <v>59</v>
      </c>
      <c r="C49">
        <v>50</v>
      </c>
      <c r="E49">
        <f>SUM(Table689[[#This Row],[NT]]+Table689[[#This Row],[TMART]])</f>
        <v>50</v>
      </c>
      <c r="F49" s="1">
        <v>8000</v>
      </c>
      <c r="G49" s="2">
        <f>Table689[[#This Row],[ĐƠN GIÁ]]*Table689[[#This Row],[TỔNG]]</f>
        <v>400000</v>
      </c>
    </row>
    <row r="50" spans="1:7" x14ac:dyDescent="0.3">
      <c r="A50" t="s">
        <v>97</v>
      </c>
      <c r="B50" t="s">
        <v>22</v>
      </c>
      <c r="C50">
        <v>163</v>
      </c>
      <c r="E50">
        <f>SUM(Table689[[#This Row],[NT]]+Table689[[#This Row],[TMART]])</f>
        <v>163</v>
      </c>
      <c r="F50" s="1">
        <v>20000</v>
      </c>
      <c r="G50" s="2">
        <f>Table689[[#This Row],[ĐƠN GIÁ]]*Table689[[#This Row],[TỔNG]]</f>
        <v>3260000</v>
      </c>
    </row>
    <row r="51" spans="1:7" x14ac:dyDescent="0.3">
      <c r="A51" t="s">
        <v>33</v>
      </c>
      <c r="B51" t="s">
        <v>7</v>
      </c>
      <c r="C51">
        <v>10</v>
      </c>
      <c r="E51">
        <f>SUM(Table689[[#This Row],[NT]]+Table689[[#This Row],[TMART]])</f>
        <v>10</v>
      </c>
      <c r="F51" s="1">
        <v>35000</v>
      </c>
      <c r="G51" s="2">
        <f>Table689[[#This Row],[ĐƠN GIÁ]]*Table689[[#This Row],[TỔNG]]</f>
        <v>350000</v>
      </c>
    </row>
    <row r="52" spans="1:7" x14ac:dyDescent="0.3">
      <c r="A52" t="s">
        <v>66</v>
      </c>
      <c r="B52" t="s">
        <v>48</v>
      </c>
      <c r="C52">
        <v>10</v>
      </c>
      <c r="E52">
        <f>SUM(Table689[[#This Row],[NT]]+Table689[[#This Row],[TMART]])</f>
        <v>10</v>
      </c>
      <c r="F52" s="1">
        <v>35000</v>
      </c>
      <c r="G52" s="2">
        <f>Table689[[#This Row],[ĐƠN GIÁ]]*Table689[[#This Row],[TỔNG]]</f>
        <v>350000</v>
      </c>
    </row>
    <row r="53" spans="1:7" x14ac:dyDescent="0.3">
      <c r="A53" t="s">
        <v>34</v>
      </c>
      <c r="B53" t="s">
        <v>7</v>
      </c>
      <c r="C53">
        <v>173</v>
      </c>
      <c r="E53">
        <f>SUM(Table689[[#This Row],[NT]]+Table689[[#This Row],[TMART]])</f>
        <v>173</v>
      </c>
      <c r="F53" s="1">
        <v>34000</v>
      </c>
      <c r="G53" s="2">
        <f>Table689[[#This Row],[ĐƠN GIÁ]]*Table689[[#This Row],[TỔNG]]</f>
        <v>5882000</v>
      </c>
    </row>
    <row r="54" spans="1:7" x14ac:dyDescent="0.3">
      <c r="A54" t="s">
        <v>35</v>
      </c>
      <c r="B54" t="s">
        <v>7</v>
      </c>
      <c r="C54">
        <v>30</v>
      </c>
      <c r="E54">
        <f>SUM(Table689[[#This Row],[NT]]+Table689[[#This Row],[TMART]])</f>
        <v>30</v>
      </c>
      <c r="F54" s="1">
        <v>28000</v>
      </c>
      <c r="G54" s="2">
        <f>Table689[[#This Row],[ĐƠN GIÁ]]*Table689[[#This Row],[TỔNG]]</f>
        <v>840000</v>
      </c>
    </row>
    <row r="55" spans="1:7" x14ac:dyDescent="0.3">
      <c r="A55" t="s">
        <v>36</v>
      </c>
      <c r="B55" t="s">
        <v>27</v>
      </c>
      <c r="C55">
        <v>150</v>
      </c>
      <c r="E55">
        <f>SUM(Table689[[#This Row],[NT]]+Table689[[#This Row],[TMART]])</f>
        <v>150</v>
      </c>
      <c r="F55" s="1">
        <v>6800</v>
      </c>
      <c r="G55" s="2">
        <f>Table689[[#This Row],[ĐƠN GIÁ]]*Table689[[#This Row],[TỔNG]]</f>
        <v>1020000</v>
      </c>
    </row>
    <row r="56" spans="1:7" x14ac:dyDescent="0.3">
      <c r="A56" t="s">
        <v>40</v>
      </c>
      <c r="B56" t="s">
        <v>7</v>
      </c>
      <c r="C56">
        <v>20</v>
      </c>
      <c r="E56">
        <f>SUM(Table689[[#This Row],[NT]]+Table689[[#This Row],[TMART]])</f>
        <v>20</v>
      </c>
      <c r="F56" s="1">
        <v>28000</v>
      </c>
      <c r="G56" s="2">
        <f>Table689[[#This Row],[ĐƠN GIÁ]]*Table689[[#This Row],[TỔNG]]</f>
        <v>560000</v>
      </c>
    </row>
    <row r="57" spans="1:7" x14ac:dyDescent="0.3">
      <c r="A57" t="s">
        <v>38</v>
      </c>
      <c r="B57" t="s">
        <v>27</v>
      </c>
      <c r="C57">
        <v>10</v>
      </c>
      <c r="E57">
        <f>SUM(Table689[[#This Row],[NT]]+Table689[[#This Row],[TMART]])</f>
        <v>10</v>
      </c>
      <c r="F57" s="1">
        <v>6800</v>
      </c>
      <c r="G57" s="2">
        <f>Table689[[#This Row],[ĐƠN GIÁ]]*Table689[[#This Row],[TỔNG]]</f>
        <v>68000</v>
      </c>
    </row>
    <row r="58" spans="1:7" x14ac:dyDescent="0.3">
      <c r="A58" t="s">
        <v>39</v>
      </c>
      <c r="B58" t="s">
        <v>7</v>
      </c>
      <c r="C58">
        <v>30</v>
      </c>
      <c r="E58">
        <f>SUM(Table689[[#This Row],[NT]]+Table689[[#This Row],[TMART]])</f>
        <v>30</v>
      </c>
      <c r="F58" s="1">
        <v>38000</v>
      </c>
      <c r="G58" s="2">
        <f>Table689[[#This Row],[ĐƠN GIÁ]]*Table689[[#This Row],[TỔNG]]</f>
        <v>1140000</v>
      </c>
    </row>
    <row r="59" spans="1:7" x14ac:dyDescent="0.3">
      <c r="A59" t="s">
        <v>82</v>
      </c>
      <c r="B59" t="s">
        <v>7</v>
      </c>
      <c r="C59">
        <v>2</v>
      </c>
      <c r="E59">
        <f>SUM(Table689[[#This Row],[NT]]+Table689[[#This Row],[TMART]])</f>
        <v>2</v>
      </c>
      <c r="F59" s="1">
        <v>120000</v>
      </c>
      <c r="G59" s="2">
        <f>Table689[[#This Row],[ĐƠN GIÁ]]*Table689[[#This Row],[TỔNG]]</f>
        <v>240000</v>
      </c>
    </row>
    <row r="60" spans="1:7" x14ac:dyDescent="0.3">
      <c r="A60" t="s">
        <v>83</v>
      </c>
      <c r="B60" t="s">
        <v>7</v>
      </c>
      <c r="C60">
        <v>5</v>
      </c>
      <c r="E60">
        <f>SUM(Table689[[#This Row],[NT]]+Table689[[#This Row],[TMART]])</f>
        <v>5</v>
      </c>
      <c r="F60" s="1">
        <v>25000</v>
      </c>
      <c r="G60" s="2">
        <f>Table689[[#This Row],[ĐƠN GIÁ]]*Table689[[#This Row],[TỔNG]]</f>
        <v>125000</v>
      </c>
    </row>
    <row r="61" spans="1:7" x14ac:dyDescent="0.3">
      <c r="A61" t="s">
        <v>84</v>
      </c>
      <c r="B61" t="s">
        <v>27</v>
      </c>
      <c r="C61">
        <v>5</v>
      </c>
      <c r="E61">
        <f>SUM(Table689[[#This Row],[NT]]+Table689[[#This Row],[TMART]])</f>
        <v>5</v>
      </c>
      <c r="F61" s="1">
        <v>7000</v>
      </c>
      <c r="G61" s="2">
        <f>Table689[[#This Row],[ĐƠN GIÁ]]*Table689[[#This Row],[TỔNG]]</f>
        <v>35000</v>
      </c>
    </row>
    <row r="62" spans="1:7" x14ac:dyDescent="0.3">
      <c r="F62" s="2"/>
      <c r="G62" s="2">
        <f>SUM(Table689[THÀNH TIỀN])</f>
        <v>69769100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B436-2B37-4E48-AC9E-7D4A191882E4}">
  <dimension ref="A1:H78"/>
  <sheetViews>
    <sheetView topLeftCell="A54" workbookViewId="0">
      <selection activeCell="A24" sqref="A24:XFD24"/>
    </sheetView>
  </sheetViews>
  <sheetFormatPr defaultRowHeight="14.4" x14ac:dyDescent="0.3"/>
  <cols>
    <col min="1" max="1" width="22.88671875" customWidth="1"/>
    <col min="4" max="4" width="8.88671875" customWidth="1"/>
    <col min="7" max="7" width="10.21875" style="1" customWidth="1"/>
    <col min="8" max="8" width="13.109375" customWidth="1"/>
  </cols>
  <sheetData>
    <row r="1" spans="1:8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s="1" t="s">
        <v>76</v>
      </c>
      <c r="H1" t="s">
        <v>108</v>
      </c>
    </row>
    <row r="2" spans="1:8" x14ac:dyDescent="0.3">
      <c r="A2" t="s">
        <v>80</v>
      </c>
      <c r="B2" t="s">
        <v>7</v>
      </c>
      <c r="C2">
        <v>20</v>
      </c>
      <c r="F2">
        <f>Table68[[#This Row],[NT]]+Table68[[#This Row],[SÓI]]+Table68[[#This Row],[TMART]]</f>
        <v>20</v>
      </c>
      <c r="G2" s="1">
        <v>8000</v>
      </c>
      <c r="H2" s="2">
        <f>Table68[[#This Row],[ĐƠN GIÁ]]*Table68[[#This Row],[TỔNG]]</f>
        <v>160000</v>
      </c>
    </row>
    <row r="3" spans="1:8" x14ac:dyDescent="0.3">
      <c r="A3" t="s">
        <v>41</v>
      </c>
      <c r="B3" t="s">
        <v>7</v>
      </c>
      <c r="C3">
        <v>12</v>
      </c>
      <c r="E3">
        <v>10</v>
      </c>
      <c r="F3">
        <f>Table68[[#This Row],[NT]]+Table68[[#This Row],[SÓI]]+Table68[[#This Row],[TMART]]</f>
        <v>22</v>
      </c>
      <c r="G3" s="1">
        <v>23000</v>
      </c>
      <c r="H3" s="2">
        <f>Table68[[#This Row],[ĐƠN GIÁ]]*Table68[[#This Row],[TỔNG]]</f>
        <v>506000</v>
      </c>
    </row>
    <row r="4" spans="1:8" x14ac:dyDescent="0.3">
      <c r="A4" t="s">
        <v>41</v>
      </c>
      <c r="B4" t="s">
        <v>42</v>
      </c>
      <c r="C4">
        <v>181</v>
      </c>
      <c r="F4">
        <f>Table68[[#This Row],[NT]]+Table68[[#This Row],[SÓI]]+Table68[[#This Row],[TMART]]</f>
        <v>181</v>
      </c>
      <c r="G4" s="1">
        <f>23000*0.3</f>
        <v>6900</v>
      </c>
      <c r="H4" s="2">
        <f>Table68[[#This Row],[ĐƠN GIÁ]]*Table68[[#This Row],[TỔNG]]</f>
        <v>1248900</v>
      </c>
    </row>
    <row r="5" spans="1:8" x14ac:dyDescent="0.3">
      <c r="A5" t="s">
        <v>43</v>
      </c>
      <c r="B5" t="s">
        <v>44</v>
      </c>
      <c r="C5">
        <v>154</v>
      </c>
      <c r="F5">
        <f>Table68[[#This Row],[NT]]+Table68[[#This Row],[SÓI]]+Table68[[#This Row],[TMART]]</f>
        <v>154</v>
      </c>
      <c r="G5" s="1">
        <f>17500*0.3</f>
        <v>5250</v>
      </c>
      <c r="H5" s="2">
        <f>Table68[[#This Row],[ĐƠN GIÁ]]*Table68[[#This Row],[TỔNG]]</f>
        <v>808500</v>
      </c>
    </row>
    <row r="6" spans="1:8" x14ac:dyDescent="0.3">
      <c r="A6" t="s">
        <v>43</v>
      </c>
      <c r="B6" t="s">
        <v>7</v>
      </c>
      <c r="C6">
        <v>15</v>
      </c>
      <c r="F6">
        <f>Table68[[#This Row],[NT]]+Table68[[#This Row],[SÓI]]+Table68[[#This Row],[TMART]]</f>
        <v>15</v>
      </c>
      <c r="G6" s="1">
        <v>17500</v>
      </c>
      <c r="H6" s="2">
        <f>Table68[[#This Row],[ĐƠN GIÁ]]*Table68[[#This Row],[TỔNG]]</f>
        <v>262500</v>
      </c>
    </row>
    <row r="7" spans="1:8" x14ac:dyDescent="0.3">
      <c r="A7" t="s">
        <v>67</v>
      </c>
      <c r="B7" t="s">
        <v>7</v>
      </c>
      <c r="C7">
        <v>88</v>
      </c>
      <c r="F7">
        <f>Table68[[#This Row],[NT]]+Table68[[#This Row],[SÓI]]+Table68[[#This Row],[TMART]]</f>
        <v>88</v>
      </c>
      <c r="G7" s="1">
        <v>26000</v>
      </c>
      <c r="H7" s="2">
        <f>Table68[[#This Row],[ĐƠN GIÁ]]*Table68[[#This Row],[TỔNG]]</f>
        <v>2288000</v>
      </c>
    </row>
    <row r="8" spans="1:8" x14ac:dyDescent="0.3">
      <c r="A8" t="s">
        <v>17</v>
      </c>
      <c r="B8" t="s">
        <v>7</v>
      </c>
      <c r="C8">
        <v>110</v>
      </c>
      <c r="D8">
        <v>50</v>
      </c>
      <c r="F8">
        <f>Table68[[#This Row],[NT]]+Table68[[#This Row],[SÓI]]+Table68[[#This Row],[TMART]]</f>
        <v>160</v>
      </c>
      <c r="G8" s="1">
        <v>39000</v>
      </c>
      <c r="H8" s="2">
        <f>Table68[[#This Row],[ĐƠN GIÁ]]*Table68[[#This Row],[TỔNG]]</f>
        <v>6240000</v>
      </c>
    </row>
    <row r="9" spans="1:8" x14ac:dyDescent="0.3">
      <c r="A9" t="s">
        <v>18</v>
      </c>
      <c r="B9" t="s">
        <v>9</v>
      </c>
      <c r="C9">
        <v>40</v>
      </c>
      <c r="F9">
        <f>Table68[[#This Row],[NT]]+Table68[[#This Row],[SÓI]]+Table68[[#This Row],[TMART]]</f>
        <v>40</v>
      </c>
      <c r="G9" s="1">
        <f>50000/5</f>
        <v>10000</v>
      </c>
      <c r="H9" s="2">
        <f>Table68[[#This Row],[ĐƠN GIÁ]]*Table68[[#This Row],[TỔNG]]</f>
        <v>400000</v>
      </c>
    </row>
    <row r="10" spans="1:8" x14ac:dyDescent="0.3">
      <c r="A10" t="s">
        <v>45</v>
      </c>
      <c r="B10" t="s">
        <v>7</v>
      </c>
      <c r="C10">
        <v>217</v>
      </c>
      <c r="F10">
        <f>Table68[[#This Row],[NT]]+Table68[[#This Row],[SÓI]]+Table68[[#This Row],[TMART]]</f>
        <v>217</v>
      </c>
      <c r="G10" s="1">
        <v>25000</v>
      </c>
      <c r="H10" s="2">
        <f>Table68[[#This Row],[ĐƠN GIÁ]]*Table68[[#This Row],[TỔNG]]</f>
        <v>5425000</v>
      </c>
    </row>
    <row r="11" spans="1:8" x14ac:dyDescent="0.3">
      <c r="A11" t="s">
        <v>89</v>
      </c>
      <c r="B11" t="s">
        <v>7</v>
      </c>
      <c r="C11">
        <v>40</v>
      </c>
      <c r="D11">
        <v>18</v>
      </c>
      <c r="E11">
        <v>67</v>
      </c>
      <c r="F11">
        <f>Table68[[#This Row],[NT]]+Table68[[#This Row],[SÓI]]+Table68[[#This Row],[TMART]]</f>
        <v>125</v>
      </c>
      <c r="G11" s="1">
        <v>22000</v>
      </c>
      <c r="H11" s="2">
        <f>Table68[[#This Row],[ĐƠN GIÁ]]*Table68[[#This Row],[TỔNG]]</f>
        <v>2750000</v>
      </c>
    </row>
    <row r="12" spans="1:8" x14ac:dyDescent="0.3">
      <c r="A12" t="s">
        <v>89</v>
      </c>
      <c r="B12" t="s">
        <v>105</v>
      </c>
      <c r="C12">
        <v>103</v>
      </c>
      <c r="F12">
        <f>Table68[[#This Row],[NT]]+Table68[[#This Row],[SÓI]]+Table68[[#This Row],[TMART]]</f>
        <v>103</v>
      </c>
      <c r="G12" s="1">
        <v>11000</v>
      </c>
      <c r="H12" s="2">
        <f>Table68[[#This Row],[ĐƠN GIÁ]]*Table68[[#This Row],[TỔNG]]</f>
        <v>1133000</v>
      </c>
    </row>
    <row r="13" spans="1:8" x14ac:dyDescent="0.3">
      <c r="A13" t="s">
        <v>70</v>
      </c>
      <c r="B13" t="s">
        <v>7</v>
      </c>
      <c r="C13">
        <v>5</v>
      </c>
      <c r="E13">
        <v>25</v>
      </c>
      <c r="F13">
        <f>Table68[[#This Row],[NT]]+Table68[[#This Row],[SÓI]]+Table68[[#This Row],[TMART]]</f>
        <v>30</v>
      </c>
      <c r="G13" s="1">
        <v>38000</v>
      </c>
      <c r="H13" s="2">
        <f>Table68[[#This Row],[ĐƠN GIÁ]]*Table68[[#This Row],[TỔNG]]</f>
        <v>1140000</v>
      </c>
    </row>
    <row r="14" spans="1:8" x14ac:dyDescent="0.3">
      <c r="A14" t="s">
        <v>70</v>
      </c>
      <c r="B14" t="s">
        <v>106</v>
      </c>
      <c r="C14">
        <v>141</v>
      </c>
      <c r="F14">
        <f>Table68[[#This Row],[NT]]+Table68[[#This Row],[SÓI]]+Table68[[#This Row],[TMART]]</f>
        <v>141</v>
      </c>
      <c r="G14" s="1">
        <f>G13*0.3</f>
        <v>11400</v>
      </c>
      <c r="H14" s="2">
        <f>Table68[[#This Row],[ĐƠN GIÁ]]*Table68[[#This Row],[TỔNG]]</f>
        <v>1607400</v>
      </c>
    </row>
    <row r="15" spans="1:8" x14ac:dyDescent="0.3">
      <c r="A15" t="s">
        <v>47</v>
      </c>
      <c r="B15" t="s">
        <v>48</v>
      </c>
      <c r="C15">
        <v>59</v>
      </c>
      <c r="F15">
        <f>Table68[[#This Row],[NT]]+Table68[[#This Row],[SÓI]]+Table68[[#This Row],[TMART]]</f>
        <v>59</v>
      </c>
      <c r="G15" s="1">
        <f>51500*0.3</f>
        <v>15450</v>
      </c>
      <c r="H15" s="2">
        <f>Table68[[#This Row],[ĐƠN GIÁ]]*Table68[[#This Row],[TỔNG]]</f>
        <v>911550</v>
      </c>
    </row>
    <row r="16" spans="1:8" x14ac:dyDescent="0.3">
      <c r="A16" t="s">
        <v>50</v>
      </c>
      <c r="B16" t="s">
        <v>7</v>
      </c>
      <c r="C16">
        <v>20</v>
      </c>
      <c r="E16">
        <v>80</v>
      </c>
      <c r="F16">
        <f>Table68[[#This Row],[NT]]+Table68[[#This Row],[SÓI]]+Table68[[#This Row],[TMART]]</f>
        <v>100</v>
      </c>
      <c r="G16" s="1">
        <v>22000</v>
      </c>
      <c r="H16" s="2">
        <f>Table68[[#This Row],[ĐƠN GIÁ]]*Table68[[#This Row],[TỔNG]]</f>
        <v>2200000</v>
      </c>
    </row>
    <row r="17" spans="1:8" x14ac:dyDescent="0.3">
      <c r="A17" t="s">
        <v>8</v>
      </c>
      <c r="B17" t="s">
        <v>9</v>
      </c>
      <c r="C17">
        <v>34</v>
      </c>
      <c r="F17">
        <f>Table68[[#This Row],[NT]]+Table68[[#This Row],[SÓI]]+Table68[[#This Row],[TMART]]</f>
        <v>34</v>
      </c>
      <c r="G17" s="1">
        <f>65000/5</f>
        <v>13000</v>
      </c>
      <c r="H17" s="2">
        <f>Table68[[#This Row],[ĐƠN GIÁ]]*Table68[[#This Row],[TỔNG]]</f>
        <v>442000</v>
      </c>
    </row>
    <row r="18" spans="1:8" x14ac:dyDescent="0.3">
      <c r="A18" t="s">
        <v>8</v>
      </c>
      <c r="B18" t="s">
        <v>7</v>
      </c>
      <c r="C18">
        <v>8</v>
      </c>
      <c r="F18">
        <f>Table68[[#This Row],[NT]]+Table68[[#This Row],[SÓI]]+Table68[[#This Row],[TMART]]</f>
        <v>8</v>
      </c>
      <c r="G18" s="1">
        <v>65000</v>
      </c>
      <c r="H18" s="2">
        <f>Table68[[#This Row],[ĐƠN GIÁ]]*Table68[[#This Row],[TỔNG]]</f>
        <v>520000</v>
      </c>
    </row>
    <row r="19" spans="1:8" x14ac:dyDescent="0.3">
      <c r="A19" t="s">
        <v>20</v>
      </c>
      <c r="B19" t="s">
        <v>7</v>
      </c>
      <c r="C19">
        <v>43</v>
      </c>
      <c r="F19">
        <f>Table68[[#This Row],[NT]]+Table68[[#This Row],[SÓI]]+Table68[[#This Row],[TMART]]</f>
        <v>43</v>
      </c>
      <c r="G19" s="1">
        <v>36000</v>
      </c>
      <c r="H19" s="2">
        <f>Table68[[#This Row],[ĐƠN GIÁ]]*Table68[[#This Row],[TỔNG]]</f>
        <v>1548000</v>
      </c>
    </row>
    <row r="20" spans="1:8" x14ac:dyDescent="0.3">
      <c r="A20" t="s">
        <v>23</v>
      </c>
      <c r="B20" t="s">
        <v>22</v>
      </c>
      <c r="C20">
        <v>180</v>
      </c>
      <c r="F20">
        <f>Table68[[#This Row],[NT]]+Table68[[#This Row],[SÓI]]+Table68[[#This Row],[TMART]]</f>
        <v>180</v>
      </c>
      <c r="G20" s="1">
        <f>34000*0.3</f>
        <v>10200</v>
      </c>
      <c r="H20" s="2">
        <f>Table68[[#This Row],[ĐƠN GIÁ]]*Table68[[#This Row],[TỔNG]]</f>
        <v>1836000</v>
      </c>
    </row>
    <row r="21" spans="1:8" x14ac:dyDescent="0.3">
      <c r="A21" t="s">
        <v>23</v>
      </c>
      <c r="B21" t="s">
        <v>24</v>
      </c>
      <c r="C21">
        <v>10</v>
      </c>
      <c r="F21">
        <f>Table68[[#This Row],[NT]]+Table68[[#This Row],[SÓI]]+Table68[[#This Row],[TMART]]</f>
        <v>10</v>
      </c>
      <c r="G21" s="1">
        <f>35000*0.15</f>
        <v>5250</v>
      </c>
      <c r="H21" s="2">
        <f>Table68[[#This Row],[ĐƠN GIÁ]]*Table68[[#This Row],[TỔNG]]</f>
        <v>52500</v>
      </c>
    </row>
    <row r="22" spans="1:8" x14ac:dyDescent="0.3">
      <c r="A22" t="s">
        <v>23</v>
      </c>
      <c r="B22" t="s">
        <v>7</v>
      </c>
      <c r="C22">
        <v>5</v>
      </c>
      <c r="F22">
        <f>Table68[[#This Row],[NT]]+Table68[[#This Row],[SÓI]]+Table68[[#This Row],[TMART]]</f>
        <v>5</v>
      </c>
      <c r="G22" s="1">
        <f>34000</f>
        <v>34000</v>
      </c>
      <c r="H22" s="2">
        <f>Table68[[#This Row],[ĐƠN GIÁ]]*Table68[[#This Row],[TỔNG]]</f>
        <v>170000</v>
      </c>
    </row>
    <row r="23" spans="1:8" x14ac:dyDescent="0.3">
      <c r="A23" t="s">
        <v>25</v>
      </c>
      <c r="B23" t="s">
        <v>7</v>
      </c>
      <c r="C23">
        <v>35</v>
      </c>
      <c r="F23">
        <f>Table68[[#This Row],[NT]]+Table68[[#This Row],[SÓI]]+Table68[[#This Row],[TMART]]</f>
        <v>35</v>
      </c>
      <c r="G23" s="1">
        <v>7500</v>
      </c>
      <c r="H23" s="2">
        <f>Table68[[#This Row],[ĐƠN GIÁ]]*Table68[[#This Row],[TỔNG]]</f>
        <v>262500</v>
      </c>
    </row>
    <row r="24" spans="1:8" x14ac:dyDescent="0.3">
      <c r="A24" t="s">
        <v>26</v>
      </c>
      <c r="B24" t="s">
        <v>27</v>
      </c>
      <c r="C24">
        <v>170</v>
      </c>
      <c r="F24">
        <f>Table68[[#This Row],[NT]]+Table68[[#This Row],[SÓI]]+Table68[[#This Row],[TMART]]</f>
        <v>170</v>
      </c>
      <c r="G24" s="1">
        <f>13000*0.6</f>
        <v>7800</v>
      </c>
      <c r="H24" s="2">
        <f>Table68[[#This Row],[ĐƠN GIÁ]]*Table68[[#This Row],[TỔNG]]</f>
        <v>1326000</v>
      </c>
    </row>
    <row r="25" spans="1:8" x14ac:dyDescent="0.3">
      <c r="A25" t="s">
        <v>51</v>
      </c>
      <c r="B25" t="s">
        <v>9</v>
      </c>
      <c r="C25">
        <v>27</v>
      </c>
      <c r="F25">
        <f>Table68[[#This Row],[NT]]+Table68[[#This Row],[SÓI]]+Table68[[#This Row],[TMART]]</f>
        <v>27</v>
      </c>
      <c r="G25" s="1">
        <f>'04.11'!F37</f>
        <v>6750</v>
      </c>
      <c r="H25" s="2">
        <f>Table68[[#This Row],[ĐƠN GIÁ]]*Table68[[#This Row],[TỔNG]]</f>
        <v>182250</v>
      </c>
    </row>
    <row r="26" spans="1:8" x14ac:dyDescent="0.3">
      <c r="A26" t="s">
        <v>103</v>
      </c>
      <c r="B26" t="s">
        <v>48</v>
      </c>
      <c r="C26">
        <v>45</v>
      </c>
      <c r="F26">
        <f>Table68[[#This Row],[NT]]+Table68[[#This Row],[SÓI]]+Table68[[#This Row],[TMART]]</f>
        <v>45</v>
      </c>
      <c r="G26" s="1">
        <v>12000</v>
      </c>
      <c r="H26" s="2">
        <f>Table68[[#This Row],[ĐƠN GIÁ]]*Table68[[#This Row],[TỔNG]]</f>
        <v>540000</v>
      </c>
    </row>
    <row r="27" spans="1:8" x14ac:dyDescent="0.3">
      <c r="A27" t="s">
        <v>10</v>
      </c>
      <c r="B27" t="s">
        <v>7</v>
      </c>
      <c r="C27">
        <v>23</v>
      </c>
      <c r="F27">
        <f>Table68[[#This Row],[NT]]+Table68[[#This Row],[SÓI]]+Table68[[#This Row],[TMART]]</f>
        <v>23</v>
      </c>
      <c r="G27" s="1">
        <v>6500</v>
      </c>
      <c r="H27" s="2">
        <f>Table68[[#This Row],[ĐƠN GIÁ]]*Table68[[#This Row],[TỔNG]]</f>
        <v>149500</v>
      </c>
    </row>
    <row r="28" spans="1:8" x14ac:dyDescent="0.3">
      <c r="A28" t="s">
        <v>11</v>
      </c>
      <c r="B28" t="s">
        <v>7</v>
      </c>
      <c r="C28">
        <v>42</v>
      </c>
      <c r="E28">
        <v>15</v>
      </c>
      <c r="F28">
        <f>Table68[[#This Row],[NT]]+Table68[[#This Row],[SÓI]]+Table68[[#This Row],[TMART]]</f>
        <v>57</v>
      </c>
      <c r="G28" s="1">
        <v>16000</v>
      </c>
      <c r="H28" s="2">
        <f>Table68[[#This Row],[ĐƠN GIÁ]]*Table68[[#This Row],[TỔNG]]</f>
        <v>912000</v>
      </c>
    </row>
    <row r="29" spans="1:8" x14ac:dyDescent="0.3">
      <c r="A29" t="s">
        <v>12</v>
      </c>
      <c r="B29" t="s">
        <v>7</v>
      </c>
      <c r="C29">
        <v>42</v>
      </c>
      <c r="F29">
        <f>Table68[[#This Row],[NT]]+Table68[[#This Row],[SÓI]]+Table68[[#This Row],[TMART]]</f>
        <v>42</v>
      </c>
      <c r="G29" s="1">
        <v>28000</v>
      </c>
      <c r="H29" s="2">
        <f>Table68[[#This Row],[ĐƠN GIÁ]]*Table68[[#This Row],[TỔNG]]</f>
        <v>1176000</v>
      </c>
    </row>
    <row r="30" spans="1:8" x14ac:dyDescent="0.3">
      <c r="A30" t="s">
        <v>91</v>
      </c>
      <c r="B30" t="s">
        <v>7</v>
      </c>
      <c r="C30">
        <v>20</v>
      </c>
      <c r="F30">
        <f>Table68[[#This Row],[NT]]+Table68[[#This Row],[SÓI]]+Table68[[#This Row],[TMART]]</f>
        <v>20</v>
      </c>
      <c r="G30" s="1">
        <v>20000</v>
      </c>
      <c r="H30" s="2">
        <f>Table68[[#This Row],[ĐƠN GIÁ]]*Table68[[#This Row],[TỔNG]]</f>
        <v>400000</v>
      </c>
    </row>
    <row r="31" spans="1:8" x14ac:dyDescent="0.3">
      <c r="A31" t="s">
        <v>13</v>
      </c>
      <c r="B31" t="s">
        <v>7</v>
      </c>
      <c r="C31">
        <v>130</v>
      </c>
      <c r="F31">
        <f>Table68[[#This Row],[NT]]+Table68[[#This Row],[SÓI]]+Table68[[#This Row],[TMART]]</f>
        <v>130</v>
      </c>
      <c r="G31" s="1">
        <v>22000</v>
      </c>
      <c r="H31" s="2">
        <f>Table68[[#This Row],[ĐƠN GIÁ]]*Table68[[#This Row],[TỔNG]]</f>
        <v>2860000</v>
      </c>
    </row>
    <row r="32" spans="1:8" x14ac:dyDescent="0.3">
      <c r="A32" t="s">
        <v>14</v>
      </c>
      <c r="B32" t="s">
        <v>7</v>
      </c>
      <c r="C32">
        <v>90</v>
      </c>
      <c r="F32">
        <f>Table68[[#This Row],[NT]]+Table68[[#This Row],[SÓI]]+Table68[[#This Row],[TMART]]</f>
        <v>90</v>
      </c>
      <c r="G32" s="1">
        <v>19000</v>
      </c>
      <c r="H32" s="2">
        <f>Table68[[#This Row],[ĐƠN GIÁ]]*Table68[[#This Row],[TỔNG]]</f>
        <v>1710000</v>
      </c>
    </row>
    <row r="33" spans="1:8" x14ac:dyDescent="0.3">
      <c r="A33" t="s">
        <v>15</v>
      </c>
      <c r="B33" t="s">
        <v>7</v>
      </c>
      <c r="C33">
        <v>10</v>
      </c>
      <c r="F33">
        <f>Table68[[#This Row],[NT]]+Table68[[#This Row],[SÓI]]+Table68[[#This Row],[TMART]]</f>
        <v>10</v>
      </c>
      <c r="G33" s="1">
        <v>28000</v>
      </c>
      <c r="H33" s="2">
        <f>Table68[[#This Row],[ĐƠN GIÁ]]*Table68[[#This Row],[TỔNG]]</f>
        <v>280000</v>
      </c>
    </row>
    <row r="34" spans="1:8" x14ac:dyDescent="0.3">
      <c r="A34" t="s">
        <v>93</v>
      </c>
      <c r="B34" t="s">
        <v>22</v>
      </c>
      <c r="C34">
        <v>30</v>
      </c>
      <c r="F34">
        <f>Table68[[#This Row],[NT]]+Table68[[#This Row],[SÓI]]+Table68[[#This Row],[TMART]]</f>
        <v>30</v>
      </c>
      <c r="G34" s="1">
        <v>7500</v>
      </c>
      <c r="H34" s="2">
        <f>Table68[[#This Row],[ĐƠN GIÁ]]*Table68[[#This Row],[TỔNG]]</f>
        <v>225000</v>
      </c>
    </row>
    <row r="35" spans="1:8" x14ac:dyDescent="0.3">
      <c r="A35" t="s">
        <v>16</v>
      </c>
      <c r="B35" t="s">
        <v>7</v>
      </c>
      <c r="C35">
        <v>5</v>
      </c>
      <c r="F35">
        <f>Table68[[#This Row],[NT]]+Table68[[#This Row],[SÓI]]+Table68[[#This Row],[TMART]]</f>
        <v>5</v>
      </c>
      <c r="G35" s="1">
        <v>18000</v>
      </c>
      <c r="H35" s="2">
        <f>Table68[[#This Row],[ĐƠN GIÁ]]*Table68[[#This Row],[TỔNG]]</f>
        <v>90000</v>
      </c>
    </row>
    <row r="36" spans="1:8" x14ac:dyDescent="0.3">
      <c r="A36" t="s">
        <v>104</v>
      </c>
      <c r="B36" t="s">
        <v>22</v>
      </c>
      <c r="C36">
        <v>3</v>
      </c>
      <c r="F36">
        <f>Table68[[#This Row],[NT]]+Table68[[#This Row],[SÓI]]+Table68[[#This Row],[TMART]]</f>
        <v>3</v>
      </c>
      <c r="G36" s="1">
        <v>9000</v>
      </c>
      <c r="H36" s="2">
        <f>Table68[[#This Row],[ĐƠN GIÁ]]*Table68[[#This Row],[TỔNG]]</f>
        <v>27000</v>
      </c>
    </row>
    <row r="37" spans="1:8" x14ac:dyDescent="0.3">
      <c r="A37" t="s">
        <v>87</v>
      </c>
      <c r="B37" t="s">
        <v>107</v>
      </c>
      <c r="C37">
        <v>64</v>
      </c>
      <c r="F37">
        <f>Table68[[#This Row],[NT]]+Table68[[#This Row],[SÓI]]+Table68[[#This Row],[TMART]]</f>
        <v>64</v>
      </c>
      <c r="G37" s="1">
        <f>25000*0.3</f>
        <v>7500</v>
      </c>
      <c r="H37" s="2">
        <f>Table68[[#This Row],[ĐƠN GIÁ]]*Table68[[#This Row],[TỔNG]]</f>
        <v>480000</v>
      </c>
    </row>
    <row r="38" spans="1:8" x14ac:dyDescent="0.3">
      <c r="A38" t="s">
        <v>87</v>
      </c>
      <c r="B38" t="s">
        <v>7</v>
      </c>
      <c r="C38">
        <v>10</v>
      </c>
      <c r="F38">
        <f>Table68[[#This Row],[NT]]+Table68[[#This Row],[SÓI]]+Table68[[#This Row],[TMART]]</f>
        <v>10</v>
      </c>
      <c r="G38" s="1">
        <v>25000</v>
      </c>
      <c r="H38" s="2">
        <f>Table68[[#This Row],[ĐƠN GIÁ]]*Table68[[#This Row],[TỔNG]]</f>
        <v>250000</v>
      </c>
    </row>
    <row r="39" spans="1:8" x14ac:dyDescent="0.3">
      <c r="A39" t="s">
        <v>95</v>
      </c>
      <c r="B39" t="s">
        <v>7</v>
      </c>
      <c r="C39">
        <v>2</v>
      </c>
      <c r="F39">
        <f>Table68[[#This Row],[NT]]+Table68[[#This Row],[SÓI]]+Table68[[#This Row],[TMART]]</f>
        <v>2</v>
      </c>
      <c r="G39" s="1">
        <v>80000</v>
      </c>
      <c r="H39" s="2">
        <f>Table68[[#This Row],[ĐƠN GIÁ]]*Table68[[#This Row],[TỔNG]]</f>
        <v>160000</v>
      </c>
    </row>
    <row r="40" spans="1:8" x14ac:dyDescent="0.3">
      <c r="A40" t="s">
        <v>53</v>
      </c>
      <c r="B40" t="s">
        <v>9</v>
      </c>
      <c r="C40">
        <v>750</v>
      </c>
      <c r="F40">
        <f>Table68[[#This Row],[NT]]+Table68[[#This Row],[SÓI]]+Table68[[#This Row],[TMART]]</f>
        <v>750</v>
      </c>
      <c r="G40" s="1">
        <v>6500</v>
      </c>
      <c r="H40" s="2">
        <f>Table68[[#This Row],[ĐƠN GIÁ]]*Table68[[#This Row],[TỔNG]]</f>
        <v>4875000</v>
      </c>
    </row>
    <row r="41" spans="1:8" x14ac:dyDescent="0.3">
      <c r="A41" t="s">
        <v>53</v>
      </c>
      <c r="B41" t="s">
        <v>7</v>
      </c>
      <c r="C41">
        <v>100</v>
      </c>
      <c r="F41">
        <f>Table68[[#This Row],[NT]]+Table68[[#This Row],[SÓI]]+Table68[[#This Row],[TMART]]</f>
        <v>100</v>
      </c>
      <c r="G41" s="1">
        <v>12000</v>
      </c>
      <c r="H41" s="2">
        <f>Table68[[#This Row],[ĐƠN GIÁ]]*Table68[[#This Row],[TỔNG]]</f>
        <v>1200000</v>
      </c>
    </row>
    <row r="42" spans="1:8" x14ac:dyDescent="0.3">
      <c r="A42" t="s">
        <v>55</v>
      </c>
      <c r="B42" t="s">
        <v>22</v>
      </c>
      <c r="C42">
        <v>30</v>
      </c>
      <c r="F42">
        <f>Table68[[#This Row],[NT]]+Table68[[#This Row],[SÓI]]+Table68[[#This Row],[TMART]]</f>
        <v>30</v>
      </c>
      <c r="G42" s="1">
        <f>11000*0.6</f>
        <v>6600</v>
      </c>
      <c r="H42" s="2">
        <f>Table68[[#This Row],[ĐƠN GIÁ]]*Table68[[#This Row],[TỔNG]]</f>
        <v>198000</v>
      </c>
    </row>
    <row r="43" spans="1:8" x14ac:dyDescent="0.3">
      <c r="A43" t="s">
        <v>56</v>
      </c>
      <c r="B43" t="s">
        <v>7</v>
      </c>
      <c r="C43">
        <v>20</v>
      </c>
      <c r="F43">
        <f>Table68[[#This Row],[NT]]+Table68[[#This Row],[SÓI]]+Table68[[#This Row],[TMART]]</f>
        <v>20</v>
      </c>
      <c r="G43" s="1">
        <v>6000</v>
      </c>
      <c r="H43" s="2">
        <f>Table68[[#This Row],[ĐƠN GIÁ]]*Table68[[#This Row],[TỔNG]]</f>
        <v>120000</v>
      </c>
    </row>
    <row r="44" spans="1:8" x14ac:dyDescent="0.3">
      <c r="A44" t="s">
        <v>28</v>
      </c>
      <c r="B44" t="s">
        <v>7</v>
      </c>
      <c r="C44">
        <v>12</v>
      </c>
      <c r="F44">
        <f>Table68[[#This Row],[NT]]+Table68[[#This Row],[SÓI]]+Table68[[#This Row],[TMART]]</f>
        <v>12</v>
      </c>
      <c r="G44" s="1">
        <v>48000</v>
      </c>
      <c r="H44" s="2">
        <f>Table68[[#This Row],[ĐƠN GIÁ]]*Table68[[#This Row],[TỔNG]]</f>
        <v>576000</v>
      </c>
    </row>
    <row r="45" spans="1:8" x14ac:dyDescent="0.3">
      <c r="A45" t="s">
        <v>28</v>
      </c>
      <c r="B45" t="s">
        <v>27</v>
      </c>
      <c r="C45">
        <v>39</v>
      </c>
      <c r="F45">
        <f>Table68[[#This Row],[NT]]+Table68[[#This Row],[SÓI]]+Table68[[#This Row],[TMART]]</f>
        <v>39</v>
      </c>
      <c r="G45" s="1">
        <v>48000</v>
      </c>
      <c r="H45" s="2">
        <f>Table68[[#This Row],[ĐƠN GIÁ]]*Table68[[#This Row],[TỔNG]]</f>
        <v>1872000</v>
      </c>
    </row>
    <row r="46" spans="1:8" x14ac:dyDescent="0.3">
      <c r="A46" t="s">
        <v>73</v>
      </c>
      <c r="B46" t="s">
        <v>7</v>
      </c>
      <c r="C46">
        <v>4</v>
      </c>
      <c r="F46">
        <f>Table68[[#This Row],[NT]]+Table68[[#This Row],[SÓI]]+Table68[[#This Row],[TMART]]</f>
        <v>4</v>
      </c>
      <c r="G46" s="1">
        <v>27000</v>
      </c>
      <c r="H46" s="2">
        <f>Table68[[#This Row],[ĐƠN GIÁ]]*Table68[[#This Row],[TỔNG]]</f>
        <v>108000</v>
      </c>
    </row>
    <row r="47" spans="1:8" x14ac:dyDescent="0.3">
      <c r="A47" t="s">
        <v>29</v>
      </c>
      <c r="B47" t="s">
        <v>22</v>
      </c>
      <c r="C47">
        <v>277</v>
      </c>
      <c r="F47">
        <f>Table68[[#This Row],[NT]]+Table68[[#This Row],[SÓI]]+Table68[[#This Row],[TMART]]</f>
        <v>277</v>
      </c>
      <c r="G47" s="1">
        <f>44000/20</f>
        <v>2200</v>
      </c>
      <c r="H47" s="2">
        <f>Table68[[#This Row],[ĐƠN GIÁ]]*Table68[[#This Row],[TỔNG]]</f>
        <v>609400</v>
      </c>
    </row>
    <row r="48" spans="1:8" x14ac:dyDescent="0.3">
      <c r="A48" t="s">
        <v>29</v>
      </c>
      <c r="B48" t="s">
        <v>7</v>
      </c>
      <c r="C48">
        <v>10</v>
      </c>
      <c r="F48">
        <f>Table68[[#This Row],[NT]]+Table68[[#This Row],[SÓI]]+Table68[[#This Row],[TMART]]</f>
        <v>10</v>
      </c>
      <c r="G48" s="1">
        <v>44000</v>
      </c>
      <c r="H48" s="2">
        <f>Table68[[#This Row],[ĐƠN GIÁ]]*Table68[[#This Row],[TỔNG]]</f>
        <v>440000</v>
      </c>
    </row>
    <row r="49" spans="1:8" x14ac:dyDescent="0.3">
      <c r="A49" t="s">
        <v>30</v>
      </c>
      <c r="B49" t="s">
        <v>7</v>
      </c>
      <c r="C49">
        <v>5</v>
      </c>
      <c r="F49">
        <f>Table68[[#This Row],[NT]]+Table68[[#This Row],[SÓI]]+Table68[[#This Row],[TMART]]</f>
        <v>5</v>
      </c>
      <c r="G49" s="1">
        <v>14000</v>
      </c>
      <c r="H49" s="2">
        <f>Table68[[#This Row],[ĐƠN GIÁ]]*Table68[[#This Row],[TỔNG]]</f>
        <v>70000</v>
      </c>
    </row>
    <row r="50" spans="1:8" x14ac:dyDescent="0.3">
      <c r="A50" t="s">
        <v>101</v>
      </c>
      <c r="B50" t="s">
        <v>7</v>
      </c>
      <c r="C50">
        <v>1</v>
      </c>
      <c r="F50">
        <f>Table68[[#This Row],[NT]]+Table68[[#This Row],[SÓI]]+Table68[[#This Row],[TMART]]</f>
        <v>1</v>
      </c>
      <c r="G50" s="1">
        <v>110000</v>
      </c>
      <c r="H50" s="2">
        <f>Table68[[#This Row],[ĐƠN GIÁ]]*Table68[[#This Row],[TỔNG]]</f>
        <v>110000</v>
      </c>
    </row>
    <row r="51" spans="1:8" x14ac:dyDescent="0.3">
      <c r="A51" t="s">
        <v>31</v>
      </c>
      <c r="B51" t="s">
        <v>7</v>
      </c>
      <c r="C51">
        <v>2</v>
      </c>
      <c r="F51">
        <f>Table68[[#This Row],[NT]]+Table68[[#This Row],[SÓI]]+Table68[[#This Row],[TMART]]</f>
        <v>2</v>
      </c>
      <c r="G51" s="1">
        <v>32000</v>
      </c>
      <c r="H51" s="2">
        <f>Table68[[#This Row],[ĐƠN GIÁ]]*Table68[[#This Row],[TỔNG]]</f>
        <v>64000</v>
      </c>
    </row>
    <row r="52" spans="1:8" x14ac:dyDescent="0.3">
      <c r="A52" t="s">
        <v>32</v>
      </c>
      <c r="B52" t="s">
        <v>7</v>
      </c>
      <c r="C52">
        <v>20</v>
      </c>
      <c r="F52">
        <f>Table68[[#This Row],[NT]]+Table68[[#This Row],[SÓI]]+Table68[[#This Row],[TMART]]</f>
        <v>20</v>
      </c>
      <c r="G52" s="1">
        <v>47000</v>
      </c>
      <c r="H52" s="2">
        <f>Table68[[#This Row],[ĐƠN GIÁ]]*Table68[[#This Row],[TỔNG]]</f>
        <v>940000</v>
      </c>
    </row>
    <row r="53" spans="1:8" x14ac:dyDescent="0.3">
      <c r="A53" t="s">
        <v>109</v>
      </c>
      <c r="B53" t="s">
        <v>9</v>
      </c>
      <c r="C53">
        <v>7</v>
      </c>
      <c r="F53">
        <f>Table68[[#This Row],[NT]]+Table68[[#This Row],[SÓI]]+Table68[[#This Row],[TMART]]</f>
        <v>7</v>
      </c>
      <c r="G53" s="1">
        <f>G54*0.35</f>
        <v>10850</v>
      </c>
      <c r="H53" s="2">
        <f>Table68[[#This Row],[ĐƠN GIÁ]]*Table68[[#This Row],[TỔNG]]</f>
        <v>75950</v>
      </c>
    </row>
    <row r="54" spans="1:8" x14ac:dyDescent="0.3">
      <c r="A54" t="s">
        <v>109</v>
      </c>
      <c r="B54" t="s">
        <v>7</v>
      </c>
      <c r="D54">
        <v>36</v>
      </c>
      <c r="F54">
        <f>Table68[[#This Row],[NT]]+Table68[[#This Row],[SÓI]]+Table68[[#This Row],[TMART]]</f>
        <v>36</v>
      </c>
      <c r="G54" s="1">
        <v>31000</v>
      </c>
      <c r="H54" s="2">
        <f>Table68[[#This Row],[ĐƠN GIÁ]]*Table68[[#This Row],[TỔNG]]</f>
        <v>1116000</v>
      </c>
    </row>
    <row r="55" spans="1:8" x14ac:dyDescent="0.3">
      <c r="A55" t="s">
        <v>57</v>
      </c>
      <c r="B55" t="s">
        <v>7</v>
      </c>
      <c r="C55">
        <v>20</v>
      </c>
      <c r="F55">
        <f>Table68[[#This Row],[NT]]+Table68[[#This Row],[SÓI]]+Table68[[#This Row],[TMART]]</f>
        <v>20</v>
      </c>
      <c r="G55" s="1">
        <v>48000</v>
      </c>
      <c r="H55" s="2">
        <f>Table68[[#This Row],[ĐƠN GIÁ]]*Table68[[#This Row],[TỔNG]]</f>
        <v>960000</v>
      </c>
    </row>
    <row r="56" spans="1:8" x14ac:dyDescent="0.3">
      <c r="A56" t="s">
        <v>58</v>
      </c>
      <c r="B56" t="s">
        <v>7</v>
      </c>
      <c r="C56">
        <v>17</v>
      </c>
      <c r="D56">
        <v>7.5</v>
      </c>
      <c r="E56">
        <v>40</v>
      </c>
      <c r="F56">
        <f>Table68[[#This Row],[NT]]+Table68[[#This Row],[SÓI]]+Table68[[#This Row],[TMART]]</f>
        <v>64.5</v>
      </c>
      <c r="G56" s="1">
        <v>44000</v>
      </c>
      <c r="H56" s="2">
        <f>Table68[[#This Row],[ĐƠN GIÁ]]*Table68[[#This Row],[TỔNG]]</f>
        <v>2838000</v>
      </c>
    </row>
    <row r="57" spans="1:8" x14ac:dyDescent="0.3">
      <c r="A57" t="s">
        <v>58</v>
      </c>
      <c r="B57" t="s">
        <v>59</v>
      </c>
      <c r="C57">
        <v>109</v>
      </c>
      <c r="F57">
        <f>Table68[[#This Row],[NT]]+Table68[[#This Row],[SÓI]]+Table68[[#This Row],[TMART]]</f>
        <v>109</v>
      </c>
      <c r="G57" s="1">
        <v>11000</v>
      </c>
      <c r="H57" s="2">
        <f>Table68[[#This Row],[ĐƠN GIÁ]]*Table68[[#This Row],[TỔNG]]</f>
        <v>1199000</v>
      </c>
    </row>
    <row r="58" spans="1:8" x14ac:dyDescent="0.3">
      <c r="A58" t="s">
        <v>60</v>
      </c>
      <c r="B58" t="s">
        <v>7</v>
      </c>
      <c r="C58">
        <v>20</v>
      </c>
      <c r="F58">
        <f>Table68[[#This Row],[NT]]+Table68[[#This Row],[SÓI]]+Table68[[#This Row],[TMART]]</f>
        <v>20</v>
      </c>
      <c r="G58" s="1">
        <v>58000</v>
      </c>
      <c r="H58" s="2">
        <f>Table68[[#This Row],[ĐƠN GIÁ]]*Table68[[#This Row],[TỔNG]]</f>
        <v>1160000</v>
      </c>
    </row>
    <row r="59" spans="1:8" x14ac:dyDescent="0.3">
      <c r="A59" t="s">
        <v>61</v>
      </c>
      <c r="B59" t="s">
        <v>7</v>
      </c>
      <c r="C59">
        <v>14</v>
      </c>
      <c r="E59">
        <v>15</v>
      </c>
      <c r="F59">
        <f>Table68[[#This Row],[NT]]+Table68[[#This Row],[SÓI]]+Table68[[#This Row],[TMART]]</f>
        <v>29</v>
      </c>
      <c r="G59" s="1">
        <v>28000</v>
      </c>
      <c r="H59" s="2">
        <f>Table68[[#This Row],[ĐƠN GIÁ]]*Table68[[#This Row],[TỔNG]]</f>
        <v>812000</v>
      </c>
    </row>
    <row r="60" spans="1:8" x14ac:dyDescent="0.3">
      <c r="A60" t="s">
        <v>61</v>
      </c>
      <c r="B60" t="s">
        <v>59</v>
      </c>
      <c r="C60">
        <v>69</v>
      </c>
      <c r="F60">
        <f>Table68[[#This Row],[NT]]+Table68[[#This Row],[SÓI]]+Table68[[#This Row],[TMART]]</f>
        <v>69</v>
      </c>
      <c r="G60" s="1">
        <v>7000</v>
      </c>
      <c r="H60" s="2">
        <f>Table68[[#This Row],[ĐƠN GIÁ]]*Table68[[#This Row],[TỔNG]]</f>
        <v>483000</v>
      </c>
    </row>
    <row r="61" spans="1:8" x14ac:dyDescent="0.3">
      <c r="A61" t="s">
        <v>62</v>
      </c>
      <c r="B61" t="s">
        <v>7</v>
      </c>
      <c r="C61">
        <v>2</v>
      </c>
      <c r="D61">
        <v>1.5</v>
      </c>
      <c r="E61">
        <v>10</v>
      </c>
      <c r="F61">
        <f>Table68[[#This Row],[NT]]+Table68[[#This Row],[SÓI]]+Table68[[#This Row],[TMART]]</f>
        <v>13.5</v>
      </c>
      <c r="G61" s="1">
        <v>32000</v>
      </c>
      <c r="H61" s="2">
        <f>Table68[[#This Row],[ĐƠN GIÁ]]*Table68[[#This Row],[TỔNG]]</f>
        <v>432000</v>
      </c>
    </row>
    <row r="62" spans="1:8" x14ac:dyDescent="0.3">
      <c r="A62" t="s">
        <v>62</v>
      </c>
      <c r="B62" t="s">
        <v>59</v>
      </c>
      <c r="C62">
        <v>27</v>
      </c>
      <c r="F62">
        <f>Table68[[#This Row],[NT]]+Table68[[#This Row],[SÓI]]+Table68[[#This Row],[TMART]]</f>
        <v>27</v>
      </c>
      <c r="G62" s="1">
        <v>8000</v>
      </c>
      <c r="H62" s="2">
        <f>Table68[[#This Row],[ĐƠN GIÁ]]*Table68[[#This Row],[TỔNG]]</f>
        <v>216000</v>
      </c>
    </row>
    <row r="63" spans="1:8" x14ac:dyDescent="0.3">
      <c r="A63" t="s">
        <v>97</v>
      </c>
      <c r="B63" t="s">
        <v>22</v>
      </c>
      <c r="C63">
        <v>142</v>
      </c>
      <c r="F63">
        <f>Table68[[#This Row],[NT]]+Table68[[#This Row],[SÓI]]+Table68[[#This Row],[TMART]]</f>
        <v>142</v>
      </c>
      <c r="G63" s="1">
        <v>20000</v>
      </c>
      <c r="H63" s="2">
        <f>Table68[[#This Row],[ĐƠN GIÁ]]*Table68[[#This Row],[TỔNG]]</f>
        <v>2840000</v>
      </c>
    </row>
    <row r="64" spans="1:8" x14ac:dyDescent="0.3">
      <c r="A64" t="s">
        <v>97</v>
      </c>
      <c r="B64" t="s">
        <v>7</v>
      </c>
      <c r="C64">
        <v>25</v>
      </c>
      <c r="F64">
        <f>Table68[[#This Row],[NT]]+Table68[[#This Row],[SÓI]]+Table68[[#This Row],[TMART]]</f>
        <v>25</v>
      </c>
      <c r="G64" s="1">
        <f>21000/3*10</f>
        <v>70000</v>
      </c>
      <c r="H64" s="2">
        <f>Table68[[#This Row],[ĐƠN GIÁ]]*Table68[[#This Row],[TỔNG]]</f>
        <v>1750000</v>
      </c>
    </row>
    <row r="65" spans="1:8" x14ac:dyDescent="0.3">
      <c r="A65" t="s">
        <v>33</v>
      </c>
      <c r="B65" t="s">
        <v>7</v>
      </c>
      <c r="C65">
        <v>5</v>
      </c>
      <c r="F65">
        <f>Table68[[#This Row],[NT]]+Table68[[#This Row],[SÓI]]+Table68[[#This Row],[TMART]]</f>
        <v>5</v>
      </c>
      <c r="G65" s="1">
        <v>35000</v>
      </c>
      <c r="H65" s="2">
        <f>Table68[[#This Row],[ĐƠN GIÁ]]*Table68[[#This Row],[TỔNG]]</f>
        <v>175000</v>
      </c>
    </row>
    <row r="66" spans="1:8" x14ac:dyDescent="0.3">
      <c r="A66" t="s">
        <v>71</v>
      </c>
      <c r="B66" t="s">
        <v>7</v>
      </c>
      <c r="C66">
        <v>10</v>
      </c>
      <c r="F66">
        <f>Table68[[#This Row],[NT]]+Table68[[#This Row],[SÓI]]+Table68[[#This Row],[TMART]]</f>
        <v>10</v>
      </c>
      <c r="G66" s="1">
        <v>15000</v>
      </c>
      <c r="H66" s="2">
        <f>Table68[[#This Row],[ĐƠN GIÁ]]*Table68[[#This Row],[TỔNG]]</f>
        <v>150000</v>
      </c>
    </row>
    <row r="67" spans="1:8" x14ac:dyDescent="0.3">
      <c r="A67" t="s">
        <v>64</v>
      </c>
      <c r="B67" t="s">
        <v>7</v>
      </c>
      <c r="C67">
        <v>15</v>
      </c>
      <c r="F67">
        <f>Table68[[#This Row],[NT]]+Table68[[#This Row],[SÓI]]+Table68[[#This Row],[TMART]]</f>
        <v>15</v>
      </c>
      <c r="G67" s="1">
        <v>60000</v>
      </c>
      <c r="H67" s="2">
        <f>Table68[[#This Row],[ĐƠN GIÁ]]*Table68[[#This Row],[TỔNG]]</f>
        <v>900000</v>
      </c>
    </row>
    <row r="68" spans="1:8" x14ac:dyDescent="0.3">
      <c r="A68" t="s">
        <v>66</v>
      </c>
      <c r="B68" t="s">
        <v>48</v>
      </c>
      <c r="C68">
        <v>7</v>
      </c>
      <c r="F68">
        <f>Table68[[#This Row],[NT]]+Table68[[#This Row],[SÓI]]+Table68[[#This Row],[TMART]]</f>
        <v>7</v>
      </c>
      <c r="G68" s="1">
        <v>35000</v>
      </c>
      <c r="H68" s="2">
        <f>Table68[[#This Row],[ĐƠN GIÁ]]*Table68[[#This Row],[TỔNG]]</f>
        <v>245000</v>
      </c>
    </row>
    <row r="69" spans="1:8" x14ac:dyDescent="0.3">
      <c r="A69" t="s">
        <v>34</v>
      </c>
      <c r="B69" t="s">
        <v>7</v>
      </c>
      <c r="C69">
        <v>126</v>
      </c>
      <c r="F69">
        <f>Table68[[#This Row],[NT]]+Table68[[#This Row],[SÓI]]+Table68[[#This Row],[TMART]]</f>
        <v>126</v>
      </c>
      <c r="G69" s="1">
        <v>34000</v>
      </c>
      <c r="H69" s="2">
        <f>Table68[[#This Row],[ĐƠN GIÁ]]*Table68[[#This Row],[TỔNG]]</f>
        <v>4284000</v>
      </c>
    </row>
    <row r="70" spans="1:8" x14ac:dyDescent="0.3">
      <c r="A70" t="s">
        <v>74</v>
      </c>
      <c r="B70" t="s">
        <v>7</v>
      </c>
      <c r="C70">
        <v>30</v>
      </c>
      <c r="F70">
        <f>Table68[[#This Row],[NT]]+Table68[[#This Row],[SÓI]]+Table68[[#This Row],[TMART]]</f>
        <v>30</v>
      </c>
      <c r="G70" s="1">
        <v>34000</v>
      </c>
      <c r="H70" s="2">
        <f>Table68[[#This Row],[ĐƠN GIÁ]]*Table68[[#This Row],[TỔNG]]</f>
        <v>1020000</v>
      </c>
    </row>
    <row r="71" spans="1:8" x14ac:dyDescent="0.3">
      <c r="A71" t="s">
        <v>35</v>
      </c>
      <c r="B71" t="s">
        <v>7</v>
      </c>
      <c r="C71">
        <v>27</v>
      </c>
      <c r="F71">
        <f>Table68[[#This Row],[NT]]+Table68[[#This Row],[SÓI]]+Table68[[#This Row],[TMART]]</f>
        <v>27</v>
      </c>
      <c r="G71" s="1">
        <v>28000</v>
      </c>
      <c r="H71" s="2">
        <f>Table68[[#This Row],[ĐƠN GIÁ]]*Table68[[#This Row],[TỔNG]]</f>
        <v>756000</v>
      </c>
    </row>
    <row r="72" spans="1:8" x14ac:dyDescent="0.3">
      <c r="A72" t="s">
        <v>36</v>
      </c>
      <c r="B72" t="s">
        <v>27</v>
      </c>
      <c r="C72">
        <v>99</v>
      </c>
      <c r="F72">
        <f>Table68[[#This Row],[NT]]+Table68[[#This Row],[SÓI]]+Table68[[#This Row],[TMART]]</f>
        <v>99</v>
      </c>
      <c r="G72" s="1">
        <v>6800</v>
      </c>
      <c r="H72" s="2">
        <f>Table68[[#This Row],[ĐƠN GIÁ]]*Table68[[#This Row],[TỔNG]]</f>
        <v>673200</v>
      </c>
    </row>
    <row r="73" spans="1:8" x14ac:dyDescent="0.3">
      <c r="A73" t="s">
        <v>40</v>
      </c>
      <c r="B73" t="s">
        <v>7</v>
      </c>
      <c r="C73">
        <v>10</v>
      </c>
      <c r="E73">
        <v>6</v>
      </c>
      <c r="F73">
        <f>Table68[[#This Row],[NT]]+Table68[[#This Row],[SÓI]]+Table68[[#This Row],[TMART]]</f>
        <v>16</v>
      </c>
      <c r="G73" s="1">
        <v>28000</v>
      </c>
      <c r="H73" s="2">
        <f>Table68[[#This Row],[ĐƠN GIÁ]]*Table68[[#This Row],[TỔNG]]</f>
        <v>448000</v>
      </c>
    </row>
    <row r="74" spans="1:8" x14ac:dyDescent="0.3">
      <c r="A74" t="s">
        <v>39</v>
      </c>
      <c r="B74" t="s">
        <v>7</v>
      </c>
      <c r="C74">
        <v>35</v>
      </c>
      <c r="F74">
        <f>Table68[[#This Row],[NT]]+Table68[[#This Row],[SÓI]]+Table68[[#This Row],[TMART]]</f>
        <v>35</v>
      </c>
      <c r="G74" s="1">
        <v>38000</v>
      </c>
      <c r="H74" s="2">
        <f>Table68[[#This Row],[ĐƠN GIÁ]]*Table68[[#This Row],[TỔNG]]</f>
        <v>1330000</v>
      </c>
    </row>
    <row r="75" spans="1:8" x14ac:dyDescent="0.3">
      <c r="A75" t="s">
        <v>82</v>
      </c>
      <c r="B75" t="s">
        <v>7</v>
      </c>
      <c r="C75">
        <v>2.5</v>
      </c>
      <c r="F75">
        <f>Table68[[#This Row],[NT]]+Table68[[#This Row],[SÓI]]+Table68[[#This Row],[TMART]]</f>
        <v>2.5</v>
      </c>
      <c r="G75" s="1">
        <v>120000</v>
      </c>
      <c r="H75" s="2">
        <f>Table68[[#This Row],[ĐƠN GIÁ]]*Table68[[#This Row],[TỔNG]]</f>
        <v>300000</v>
      </c>
    </row>
    <row r="76" spans="1:8" x14ac:dyDescent="0.3">
      <c r="A76" t="s">
        <v>83</v>
      </c>
      <c r="B76" t="s">
        <v>7</v>
      </c>
      <c r="C76">
        <v>6</v>
      </c>
      <c r="F76">
        <f>Table68[[#This Row],[NT]]+Table68[[#This Row],[SÓI]]+Table68[[#This Row],[TMART]]</f>
        <v>6</v>
      </c>
      <c r="G76" s="1">
        <v>25000</v>
      </c>
      <c r="H76" s="2">
        <f>Table68[[#This Row],[ĐƠN GIÁ]]*Table68[[#This Row],[TỔNG]]</f>
        <v>150000</v>
      </c>
    </row>
    <row r="77" spans="1:8" x14ac:dyDescent="0.3">
      <c r="A77" t="s">
        <v>84</v>
      </c>
      <c r="B77" t="s">
        <v>27</v>
      </c>
      <c r="C77">
        <v>3</v>
      </c>
      <c r="F77">
        <f>Table68[[#This Row],[NT]]+Table68[[#This Row],[SÓI]]+Table68[[#This Row],[TMART]]</f>
        <v>3</v>
      </c>
      <c r="G77" s="1">
        <v>7000</v>
      </c>
      <c r="H77" s="2">
        <f>Table68[[#This Row],[ĐƠN GIÁ]]*Table68[[#This Row],[TỔNG]]</f>
        <v>21000</v>
      </c>
    </row>
    <row r="78" spans="1:8" x14ac:dyDescent="0.3">
      <c r="H78" s="2">
        <f>SUM(Table68[THÀNH TIỀN])</f>
        <v>78196150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A86E-B6AF-4766-96CF-5FE1199CAEC7}">
  <dimension ref="A1:G70"/>
  <sheetViews>
    <sheetView workbookViewId="0">
      <selection activeCell="A27" sqref="A27"/>
    </sheetView>
  </sheetViews>
  <sheetFormatPr defaultRowHeight="14.4" x14ac:dyDescent="0.3"/>
  <cols>
    <col min="1" max="1" width="22.88671875" customWidth="1"/>
    <col min="6" max="6" width="10.21875" style="1" customWidth="1"/>
    <col min="7" max="7" width="13.109375" customWidth="1"/>
  </cols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4</v>
      </c>
      <c r="F1" s="1" t="s">
        <v>76</v>
      </c>
      <c r="G1" t="s">
        <v>108</v>
      </c>
    </row>
    <row r="2" spans="1:7" x14ac:dyDescent="0.3">
      <c r="A2" t="s">
        <v>78</v>
      </c>
      <c r="B2" t="s">
        <v>7</v>
      </c>
      <c r="C2">
        <v>28</v>
      </c>
      <c r="E2">
        <f>C2+D2</f>
        <v>28</v>
      </c>
      <c r="F2" s="1">
        <v>30000</v>
      </c>
      <c r="G2" s="2">
        <f>Table6[[#This Row],[TỔNG]]*Table6[[#This Row],[ĐƠN GIÁ]]</f>
        <v>840000</v>
      </c>
    </row>
    <row r="3" spans="1:7" x14ac:dyDescent="0.3">
      <c r="A3" t="s">
        <v>79</v>
      </c>
      <c r="B3" t="s">
        <v>7</v>
      </c>
      <c r="C3">
        <v>20</v>
      </c>
      <c r="E3">
        <f t="shared" ref="E3:E66" si="0">C3+D3</f>
        <v>20</v>
      </c>
      <c r="F3" s="1">
        <v>15000</v>
      </c>
      <c r="G3" s="2">
        <f>Table6[[#This Row],[TỔNG]]*Table6[[#This Row],[ĐƠN GIÁ]]</f>
        <v>300000</v>
      </c>
    </row>
    <row r="4" spans="1:7" x14ac:dyDescent="0.3">
      <c r="A4" t="s">
        <v>19</v>
      </c>
      <c r="B4" t="s">
        <v>7</v>
      </c>
      <c r="C4">
        <v>28</v>
      </c>
      <c r="D4">
        <v>58</v>
      </c>
      <c r="E4">
        <f t="shared" si="0"/>
        <v>86</v>
      </c>
      <c r="F4" s="1">
        <v>11000</v>
      </c>
      <c r="G4" s="2">
        <f>Table6[[#This Row],[TỔNG]]*Table6[[#This Row],[ĐƠN GIÁ]]</f>
        <v>946000</v>
      </c>
    </row>
    <row r="5" spans="1:7" x14ac:dyDescent="0.3">
      <c r="A5" t="s">
        <v>80</v>
      </c>
      <c r="B5" t="s">
        <v>44</v>
      </c>
      <c r="C5">
        <v>60</v>
      </c>
      <c r="E5">
        <f t="shared" si="0"/>
        <v>60</v>
      </c>
      <c r="F5" s="1">
        <v>4000</v>
      </c>
      <c r="G5" s="2">
        <f>Table6[[#This Row],[TỔNG]]*Table6[[#This Row],[ĐƠN GIÁ]]</f>
        <v>240000</v>
      </c>
    </row>
    <row r="6" spans="1:7" x14ac:dyDescent="0.3">
      <c r="A6" t="s">
        <v>43</v>
      </c>
      <c r="B6" t="s">
        <v>44</v>
      </c>
      <c r="C6">
        <v>260</v>
      </c>
      <c r="E6">
        <f t="shared" si="0"/>
        <v>260</v>
      </c>
      <c r="F6" s="1">
        <f>13000*0.3</f>
        <v>3900</v>
      </c>
      <c r="G6" s="2">
        <f>Table6[[#This Row],[TỔNG]]*Table6[[#This Row],[ĐƠN GIÁ]]</f>
        <v>1014000</v>
      </c>
    </row>
    <row r="7" spans="1:7" x14ac:dyDescent="0.3">
      <c r="A7" t="s">
        <v>41</v>
      </c>
      <c r="B7" t="s">
        <v>7</v>
      </c>
      <c r="C7">
        <v>1</v>
      </c>
      <c r="D7">
        <v>28</v>
      </c>
      <c r="E7">
        <f t="shared" si="0"/>
        <v>29</v>
      </c>
      <c r="F7" s="1">
        <v>23000</v>
      </c>
      <c r="G7" s="2">
        <f>Table6[[#This Row],[TỔNG]]*Table6[[#This Row],[ĐƠN GIÁ]]</f>
        <v>667000</v>
      </c>
    </row>
    <row r="8" spans="1:7" x14ac:dyDescent="0.3">
      <c r="A8" t="s">
        <v>41</v>
      </c>
      <c r="B8" t="s">
        <v>42</v>
      </c>
      <c r="C8">
        <v>400</v>
      </c>
      <c r="E8">
        <f t="shared" si="0"/>
        <v>400</v>
      </c>
      <c r="F8" s="1">
        <f>23000*0.3</f>
        <v>6900</v>
      </c>
      <c r="G8" s="2">
        <f>Table6[[#This Row],[TỔNG]]*Table6[[#This Row],[ĐƠN GIÁ]]</f>
        <v>2760000</v>
      </c>
    </row>
    <row r="9" spans="1:7" x14ac:dyDescent="0.3">
      <c r="A9" t="s">
        <v>96</v>
      </c>
      <c r="B9" t="s">
        <v>7</v>
      </c>
      <c r="C9">
        <v>0.5</v>
      </c>
      <c r="E9">
        <f t="shared" si="0"/>
        <v>0.5</v>
      </c>
      <c r="F9" s="1">
        <v>30000</v>
      </c>
      <c r="G9" s="2">
        <f>Table6[[#This Row],[TỔNG]]*Table6[[#This Row],[ĐƠN GIÁ]]</f>
        <v>15000</v>
      </c>
    </row>
    <row r="10" spans="1:7" x14ac:dyDescent="0.3">
      <c r="A10" t="s">
        <v>17</v>
      </c>
      <c r="B10" t="s">
        <v>7</v>
      </c>
      <c r="C10">
        <v>95</v>
      </c>
      <c r="E10">
        <f t="shared" si="0"/>
        <v>95</v>
      </c>
      <c r="F10" s="1">
        <f>VLOOKUP(Table6[[#This Row],[MẶT HÀNG]],Table13456[[MẶT HÀNG]:[ĐƠN GIÁ]],7,0)</f>
        <v>40000</v>
      </c>
      <c r="G10" s="2">
        <f>Table6[[#This Row],[TỔNG]]*Table6[[#This Row],[ĐƠN GIÁ]]</f>
        <v>3800000</v>
      </c>
    </row>
    <row r="11" spans="1:7" x14ac:dyDescent="0.3">
      <c r="A11" t="s">
        <v>18</v>
      </c>
      <c r="B11" t="s">
        <v>9</v>
      </c>
      <c r="C11">
        <v>54</v>
      </c>
      <c r="E11">
        <f t="shared" si="0"/>
        <v>54</v>
      </c>
      <c r="F11" s="1">
        <f>58000/4</f>
        <v>14500</v>
      </c>
      <c r="G11" s="2">
        <f>Table6[[#This Row],[TỔNG]]*Table6[[#This Row],[ĐƠN GIÁ]]</f>
        <v>783000</v>
      </c>
    </row>
    <row r="12" spans="1:7" x14ac:dyDescent="0.3">
      <c r="A12" t="s">
        <v>67</v>
      </c>
      <c r="B12" t="s">
        <v>7</v>
      </c>
      <c r="C12">
        <v>80</v>
      </c>
      <c r="E12">
        <f t="shared" si="0"/>
        <v>80</v>
      </c>
      <c r="F12" s="1">
        <v>26000</v>
      </c>
      <c r="G12" s="2">
        <f>Table6[[#This Row],[TỔNG]]*Table6[[#This Row],[ĐƠN GIÁ]]</f>
        <v>2080000</v>
      </c>
    </row>
    <row r="13" spans="1:7" x14ac:dyDescent="0.3">
      <c r="A13" t="s">
        <v>45</v>
      </c>
      <c r="B13" t="s">
        <v>7</v>
      </c>
      <c r="C13">
        <v>205</v>
      </c>
      <c r="E13">
        <f t="shared" si="0"/>
        <v>205</v>
      </c>
      <c r="F13" s="1">
        <f>VLOOKUP(Table6[[#This Row],[MẶT HÀNG]],Table13456[[MẶT HÀNG]:[ĐƠN GIÁ]],7,0)</f>
        <v>24000</v>
      </c>
      <c r="G13" s="2">
        <f>Table6[[#This Row],[TỔNG]]*Table6[[#This Row],[ĐƠN GIÁ]]</f>
        <v>4920000</v>
      </c>
    </row>
    <row r="14" spans="1:7" x14ac:dyDescent="0.3">
      <c r="A14" t="s">
        <v>89</v>
      </c>
      <c r="B14" t="s">
        <v>105</v>
      </c>
      <c r="C14">
        <v>100</v>
      </c>
      <c r="E14">
        <f t="shared" si="0"/>
        <v>100</v>
      </c>
      <c r="F14" s="1">
        <v>11000</v>
      </c>
      <c r="G14" s="2">
        <f>Table6[[#This Row],[TỔNG]]*Table6[[#This Row],[ĐƠN GIÁ]]</f>
        <v>1100000</v>
      </c>
    </row>
    <row r="15" spans="1:7" x14ac:dyDescent="0.3">
      <c r="A15" t="s">
        <v>89</v>
      </c>
      <c r="B15" t="s">
        <v>7</v>
      </c>
      <c r="C15">
        <v>20</v>
      </c>
      <c r="D15">
        <v>75</v>
      </c>
      <c r="E15">
        <f t="shared" si="0"/>
        <v>95</v>
      </c>
      <c r="F15" s="1">
        <f>VLOOKUP(Table6[[#This Row],[MẶT HÀNG]],Table13456[[MẶT HÀNG]:[ĐƠN GIÁ]],7,0)</f>
        <v>22000</v>
      </c>
      <c r="G15" s="2">
        <f>Table6[[#This Row],[TỔNG]]*Table6[[#This Row],[ĐƠN GIÁ]]</f>
        <v>2090000</v>
      </c>
    </row>
    <row r="16" spans="1:7" x14ac:dyDescent="0.3">
      <c r="A16" t="s">
        <v>70</v>
      </c>
      <c r="B16" t="s">
        <v>106</v>
      </c>
      <c r="C16">
        <v>140</v>
      </c>
      <c r="E16">
        <f t="shared" si="0"/>
        <v>140</v>
      </c>
      <c r="F16" s="1">
        <f>38000*0.3</f>
        <v>11400</v>
      </c>
      <c r="G16" s="2">
        <f>Table6[[#This Row],[TỔNG]]*Table6[[#This Row],[ĐƠN GIÁ]]</f>
        <v>1596000</v>
      </c>
    </row>
    <row r="17" spans="1:7" x14ac:dyDescent="0.3">
      <c r="A17" t="s">
        <v>102</v>
      </c>
      <c r="B17" t="s">
        <v>7</v>
      </c>
      <c r="C17">
        <v>1</v>
      </c>
      <c r="E17">
        <f t="shared" si="0"/>
        <v>1</v>
      </c>
      <c r="F17" s="1">
        <v>60000</v>
      </c>
      <c r="G17" s="2">
        <f>Table6[[#This Row],[TỔNG]]*Table6[[#This Row],[ĐƠN GIÁ]]</f>
        <v>60000</v>
      </c>
    </row>
    <row r="18" spans="1:7" x14ac:dyDescent="0.3">
      <c r="A18" t="s">
        <v>70</v>
      </c>
      <c r="B18" t="s">
        <v>7</v>
      </c>
      <c r="C18">
        <v>7</v>
      </c>
      <c r="E18">
        <f t="shared" si="0"/>
        <v>7</v>
      </c>
      <c r="F18" s="1">
        <f>VLOOKUP(Table6[[#This Row],[MẶT HÀNG]],Table13456[[MẶT HÀNG]:[ĐƠN GIÁ]],7,0)</f>
        <v>38000</v>
      </c>
      <c r="G18" s="2">
        <f>Table6[[#This Row],[TỔNG]]*Table6[[#This Row],[ĐƠN GIÁ]]</f>
        <v>266000</v>
      </c>
    </row>
    <row r="19" spans="1:7" x14ac:dyDescent="0.3">
      <c r="A19" t="s">
        <v>47</v>
      </c>
      <c r="B19" t="s">
        <v>48</v>
      </c>
      <c r="C19">
        <v>100</v>
      </c>
      <c r="E19">
        <f t="shared" si="0"/>
        <v>100</v>
      </c>
      <c r="F19" s="1">
        <f>VLOOKUP(Table6[[#This Row],[MẶT HÀNG]],Table13456[[MẶT HÀNG]:[ĐƠN GIÁ]],7,0)</f>
        <v>15450</v>
      </c>
      <c r="G19" s="2">
        <f>Table6[[#This Row],[TỔNG]]*Table6[[#This Row],[ĐƠN GIÁ]]</f>
        <v>1545000</v>
      </c>
    </row>
    <row r="20" spans="1:7" x14ac:dyDescent="0.3">
      <c r="A20" t="s">
        <v>49</v>
      </c>
      <c r="B20" t="s">
        <v>106</v>
      </c>
      <c r="C20">
        <v>41</v>
      </c>
      <c r="E20">
        <f t="shared" si="0"/>
        <v>41</v>
      </c>
      <c r="F20" s="1">
        <v>12000</v>
      </c>
      <c r="G20" s="2">
        <f>Table6[[#This Row],[TỔNG]]*Table6[[#This Row],[ĐƠN GIÁ]]</f>
        <v>492000</v>
      </c>
    </row>
    <row r="21" spans="1:7" x14ac:dyDescent="0.3">
      <c r="A21" t="s">
        <v>50</v>
      </c>
      <c r="B21" t="s">
        <v>7</v>
      </c>
      <c r="C21">
        <v>82</v>
      </c>
      <c r="E21">
        <f t="shared" si="0"/>
        <v>82</v>
      </c>
      <c r="F21" s="1">
        <f>VLOOKUP(Table6[[#This Row],[MẶT HÀNG]],Table13456[[MẶT HÀNG]:[ĐƠN GIÁ]],7,0)</f>
        <v>23000</v>
      </c>
      <c r="G21" s="2">
        <f>Table6[[#This Row],[TỔNG]]*Table6[[#This Row],[ĐƠN GIÁ]]</f>
        <v>1886000</v>
      </c>
    </row>
    <row r="22" spans="1:7" x14ac:dyDescent="0.3">
      <c r="A22" t="s">
        <v>6</v>
      </c>
      <c r="B22" t="s">
        <v>7</v>
      </c>
      <c r="C22">
        <v>180</v>
      </c>
      <c r="D22">
        <v>55</v>
      </c>
      <c r="E22">
        <f t="shared" si="0"/>
        <v>235</v>
      </c>
      <c r="F22" s="1">
        <f>VLOOKUP(Table6[[#This Row],[MẶT HÀNG]],Table13456[[MẶT HÀNG]:[ĐƠN GIÁ]],7,0)</f>
        <v>19000</v>
      </c>
      <c r="G22" s="2">
        <f>Table6[[#This Row],[TỔNG]]*Table6[[#This Row],[ĐƠN GIÁ]]</f>
        <v>4465000</v>
      </c>
    </row>
    <row r="23" spans="1:7" x14ac:dyDescent="0.3">
      <c r="A23" t="s">
        <v>8</v>
      </c>
      <c r="B23" t="s">
        <v>9</v>
      </c>
      <c r="C23">
        <v>60</v>
      </c>
      <c r="E23">
        <f t="shared" si="0"/>
        <v>60</v>
      </c>
      <c r="F23" s="1">
        <f>62000/5</f>
        <v>12400</v>
      </c>
      <c r="G23" s="2">
        <f>Table6[[#This Row],[TỔNG]]*Table6[[#This Row],[ĐƠN GIÁ]]</f>
        <v>744000</v>
      </c>
    </row>
    <row r="24" spans="1:7" x14ac:dyDescent="0.3">
      <c r="A24" t="s">
        <v>20</v>
      </c>
      <c r="B24" t="s">
        <v>7</v>
      </c>
      <c r="C24">
        <v>65</v>
      </c>
      <c r="E24">
        <f t="shared" si="0"/>
        <v>65</v>
      </c>
      <c r="F24" s="1">
        <v>36000</v>
      </c>
      <c r="G24" s="2">
        <f>Table6[[#This Row],[TỔNG]]*Table6[[#This Row],[ĐƠN GIÁ]]</f>
        <v>2340000</v>
      </c>
    </row>
    <row r="25" spans="1:7" x14ac:dyDescent="0.3">
      <c r="A25" t="s">
        <v>23</v>
      </c>
      <c r="B25" t="s">
        <v>22</v>
      </c>
      <c r="C25">
        <v>100</v>
      </c>
      <c r="D25">
        <v>22</v>
      </c>
      <c r="E25">
        <f t="shared" si="0"/>
        <v>122</v>
      </c>
      <c r="F25" s="1">
        <f>33000*0.3</f>
        <v>9900</v>
      </c>
      <c r="G25" s="2">
        <f>Table6[[#This Row],[TỔNG]]*Table6[[#This Row],[ĐƠN GIÁ]]</f>
        <v>1207800</v>
      </c>
    </row>
    <row r="26" spans="1:7" x14ac:dyDescent="0.3">
      <c r="A26" t="s">
        <v>23</v>
      </c>
      <c r="B26" t="s">
        <v>24</v>
      </c>
      <c r="C26">
        <v>15</v>
      </c>
      <c r="E26">
        <f t="shared" si="0"/>
        <v>15</v>
      </c>
      <c r="F26" s="1">
        <f>F25/2</f>
        <v>4950</v>
      </c>
      <c r="G26" s="2">
        <f>Table6[[#This Row],[TỔNG]]*Table6[[#This Row],[ĐƠN GIÁ]]</f>
        <v>74250</v>
      </c>
    </row>
    <row r="27" spans="1:7" x14ac:dyDescent="0.3">
      <c r="A27" t="s">
        <v>25</v>
      </c>
      <c r="B27" t="s">
        <v>7</v>
      </c>
      <c r="C27">
        <v>65</v>
      </c>
      <c r="E27">
        <f t="shared" si="0"/>
        <v>65</v>
      </c>
      <c r="F27" s="1">
        <f>VLOOKUP(Table6[[#This Row],[MẶT HÀNG]],Table13456[[MẶT HÀNG]:[ĐƠN GIÁ]],7,0)</f>
        <v>7500</v>
      </c>
      <c r="G27" s="2">
        <f>Table6[[#This Row],[TỔNG]]*Table6[[#This Row],[ĐƠN GIÁ]]</f>
        <v>487500</v>
      </c>
    </row>
    <row r="28" spans="1:7" x14ac:dyDescent="0.3">
      <c r="A28" t="s">
        <v>26</v>
      </c>
      <c r="B28" t="s">
        <v>27</v>
      </c>
      <c r="C28">
        <v>200</v>
      </c>
      <c r="D28">
        <v>88</v>
      </c>
      <c r="E28">
        <f t="shared" si="0"/>
        <v>288</v>
      </c>
      <c r="F28" s="1">
        <f>13000*0.6</f>
        <v>7800</v>
      </c>
      <c r="G28" s="2">
        <f>Table6[[#This Row],[TỔNG]]*Table6[[#This Row],[ĐƠN GIÁ]]</f>
        <v>2246400</v>
      </c>
    </row>
    <row r="29" spans="1:7" x14ac:dyDescent="0.3">
      <c r="A29" t="s">
        <v>103</v>
      </c>
      <c r="B29" t="s">
        <v>48</v>
      </c>
      <c r="C29">
        <v>28</v>
      </c>
      <c r="E29">
        <f t="shared" si="0"/>
        <v>28</v>
      </c>
      <c r="F29" s="1">
        <v>12000</v>
      </c>
      <c r="G29" s="2">
        <f>Table6[[#This Row],[TỔNG]]*Table6[[#This Row],[ĐƠN GIÁ]]</f>
        <v>336000</v>
      </c>
    </row>
    <row r="30" spans="1:7" x14ac:dyDescent="0.3">
      <c r="A30" t="s">
        <v>10</v>
      </c>
      <c r="B30" t="s">
        <v>7</v>
      </c>
      <c r="C30">
        <v>60</v>
      </c>
      <c r="E30">
        <f t="shared" si="0"/>
        <v>60</v>
      </c>
      <c r="F30" s="1">
        <f>VLOOKUP(Table6[[#This Row],[MẶT HÀNG]],Table13456[[MẶT HÀNG]:[ĐƠN GIÁ]],7,0)</f>
        <v>6000</v>
      </c>
      <c r="G30" s="2">
        <f>Table6[[#This Row],[TỔNG]]*Table6[[#This Row],[ĐƠN GIÁ]]</f>
        <v>360000</v>
      </c>
    </row>
    <row r="31" spans="1:7" x14ac:dyDescent="0.3">
      <c r="A31" t="s">
        <v>11</v>
      </c>
      <c r="B31" t="s">
        <v>7</v>
      </c>
      <c r="C31">
        <v>40</v>
      </c>
      <c r="E31">
        <f t="shared" si="0"/>
        <v>40</v>
      </c>
      <c r="F31" s="1">
        <f>VLOOKUP(Table6[[#This Row],[MẶT HÀNG]],Table13456[[MẶT HÀNG]:[ĐƠN GIÁ]],7,0)</f>
        <v>15000</v>
      </c>
      <c r="G31" s="2">
        <f>Table6[[#This Row],[TỔNG]]*Table6[[#This Row],[ĐƠN GIÁ]]</f>
        <v>600000</v>
      </c>
    </row>
    <row r="32" spans="1:7" x14ac:dyDescent="0.3">
      <c r="A32" t="s">
        <v>12</v>
      </c>
      <c r="B32" t="s">
        <v>7</v>
      </c>
      <c r="C32">
        <v>45</v>
      </c>
      <c r="D32">
        <v>36.5</v>
      </c>
      <c r="E32">
        <f t="shared" si="0"/>
        <v>81.5</v>
      </c>
      <c r="F32" s="1">
        <f>VLOOKUP(Table6[[#This Row],[MẶT HÀNG]],Table13456[[MẶT HÀNG]:[ĐƠN GIÁ]],7,0)</f>
        <v>28000</v>
      </c>
      <c r="G32" s="2">
        <f>Table6[[#This Row],[TỔNG]]*Table6[[#This Row],[ĐƠN GIÁ]]</f>
        <v>2282000</v>
      </c>
    </row>
    <row r="33" spans="1:7" x14ac:dyDescent="0.3">
      <c r="A33" t="s">
        <v>91</v>
      </c>
      <c r="B33" t="s">
        <v>7</v>
      </c>
      <c r="C33">
        <v>20</v>
      </c>
      <c r="E33">
        <f t="shared" si="0"/>
        <v>20</v>
      </c>
      <c r="F33" s="1">
        <v>20000</v>
      </c>
      <c r="G33" s="2">
        <f>Table6[[#This Row],[TỔNG]]*Table6[[#This Row],[ĐƠN GIÁ]]</f>
        <v>400000</v>
      </c>
    </row>
    <row r="34" spans="1:7" x14ac:dyDescent="0.3">
      <c r="A34" t="s">
        <v>13</v>
      </c>
      <c r="B34" t="s">
        <v>7</v>
      </c>
      <c r="C34">
        <v>200</v>
      </c>
      <c r="D34">
        <v>12</v>
      </c>
      <c r="E34">
        <f t="shared" si="0"/>
        <v>212</v>
      </c>
      <c r="F34" s="1">
        <f>VLOOKUP(Table6[[#This Row],[MẶT HÀNG]],Table13456[[MẶT HÀNG]:[ĐƠN GIÁ]],7,0)</f>
        <v>22000</v>
      </c>
      <c r="G34" s="2">
        <f>Table6[[#This Row],[TỔNG]]*Table6[[#This Row],[ĐƠN GIÁ]]</f>
        <v>4664000</v>
      </c>
    </row>
    <row r="35" spans="1:7" x14ac:dyDescent="0.3">
      <c r="A35" t="s">
        <v>14</v>
      </c>
      <c r="B35" t="s">
        <v>7</v>
      </c>
      <c r="C35">
        <v>140</v>
      </c>
      <c r="E35">
        <f t="shared" si="0"/>
        <v>140</v>
      </c>
      <c r="F35" s="1">
        <f>VLOOKUP(Table6[[#This Row],[MẶT HÀNG]],Table13456[[MẶT HÀNG]:[ĐƠN GIÁ]],7,0)</f>
        <v>20000</v>
      </c>
      <c r="G35" s="2">
        <f>Table6[[#This Row],[TỔNG]]*Table6[[#This Row],[ĐƠN GIÁ]]</f>
        <v>2800000</v>
      </c>
    </row>
    <row r="36" spans="1:7" x14ac:dyDescent="0.3">
      <c r="A36" t="s">
        <v>16</v>
      </c>
      <c r="B36" t="s">
        <v>7</v>
      </c>
      <c r="C36">
        <v>20</v>
      </c>
      <c r="E36">
        <f t="shared" si="0"/>
        <v>20</v>
      </c>
      <c r="F36" s="1">
        <v>18000</v>
      </c>
      <c r="G36" s="2">
        <f>Table6[[#This Row],[TỔNG]]*Table6[[#This Row],[ĐƠN GIÁ]]</f>
        <v>360000</v>
      </c>
    </row>
    <row r="37" spans="1:7" x14ac:dyDescent="0.3">
      <c r="A37" t="s">
        <v>51</v>
      </c>
      <c r="B37" t="s">
        <v>9</v>
      </c>
      <c r="C37">
        <v>20</v>
      </c>
      <c r="E37">
        <f t="shared" si="0"/>
        <v>20</v>
      </c>
      <c r="F37" s="1">
        <f>VLOOKUP(Table6[[#This Row],[MẶT HÀNG]],Table13456[[MẶT HÀNG]:[ĐƠN GIÁ]],7,0)</f>
        <v>6750</v>
      </c>
      <c r="G37" s="2">
        <f>Table6[[#This Row],[TỔNG]]*Table6[[#This Row],[ĐƠN GIÁ]]</f>
        <v>135000</v>
      </c>
    </row>
    <row r="38" spans="1:7" x14ac:dyDescent="0.3">
      <c r="A38" t="s">
        <v>53</v>
      </c>
      <c r="B38" t="s">
        <v>7</v>
      </c>
      <c r="C38">
        <v>2</v>
      </c>
      <c r="E38">
        <f t="shared" si="0"/>
        <v>2</v>
      </c>
      <c r="F38" s="1">
        <v>14000</v>
      </c>
      <c r="G38" s="2">
        <f>Table6[[#This Row],[TỔNG]]*Table6[[#This Row],[ĐƠN GIÁ]]</f>
        <v>28000</v>
      </c>
    </row>
    <row r="39" spans="1:7" x14ac:dyDescent="0.3">
      <c r="A39" t="s">
        <v>53</v>
      </c>
      <c r="B39" t="s">
        <v>9</v>
      </c>
      <c r="C39">
        <v>640</v>
      </c>
      <c r="E39">
        <f t="shared" si="0"/>
        <v>640</v>
      </c>
      <c r="F39" s="1">
        <v>7000</v>
      </c>
      <c r="G39" s="2">
        <f>Table6[[#This Row],[TỔNG]]*Table6[[#This Row],[ĐƠN GIÁ]]</f>
        <v>4480000</v>
      </c>
    </row>
    <row r="40" spans="1:7" x14ac:dyDescent="0.3">
      <c r="A40" t="s">
        <v>53</v>
      </c>
      <c r="B40" t="s">
        <v>7</v>
      </c>
      <c r="C40">
        <v>110</v>
      </c>
      <c r="E40">
        <f t="shared" si="0"/>
        <v>110</v>
      </c>
      <c r="F40" s="1">
        <v>14000</v>
      </c>
      <c r="G40" s="2">
        <f>Table6[[#This Row],[TỔNG]]*Table6[[#This Row],[ĐƠN GIÁ]]</f>
        <v>1540000</v>
      </c>
    </row>
    <row r="41" spans="1:7" x14ac:dyDescent="0.3">
      <c r="A41" t="s">
        <v>55</v>
      </c>
      <c r="B41" t="s">
        <v>22</v>
      </c>
      <c r="C41">
        <v>40</v>
      </c>
      <c r="E41">
        <f t="shared" si="0"/>
        <v>40</v>
      </c>
      <c r="F41" s="1">
        <f>13000*0.6</f>
        <v>7800</v>
      </c>
      <c r="G41" s="2">
        <f>Table6[[#This Row],[TỔNG]]*Table6[[#This Row],[ĐƠN GIÁ]]</f>
        <v>312000</v>
      </c>
    </row>
    <row r="42" spans="1:7" x14ac:dyDescent="0.3">
      <c r="A42" t="s">
        <v>56</v>
      </c>
      <c r="B42" t="s">
        <v>7</v>
      </c>
      <c r="C42">
        <v>40</v>
      </c>
      <c r="D42">
        <v>45.5</v>
      </c>
      <c r="E42">
        <f t="shared" si="0"/>
        <v>85.5</v>
      </c>
      <c r="F42" s="1">
        <v>7000</v>
      </c>
      <c r="G42" s="2">
        <f>Table6[[#This Row],[TỔNG]]*Table6[[#This Row],[ĐƠN GIÁ]]</f>
        <v>598500</v>
      </c>
    </row>
    <row r="43" spans="1:7" x14ac:dyDescent="0.3">
      <c r="A43" t="s">
        <v>104</v>
      </c>
      <c r="B43" t="s">
        <v>22</v>
      </c>
      <c r="C43">
        <v>20</v>
      </c>
      <c r="D43">
        <v>76</v>
      </c>
      <c r="E43">
        <f t="shared" si="0"/>
        <v>96</v>
      </c>
      <c r="F43" s="1">
        <v>9000</v>
      </c>
      <c r="G43" s="2">
        <f>Table6[[#This Row],[TỔNG]]*Table6[[#This Row],[ĐƠN GIÁ]]</f>
        <v>864000</v>
      </c>
    </row>
    <row r="44" spans="1:7" x14ac:dyDescent="0.3">
      <c r="A44" t="s">
        <v>87</v>
      </c>
      <c r="B44" t="s">
        <v>107</v>
      </c>
      <c r="C44">
        <v>40</v>
      </c>
      <c r="E44">
        <f t="shared" si="0"/>
        <v>40</v>
      </c>
      <c r="F44" s="1">
        <f>25000*0.3</f>
        <v>7500</v>
      </c>
      <c r="G44" s="2">
        <f>Table6[[#This Row],[TỔNG]]*Table6[[#This Row],[ĐƠN GIÁ]]</f>
        <v>300000</v>
      </c>
    </row>
    <row r="45" spans="1:7" x14ac:dyDescent="0.3">
      <c r="A45" t="s">
        <v>28</v>
      </c>
      <c r="B45" t="s">
        <v>27</v>
      </c>
      <c r="C45">
        <v>100</v>
      </c>
      <c r="E45">
        <f t="shared" si="0"/>
        <v>100</v>
      </c>
      <c r="F45" s="1">
        <f>VLOOKUP(Table6[[#This Row],[MẶT HÀNG]],Table13456[[MẶT HÀNG]:[ĐƠN GIÁ]],7,0)</f>
        <v>48000</v>
      </c>
      <c r="G45" s="2">
        <f>Table6[[#This Row],[TỔNG]]*Table6[[#This Row],[ĐƠN GIÁ]]</f>
        <v>4800000</v>
      </c>
    </row>
    <row r="46" spans="1:7" x14ac:dyDescent="0.3">
      <c r="A46" t="s">
        <v>73</v>
      </c>
      <c r="B46" t="s">
        <v>7</v>
      </c>
      <c r="C46">
        <v>5</v>
      </c>
      <c r="E46">
        <f t="shared" si="0"/>
        <v>5</v>
      </c>
      <c r="F46" s="1">
        <f>VLOOKUP(Table6[[#This Row],[MẶT HÀNG]],Table13456[[MẶT HÀNG]:[ĐƠN GIÁ]],7,0)</f>
        <v>27000</v>
      </c>
      <c r="G46" s="2">
        <f>Table6[[#This Row],[TỔNG]]*Table6[[#This Row],[ĐƠN GIÁ]]</f>
        <v>135000</v>
      </c>
    </row>
    <row r="47" spans="1:7" x14ac:dyDescent="0.3">
      <c r="A47" t="s">
        <v>100</v>
      </c>
      <c r="B47" t="s">
        <v>7</v>
      </c>
      <c r="C47">
        <v>0.5</v>
      </c>
      <c r="E47">
        <f t="shared" si="0"/>
        <v>0.5</v>
      </c>
      <c r="F47" s="1">
        <f>VLOOKUP(Table6[[#This Row],[MẶT HÀNG]],Table13456[[MẶT HÀNG]:[ĐƠN GIÁ]],7,0)</f>
        <v>100000</v>
      </c>
      <c r="G47" s="2">
        <f>Table6[[#This Row],[TỔNG]]*Table6[[#This Row],[ĐƠN GIÁ]]</f>
        <v>50000</v>
      </c>
    </row>
    <row r="48" spans="1:7" x14ac:dyDescent="0.3">
      <c r="A48" t="s">
        <v>29</v>
      </c>
      <c r="B48" t="s">
        <v>22</v>
      </c>
      <c r="C48">
        <v>350</v>
      </c>
      <c r="D48">
        <v>87</v>
      </c>
      <c r="E48">
        <f t="shared" si="0"/>
        <v>437</v>
      </c>
      <c r="F48" s="1">
        <f>VLOOKUP(Table6[[#This Row],[MẶT HÀNG]],Table13456[[MẶT HÀNG]:[ĐƠN GIÁ]],7,0)</f>
        <v>2200</v>
      </c>
      <c r="G48" s="2">
        <f>Table6[[#This Row],[TỔNG]]*Table6[[#This Row],[ĐƠN GIÁ]]</f>
        <v>961400</v>
      </c>
    </row>
    <row r="49" spans="1:7" x14ac:dyDescent="0.3">
      <c r="A49" t="s">
        <v>30</v>
      </c>
      <c r="B49" t="s">
        <v>7</v>
      </c>
      <c r="C49">
        <v>10</v>
      </c>
      <c r="E49">
        <f t="shared" si="0"/>
        <v>10</v>
      </c>
      <c r="F49" s="1">
        <v>14000</v>
      </c>
      <c r="G49" s="2">
        <f>Table6[[#This Row],[TỔNG]]*Table6[[#This Row],[ĐƠN GIÁ]]</f>
        <v>140000</v>
      </c>
    </row>
    <row r="50" spans="1:7" x14ac:dyDescent="0.3">
      <c r="A50" t="s">
        <v>101</v>
      </c>
      <c r="B50" t="s">
        <v>7</v>
      </c>
      <c r="C50">
        <v>1</v>
      </c>
      <c r="E50">
        <f t="shared" si="0"/>
        <v>1</v>
      </c>
      <c r="F50" s="1">
        <f>VLOOKUP(Table6[[#This Row],[MẶT HÀNG]],Table13456[[MẶT HÀNG]:[ĐƠN GIÁ]],7,0)</f>
        <v>110000</v>
      </c>
      <c r="G50" s="2">
        <f>Table6[[#This Row],[TỔNG]]*Table6[[#This Row],[ĐƠN GIÁ]]</f>
        <v>110000</v>
      </c>
    </row>
    <row r="51" spans="1:7" x14ac:dyDescent="0.3">
      <c r="A51" t="s">
        <v>31</v>
      </c>
      <c r="B51" t="s">
        <v>7</v>
      </c>
      <c r="C51">
        <v>2</v>
      </c>
      <c r="E51">
        <f t="shared" si="0"/>
        <v>2</v>
      </c>
      <c r="F51" s="1">
        <f>VLOOKUP(Table6[[#This Row],[MẶT HÀNG]],Table13456[[MẶT HÀNG]:[ĐƠN GIÁ]],7,0)</f>
        <v>48000</v>
      </c>
      <c r="G51" s="2">
        <f>Table6[[#This Row],[TỔNG]]*Table6[[#This Row],[ĐƠN GIÁ]]</f>
        <v>96000</v>
      </c>
    </row>
    <row r="52" spans="1:7" x14ac:dyDescent="0.3">
      <c r="A52" t="s">
        <v>32</v>
      </c>
      <c r="B52" t="s">
        <v>7</v>
      </c>
      <c r="C52">
        <v>45</v>
      </c>
      <c r="E52">
        <f t="shared" si="0"/>
        <v>45</v>
      </c>
      <c r="F52" s="1">
        <f>VLOOKUP(Table6[[#This Row],[MẶT HÀNG]],Table13456[[MẶT HÀNG]:[ĐƠN GIÁ]],7,0)</f>
        <v>48000</v>
      </c>
      <c r="G52" s="2">
        <f>Table6[[#This Row],[TỔNG]]*Table6[[#This Row],[ĐƠN GIÁ]]</f>
        <v>2160000</v>
      </c>
    </row>
    <row r="53" spans="1:7" x14ac:dyDescent="0.3">
      <c r="A53" t="s">
        <v>58</v>
      </c>
      <c r="B53" t="s">
        <v>7</v>
      </c>
      <c r="C53">
        <v>1</v>
      </c>
      <c r="D53">
        <v>6.5</v>
      </c>
      <c r="E53">
        <f t="shared" si="0"/>
        <v>7.5</v>
      </c>
      <c r="F53" s="1">
        <v>46000</v>
      </c>
      <c r="G53" s="2">
        <f>Table6[[#This Row],[TỔNG]]*Table6[[#This Row],[ĐƠN GIÁ]]</f>
        <v>345000</v>
      </c>
    </row>
    <row r="54" spans="1:7" x14ac:dyDescent="0.3">
      <c r="A54" t="s">
        <v>58</v>
      </c>
      <c r="B54" t="s">
        <v>59</v>
      </c>
      <c r="C54">
        <v>260</v>
      </c>
      <c r="E54">
        <f t="shared" si="0"/>
        <v>260</v>
      </c>
      <c r="F54" s="1">
        <f>46000/4</f>
        <v>11500</v>
      </c>
      <c r="G54" s="2">
        <f>Table6[[#This Row],[TỔNG]]*Table6[[#This Row],[ĐƠN GIÁ]]</f>
        <v>2990000</v>
      </c>
    </row>
    <row r="55" spans="1:7" x14ac:dyDescent="0.3">
      <c r="A55" t="s">
        <v>60</v>
      </c>
      <c r="B55" t="s">
        <v>7</v>
      </c>
      <c r="C55">
        <v>13</v>
      </c>
      <c r="E55">
        <f t="shared" si="0"/>
        <v>13</v>
      </c>
      <c r="F55" s="1">
        <f>VLOOKUP(Table6[[#This Row],[MẶT HÀNG]],Table13456[[MẶT HÀNG]:[ĐƠN GIÁ]],7,0)</f>
        <v>55000</v>
      </c>
      <c r="G55" s="2">
        <f>Table6[[#This Row],[TỔNG]]*Table6[[#This Row],[ĐƠN GIÁ]]</f>
        <v>715000</v>
      </c>
    </row>
    <row r="56" spans="1:7" x14ac:dyDescent="0.3">
      <c r="A56" t="s">
        <v>61</v>
      </c>
      <c r="B56" t="s">
        <v>7</v>
      </c>
      <c r="C56">
        <v>1</v>
      </c>
      <c r="D56">
        <v>6</v>
      </c>
      <c r="E56">
        <f t="shared" si="0"/>
        <v>7</v>
      </c>
      <c r="F56" s="1">
        <v>32000</v>
      </c>
      <c r="G56" s="2">
        <f>Table6[[#This Row],[TỔNG]]*Table6[[#This Row],[ĐƠN GIÁ]]</f>
        <v>224000</v>
      </c>
    </row>
    <row r="57" spans="1:7" x14ac:dyDescent="0.3">
      <c r="A57" t="s">
        <v>61</v>
      </c>
      <c r="B57" t="s">
        <v>59</v>
      </c>
      <c r="C57">
        <v>60</v>
      </c>
      <c r="E57">
        <f t="shared" si="0"/>
        <v>60</v>
      </c>
      <c r="F57" s="1">
        <f>32000/4</f>
        <v>8000</v>
      </c>
      <c r="G57" s="2">
        <f>Table6[[#This Row],[TỔNG]]*Table6[[#This Row],[ĐƠN GIÁ]]</f>
        <v>480000</v>
      </c>
    </row>
    <row r="58" spans="1:7" x14ac:dyDescent="0.3">
      <c r="A58" t="s">
        <v>62</v>
      </c>
      <c r="B58" t="s">
        <v>7</v>
      </c>
      <c r="C58">
        <v>1</v>
      </c>
      <c r="D58">
        <v>4</v>
      </c>
      <c r="E58">
        <f t="shared" si="0"/>
        <v>5</v>
      </c>
      <c r="F58" s="1">
        <v>35000</v>
      </c>
      <c r="G58" s="2">
        <f>Table6[[#This Row],[TỔNG]]*Table6[[#This Row],[ĐƠN GIÁ]]</f>
        <v>175000</v>
      </c>
    </row>
    <row r="59" spans="1:7" x14ac:dyDescent="0.3">
      <c r="A59" t="s">
        <v>62</v>
      </c>
      <c r="B59" t="s">
        <v>59</v>
      </c>
      <c r="C59">
        <v>30</v>
      </c>
      <c r="E59">
        <f t="shared" si="0"/>
        <v>30</v>
      </c>
      <c r="F59" s="1">
        <f>35000/4</f>
        <v>8750</v>
      </c>
      <c r="G59" s="2">
        <f>Table6[[#This Row],[TỔNG]]*Table6[[#This Row],[ĐƠN GIÁ]]</f>
        <v>262500</v>
      </c>
    </row>
    <row r="60" spans="1:7" x14ac:dyDescent="0.3">
      <c r="A60" t="s">
        <v>97</v>
      </c>
      <c r="B60" t="s">
        <v>22</v>
      </c>
      <c r="C60">
        <v>275</v>
      </c>
      <c r="E60">
        <f t="shared" si="0"/>
        <v>275</v>
      </c>
      <c r="F60" s="1">
        <v>20000</v>
      </c>
      <c r="G60" s="2">
        <f>Table6[[#This Row],[TỔNG]]*Table6[[#This Row],[ĐƠN GIÁ]]</f>
        <v>5500000</v>
      </c>
    </row>
    <row r="61" spans="1:7" x14ac:dyDescent="0.3">
      <c r="A61" t="s">
        <v>33</v>
      </c>
      <c r="B61" t="s">
        <v>7</v>
      </c>
      <c r="C61">
        <v>10</v>
      </c>
      <c r="E61">
        <f t="shared" si="0"/>
        <v>10</v>
      </c>
      <c r="F61" s="1">
        <f>VLOOKUP(Table6[[#This Row],[MẶT HÀNG]],Table13456[[MẶT HÀNG]:[ĐƠN GIÁ]],7,0)</f>
        <v>35000</v>
      </c>
      <c r="G61" s="2">
        <f>Table6[[#This Row],[TỔNG]]*Table6[[#This Row],[ĐƠN GIÁ]]</f>
        <v>350000</v>
      </c>
    </row>
    <row r="62" spans="1:7" x14ac:dyDescent="0.3">
      <c r="A62" t="s">
        <v>34</v>
      </c>
      <c r="B62" t="s">
        <v>7</v>
      </c>
      <c r="C62">
        <v>270</v>
      </c>
      <c r="D62">
        <v>21.5</v>
      </c>
      <c r="E62">
        <f t="shared" si="0"/>
        <v>291.5</v>
      </c>
      <c r="F62" s="1">
        <f>VLOOKUP(Table6[[#This Row],[MẶT HÀNG]],Table13456[[MẶT HÀNG]:[ĐƠN GIÁ]],7,0)</f>
        <v>34000</v>
      </c>
      <c r="G62" s="2">
        <f>Table6[[#This Row],[TỔNG]]*Table6[[#This Row],[ĐƠN GIÁ]]</f>
        <v>9911000</v>
      </c>
    </row>
    <row r="63" spans="1:7" x14ac:dyDescent="0.3">
      <c r="A63" t="s">
        <v>35</v>
      </c>
      <c r="B63" t="s">
        <v>7</v>
      </c>
      <c r="C63">
        <v>0.5</v>
      </c>
      <c r="E63">
        <f t="shared" si="0"/>
        <v>0.5</v>
      </c>
      <c r="F63" s="1">
        <f>VLOOKUP(Table6[[#This Row],[MẶT HÀNG]],Table13456[[MẶT HÀNG]:[ĐƠN GIÁ]],7,0)</f>
        <v>28000</v>
      </c>
      <c r="G63" s="2">
        <f>Table6[[#This Row],[TỔNG]]*Table6[[#This Row],[ĐƠN GIÁ]]</f>
        <v>14000</v>
      </c>
    </row>
    <row r="64" spans="1:7" x14ac:dyDescent="0.3">
      <c r="A64" t="s">
        <v>36</v>
      </c>
      <c r="B64" t="s">
        <v>27</v>
      </c>
      <c r="C64">
        <v>200</v>
      </c>
      <c r="E64">
        <f t="shared" si="0"/>
        <v>200</v>
      </c>
      <c r="F64" s="1">
        <f>VLOOKUP(Table6[[#This Row],[MẶT HÀNG]],Table13456[[MẶT HÀNG]:[ĐƠN GIÁ]],7,0)</f>
        <v>6800</v>
      </c>
      <c r="G64" s="2">
        <f>Table6[[#This Row],[TỔNG]]*Table6[[#This Row],[ĐƠN GIÁ]]</f>
        <v>1360000</v>
      </c>
    </row>
    <row r="65" spans="1:7" x14ac:dyDescent="0.3">
      <c r="A65" t="s">
        <v>40</v>
      </c>
      <c r="B65" t="s">
        <v>7</v>
      </c>
      <c r="C65">
        <v>20</v>
      </c>
      <c r="E65">
        <f t="shared" si="0"/>
        <v>20</v>
      </c>
      <c r="F65" s="1">
        <f>VLOOKUP(Table6[[#This Row],[MẶT HÀNG]],Table13456[[MẶT HÀNG]:[ĐƠN GIÁ]],7,0)</f>
        <v>28000</v>
      </c>
      <c r="G65" s="2">
        <f>Table6[[#This Row],[TỔNG]]*Table6[[#This Row],[ĐƠN GIÁ]]</f>
        <v>560000</v>
      </c>
    </row>
    <row r="66" spans="1:7" x14ac:dyDescent="0.3">
      <c r="A66" t="s">
        <v>39</v>
      </c>
      <c r="B66" t="s">
        <v>7</v>
      </c>
      <c r="C66">
        <v>20</v>
      </c>
      <c r="E66">
        <f t="shared" si="0"/>
        <v>20</v>
      </c>
      <c r="F66" s="1">
        <f>VLOOKUP(Table6[[#This Row],[MẶT HÀNG]],Table13456[[MẶT HÀNG]:[ĐƠN GIÁ]],7,0)</f>
        <v>38000</v>
      </c>
      <c r="G66" s="2">
        <f>Table6[[#This Row],[TỔNG]]*Table6[[#This Row],[ĐƠN GIÁ]]</f>
        <v>760000</v>
      </c>
    </row>
    <row r="67" spans="1:7" x14ac:dyDescent="0.3">
      <c r="A67" t="s">
        <v>82</v>
      </c>
      <c r="B67" t="s">
        <v>7</v>
      </c>
      <c r="C67">
        <v>5</v>
      </c>
      <c r="E67">
        <f t="shared" ref="E67:E69" si="1">C67+D67</f>
        <v>5</v>
      </c>
      <c r="F67" s="1">
        <f>VLOOKUP(Table6[[#This Row],[MẶT HÀNG]],Table13456[[MẶT HÀNG]:[ĐƠN GIÁ]],7,0)</f>
        <v>120000</v>
      </c>
      <c r="G67" s="2">
        <f>Table6[[#This Row],[TỔNG]]*Table6[[#This Row],[ĐƠN GIÁ]]</f>
        <v>600000</v>
      </c>
    </row>
    <row r="68" spans="1:7" x14ac:dyDescent="0.3">
      <c r="A68" t="s">
        <v>83</v>
      </c>
      <c r="B68" t="s">
        <v>7</v>
      </c>
      <c r="C68">
        <v>5</v>
      </c>
      <c r="E68">
        <f t="shared" si="1"/>
        <v>5</v>
      </c>
      <c r="F68" s="1">
        <v>25000</v>
      </c>
      <c r="G68" s="2">
        <f>Table6[[#This Row],[TỔNG]]*Table6[[#This Row],[ĐƠN GIÁ]]</f>
        <v>125000</v>
      </c>
    </row>
    <row r="69" spans="1:7" x14ac:dyDescent="0.3">
      <c r="A69" t="s">
        <v>84</v>
      </c>
      <c r="B69" t="s">
        <v>27</v>
      </c>
      <c r="C69">
        <v>10</v>
      </c>
      <c r="E69">
        <f t="shared" si="1"/>
        <v>10</v>
      </c>
      <c r="F69" s="1">
        <f>VLOOKUP(Table6[[#This Row],[MẶT HÀNG]],Table13456[[MẶT HÀNG]:[ĐƠN GIÁ]],7,0)</f>
        <v>6800</v>
      </c>
      <c r="G69" s="2">
        <f>Table6[[#This Row],[TỔNG]]*Table6[[#This Row],[ĐƠN GIÁ]]</f>
        <v>68000</v>
      </c>
    </row>
    <row r="70" spans="1:7" x14ac:dyDescent="0.3">
      <c r="G70" s="2">
        <f>SUM(Table6[THÀNH TIỀN])</f>
        <v>91916350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9CA0A-B59F-4969-BE2D-F86C6E633FF9}">
  <dimension ref="A1:H59"/>
  <sheetViews>
    <sheetView topLeftCell="A39" workbookViewId="0">
      <selection activeCell="H59" sqref="H59"/>
    </sheetView>
  </sheetViews>
  <sheetFormatPr defaultRowHeight="14.4" x14ac:dyDescent="0.3"/>
  <cols>
    <col min="1" max="1" width="35.109375" customWidth="1"/>
    <col min="2" max="2" width="8.21875" customWidth="1"/>
    <col min="7" max="7" width="10.33203125" style="1" bestFit="1" customWidth="1"/>
    <col min="8" max="8" width="12.88671875" customWidth="1"/>
  </cols>
  <sheetData>
    <row r="1" spans="1:8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s="1" t="s">
        <v>76</v>
      </c>
      <c r="H1" t="s">
        <v>77</v>
      </c>
    </row>
    <row r="2" spans="1:8" x14ac:dyDescent="0.3">
      <c r="A2" s="3" t="s">
        <v>78</v>
      </c>
      <c r="B2" s="4" t="s">
        <v>7</v>
      </c>
      <c r="C2">
        <v>20</v>
      </c>
      <c r="F2">
        <f>Table13456[[#This Row],[NT]]+Table13456[[#This Row],[TMART]]</f>
        <v>20</v>
      </c>
      <c r="G2" s="1">
        <f>VLOOKUP(Table13456[[#This Row],[MẶT HÀNG]],Table1345[[MẶT HÀNG]:[ĐƠN GIÁ]],7,0)</f>
        <v>30000</v>
      </c>
      <c r="H2" s="2">
        <f>Table13456[[#This Row],[TỔNG]]*Table13456[[#This Row],[ĐƠN GIÁ]]</f>
        <v>600000</v>
      </c>
    </row>
    <row r="3" spans="1:8" x14ac:dyDescent="0.3">
      <c r="A3" s="3" t="s">
        <v>79</v>
      </c>
      <c r="B3" s="4" t="s">
        <v>7</v>
      </c>
      <c r="C3">
        <v>30</v>
      </c>
      <c r="F3">
        <f>Table13456[[#This Row],[NT]]+Table13456[[#This Row],[TMART]]</f>
        <v>30</v>
      </c>
      <c r="G3" s="1">
        <f>VLOOKUP(Table13456[[#This Row],[MẶT HÀNG]],Table1345[[MẶT HÀNG]:[ĐƠN GIÁ]],7,0)</f>
        <v>15000</v>
      </c>
      <c r="H3" s="2">
        <f>Table13456[[#This Row],[TỔNG]]*Table13456[[#This Row],[ĐƠN GIÁ]]</f>
        <v>450000</v>
      </c>
    </row>
    <row r="4" spans="1:8" x14ac:dyDescent="0.3">
      <c r="A4" s="3" t="s">
        <v>80</v>
      </c>
      <c r="B4" s="4" t="s">
        <v>44</v>
      </c>
      <c r="C4">
        <v>45</v>
      </c>
      <c r="F4">
        <f>Table13456[[#This Row],[NT]]+Table13456[[#This Row],[TMART]]</f>
        <v>45</v>
      </c>
      <c r="G4" s="1">
        <f>VLOOKUP(Table13456[[#This Row],[MẶT HÀNG]],Table1345[[MẶT HÀNG]:[ĐƠN GIÁ]],7,0)</f>
        <v>4000</v>
      </c>
      <c r="H4" s="2">
        <f>Table13456[[#This Row],[TỔNG]]*Table13456[[#This Row],[ĐƠN GIÁ]]</f>
        <v>180000</v>
      </c>
    </row>
    <row r="5" spans="1:8" x14ac:dyDescent="0.3">
      <c r="A5" s="3" t="s">
        <v>43</v>
      </c>
      <c r="B5" s="4" t="s">
        <v>44</v>
      </c>
      <c r="C5">
        <v>300</v>
      </c>
      <c r="F5">
        <f>Table13456[[#This Row],[NT]]+Table13456[[#This Row],[TMART]]</f>
        <v>300</v>
      </c>
      <c r="G5" s="1">
        <f>VLOOKUP(Table13456[[#This Row],[MẶT HÀNG]],Table1345[[MẶT HÀNG]:[ĐƠN GIÁ]],7,0)</f>
        <v>3900</v>
      </c>
      <c r="H5" s="2">
        <f>Table13456[[#This Row],[TỔNG]]*Table13456[[#This Row],[ĐƠN GIÁ]]</f>
        <v>1170000</v>
      </c>
    </row>
    <row r="6" spans="1:8" ht="28.8" x14ac:dyDescent="0.3">
      <c r="A6" s="3" t="s">
        <v>41</v>
      </c>
      <c r="B6" s="4" t="s">
        <v>42</v>
      </c>
      <c r="C6">
        <v>400</v>
      </c>
      <c r="E6">
        <v>14</v>
      </c>
      <c r="F6">
        <f>Table13456[[#This Row],[NT]]+Table13456[[#This Row],[TMART]]</f>
        <v>414</v>
      </c>
      <c r="G6" s="1">
        <f>21000*0.3</f>
        <v>6300</v>
      </c>
      <c r="H6" s="2">
        <f>Table13456[[#This Row],[TỔNG]]*Table13456[[#This Row],[ĐƠN GIÁ]]</f>
        <v>2608200</v>
      </c>
    </row>
    <row r="7" spans="1:8" x14ac:dyDescent="0.3">
      <c r="A7" s="3" t="s">
        <v>17</v>
      </c>
      <c r="B7" s="4" t="s">
        <v>7</v>
      </c>
      <c r="C7">
        <v>60</v>
      </c>
      <c r="F7">
        <f>Table13456[[#This Row],[NT]]+Table13456[[#This Row],[TMART]]</f>
        <v>60</v>
      </c>
      <c r="G7" s="1">
        <f>VLOOKUP(Table13456[[#This Row],[MẶT HÀNG]],Table1345[[MẶT HÀNG]:[ĐƠN GIÁ]],7,0)</f>
        <v>40000</v>
      </c>
      <c r="H7" s="2">
        <f>Table13456[[#This Row],[TỔNG]]*Table13456[[#This Row],[ĐƠN GIÁ]]</f>
        <v>2400000</v>
      </c>
    </row>
    <row r="8" spans="1:8" x14ac:dyDescent="0.3">
      <c r="A8" s="3" t="s">
        <v>18</v>
      </c>
      <c r="B8" s="4" t="s">
        <v>9</v>
      </c>
      <c r="C8">
        <v>50</v>
      </c>
      <c r="F8">
        <f>Table13456[[#This Row],[NT]]+Table13456[[#This Row],[TMART]]</f>
        <v>50</v>
      </c>
      <c r="G8" s="1">
        <f>VLOOKUP(Table13456[[#This Row],[MẶT HÀNG]],Table1345[[MẶT HÀNG]:[ĐƠN GIÁ]],7,0)</f>
        <v>58000</v>
      </c>
      <c r="H8" s="2">
        <f>Table13456[[#This Row],[TỔNG]]*Table13456[[#This Row],[ĐƠN GIÁ]]</f>
        <v>2900000</v>
      </c>
    </row>
    <row r="9" spans="1:8" x14ac:dyDescent="0.3">
      <c r="A9" s="3" t="s">
        <v>67</v>
      </c>
      <c r="B9" s="3" t="s">
        <v>7</v>
      </c>
      <c r="C9">
        <v>100</v>
      </c>
      <c r="D9" s="4"/>
      <c r="E9" s="5"/>
      <c r="F9">
        <f>Table13456[[#This Row],[NT]]+Table13456[[#This Row],[TMART]]</f>
        <v>100</v>
      </c>
      <c r="G9" s="1">
        <v>26000</v>
      </c>
      <c r="H9" s="2">
        <f>Table13456[[#This Row],[TỔNG]]*Table13456[[#This Row],[ĐƠN GIÁ]]</f>
        <v>2600000</v>
      </c>
    </row>
    <row r="10" spans="1:8" x14ac:dyDescent="0.3">
      <c r="A10" s="3" t="s">
        <v>45</v>
      </c>
      <c r="B10" s="4" t="s">
        <v>7</v>
      </c>
      <c r="C10">
        <v>200</v>
      </c>
      <c r="F10">
        <f>Table13456[[#This Row],[NT]]+Table13456[[#This Row],[TMART]]</f>
        <v>200</v>
      </c>
      <c r="G10" s="1">
        <f>VLOOKUP(Table13456[[#This Row],[MẶT HÀNG]],Table1345[[MẶT HÀNG]:[ĐƠN GIÁ]],7,0)</f>
        <v>24000</v>
      </c>
      <c r="H10" s="2">
        <f>Table13456[[#This Row],[TỔNG]]*Table13456[[#This Row],[ĐƠN GIÁ]]</f>
        <v>4800000</v>
      </c>
    </row>
    <row r="11" spans="1:8" x14ac:dyDescent="0.3">
      <c r="A11" s="3" t="s">
        <v>46</v>
      </c>
      <c r="B11" s="4" t="s">
        <v>9</v>
      </c>
      <c r="C11">
        <v>200</v>
      </c>
      <c r="F11">
        <f>Table13456[[#This Row],[NT]]+Table13456[[#This Row],[TMART]]</f>
        <v>200</v>
      </c>
      <c r="G11" s="1">
        <f>VLOOKUP(Table13456[[#This Row],[MẶT HÀNG]],Table1345[[MẶT HÀNG]:[ĐƠN GIÁ]],7,0)</f>
        <v>11000</v>
      </c>
      <c r="H11" s="2">
        <f>Table13456[[#This Row],[TỔNG]]*Table13456[[#This Row],[ĐƠN GIÁ]]</f>
        <v>2200000</v>
      </c>
    </row>
    <row r="12" spans="1:8" x14ac:dyDescent="0.3">
      <c r="A12" s="3" t="s">
        <v>89</v>
      </c>
      <c r="B12" s="4" t="s">
        <v>7</v>
      </c>
      <c r="C12">
        <v>40</v>
      </c>
      <c r="F12">
        <f>Table13456[[#This Row],[NT]]+Table13456[[#This Row],[TMART]]</f>
        <v>40</v>
      </c>
      <c r="G12" s="1">
        <v>22000</v>
      </c>
      <c r="H12" s="2">
        <f>Table13456[[#This Row],[TỔNG]]*Table13456[[#This Row],[ĐƠN GIÁ]]</f>
        <v>880000</v>
      </c>
    </row>
    <row r="13" spans="1:8" x14ac:dyDescent="0.3">
      <c r="A13" s="3" t="s">
        <v>81</v>
      </c>
      <c r="B13" s="4" t="s">
        <v>48</v>
      </c>
      <c r="C13">
        <v>100</v>
      </c>
      <c r="F13">
        <f>Table13456[[#This Row],[NT]]+Table13456[[#This Row],[TMART]]</f>
        <v>100</v>
      </c>
      <c r="G13" s="1">
        <f>VLOOKUP(Table13456[[#This Row],[MẶT HÀNG]],Table1345[[MẶT HÀNG]:[ĐƠN GIÁ]],7,0)</f>
        <v>11400</v>
      </c>
      <c r="H13" s="2">
        <f>Table13456[[#This Row],[TỔNG]]*Table13456[[#This Row],[ĐƠN GIÁ]]</f>
        <v>1140000</v>
      </c>
    </row>
    <row r="14" spans="1:8" x14ac:dyDescent="0.3">
      <c r="A14" s="3" t="s">
        <v>70</v>
      </c>
      <c r="B14" s="4" t="s">
        <v>7</v>
      </c>
      <c r="C14">
        <v>40</v>
      </c>
      <c r="F14">
        <f>Table13456[[#This Row],[NT]]+Table13456[[#This Row],[TMART]]</f>
        <v>40</v>
      </c>
      <c r="G14" s="1">
        <f>VLOOKUP(Table13456[[#This Row],[MẶT HÀNG]],Table1345[[MẶT HÀNG]:[ĐƠN GIÁ]],7,0)</f>
        <v>38000</v>
      </c>
      <c r="H14" s="2">
        <f>Table13456[[#This Row],[TỔNG]]*Table13456[[#This Row],[ĐƠN GIÁ]]</f>
        <v>1520000</v>
      </c>
    </row>
    <row r="15" spans="1:8" x14ac:dyDescent="0.3">
      <c r="A15" s="3" t="s">
        <v>47</v>
      </c>
      <c r="B15" s="4" t="s">
        <v>48</v>
      </c>
      <c r="C15">
        <v>80</v>
      </c>
      <c r="F15">
        <f>Table13456[[#This Row],[NT]]+Table13456[[#This Row],[TMART]]</f>
        <v>80</v>
      </c>
      <c r="G15" s="1">
        <f>VLOOKUP(Table13456[[#This Row],[MẶT HÀNG]],Table1345[[MẶT HÀNG]:[ĐƠN GIÁ]],7,0)</f>
        <v>15450</v>
      </c>
      <c r="H15" s="2">
        <f>Table13456[[#This Row],[TỔNG]]*Table13456[[#This Row],[ĐƠN GIÁ]]</f>
        <v>1236000</v>
      </c>
    </row>
    <row r="16" spans="1:8" x14ac:dyDescent="0.3">
      <c r="A16" s="3" t="s">
        <v>50</v>
      </c>
      <c r="B16" s="4" t="s">
        <v>7</v>
      </c>
      <c r="C16">
        <v>50</v>
      </c>
      <c r="F16">
        <f>Table13456[[#This Row],[NT]]+Table13456[[#This Row],[TMART]]</f>
        <v>50</v>
      </c>
      <c r="G16" s="1">
        <f>VLOOKUP(Table13456[[#This Row],[MẶT HÀNG]],Table1345[[MẶT HÀNG]:[ĐƠN GIÁ]],7,0)</f>
        <v>23000</v>
      </c>
      <c r="H16" s="2">
        <f>Table13456[[#This Row],[TỔNG]]*Table13456[[#This Row],[ĐƠN GIÁ]]</f>
        <v>1150000</v>
      </c>
    </row>
    <row r="17" spans="1:8" x14ac:dyDescent="0.3">
      <c r="A17" s="3" t="s">
        <v>6</v>
      </c>
      <c r="B17" s="4" t="s">
        <v>7</v>
      </c>
      <c r="C17">
        <v>140</v>
      </c>
      <c r="F17">
        <f>Table13456[[#This Row],[NT]]+Table13456[[#This Row],[TMART]]</f>
        <v>140</v>
      </c>
      <c r="G17" s="1">
        <f>VLOOKUP(Table13456[[#This Row],[MẶT HÀNG]],Table1345[[MẶT HÀNG]:[ĐƠN GIÁ]],7,0)</f>
        <v>19000</v>
      </c>
      <c r="H17" s="2">
        <f>Table13456[[#This Row],[TỔNG]]*Table13456[[#This Row],[ĐƠN GIÁ]]</f>
        <v>2660000</v>
      </c>
    </row>
    <row r="18" spans="1:8" ht="14.4" customHeight="1" x14ac:dyDescent="0.3">
      <c r="A18" s="3" t="s">
        <v>8</v>
      </c>
      <c r="B18" s="4" t="s">
        <v>9</v>
      </c>
      <c r="C18">
        <v>60</v>
      </c>
      <c r="F18">
        <f>Table13456[[#This Row],[NT]]+Table13456[[#This Row],[TMART]]</f>
        <v>60</v>
      </c>
      <c r="G18" s="1">
        <f>VLOOKUP(Table13456[[#This Row],[MẶT HÀNG]],Table1345[[MẶT HÀNG]:[ĐƠN GIÁ]],7,0)</f>
        <v>11600</v>
      </c>
      <c r="H18" s="2">
        <f>Table13456[[#This Row],[TỔNG]]*Table13456[[#This Row],[ĐƠN GIÁ]]</f>
        <v>696000</v>
      </c>
    </row>
    <row r="19" spans="1:8" x14ac:dyDescent="0.3">
      <c r="A19" s="3" t="s">
        <v>20</v>
      </c>
      <c r="B19" s="4" t="s">
        <v>7</v>
      </c>
      <c r="C19">
        <v>60</v>
      </c>
      <c r="F19">
        <f>Table13456[[#This Row],[NT]]+Table13456[[#This Row],[TMART]]</f>
        <v>60</v>
      </c>
      <c r="G19" s="1">
        <v>35000</v>
      </c>
      <c r="H19" s="2">
        <f>Table13456[[#This Row],[TỔNG]]*Table13456[[#This Row],[ĐƠN GIÁ]]</f>
        <v>2100000</v>
      </c>
    </row>
    <row r="20" spans="1:8" x14ac:dyDescent="0.3">
      <c r="A20" s="3" t="s">
        <v>23</v>
      </c>
      <c r="B20" s="4" t="s">
        <v>22</v>
      </c>
      <c r="C20">
        <v>203</v>
      </c>
      <c r="F20">
        <f>Table13456[[#This Row],[NT]]+Table13456[[#This Row],[TMART]]</f>
        <v>203</v>
      </c>
      <c r="G20" s="1">
        <f>34000*0.3</f>
        <v>10200</v>
      </c>
      <c r="H20" s="2">
        <f>Table13456[[#This Row],[TỔNG]]*Table13456[[#This Row],[ĐƠN GIÁ]]</f>
        <v>2070600</v>
      </c>
    </row>
    <row r="21" spans="1:8" ht="28.8" x14ac:dyDescent="0.3">
      <c r="A21" s="3" t="s">
        <v>23</v>
      </c>
      <c r="B21" s="4" t="s">
        <v>24</v>
      </c>
      <c r="C21">
        <v>10</v>
      </c>
      <c r="F21">
        <f>Table13456[[#This Row],[NT]]+Table13456[[#This Row],[TMART]]</f>
        <v>10</v>
      </c>
      <c r="G21" s="1">
        <f>34000*0.15</f>
        <v>5100</v>
      </c>
      <c r="H21" s="2">
        <f>Table13456[[#This Row],[TỔNG]]*Table13456[[#This Row],[ĐƠN GIÁ]]</f>
        <v>51000</v>
      </c>
    </row>
    <row r="22" spans="1:8" x14ac:dyDescent="0.3">
      <c r="A22" s="3" t="s">
        <v>25</v>
      </c>
      <c r="B22" s="4" t="s">
        <v>7</v>
      </c>
      <c r="C22">
        <v>50</v>
      </c>
      <c r="F22">
        <f>Table13456[[#This Row],[NT]]+Table13456[[#This Row],[TMART]]</f>
        <v>50</v>
      </c>
      <c r="G22" s="1">
        <f>VLOOKUP(Table13456[[#This Row],[MẶT HÀNG]],Table1345[[MẶT HÀNG]:[ĐƠN GIÁ]],7,0)</f>
        <v>7500</v>
      </c>
      <c r="H22" s="2">
        <f>Table13456[[#This Row],[TỔNG]]*Table13456[[#This Row],[ĐƠN GIÁ]]</f>
        <v>375000</v>
      </c>
    </row>
    <row r="23" spans="1:8" ht="15" customHeight="1" x14ac:dyDescent="0.3">
      <c r="A23" s="3" t="s">
        <v>26</v>
      </c>
      <c r="B23" s="4" t="s">
        <v>27</v>
      </c>
      <c r="C23">
        <v>200</v>
      </c>
      <c r="F23">
        <f>Table13456[[#This Row],[NT]]+Table13456[[#This Row],[TMART]]</f>
        <v>200</v>
      </c>
      <c r="G23" s="1">
        <f>13000/2</f>
        <v>6500</v>
      </c>
      <c r="H23" s="2">
        <f>Table13456[[#This Row],[TỔNG]]*Table13456[[#This Row],[ĐƠN GIÁ]]</f>
        <v>1300000</v>
      </c>
    </row>
    <row r="24" spans="1:8" x14ac:dyDescent="0.3">
      <c r="A24" s="3" t="s">
        <v>10</v>
      </c>
      <c r="B24" s="4" t="s">
        <v>7</v>
      </c>
      <c r="C24">
        <v>70</v>
      </c>
      <c r="F24">
        <f>Table13456[[#This Row],[NT]]+Table13456[[#This Row],[TMART]]</f>
        <v>70</v>
      </c>
      <c r="G24" s="1">
        <f>VLOOKUP(Table13456[[#This Row],[MẶT HÀNG]],Table1345[[MẶT HÀNG]:[ĐƠN GIÁ]],7,0)</f>
        <v>6000</v>
      </c>
      <c r="H24" s="2">
        <f>Table13456[[#This Row],[TỔNG]]*Table13456[[#This Row],[ĐƠN GIÁ]]</f>
        <v>420000</v>
      </c>
    </row>
    <row r="25" spans="1:8" x14ac:dyDescent="0.3">
      <c r="A25" s="3" t="s">
        <v>11</v>
      </c>
      <c r="B25" s="4" t="s">
        <v>7</v>
      </c>
      <c r="C25">
        <v>20</v>
      </c>
      <c r="F25">
        <f>Table13456[[#This Row],[NT]]+Table13456[[#This Row],[TMART]]</f>
        <v>20</v>
      </c>
      <c r="G25" s="1">
        <f>VLOOKUP(Table13456[[#This Row],[MẶT HÀNG]],Table1345[[MẶT HÀNG]:[ĐƠN GIÁ]],7,0)</f>
        <v>15000</v>
      </c>
      <c r="H25" s="2">
        <f>Table13456[[#This Row],[TỔNG]]*Table13456[[#This Row],[ĐƠN GIÁ]]</f>
        <v>300000</v>
      </c>
    </row>
    <row r="26" spans="1:8" x14ac:dyDescent="0.3">
      <c r="A26" s="3" t="s">
        <v>12</v>
      </c>
      <c r="B26" s="4" t="s">
        <v>7</v>
      </c>
      <c r="C26">
        <v>44</v>
      </c>
      <c r="F26">
        <f>Table13456[[#This Row],[NT]]+Table13456[[#This Row],[TMART]]</f>
        <v>44</v>
      </c>
      <c r="G26" s="1">
        <f>VLOOKUP(Table13456[[#This Row],[MẶT HÀNG]],Table1345[[MẶT HÀNG]:[ĐƠN GIÁ]],7,0)</f>
        <v>28000</v>
      </c>
      <c r="H26" s="2">
        <f>Table13456[[#This Row],[TỔNG]]*Table13456[[#This Row],[ĐƠN GIÁ]]</f>
        <v>1232000</v>
      </c>
    </row>
    <row r="27" spans="1:8" x14ac:dyDescent="0.3">
      <c r="A27" s="3" t="s">
        <v>13</v>
      </c>
      <c r="B27" s="4" t="s">
        <v>7</v>
      </c>
      <c r="C27">
        <v>85</v>
      </c>
      <c r="F27">
        <f>Table13456[[#This Row],[NT]]+Table13456[[#This Row],[TMART]]</f>
        <v>85</v>
      </c>
      <c r="G27" s="1">
        <f>VLOOKUP(Table13456[[#This Row],[MẶT HÀNG]],Table1345[[MẶT HÀNG]:[ĐƠN GIÁ]],7,0)</f>
        <v>22000</v>
      </c>
      <c r="H27" s="2">
        <f>Table13456[[#This Row],[TỔNG]]*Table13456[[#This Row],[ĐƠN GIÁ]]</f>
        <v>1870000</v>
      </c>
    </row>
    <row r="28" spans="1:8" x14ac:dyDescent="0.3">
      <c r="A28" s="3" t="s">
        <v>14</v>
      </c>
      <c r="B28" s="4" t="s">
        <v>7</v>
      </c>
      <c r="C28">
        <v>100</v>
      </c>
      <c r="F28">
        <f>Table13456[[#This Row],[NT]]+Table13456[[#This Row],[TMART]]</f>
        <v>100</v>
      </c>
      <c r="G28" s="1">
        <f>VLOOKUP(Table13456[[#This Row],[MẶT HÀNG]],Table1345[[MẶT HÀNG]:[ĐƠN GIÁ]],7,0)</f>
        <v>20000</v>
      </c>
      <c r="H28" s="2">
        <f>Table13456[[#This Row],[TỔNG]]*Table13456[[#This Row],[ĐƠN GIÁ]]</f>
        <v>2000000</v>
      </c>
    </row>
    <row r="29" spans="1:8" x14ac:dyDescent="0.3">
      <c r="A29" s="3" t="s">
        <v>15</v>
      </c>
      <c r="B29" s="4" t="s">
        <v>7</v>
      </c>
      <c r="C29">
        <v>9</v>
      </c>
      <c r="F29">
        <f>Table13456[[#This Row],[NT]]+Table13456[[#This Row],[TMART]]</f>
        <v>9</v>
      </c>
      <c r="G29" s="1">
        <v>28000</v>
      </c>
      <c r="H29" s="2">
        <f>Table13456[[#This Row],[TỔNG]]*Table13456[[#This Row],[ĐƠN GIÁ]]</f>
        <v>252000</v>
      </c>
    </row>
    <row r="30" spans="1:8" x14ac:dyDescent="0.3">
      <c r="A30" s="3" t="s">
        <v>93</v>
      </c>
      <c r="B30" s="4" t="s">
        <v>22</v>
      </c>
      <c r="C30">
        <v>40</v>
      </c>
      <c r="F30">
        <f>Table13456[[#This Row],[NT]]+Table13456[[#This Row],[TMART]]</f>
        <v>40</v>
      </c>
      <c r="G30" s="1">
        <f>15000/2</f>
        <v>7500</v>
      </c>
      <c r="H30" s="2">
        <f>Table13456[[#This Row],[TỔNG]]*Table13456[[#This Row],[ĐƠN GIÁ]]</f>
        <v>300000</v>
      </c>
    </row>
    <row r="31" spans="1:8" x14ac:dyDescent="0.3">
      <c r="A31" s="3" t="s">
        <v>51</v>
      </c>
      <c r="B31" s="4" t="s">
        <v>9</v>
      </c>
      <c r="C31">
        <v>40</v>
      </c>
      <c r="F31">
        <f>Table13456[[#This Row],[NT]]+Table13456[[#This Row],[TMART]]</f>
        <v>40</v>
      </c>
      <c r="G31" s="1">
        <f>VLOOKUP(Table13456[[#This Row],[MẶT HÀNG]],Table1345[[MẶT HÀNG]:[ĐƠN GIÁ]],7,0)</f>
        <v>6750</v>
      </c>
      <c r="H31" s="2">
        <f>Table13456[[#This Row],[TỔNG]]*Table13456[[#This Row],[ĐƠN GIÁ]]</f>
        <v>270000</v>
      </c>
    </row>
    <row r="32" spans="1:8" ht="14.4" customHeight="1" x14ac:dyDescent="0.3">
      <c r="A32" s="3" t="s">
        <v>54</v>
      </c>
      <c r="B32" s="4" t="s">
        <v>9</v>
      </c>
      <c r="C32">
        <v>270</v>
      </c>
      <c r="F32">
        <f>Table13456[[#This Row],[NT]]+Table13456[[#This Row],[TMART]]</f>
        <v>270</v>
      </c>
      <c r="G32" s="1">
        <f>VLOOKUP(Table13456[[#This Row],[MẶT HÀNG]],Table1345[[MẶT HÀNG]:[ĐƠN GIÁ]],7,0)</f>
        <v>8500</v>
      </c>
      <c r="H32" s="2">
        <f>Table13456[[#This Row],[TỔNG]]*Table13456[[#This Row],[ĐƠN GIÁ]]</f>
        <v>2295000</v>
      </c>
    </row>
    <row r="33" spans="1:8" x14ac:dyDescent="0.3">
      <c r="A33" s="3" t="s">
        <v>52</v>
      </c>
      <c r="B33" s="4" t="s">
        <v>22</v>
      </c>
      <c r="C33">
        <v>60</v>
      </c>
      <c r="F33">
        <f>Table13456[[#This Row],[NT]]+Table13456[[#This Row],[TMART]]</f>
        <v>60</v>
      </c>
      <c r="G33" s="1">
        <f>23000*0.3</f>
        <v>6900</v>
      </c>
      <c r="H33" s="2">
        <f>Table13456[[#This Row],[TỔNG]]*Table13456[[#This Row],[ĐƠN GIÁ]]</f>
        <v>414000</v>
      </c>
    </row>
    <row r="34" spans="1:8" x14ac:dyDescent="0.3">
      <c r="A34" s="3" t="s">
        <v>95</v>
      </c>
      <c r="B34" s="4" t="s">
        <v>7</v>
      </c>
      <c r="C34">
        <v>6</v>
      </c>
      <c r="F34">
        <f>Table13456[[#This Row],[NT]]+Table13456[[#This Row],[TMART]]</f>
        <v>6</v>
      </c>
      <c r="G34" s="1">
        <f>VLOOKUP(Table13456[[#This Row],[MẶT HÀNG]],Table1345[[MẶT HÀNG]:[ĐƠN GIÁ]],7,0)</f>
        <v>80000</v>
      </c>
      <c r="H34" s="2">
        <f>Table13456[[#This Row],[TỔNG]]*Table13456[[#This Row],[ĐƠN GIÁ]]</f>
        <v>480000</v>
      </c>
    </row>
    <row r="35" spans="1:8" x14ac:dyDescent="0.3">
      <c r="A35" s="3" t="s">
        <v>28</v>
      </c>
      <c r="B35" s="4" t="s">
        <v>27</v>
      </c>
      <c r="C35">
        <v>60</v>
      </c>
      <c r="F35">
        <f>Table13456[[#This Row],[NT]]+Table13456[[#This Row],[TMART]]</f>
        <v>60</v>
      </c>
      <c r="G35" s="1">
        <f>VLOOKUP(Table13456[[#This Row],[MẶT HÀNG]],Table1345[[MẶT HÀNG]:[ĐƠN GIÁ]],7,0)</f>
        <v>48000</v>
      </c>
      <c r="H35" s="2">
        <f>Table13456[[#This Row],[TỔNG]]*Table13456[[#This Row],[ĐƠN GIÁ]]</f>
        <v>2880000</v>
      </c>
    </row>
    <row r="36" spans="1:8" x14ac:dyDescent="0.3">
      <c r="A36" s="3" t="s">
        <v>72</v>
      </c>
      <c r="B36" s="4" t="s">
        <v>48</v>
      </c>
      <c r="C36">
        <v>100</v>
      </c>
      <c r="F36">
        <f>Table13456[[#This Row],[NT]]+Table13456[[#This Row],[TMART]]</f>
        <v>100</v>
      </c>
      <c r="G36" s="1">
        <f>VLOOKUP(Table13456[[#This Row],[MẶT HÀNG]],Table1345[[MẶT HÀNG]:[ĐƠN GIÁ]],7,0)</f>
        <v>100000</v>
      </c>
      <c r="H36" s="2">
        <f>Table13456[[#This Row],[TỔNG]]*Table13456[[#This Row],[ĐƠN GIÁ]]</f>
        <v>10000000</v>
      </c>
    </row>
    <row r="37" spans="1:8" x14ac:dyDescent="0.3">
      <c r="A37" s="3" t="s">
        <v>73</v>
      </c>
      <c r="B37" s="3" t="s">
        <v>7</v>
      </c>
      <c r="C37">
        <v>6</v>
      </c>
      <c r="D37" s="4"/>
      <c r="E37" s="5"/>
      <c r="F37">
        <f>Table13456[[#This Row],[NT]]+Table13456[[#This Row],[TMART]]</f>
        <v>6</v>
      </c>
      <c r="G37" s="1">
        <f>VLOOKUP(Table13456[[#This Row],[MẶT HÀNG]],Table1345[[MẶT HÀNG]:[ĐƠN GIÁ]],7,0)</f>
        <v>27000</v>
      </c>
      <c r="H37" s="2">
        <f>Table13456[[#This Row],[TỔNG]]*Table13456[[#This Row],[ĐƠN GIÁ]]</f>
        <v>162000</v>
      </c>
    </row>
    <row r="38" spans="1:8" x14ac:dyDescent="0.3">
      <c r="A38" s="3" t="s">
        <v>100</v>
      </c>
      <c r="B38" s="4" t="s">
        <v>7</v>
      </c>
      <c r="C38">
        <v>0.5</v>
      </c>
      <c r="F38">
        <f>Table13456[[#This Row],[NT]]+Table13456[[#This Row],[TMART]]</f>
        <v>0.5</v>
      </c>
      <c r="G38" s="1">
        <v>100000</v>
      </c>
      <c r="H38" s="2">
        <f>Table13456[[#This Row],[TỔNG]]*Table13456[[#This Row],[ĐƠN GIÁ]]</f>
        <v>50000</v>
      </c>
    </row>
    <row r="39" spans="1:8" ht="14.4" customHeight="1" x14ac:dyDescent="0.3">
      <c r="A39" s="3" t="s">
        <v>29</v>
      </c>
      <c r="B39" s="4" t="s">
        <v>22</v>
      </c>
      <c r="C39">
        <v>296</v>
      </c>
      <c r="F39">
        <f>Table13456[[#This Row],[NT]]+Table13456[[#This Row],[TMART]]</f>
        <v>296</v>
      </c>
      <c r="G39" s="1">
        <v>2200</v>
      </c>
      <c r="H39" s="2">
        <f>Table13456[[#This Row],[TỔNG]]*Table13456[[#This Row],[ĐƠN GIÁ]]</f>
        <v>651200</v>
      </c>
    </row>
    <row r="40" spans="1:8" x14ac:dyDescent="0.3">
      <c r="A40" s="3" t="s">
        <v>29</v>
      </c>
      <c r="B40" s="4" t="s">
        <v>7</v>
      </c>
      <c r="C40">
        <v>10</v>
      </c>
      <c r="F40">
        <f>Table13456[[#This Row],[NT]]+Table13456[[#This Row],[TMART]]</f>
        <v>10</v>
      </c>
      <c r="G40" s="1">
        <v>44000</v>
      </c>
      <c r="H40" s="2">
        <f>Table13456[[#This Row],[TỔNG]]*Table13456[[#This Row],[ĐƠN GIÁ]]</f>
        <v>440000</v>
      </c>
    </row>
    <row r="41" spans="1:8" x14ac:dyDescent="0.3">
      <c r="A41" s="3" t="s">
        <v>101</v>
      </c>
      <c r="B41" s="4" t="s">
        <v>7</v>
      </c>
      <c r="C41">
        <v>3.5</v>
      </c>
      <c r="F41">
        <f>Table13456[[#This Row],[NT]]+Table13456[[#This Row],[TMART]]</f>
        <v>3.5</v>
      </c>
      <c r="G41" s="1">
        <v>110000</v>
      </c>
      <c r="H41" s="2">
        <f>Table13456[[#This Row],[TỔNG]]*Table13456[[#This Row],[ĐƠN GIÁ]]</f>
        <v>385000</v>
      </c>
    </row>
    <row r="42" spans="1:8" x14ac:dyDescent="0.3">
      <c r="A42" s="3" t="s">
        <v>31</v>
      </c>
      <c r="B42" s="4" t="s">
        <v>7</v>
      </c>
      <c r="C42">
        <v>0.5</v>
      </c>
      <c r="F42">
        <f>Table13456[[#This Row],[NT]]+Table13456[[#This Row],[TMART]]</f>
        <v>0.5</v>
      </c>
      <c r="G42" s="1">
        <f>48000</f>
        <v>48000</v>
      </c>
      <c r="H42" s="2">
        <f>Table13456[[#This Row],[TỔNG]]*Table13456[[#This Row],[ĐƠN GIÁ]]</f>
        <v>24000</v>
      </c>
    </row>
    <row r="43" spans="1:8" x14ac:dyDescent="0.3">
      <c r="A43" s="3" t="s">
        <v>32</v>
      </c>
      <c r="B43" s="4" t="s">
        <v>7</v>
      </c>
      <c r="C43">
        <v>25</v>
      </c>
      <c r="F43">
        <f>Table13456[[#This Row],[NT]]+Table13456[[#This Row],[TMART]]</f>
        <v>25</v>
      </c>
      <c r="G43" s="1">
        <f>48000</f>
        <v>48000</v>
      </c>
      <c r="H43" s="2">
        <f>Table13456[[#This Row],[TỔNG]]*Table13456[[#This Row],[ĐƠN GIÁ]]</f>
        <v>1200000</v>
      </c>
    </row>
    <row r="44" spans="1:8" x14ac:dyDescent="0.3">
      <c r="A44" s="3" t="s">
        <v>57</v>
      </c>
      <c r="B44" s="4" t="s">
        <v>7</v>
      </c>
      <c r="C44">
        <v>25</v>
      </c>
      <c r="F44">
        <f>Table13456[[#This Row],[NT]]+Table13456[[#This Row],[TMART]]</f>
        <v>25</v>
      </c>
      <c r="G44" s="1">
        <v>50000</v>
      </c>
      <c r="H44" s="2">
        <f>Table13456[[#This Row],[TỔNG]]*Table13456[[#This Row],[ĐƠN GIÁ]]</f>
        <v>1250000</v>
      </c>
    </row>
    <row r="45" spans="1:8" ht="28.8" x14ac:dyDescent="0.3">
      <c r="A45" s="3" t="s">
        <v>58</v>
      </c>
      <c r="B45" s="4" t="s">
        <v>59</v>
      </c>
      <c r="C45">
        <v>200</v>
      </c>
      <c r="F45">
        <f>Table13456[[#This Row],[NT]]+Table13456[[#This Row],[TMART]]</f>
        <v>200</v>
      </c>
      <c r="G45" s="1">
        <f>46000/4</f>
        <v>11500</v>
      </c>
      <c r="H45" s="2">
        <f>Table13456[[#This Row],[TỔNG]]*Table13456[[#This Row],[ĐƠN GIÁ]]</f>
        <v>2300000</v>
      </c>
    </row>
    <row r="46" spans="1:8" x14ac:dyDescent="0.3">
      <c r="A46" s="3" t="s">
        <v>60</v>
      </c>
      <c r="B46" s="4" t="s">
        <v>7</v>
      </c>
      <c r="C46">
        <v>16</v>
      </c>
      <c r="F46">
        <f>Table13456[[#This Row],[NT]]+Table13456[[#This Row],[TMART]]</f>
        <v>16</v>
      </c>
      <c r="G46" s="1">
        <v>55000</v>
      </c>
      <c r="H46" s="2">
        <f>Table13456[[#This Row],[TỔNG]]*Table13456[[#This Row],[ĐƠN GIÁ]]</f>
        <v>880000</v>
      </c>
    </row>
    <row r="47" spans="1:8" ht="28.8" x14ac:dyDescent="0.3">
      <c r="A47" s="3" t="s">
        <v>61</v>
      </c>
      <c r="B47" s="4" t="s">
        <v>59</v>
      </c>
      <c r="C47">
        <v>100</v>
      </c>
      <c r="F47">
        <f>Table13456[[#This Row],[NT]]+Table13456[[#This Row],[TMART]]</f>
        <v>100</v>
      </c>
      <c r="G47" s="1">
        <v>9000</v>
      </c>
      <c r="H47" s="2">
        <f>Table13456[[#This Row],[TỔNG]]*Table13456[[#This Row],[ĐƠN GIÁ]]</f>
        <v>900000</v>
      </c>
    </row>
    <row r="48" spans="1:8" ht="28.8" x14ac:dyDescent="0.3">
      <c r="A48" s="3" t="s">
        <v>62</v>
      </c>
      <c r="B48" s="4" t="s">
        <v>59</v>
      </c>
      <c r="C48">
        <v>20</v>
      </c>
      <c r="F48">
        <f>Table13456[[#This Row],[NT]]+Table13456[[#This Row],[TMART]]</f>
        <v>20</v>
      </c>
      <c r="G48" s="1">
        <f>38000/4</f>
        <v>9500</v>
      </c>
      <c r="H48" s="2">
        <f>Table13456[[#This Row],[TỔNG]]*Table13456[[#This Row],[ĐƠN GIÁ]]</f>
        <v>190000</v>
      </c>
    </row>
    <row r="49" spans="1:8" ht="14.4" customHeight="1" x14ac:dyDescent="0.3">
      <c r="A49" s="3" t="s">
        <v>63</v>
      </c>
      <c r="B49" s="4" t="s">
        <v>22</v>
      </c>
      <c r="C49">
        <v>200</v>
      </c>
      <c r="F49">
        <f>Table13456[[#This Row],[NT]]+Table13456[[#This Row],[TMART]]</f>
        <v>200</v>
      </c>
      <c r="G49" s="1">
        <v>20000</v>
      </c>
      <c r="H49" s="2">
        <f>Table13456[[#This Row],[TỔNG]]*Table13456[[#This Row],[ĐƠN GIÁ]]</f>
        <v>4000000</v>
      </c>
    </row>
    <row r="50" spans="1:8" x14ac:dyDescent="0.3">
      <c r="A50" s="3" t="s">
        <v>33</v>
      </c>
      <c r="B50" s="4" t="s">
        <v>7</v>
      </c>
      <c r="C50">
        <v>10</v>
      </c>
      <c r="F50">
        <f>Table13456[[#This Row],[NT]]+Table13456[[#This Row],[TMART]]</f>
        <v>10</v>
      </c>
      <c r="G50" s="1">
        <v>35000</v>
      </c>
      <c r="H50" s="2">
        <f>Table13456[[#This Row],[TỔNG]]*Table13456[[#This Row],[ĐƠN GIÁ]]</f>
        <v>350000</v>
      </c>
    </row>
    <row r="51" spans="1:8" x14ac:dyDescent="0.3">
      <c r="A51" s="3" t="s">
        <v>64</v>
      </c>
      <c r="B51" s="4" t="s">
        <v>7</v>
      </c>
      <c r="C51">
        <v>15</v>
      </c>
      <c r="F51">
        <f>Table13456[[#This Row],[NT]]+Table13456[[#This Row],[TMART]]</f>
        <v>15</v>
      </c>
      <c r="G51" s="1">
        <v>60000</v>
      </c>
      <c r="H51" s="2">
        <f>Table13456[[#This Row],[TỔNG]]*Table13456[[#This Row],[ĐƠN GIÁ]]</f>
        <v>900000</v>
      </c>
    </row>
    <row r="52" spans="1:8" x14ac:dyDescent="0.3">
      <c r="A52" s="3" t="s">
        <v>34</v>
      </c>
      <c r="B52" s="4" t="s">
        <v>7</v>
      </c>
      <c r="C52">
        <v>194</v>
      </c>
      <c r="F52">
        <f>Table13456[[#This Row],[NT]]+Table13456[[#This Row],[TMART]]</f>
        <v>194</v>
      </c>
      <c r="G52" s="1">
        <v>34000</v>
      </c>
      <c r="H52" s="2">
        <f>Table13456[[#This Row],[TỔNG]]*Table13456[[#This Row],[ĐƠN GIÁ]]</f>
        <v>6596000</v>
      </c>
    </row>
    <row r="53" spans="1:8" x14ac:dyDescent="0.3">
      <c r="A53" s="3" t="s">
        <v>35</v>
      </c>
      <c r="B53" s="4" t="s">
        <v>7</v>
      </c>
      <c r="C53">
        <v>30</v>
      </c>
      <c r="F53">
        <f>Table13456[[#This Row],[NT]]+Table13456[[#This Row],[TMART]]</f>
        <v>30</v>
      </c>
      <c r="G53" s="1">
        <v>28000</v>
      </c>
      <c r="H53" s="2">
        <f>Table13456[[#This Row],[TỔNG]]*Table13456[[#This Row],[ĐƠN GIÁ]]</f>
        <v>840000</v>
      </c>
    </row>
    <row r="54" spans="1:8" x14ac:dyDescent="0.3">
      <c r="A54" s="3" t="s">
        <v>36</v>
      </c>
      <c r="B54" s="4" t="s">
        <v>27</v>
      </c>
      <c r="C54">
        <v>120</v>
      </c>
      <c r="F54">
        <f>Table13456[[#This Row],[NT]]+Table13456[[#This Row],[TMART]]</f>
        <v>120</v>
      </c>
      <c r="G54" s="1">
        <v>6800</v>
      </c>
      <c r="H54" s="2">
        <f>Table13456[[#This Row],[TỔNG]]*Table13456[[#This Row],[ĐƠN GIÁ]]</f>
        <v>816000</v>
      </c>
    </row>
    <row r="55" spans="1:8" x14ac:dyDescent="0.3">
      <c r="A55" s="3" t="s">
        <v>40</v>
      </c>
      <c r="B55" s="4" t="s">
        <v>7</v>
      </c>
      <c r="C55">
        <v>60</v>
      </c>
      <c r="F55">
        <f>Table13456[[#This Row],[NT]]+Table13456[[#This Row],[TMART]]</f>
        <v>60</v>
      </c>
      <c r="G55" s="1">
        <v>28000</v>
      </c>
      <c r="H55" s="2">
        <f>Table13456[[#This Row],[TỔNG]]*Table13456[[#This Row],[ĐƠN GIÁ]]</f>
        <v>1680000</v>
      </c>
    </row>
    <row r="56" spans="1:8" x14ac:dyDescent="0.3">
      <c r="A56" s="3" t="s">
        <v>39</v>
      </c>
      <c r="B56" s="4" t="s">
        <v>7</v>
      </c>
      <c r="C56">
        <v>20</v>
      </c>
      <c r="F56">
        <f>Table13456[[#This Row],[NT]]+Table13456[[#This Row],[TMART]]</f>
        <v>20</v>
      </c>
      <c r="G56" s="1">
        <v>38000</v>
      </c>
      <c r="H56" s="2">
        <f>Table13456[[#This Row],[TỔNG]]*Table13456[[#This Row],[ĐƠN GIÁ]]</f>
        <v>760000</v>
      </c>
    </row>
    <row r="57" spans="1:8" x14ac:dyDescent="0.3">
      <c r="A57" s="3" t="s">
        <v>82</v>
      </c>
      <c r="B57" s="4" t="s">
        <v>7</v>
      </c>
      <c r="C57">
        <v>4</v>
      </c>
      <c r="F57">
        <f>Table13456[[#This Row],[NT]]+Table13456[[#This Row],[TMART]]</f>
        <v>4</v>
      </c>
      <c r="G57" s="1">
        <v>120000</v>
      </c>
      <c r="H57" s="2">
        <f>Table13456[[#This Row],[TỔNG]]*Table13456[[#This Row],[ĐƠN GIÁ]]</f>
        <v>480000</v>
      </c>
    </row>
    <row r="58" spans="1:8" x14ac:dyDescent="0.3">
      <c r="A58" s="3" t="s">
        <v>84</v>
      </c>
      <c r="B58" s="4" t="s">
        <v>27</v>
      </c>
      <c r="C58">
        <v>15</v>
      </c>
      <c r="F58">
        <f>Table13456[[#This Row],[NT]]+Table13456[[#This Row],[TMART]]</f>
        <v>15</v>
      </c>
      <c r="G58" s="1">
        <v>6800</v>
      </c>
      <c r="H58" s="2">
        <f>Table13456[[#This Row],[TỔNG]]*Table13456[[#This Row],[ĐƠN GIÁ]]</f>
        <v>102000</v>
      </c>
    </row>
    <row r="59" spans="1:8" x14ac:dyDescent="0.3">
      <c r="G59" s="2"/>
      <c r="H59" s="2">
        <f>SUM(Table13456[TỔNG TIỀN])</f>
        <v>82756000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C083-4A32-4F82-ABEC-14B40978BF38}">
  <dimension ref="A1:H71"/>
  <sheetViews>
    <sheetView topLeftCell="A52" workbookViewId="0">
      <selection sqref="A1:H71"/>
    </sheetView>
  </sheetViews>
  <sheetFormatPr defaultRowHeight="14.4" x14ac:dyDescent="0.3"/>
  <cols>
    <col min="1" max="1" width="35.109375" customWidth="1"/>
    <col min="2" max="2" width="8.21875" customWidth="1"/>
    <col min="7" max="7" width="10.33203125" style="1" bestFit="1" customWidth="1"/>
    <col min="8" max="8" width="12.88671875" customWidth="1"/>
  </cols>
  <sheetData>
    <row r="1" spans="1:8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s="1" t="s">
        <v>76</v>
      </c>
      <c r="H1" t="s">
        <v>77</v>
      </c>
    </row>
    <row r="2" spans="1:8" x14ac:dyDescent="0.3">
      <c r="A2" s="3" t="s">
        <v>78</v>
      </c>
      <c r="B2" s="4" t="s">
        <v>7</v>
      </c>
      <c r="C2">
        <v>40</v>
      </c>
      <c r="F2">
        <f>Table1345[[#This Row],[NT]]+Table1345[[#This Row],[SÓI]]+Table1345[[#This Row],[TMART]]</f>
        <v>40</v>
      </c>
      <c r="G2" s="1">
        <f>VLOOKUP(Table1345[[#This Row],[MẶT HÀNG]],Table134[[MẶT HÀNG]:[ĐƠN GIÁ]],7,0)</f>
        <v>30000</v>
      </c>
      <c r="H2" s="2">
        <f>Table1345[[#This Row],[TỔNG]]*Table1345[[#This Row],[ĐƠN GIÁ]]</f>
        <v>1200000</v>
      </c>
    </row>
    <row r="3" spans="1:8" x14ac:dyDescent="0.3">
      <c r="A3" s="3" t="s">
        <v>79</v>
      </c>
      <c r="B3" s="4" t="s">
        <v>7</v>
      </c>
      <c r="C3">
        <v>15</v>
      </c>
      <c r="F3">
        <f>Table1345[[#This Row],[NT]]+Table1345[[#This Row],[SÓI]]+Table1345[[#This Row],[TMART]]</f>
        <v>15</v>
      </c>
      <c r="G3" s="1">
        <f>VLOOKUP(Table1345[[#This Row],[MẶT HÀNG]],Table134[[MẶT HÀNG]:[ĐƠN GIÁ]],7,0)</f>
        <v>15000</v>
      </c>
      <c r="H3" s="2">
        <f>Table1345[[#This Row],[TỔNG]]*Table1345[[#This Row],[ĐƠN GIÁ]]</f>
        <v>225000</v>
      </c>
    </row>
    <row r="4" spans="1:8" x14ac:dyDescent="0.3">
      <c r="A4" s="3" t="s">
        <v>19</v>
      </c>
      <c r="B4" s="4" t="s">
        <v>7</v>
      </c>
      <c r="C4">
        <v>30</v>
      </c>
      <c r="F4">
        <f>Table1345[[#This Row],[NT]]+Table1345[[#This Row],[SÓI]]+Table1345[[#This Row],[TMART]]</f>
        <v>30</v>
      </c>
      <c r="G4" s="1">
        <v>11000</v>
      </c>
      <c r="H4" s="2">
        <f>Table1345[[#This Row],[TỔNG]]*Table1345[[#This Row],[ĐƠN GIÁ]]</f>
        <v>330000</v>
      </c>
    </row>
    <row r="5" spans="1:8" x14ac:dyDescent="0.3">
      <c r="A5" s="3" t="s">
        <v>80</v>
      </c>
      <c r="B5" s="4" t="s">
        <v>44</v>
      </c>
      <c r="C5">
        <v>100</v>
      </c>
      <c r="F5">
        <f>Table1345[[#This Row],[NT]]+Table1345[[#This Row],[SÓI]]+Table1345[[#This Row],[TMART]]</f>
        <v>100</v>
      </c>
      <c r="G5" s="1">
        <v>4000</v>
      </c>
      <c r="H5" s="2">
        <f>Table1345[[#This Row],[TỔNG]]*Table1345[[#This Row],[ĐƠN GIÁ]]</f>
        <v>400000</v>
      </c>
    </row>
    <row r="6" spans="1:8" x14ac:dyDescent="0.3">
      <c r="A6" s="3" t="s">
        <v>69</v>
      </c>
      <c r="B6" s="4" t="s">
        <v>7</v>
      </c>
      <c r="C6">
        <v>1</v>
      </c>
      <c r="F6">
        <f>Table1345[[#This Row],[NT]]+Table1345[[#This Row],[SÓI]]+Table1345[[#This Row],[TMART]]</f>
        <v>1</v>
      </c>
      <c r="G6" s="1">
        <v>25000</v>
      </c>
      <c r="H6" s="2">
        <f>Table1345[[#This Row],[TỔNG]]*Table1345[[#This Row],[ĐƠN GIÁ]]</f>
        <v>25000</v>
      </c>
    </row>
    <row r="7" spans="1:8" x14ac:dyDescent="0.3">
      <c r="A7" s="3" t="s">
        <v>41</v>
      </c>
      <c r="B7" s="4" t="s">
        <v>7</v>
      </c>
      <c r="C7">
        <v>2</v>
      </c>
      <c r="F7">
        <f>Table1345[[#This Row],[NT]]+Table1345[[#This Row],[SÓI]]+Table1345[[#This Row],[TMART]]</f>
        <v>2</v>
      </c>
      <c r="G7" s="1">
        <v>21000</v>
      </c>
      <c r="H7" s="2">
        <f>Table1345[[#This Row],[TỔNG]]*Table1345[[#This Row],[ĐƠN GIÁ]]</f>
        <v>42000</v>
      </c>
    </row>
    <row r="8" spans="1:8" ht="28.8" x14ac:dyDescent="0.3">
      <c r="A8" s="3" t="s">
        <v>41</v>
      </c>
      <c r="B8" s="4" t="s">
        <v>42</v>
      </c>
      <c r="C8">
        <v>400</v>
      </c>
      <c r="E8">
        <v>15</v>
      </c>
      <c r="F8">
        <f>Table1345[[#This Row],[NT]]+Table1345[[#This Row],[SÓI]]+Table1345[[#This Row],[TMART]]</f>
        <v>415</v>
      </c>
      <c r="G8" s="1">
        <f>21000*0.3</f>
        <v>6300</v>
      </c>
      <c r="H8" s="2">
        <f>Table1345[[#This Row],[TỔNG]]*Table1345[[#This Row],[ĐƠN GIÁ]]</f>
        <v>2614500</v>
      </c>
    </row>
    <row r="9" spans="1:8" x14ac:dyDescent="0.3">
      <c r="A9" s="3" t="s">
        <v>43</v>
      </c>
      <c r="B9" s="3" t="s">
        <v>44</v>
      </c>
      <c r="C9">
        <v>330</v>
      </c>
      <c r="D9" s="4"/>
      <c r="E9" s="5">
        <v>20</v>
      </c>
      <c r="F9">
        <f>Table1345[[#This Row],[NT]]+Table1345[[#This Row],[SÓI]]+Table1345[[#This Row],[TMART]]</f>
        <v>350</v>
      </c>
      <c r="G9" s="1">
        <f>13000*0.3</f>
        <v>3900</v>
      </c>
      <c r="H9" s="2">
        <f>Table1345[[#This Row],[TỔNG]]*Table1345[[#This Row],[ĐƠN GIÁ]]</f>
        <v>1365000</v>
      </c>
    </row>
    <row r="10" spans="1:8" x14ac:dyDescent="0.3">
      <c r="A10" s="3" t="s">
        <v>67</v>
      </c>
      <c r="B10" s="4" t="s">
        <v>7</v>
      </c>
      <c r="C10">
        <v>86</v>
      </c>
      <c r="F10">
        <f>Table1345[[#This Row],[NT]]+Table1345[[#This Row],[SÓI]]+Table1345[[#This Row],[TMART]]</f>
        <v>86</v>
      </c>
      <c r="G10" s="1">
        <f>VLOOKUP(Table1345[[#This Row],[MẶT HÀNG]],Table134[[MẶT HÀNG]:[ĐƠN GIÁ]],7,0)</f>
        <v>25000</v>
      </c>
      <c r="H10" s="2">
        <f>Table1345[[#This Row],[TỔNG]]*Table1345[[#This Row],[ĐƠN GIÁ]]</f>
        <v>2150000</v>
      </c>
    </row>
    <row r="11" spans="1:8" x14ac:dyDescent="0.3">
      <c r="A11" s="3" t="s">
        <v>96</v>
      </c>
      <c r="B11" s="4" t="s">
        <v>7</v>
      </c>
      <c r="C11">
        <v>1</v>
      </c>
      <c r="F11">
        <f>Table1345[[#This Row],[NT]]+Table1345[[#This Row],[SÓI]]+Table1345[[#This Row],[TMART]]</f>
        <v>1</v>
      </c>
      <c r="G11" s="1">
        <v>30000</v>
      </c>
      <c r="H11" s="2">
        <f>Table1345[[#This Row],[TỔNG]]*Table1345[[#This Row],[ĐƠN GIÁ]]</f>
        <v>30000</v>
      </c>
    </row>
    <row r="12" spans="1:8" x14ac:dyDescent="0.3">
      <c r="A12" s="3" t="s">
        <v>17</v>
      </c>
      <c r="B12" s="4" t="s">
        <v>7</v>
      </c>
      <c r="C12">
        <v>90</v>
      </c>
      <c r="F12">
        <f>Table1345[[#This Row],[NT]]+Table1345[[#This Row],[SÓI]]+Table1345[[#This Row],[TMART]]</f>
        <v>90</v>
      </c>
      <c r="G12" s="1">
        <f>VLOOKUP(Table1345[[#This Row],[MẶT HÀNG]],Table134[[MẶT HÀNG]:[ĐƠN GIÁ]],7,0)</f>
        <v>40000</v>
      </c>
      <c r="H12" s="2">
        <f>Table1345[[#This Row],[TỔNG]]*Table1345[[#This Row],[ĐƠN GIÁ]]</f>
        <v>3600000</v>
      </c>
    </row>
    <row r="13" spans="1:8" x14ac:dyDescent="0.3">
      <c r="A13" s="3" t="s">
        <v>18</v>
      </c>
      <c r="B13" s="4" t="s">
        <v>7</v>
      </c>
      <c r="C13">
        <v>18</v>
      </c>
      <c r="F13">
        <f>Table1345[[#This Row],[NT]]+Table1345[[#This Row],[SÓI]]+Table1345[[#This Row],[TMART]]</f>
        <v>18</v>
      </c>
      <c r="G13" s="1">
        <f>VLOOKUP(Table1345[[#This Row],[MẶT HÀNG]],Table134[[MẶT HÀNG]:[ĐƠN GIÁ]],7,0)</f>
        <v>58000</v>
      </c>
      <c r="H13" s="2">
        <f>Table1345[[#This Row],[TỔNG]]*Table1345[[#This Row],[ĐƠN GIÁ]]</f>
        <v>1044000</v>
      </c>
    </row>
    <row r="14" spans="1:8" x14ac:dyDescent="0.3">
      <c r="A14" s="3" t="s">
        <v>18</v>
      </c>
      <c r="B14" s="4" t="s">
        <v>9</v>
      </c>
      <c r="C14">
        <v>30</v>
      </c>
      <c r="F14">
        <f>Table1345[[#This Row],[NT]]+Table1345[[#This Row],[SÓI]]+Table1345[[#This Row],[TMART]]</f>
        <v>30</v>
      </c>
      <c r="G14" s="1">
        <f>58000/5</f>
        <v>11600</v>
      </c>
      <c r="H14" s="2">
        <f>Table1345[[#This Row],[TỔNG]]*Table1345[[#This Row],[ĐƠN GIÁ]]</f>
        <v>348000</v>
      </c>
    </row>
    <row r="15" spans="1:8" x14ac:dyDescent="0.3">
      <c r="A15" s="3" t="s">
        <v>45</v>
      </c>
      <c r="B15" s="4" t="s">
        <v>7</v>
      </c>
      <c r="C15">
        <v>200</v>
      </c>
      <c r="F15">
        <f>Table1345[[#This Row],[NT]]+Table1345[[#This Row],[SÓI]]+Table1345[[#This Row],[TMART]]</f>
        <v>200</v>
      </c>
      <c r="G15" s="1">
        <v>24000</v>
      </c>
      <c r="H15" s="2">
        <f>Table1345[[#This Row],[TỔNG]]*Table1345[[#This Row],[ĐƠN GIÁ]]</f>
        <v>4800000</v>
      </c>
    </row>
    <row r="16" spans="1:8" x14ac:dyDescent="0.3">
      <c r="A16" s="3" t="s">
        <v>46</v>
      </c>
      <c r="B16" s="4" t="s">
        <v>9</v>
      </c>
      <c r="C16">
        <v>150</v>
      </c>
      <c r="E16">
        <v>120</v>
      </c>
      <c r="F16">
        <f>Table1345[[#This Row],[NT]]+Table1345[[#This Row],[SÓI]]+Table1345[[#This Row],[TMART]]</f>
        <v>270</v>
      </c>
      <c r="G16" s="1">
        <f>VLOOKUP(Table1345[[#This Row],[MẶT HÀNG]],Table134[[MẶT HÀNG]:[ĐƠN GIÁ]],7,0)</f>
        <v>11000</v>
      </c>
      <c r="H16" s="2">
        <f>Table1345[[#This Row],[TỔNG]]*Table1345[[#This Row],[ĐƠN GIÁ]]</f>
        <v>2970000</v>
      </c>
    </row>
    <row r="17" spans="1:8" x14ac:dyDescent="0.3">
      <c r="A17" s="3" t="s">
        <v>81</v>
      </c>
      <c r="B17" s="4" t="s">
        <v>48</v>
      </c>
      <c r="C17">
        <v>50</v>
      </c>
      <c r="F17">
        <f>Table1345[[#This Row],[NT]]+Table1345[[#This Row],[SÓI]]+Table1345[[#This Row],[TMART]]</f>
        <v>50</v>
      </c>
      <c r="G17" s="1">
        <f>VLOOKUP(Table1345[[#This Row],[MẶT HÀNG]],Table134[[MẶT HÀNG]:[ĐƠN GIÁ]],7,0)</f>
        <v>11400</v>
      </c>
      <c r="H17" s="2">
        <f>Table1345[[#This Row],[TỔNG]]*Table1345[[#This Row],[ĐƠN GIÁ]]</f>
        <v>570000</v>
      </c>
    </row>
    <row r="18" spans="1:8" ht="14.4" customHeight="1" x14ac:dyDescent="0.3">
      <c r="A18" s="3" t="s">
        <v>70</v>
      </c>
      <c r="B18" s="4" t="s">
        <v>7</v>
      </c>
      <c r="C18">
        <v>0.5</v>
      </c>
      <c r="E18">
        <v>30</v>
      </c>
      <c r="F18">
        <f>Table1345[[#This Row],[NT]]+Table1345[[#This Row],[SÓI]]+Table1345[[#This Row],[TMART]]</f>
        <v>30.5</v>
      </c>
      <c r="G18" s="1">
        <f>VLOOKUP(Table1345[[#This Row],[MẶT HÀNG]],Table134[[MẶT HÀNG]:[ĐƠN GIÁ]],7,0)</f>
        <v>38000</v>
      </c>
      <c r="H18" s="2">
        <f>Table1345[[#This Row],[TỔNG]]*Table1345[[#This Row],[ĐƠN GIÁ]]</f>
        <v>1159000</v>
      </c>
    </row>
    <row r="19" spans="1:8" x14ac:dyDescent="0.3">
      <c r="A19" s="3" t="s">
        <v>47</v>
      </c>
      <c r="B19" s="4" t="s">
        <v>48</v>
      </c>
      <c r="C19">
        <v>120</v>
      </c>
      <c r="F19">
        <f>Table1345[[#This Row],[NT]]+Table1345[[#This Row],[SÓI]]+Table1345[[#This Row],[TMART]]</f>
        <v>120</v>
      </c>
      <c r="G19" s="1">
        <f>51500*0.3</f>
        <v>15450</v>
      </c>
      <c r="H19" s="2">
        <f>Table1345[[#This Row],[TỔNG]]*Table1345[[#This Row],[ĐƠN GIÁ]]</f>
        <v>1854000</v>
      </c>
    </row>
    <row r="20" spans="1:8" x14ac:dyDescent="0.3">
      <c r="A20" s="3" t="s">
        <v>65</v>
      </c>
      <c r="B20" s="4" t="s">
        <v>48</v>
      </c>
      <c r="C20">
        <v>100</v>
      </c>
      <c r="F20">
        <f>Table1345[[#This Row],[NT]]+Table1345[[#This Row],[SÓI]]+Table1345[[#This Row],[TMART]]</f>
        <v>100</v>
      </c>
      <c r="G20" s="1">
        <f>VLOOKUP(Table1345[[#This Row],[MẶT HÀNG]],Table134[[MẶT HÀNG]:[ĐƠN GIÁ]],7,0)</f>
        <v>12150</v>
      </c>
      <c r="H20" s="2">
        <f>Table1345[[#This Row],[TỔNG]]*Table1345[[#This Row],[ĐƠN GIÁ]]</f>
        <v>1215000</v>
      </c>
    </row>
    <row r="21" spans="1:8" x14ac:dyDescent="0.3">
      <c r="A21" s="3" t="s">
        <v>50</v>
      </c>
      <c r="B21" s="4" t="s">
        <v>7</v>
      </c>
      <c r="C21">
        <v>50</v>
      </c>
      <c r="E21">
        <v>150</v>
      </c>
      <c r="F21">
        <f>Table1345[[#This Row],[NT]]+Table1345[[#This Row],[SÓI]]+Table1345[[#This Row],[TMART]]</f>
        <v>200</v>
      </c>
      <c r="G21" s="1">
        <v>23000</v>
      </c>
      <c r="H21" s="2">
        <f>Table1345[[#This Row],[TỔNG]]*Table1345[[#This Row],[ĐƠN GIÁ]]</f>
        <v>4600000</v>
      </c>
    </row>
    <row r="22" spans="1:8" x14ac:dyDescent="0.3">
      <c r="A22" s="3" t="s">
        <v>6</v>
      </c>
      <c r="B22" s="4" t="s">
        <v>7</v>
      </c>
      <c r="C22">
        <v>120</v>
      </c>
      <c r="F22">
        <f>Table1345[[#This Row],[NT]]+Table1345[[#This Row],[SÓI]]+Table1345[[#This Row],[TMART]]</f>
        <v>120</v>
      </c>
      <c r="G22" s="1">
        <v>19000</v>
      </c>
      <c r="H22" s="2">
        <f>Table1345[[#This Row],[TỔNG]]*Table1345[[#This Row],[ĐƠN GIÁ]]</f>
        <v>2280000</v>
      </c>
    </row>
    <row r="23" spans="1:8" ht="15" customHeight="1" x14ac:dyDescent="0.3">
      <c r="A23" s="3" t="s">
        <v>8</v>
      </c>
      <c r="B23" s="4" t="s">
        <v>9</v>
      </c>
      <c r="C23">
        <v>80</v>
      </c>
      <c r="E23">
        <v>50</v>
      </c>
      <c r="F23">
        <f>Table1345[[#This Row],[NT]]+Table1345[[#This Row],[SÓI]]+Table1345[[#This Row],[TMART]]</f>
        <v>130</v>
      </c>
      <c r="G23" s="1">
        <f>VLOOKUP(Table1345[[#This Row],[MẶT HÀNG]],Table134[[MẶT HÀNG]:[ĐƠN GIÁ]],7,0)</f>
        <v>11600</v>
      </c>
      <c r="H23" s="2">
        <f>Table1345[[#This Row],[TỔNG]]*Table1345[[#This Row],[ĐƠN GIÁ]]</f>
        <v>1508000</v>
      </c>
    </row>
    <row r="24" spans="1:8" x14ac:dyDescent="0.3">
      <c r="A24" s="3" t="s">
        <v>23</v>
      </c>
      <c r="B24" s="4" t="s">
        <v>7</v>
      </c>
      <c r="C24">
        <v>0.5</v>
      </c>
      <c r="F24">
        <f>Table1345[[#This Row],[NT]]+Table1345[[#This Row],[SÓI]]+Table1345[[#This Row],[TMART]]</f>
        <v>0.5</v>
      </c>
      <c r="G24" s="1">
        <f>VLOOKUP(Table1345[[#This Row],[MẶT HÀNG]],Table134[[MẶT HÀNG]:[ĐƠN GIÁ]],7,0)</f>
        <v>10200</v>
      </c>
      <c r="H24" s="2">
        <f>Table1345[[#This Row],[TỔNG]]*Table1345[[#This Row],[ĐƠN GIÁ]]</f>
        <v>5100</v>
      </c>
    </row>
    <row r="25" spans="1:8" x14ac:dyDescent="0.3">
      <c r="A25" s="3" t="s">
        <v>23</v>
      </c>
      <c r="B25" s="4" t="s">
        <v>22</v>
      </c>
      <c r="C25">
        <v>285</v>
      </c>
      <c r="F25">
        <f>Table1345[[#This Row],[NT]]+Table1345[[#This Row],[SÓI]]+Table1345[[#This Row],[TMART]]</f>
        <v>285</v>
      </c>
      <c r="G25" s="1">
        <f>34000*0.3</f>
        <v>10200</v>
      </c>
      <c r="H25" s="2">
        <f>Table1345[[#This Row],[TỔNG]]*Table1345[[#This Row],[ĐƠN GIÁ]]</f>
        <v>2907000</v>
      </c>
    </row>
    <row r="26" spans="1:8" ht="28.8" x14ac:dyDescent="0.3">
      <c r="A26" s="3" t="s">
        <v>23</v>
      </c>
      <c r="B26" s="4" t="s">
        <v>24</v>
      </c>
      <c r="C26">
        <v>15</v>
      </c>
      <c r="F26">
        <f>Table1345[[#This Row],[NT]]+Table1345[[#This Row],[SÓI]]+Table1345[[#This Row],[TMART]]</f>
        <v>15</v>
      </c>
      <c r="G26" s="1">
        <f>34000*0.15</f>
        <v>5100</v>
      </c>
      <c r="H26" s="2">
        <f>Table1345[[#This Row],[TỔNG]]*Table1345[[#This Row],[ĐƠN GIÁ]]</f>
        <v>76500</v>
      </c>
    </row>
    <row r="27" spans="1:8" x14ac:dyDescent="0.3">
      <c r="A27" s="3" t="s">
        <v>25</v>
      </c>
      <c r="B27" s="4" t="s">
        <v>7</v>
      </c>
      <c r="C27">
        <v>45</v>
      </c>
      <c r="F27">
        <f>Table1345[[#This Row],[NT]]+Table1345[[#This Row],[SÓI]]+Table1345[[#This Row],[TMART]]</f>
        <v>45</v>
      </c>
      <c r="G27" s="1">
        <f>VLOOKUP(Table1345[[#This Row],[MẶT HÀNG]],Table134[[MẶT HÀNG]:[ĐƠN GIÁ]],7,0)</f>
        <v>7500</v>
      </c>
      <c r="H27" s="2">
        <f>Table1345[[#This Row],[TỔNG]]*Table1345[[#This Row],[ĐƠN GIÁ]]</f>
        <v>337500</v>
      </c>
    </row>
    <row r="28" spans="1:8" x14ac:dyDescent="0.3">
      <c r="A28" s="3" t="s">
        <v>26</v>
      </c>
      <c r="B28" s="4" t="s">
        <v>27</v>
      </c>
      <c r="C28">
        <v>220</v>
      </c>
      <c r="F28">
        <f>Table1345[[#This Row],[NT]]+Table1345[[#This Row],[SÓI]]+Table1345[[#This Row],[TMART]]</f>
        <v>220</v>
      </c>
      <c r="G28" s="1">
        <f>VLOOKUP(Table1345[[#This Row],[MẶT HÀNG]],Table134[[MẶT HÀNG]:[ĐƠN GIÁ]],7,0)</f>
        <v>13500</v>
      </c>
      <c r="H28" s="2">
        <f>Table1345[[#This Row],[TỔNG]]*Table1345[[#This Row],[ĐƠN GIÁ]]</f>
        <v>2970000</v>
      </c>
    </row>
    <row r="29" spans="1:8" x14ac:dyDescent="0.3">
      <c r="A29" s="3" t="s">
        <v>51</v>
      </c>
      <c r="B29" s="4" t="s">
        <v>9</v>
      </c>
      <c r="C29">
        <v>20</v>
      </c>
      <c r="F29">
        <f>Table1345[[#This Row],[NT]]+Table1345[[#This Row],[SÓI]]+Table1345[[#This Row],[TMART]]</f>
        <v>20</v>
      </c>
      <c r="G29" s="1">
        <f>VLOOKUP(Table1345[[#This Row],[MẶT HÀNG]],Table134[[MẶT HÀNG]:[ĐƠN GIÁ]],7,0)</f>
        <v>6750</v>
      </c>
      <c r="H29" s="2">
        <f>Table1345[[#This Row],[TỔNG]]*Table1345[[#This Row],[ĐƠN GIÁ]]</f>
        <v>135000</v>
      </c>
    </row>
    <row r="30" spans="1:8" x14ac:dyDescent="0.3">
      <c r="A30" s="3" t="s">
        <v>90</v>
      </c>
      <c r="B30" s="4" t="s">
        <v>48</v>
      </c>
      <c r="C30">
        <v>58</v>
      </c>
      <c r="F30">
        <f>Table1345[[#This Row],[NT]]+Table1345[[#This Row],[SÓI]]+Table1345[[#This Row],[TMART]]</f>
        <v>58</v>
      </c>
      <c r="G30" s="1">
        <f>VLOOKUP(Table1345[[#This Row],[MẶT HÀNG]],Table134[[MẶT HÀNG]:[ĐƠN GIÁ]],7,0)</f>
        <v>12000</v>
      </c>
      <c r="H30" s="2">
        <f>Table1345[[#This Row],[TỔNG]]*Table1345[[#This Row],[ĐƠN GIÁ]]</f>
        <v>696000</v>
      </c>
    </row>
    <row r="31" spans="1:8" x14ac:dyDescent="0.3">
      <c r="A31" s="3" t="s">
        <v>10</v>
      </c>
      <c r="B31" s="4" t="s">
        <v>7</v>
      </c>
      <c r="C31">
        <v>142</v>
      </c>
      <c r="F31">
        <f>Table1345[[#This Row],[NT]]+Table1345[[#This Row],[SÓI]]+Table1345[[#This Row],[TMART]]</f>
        <v>142</v>
      </c>
      <c r="G31" s="1">
        <f>VLOOKUP(Table1345[[#This Row],[MẶT HÀNG]],Table134[[MẶT HÀNG]:[ĐƠN GIÁ]],7,0)</f>
        <v>6000</v>
      </c>
      <c r="H31" s="2">
        <f>Table1345[[#This Row],[TỔNG]]*Table1345[[#This Row],[ĐƠN GIÁ]]</f>
        <v>852000</v>
      </c>
    </row>
    <row r="32" spans="1:8" ht="14.4" customHeight="1" x14ac:dyDescent="0.3">
      <c r="A32" s="3" t="s">
        <v>11</v>
      </c>
      <c r="B32" s="4" t="s">
        <v>7</v>
      </c>
      <c r="C32">
        <v>20</v>
      </c>
      <c r="E32">
        <v>15</v>
      </c>
      <c r="F32">
        <f>Table1345[[#This Row],[NT]]+Table1345[[#This Row],[SÓI]]+Table1345[[#This Row],[TMART]]</f>
        <v>35</v>
      </c>
      <c r="G32" s="1">
        <f>VLOOKUP(Table1345[[#This Row],[MẶT HÀNG]],Table134[[MẶT HÀNG]:[ĐƠN GIÁ]],7,0)</f>
        <v>15000</v>
      </c>
      <c r="H32" s="2">
        <f>Table1345[[#This Row],[TỔNG]]*Table1345[[#This Row],[ĐƠN GIÁ]]</f>
        <v>525000</v>
      </c>
    </row>
    <row r="33" spans="1:8" x14ac:dyDescent="0.3">
      <c r="A33" s="3" t="s">
        <v>12</v>
      </c>
      <c r="B33" s="4" t="s">
        <v>7</v>
      </c>
      <c r="C33">
        <v>80</v>
      </c>
      <c r="F33">
        <f>Table1345[[#This Row],[NT]]+Table1345[[#This Row],[SÓI]]+Table1345[[#This Row],[TMART]]</f>
        <v>80</v>
      </c>
      <c r="G33" s="1">
        <v>28000</v>
      </c>
      <c r="H33" s="2">
        <f>Table1345[[#This Row],[TỔNG]]*Table1345[[#This Row],[ĐƠN GIÁ]]</f>
        <v>2240000</v>
      </c>
    </row>
    <row r="34" spans="1:8" x14ac:dyDescent="0.3">
      <c r="A34" s="3" t="s">
        <v>91</v>
      </c>
      <c r="B34" s="4" t="s">
        <v>7</v>
      </c>
      <c r="C34">
        <v>20</v>
      </c>
      <c r="F34">
        <f>Table1345[[#This Row],[NT]]+Table1345[[#This Row],[SÓI]]+Table1345[[#This Row],[TMART]]</f>
        <v>20</v>
      </c>
      <c r="G34" s="1">
        <f>VLOOKUP(Table1345[[#This Row],[MẶT HÀNG]],Table134[[MẶT HÀNG]:[ĐƠN GIÁ]],7,0)</f>
        <v>20000</v>
      </c>
      <c r="H34" s="2">
        <f>Table1345[[#This Row],[TỔNG]]*Table1345[[#This Row],[ĐƠN GIÁ]]</f>
        <v>400000</v>
      </c>
    </row>
    <row r="35" spans="1:8" x14ac:dyDescent="0.3">
      <c r="A35" s="3" t="s">
        <v>13</v>
      </c>
      <c r="B35" s="4" t="s">
        <v>7</v>
      </c>
      <c r="C35">
        <v>100</v>
      </c>
      <c r="F35">
        <f>Table1345[[#This Row],[NT]]+Table1345[[#This Row],[SÓI]]+Table1345[[#This Row],[TMART]]</f>
        <v>100</v>
      </c>
      <c r="G35" s="1">
        <f>VLOOKUP(Table1345[[#This Row],[MẶT HÀNG]],Table134[[MẶT HÀNG]:[ĐƠN GIÁ]],7,0)</f>
        <v>22000</v>
      </c>
      <c r="H35" s="2">
        <f>Table1345[[#This Row],[TỔNG]]*Table1345[[#This Row],[ĐƠN GIÁ]]</f>
        <v>2200000</v>
      </c>
    </row>
    <row r="36" spans="1:8" x14ac:dyDescent="0.3">
      <c r="A36" s="3" t="s">
        <v>111</v>
      </c>
      <c r="B36" s="4" t="s">
        <v>7</v>
      </c>
      <c r="C36">
        <v>100</v>
      </c>
      <c r="F36">
        <f>Table1345[[#This Row],[NT]]+Table1345[[#This Row],[SÓI]]+Table1345[[#This Row],[TMART]]</f>
        <v>100</v>
      </c>
      <c r="G36" s="1">
        <v>20000</v>
      </c>
      <c r="H36" s="2">
        <f>Table1345[[#This Row],[TỔNG]]*Table1345[[#This Row],[ĐƠN GIÁ]]</f>
        <v>2000000</v>
      </c>
    </row>
    <row r="37" spans="1:8" x14ac:dyDescent="0.3">
      <c r="A37" s="3" t="s">
        <v>14</v>
      </c>
      <c r="B37" s="4" t="s">
        <v>7</v>
      </c>
      <c r="C37">
        <v>120</v>
      </c>
      <c r="F37">
        <f>Table1345[[#This Row],[NT]]+Table1345[[#This Row],[SÓI]]+Table1345[[#This Row],[TMART]]</f>
        <v>120</v>
      </c>
      <c r="G37" s="1">
        <v>20000</v>
      </c>
      <c r="H37" s="2">
        <f>Table1345[[#This Row],[TỔNG]]*Table1345[[#This Row],[ĐƠN GIÁ]]</f>
        <v>2400000</v>
      </c>
    </row>
    <row r="38" spans="1:8" x14ac:dyDescent="0.3">
      <c r="A38" s="3" t="s">
        <v>16</v>
      </c>
      <c r="B38" s="3" t="s">
        <v>7</v>
      </c>
      <c r="C38">
        <v>60</v>
      </c>
      <c r="D38" s="4"/>
      <c r="E38" s="5"/>
      <c r="F38">
        <f>Table1345[[#This Row],[NT]]+Table1345[[#This Row],[SÓI]]+Table1345[[#This Row],[TMART]]</f>
        <v>60</v>
      </c>
      <c r="G38" s="1">
        <v>18000</v>
      </c>
      <c r="H38" s="2">
        <f>Table1345[[#This Row],[TỔNG]]*Table1345[[#This Row],[ĐƠN GIÁ]]</f>
        <v>1080000</v>
      </c>
    </row>
    <row r="39" spans="1:8" x14ac:dyDescent="0.3">
      <c r="A39" s="3" t="s">
        <v>95</v>
      </c>
      <c r="B39" s="4" t="s">
        <v>7</v>
      </c>
      <c r="C39">
        <v>5</v>
      </c>
      <c r="F39">
        <f>Table1345[[#This Row],[NT]]+Table1345[[#This Row],[SÓI]]+Table1345[[#This Row],[TMART]]</f>
        <v>5</v>
      </c>
      <c r="G39" s="1">
        <f>VLOOKUP(Table1345[[#This Row],[MẶT HÀNG]],Table134[[MẶT HÀNG]:[ĐƠN GIÁ]],7,0)</f>
        <v>80000</v>
      </c>
      <c r="H39" s="2">
        <f>Table1345[[#This Row],[TỔNG]]*Table1345[[#This Row],[ĐƠN GIÁ]]</f>
        <v>400000</v>
      </c>
    </row>
    <row r="40" spans="1:8" ht="14.4" customHeight="1" x14ac:dyDescent="0.3">
      <c r="A40" s="3" t="s">
        <v>54</v>
      </c>
      <c r="B40" s="4" t="s">
        <v>9</v>
      </c>
      <c r="C40">
        <v>420</v>
      </c>
      <c r="E40">
        <v>240</v>
      </c>
      <c r="F40">
        <f>Table1345[[#This Row],[NT]]+Table1345[[#This Row],[SÓI]]+Table1345[[#This Row],[TMART]]</f>
        <v>660</v>
      </c>
      <c r="G40" s="1">
        <f>VLOOKUP(Table1345[[#This Row],[MẶT HÀNG]],Table134[[MẶT HÀNG]:[ĐƠN GIÁ]],7,0)</f>
        <v>8500</v>
      </c>
      <c r="H40" s="2">
        <f>Table1345[[#This Row],[TỔNG]]*Table1345[[#This Row],[ĐƠN GIÁ]]</f>
        <v>5610000</v>
      </c>
    </row>
    <row r="41" spans="1:8" x14ac:dyDescent="0.3">
      <c r="A41" s="3" t="s">
        <v>55</v>
      </c>
      <c r="B41" s="4" t="s">
        <v>22</v>
      </c>
      <c r="C41">
        <v>60</v>
      </c>
      <c r="F41">
        <f>Table1345[[#This Row],[NT]]+Table1345[[#This Row],[SÓI]]+Table1345[[#This Row],[TMART]]</f>
        <v>60</v>
      </c>
      <c r="G41" s="1">
        <v>13000</v>
      </c>
      <c r="H41" s="2">
        <f>Table1345[[#This Row],[TỔNG]]*Table1345[[#This Row],[ĐƠN GIÁ]]</f>
        <v>780000</v>
      </c>
    </row>
    <row r="42" spans="1:8" x14ac:dyDescent="0.3">
      <c r="A42" s="3" t="s">
        <v>56</v>
      </c>
      <c r="B42" s="4" t="s">
        <v>7</v>
      </c>
      <c r="C42">
        <v>60</v>
      </c>
      <c r="F42">
        <f>Table1345[[#This Row],[NT]]+Table1345[[#This Row],[SÓI]]+Table1345[[#This Row],[TMART]]</f>
        <v>60</v>
      </c>
      <c r="G42" s="1">
        <v>7000</v>
      </c>
      <c r="H42" s="2">
        <f>Table1345[[#This Row],[TỔNG]]*Table1345[[#This Row],[ĐƠN GIÁ]]</f>
        <v>420000</v>
      </c>
    </row>
    <row r="43" spans="1:8" x14ac:dyDescent="0.3">
      <c r="A43" s="3" t="s">
        <v>28</v>
      </c>
      <c r="B43" s="4" t="s">
        <v>27</v>
      </c>
      <c r="C43">
        <v>100</v>
      </c>
      <c r="E43">
        <v>8</v>
      </c>
      <c r="F43">
        <f>Table1345[[#This Row],[NT]]+Table1345[[#This Row],[SÓI]]+Table1345[[#This Row],[TMART]]</f>
        <v>108</v>
      </c>
      <c r="G43" s="1">
        <f>VLOOKUP(Table1345[[#This Row],[MẶT HÀNG]],Table134[[MẶT HÀNG]:[ĐƠN GIÁ]],7,0)</f>
        <v>48000</v>
      </c>
      <c r="H43" s="2">
        <f>Table1345[[#This Row],[TỔNG]]*Table1345[[#This Row],[ĐƠN GIÁ]]</f>
        <v>5184000</v>
      </c>
    </row>
    <row r="44" spans="1:8" x14ac:dyDescent="0.3">
      <c r="A44" s="3" t="s">
        <v>72</v>
      </c>
      <c r="B44" s="4" t="s">
        <v>48</v>
      </c>
      <c r="C44">
        <v>113</v>
      </c>
      <c r="F44">
        <f>Table1345[[#This Row],[NT]]+Table1345[[#This Row],[SÓI]]+Table1345[[#This Row],[TMART]]</f>
        <v>113</v>
      </c>
      <c r="G44" s="1">
        <f>VLOOKUP(Table1345[[#This Row],[MẶT HÀNG]],Table134[[MẶT HÀNG]:[ĐƠN GIÁ]],7,0)</f>
        <v>100000</v>
      </c>
      <c r="H44" s="2">
        <f>Table1345[[#This Row],[TỔNG]]*Table1345[[#This Row],[ĐƠN GIÁ]]</f>
        <v>11300000</v>
      </c>
    </row>
    <row r="45" spans="1:8" x14ac:dyDescent="0.3">
      <c r="A45" s="3" t="s">
        <v>73</v>
      </c>
      <c r="B45" s="4" t="s">
        <v>7</v>
      </c>
      <c r="C45">
        <v>18</v>
      </c>
      <c r="F45">
        <f>Table1345[[#This Row],[NT]]+Table1345[[#This Row],[SÓI]]+Table1345[[#This Row],[TMART]]</f>
        <v>18</v>
      </c>
      <c r="G45" s="1">
        <f>VLOOKUP(Table1345[[#This Row],[MẶT HÀNG]],Table134[[MẶT HÀNG]:[ĐƠN GIÁ]],7,0)</f>
        <v>27000</v>
      </c>
      <c r="H45" s="2">
        <f>Table1345[[#This Row],[TỔNG]]*Table1345[[#This Row],[ĐƠN GIÁ]]</f>
        <v>486000</v>
      </c>
    </row>
    <row r="46" spans="1:8" x14ac:dyDescent="0.3">
      <c r="A46" s="3" t="s">
        <v>29</v>
      </c>
      <c r="B46" s="4" t="s">
        <v>22</v>
      </c>
      <c r="C46">
        <v>606</v>
      </c>
      <c r="E46">
        <v>200</v>
      </c>
      <c r="F46">
        <f>Table1345[[#This Row],[NT]]+Table1345[[#This Row],[SÓI]]+Table1345[[#This Row],[TMART]]</f>
        <v>806</v>
      </c>
      <c r="G46" s="1">
        <f>VLOOKUP(Table1345[[#This Row],[MẶT HÀNG]],Table134[[MẶT HÀNG]:[ĐƠN GIÁ]],7,0)</f>
        <v>2500</v>
      </c>
      <c r="H46" s="2">
        <f>Table1345[[#This Row],[TỔNG]]*Table1345[[#This Row],[ĐƠN GIÁ]]</f>
        <v>2015000</v>
      </c>
    </row>
    <row r="47" spans="1:8" x14ac:dyDescent="0.3">
      <c r="A47" s="3" t="s">
        <v>31</v>
      </c>
      <c r="B47" s="4" t="s">
        <v>7</v>
      </c>
      <c r="C47">
        <v>4.5</v>
      </c>
      <c r="F47">
        <f>Table1345[[#This Row],[NT]]+Table1345[[#This Row],[SÓI]]+Table1345[[#This Row],[TMART]]</f>
        <v>4.5</v>
      </c>
      <c r="G47" s="1">
        <f>VLOOKUP(Table1345[[#This Row],[MẶT HÀNG]],Table134[[MẶT HÀNG]:[ĐƠN GIÁ]],7,0)</f>
        <v>32000</v>
      </c>
      <c r="H47" s="2">
        <f>Table1345[[#This Row],[TỔNG]]*Table1345[[#This Row],[ĐƠN GIÁ]]</f>
        <v>144000</v>
      </c>
    </row>
    <row r="48" spans="1:8" x14ac:dyDescent="0.3">
      <c r="A48" s="3" t="s">
        <v>32</v>
      </c>
      <c r="B48" s="4" t="s">
        <v>7</v>
      </c>
      <c r="C48">
        <v>30</v>
      </c>
      <c r="F48">
        <f>Table1345[[#This Row],[NT]]+Table1345[[#This Row],[SÓI]]+Table1345[[#This Row],[TMART]]</f>
        <v>30</v>
      </c>
      <c r="G48" s="1">
        <f>VLOOKUP(Table1345[[#This Row],[MẶT HÀNG]],Table134[[MẶT HÀNG]:[ĐƠN GIÁ]],7,0)</f>
        <v>47000</v>
      </c>
      <c r="H48" s="2">
        <f>Table1345[[#This Row],[TỔNG]]*Table1345[[#This Row],[ĐƠN GIÁ]]</f>
        <v>1410000</v>
      </c>
    </row>
    <row r="49" spans="1:8" x14ac:dyDescent="0.3">
      <c r="A49" s="3" t="s">
        <v>58</v>
      </c>
      <c r="B49" s="4" t="s">
        <v>7</v>
      </c>
      <c r="C49">
        <v>1</v>
      </c>
      <c r="E49">
        <v>40</v>
      </c>
      <c r="F49">
        <f>Table1345[[#This Row],[NT]]+Table1345[[#This Row],[SÓI]]+Table1345[[#This Row],[TMART]]</f>
        <v>41</v>
      </c>
      <c r="G49" s="1">
        <f>VLOOKUP(Table1345[[#This Row],[MẶT HÀNG]],Table134[[MẶT HÀNG]:[ĐƠN GIÁ]],7,0)</f>
        <v>48000</v>
      </c>
      <c r="H49" s="2">
        <f>Table1345[[#This Row],[TỔNG]]*Table1345[[#This Row],[ĐƠN GIÁ]]</f>
        <v>1968000</v>
      </c>
    </row>
    <row r="50" spans="1:8" ht="14.4" customHeight="1" x14ac:dyDescent="0.3">
      <c r="A50" s="3" t="s">
        <v>58</v>
      </c>
      <c r="B50" s="4" t="s">
        <v>59</v>
      </c>
      <c r="C50">
        <v>120</v>
      </c>
      <c r="F50">
        <f>Table1345[[#This Row],[NT]]+Table1345[[#This Row],[SÓI]]+Table1345[[#This Row],[TMART]]</f>
        <v>120</v>
      </c>
      <c r="G50" s="1">
        <f>48000/4</f>
        <v>12000</v>
      </c>
      <c r="H50" s="2">
        <f>Table1345[[#This Row],[TỔNG]]*Table1345[[#This Row],[ĐƠN GIÁ]]</f>
        <v>1440000</v>
      </c>
    </row>
    <row r="51" spans="1:8" x14ac:dyDescent="0.3">
      <c r="A51" s="3" t="s">
        <v>60</v>
      </c>
      <c r="B51" s="4" t="s">
        <v>7</v>
      </c>
      <c r="C51">
        <v>9</v>
      </c>
      <c r="F51">
        <f>Table1345[[#This Row],[NT]]+Table1345[[#This Row],[SÓI]]+Table1345[[#This Row],[TMART]]</f>
        <v>9</v>
      </c>
      <c r="G51" s="1">
        <f>VLOOKUP(Table1345[[#This Row],[MẶT HÀNG]],Table134[[MẶT HÀNG]:[ĐƠN GIÁ]],7,0)</f>
        <v>55000</v>
      </c>
      <c r="H51" s="2">
        <f>Table1345[[#This Row],[TỔNG]]*Table1345[[#This Row],[ĐƠN GIÁ]]</f>
        <v>495000</v>
      </c>
    </row>
    <row r="52" spans="1:8" x14ac:dyDescent="0.3">
      <c r="A52" s="3" t="s">
        <v>61</v>
      </c>
      <c r="B52" s="4" t="s">
        <v>7</v>
      </c>
      <c r="C52">
        <v>0.5</v>
      </c>
      <c r="E52">
        <v>20</v>
      </c>
      <c r="F52">
        <f>Table1345[[#This Row],[NT]]+Table1345[[#This Row],[SÓI]]+Table1345[[#This Row],[TMART]]</f>
        <v>20.5</v>
      </c>
      <c r="G52" s="1">
        <f>VLOOKUP(Table1345[[#This Row],[MẶT HÀNG]],Table134[[MẶT HÀNG]:[ĐƠN GIÁ]],7,0)</f>
        <v>32000</v>
      </c>
      <c r="H52" s="2">
        <f>Table1345[[#This Row],[TỔNG]]*Table1345[[#This Row],[ĐƠN GIÁ]]</f>
        <v>656000</v>
      </c>
    </row>
    <row r="53" spans="1:8" ht="28.8" x14ac:dyDescent="0.3">
      <c r="A53" s="3" t="s">
        <v>61</v>
      </c>
      <c r="B53" s="4" t="s">
        <v>59</v>
      </c>
      <c r="C53">
        <v>50</v>
      </c>
      <c r="F53">
        <f>Table1345[[#This Row],[NT]]+Table1345[[#This Row],[SÓI]]+Table1345[[#This Row],[TMART]]</f>
        <v>50</v>
      </c>
      <c r="G53" s="1">
        <f>32000/4</f>
        <v>8000</v>
      </c>
      <c r="H53" s="2">
        <f>Table1345[[#This Row],[TỔNG]]*Table1345[[#This Row],[ĐƠN GIÁ]]</f>
        <v>400000</v>
      </c>
    </row>
    <row r="54" spans="1:8" x14ac:dyDescent="0.3">
      <c r="A54" s="3" t="s">
        <v>62</v>
      </c>
      <c r="B54" s="4" t="s">
        <v>7</v>
      </c>
      <c r="C54">
        <v>0.5</v>
      </c>
      <c r="E54">
        <v>10</v>
      </c>
      <c r="F54">
        <f>Table1345[[#This Row],[NT]]+Table1345[[#This Row],[SÓI]]+Table1345[[#This Row],[TMART]]</f>
        <v>10.5</v>
      </c>
      <c r="G54" s="1">
        <v>35000</v>
      </c>
      <c r="H54" s="2">
        <f>Table1345[[#This Row],[TỔNG]]*Table1345[[#This Row],[ĐƠN GIÁ]]</f>
        <v>367500</v>
      </c>
    </row>
    <row r="55" spans="1:8" ht="28.8" x14ac:dyDescent="0.3">
      <c r="A55" s="3" t="s">
        <v>62</v>
      </c>
      <c r="B55" s="4" t="s">
        <v>59</v>
      </c>
      <c r="C55">
        <v>20</v>
      </c>
      <c r="F55">
        <f>Table1345[[#This Row],[NT]]+Table1345[[#This Row],[SÓI]]+Table1345[[#This Row],[TMART]]</f>
        <v>20</v>
      </c>
      <c r="G55" s="1">
        <f>VLOOKUP(Table1345[[#This Row],[MẶT HÀNG]],Table134[[MẶT HÀNG]:[ĐƠN GIÁ]],7,0)</f>
        <v>9500</v>
      </c>
      <c r="H55" s="2">
        <f>Table1345[[#This Row],[TỔNG]]*Table1345[[#This Row],[ĐƠN GIÁ]]</f>
        <v>190000</v>
      </c>
    </row>
    <row r="56" spans="1:8" x14ac:dyDescent="0.3">
      <c r="A56" s="3" t="s">
        <v>97</v>
      </c>
      <c r="B56" s="4" t="s">
        <v>7</v>
      </c>
      <c r="C56">
        <v>1</v>
      </c>
      <c r="E56">
        <v>30</v>
      </c>
      <c r="F56">
        <f>Table1345[[#This Row],[NT]]+Table1345[[#This Row],[SÓI]]+Table1345[[#This Row],[TMART]]</f>
        <v>31</v>
      </c>
      <c r="G56" s="1">
        <f>20000/3*10</f>
        <v>66666.666666666672</v>
      </c>
      <c r="H56" s="2">
        <f>Table1345[[#This Row],[TỔNG]]*Table1345[[#This Row],[ĐƠN GIÁ]]</f>
        <v>2066666.6666666667</v>
      </c>
    </row>
    <row r="57" spans="1:8" x14ac:dyDescent="0.3">
      <c r="A57" s="3" t="s">
        <v>63</v>
      </c>
      <c r="B57" s="4" t="s">
        <v>22</v>
      </c>
      <c r="C57">
        <v>200</v>
      </c>
      <c r="F57">
        <f>Table1345[[#This Row],[NT]]+Table1345[[#This Row],[SÓI]]+Table1345[[#This Row],[TMART]]</f>
        <v>200</v>
      </c>
      <c r="G57" s="1">
        <f>VLOOKUP(Table1345[[#This Row],[MẶT HÀNG]],Table134[[MẶT HÀNG]:[ĐƠN GIÁ]],7,0)</f>
        <v>20000</v>
      </c>
      <c r="H57" s="2">
        <f>Table1345[[#This Row],[TỔNG]]*Table1345[[#This Row],[ĐƠN GIÁ]]</f>
        <v>4000000</v>
      </c>
    </row>
    <row r="58" spans="1:8" x14ac:dyDescent="0.3">
      <c r="A58" s="3" t="s">
        <v>33</v>
      </c>
      <c r="B58" s="4" t="s">
        <v>7</v>
      </c>
      <c r="C58">
        <v>10</v>
      </c>
      <c r="F58">
        <f>Table1345[[#This Row],[NT]]+Table1345[[#This Row],[SÓI]]+Table1345[[#This Row],[TMART]]</f>
        <v>10</v>
      </c>
      <c r="G58" s="1">
        <f>VLOOKUP(Table1345[[#This Row],[MẶT HÀNG]],Table134[[MẶT HÀNG]:[ĐƠN GIÁ]],7,0)</f>
        <v>35000</v>
      </c>
      <c r="H58" s="2">
        <f>Table1345[[#This Row],[TỔNG]]*Table1345[[#This Row],[ĐƠN GIÁ]]</f>
        <v>350000</v>
      </c>
    </row>
    <row r="59" spans="1:8" x14ac:dyDescent="0.3">
      <c r="A59" s="3" t="s">
        <v>66</v>
      </c>
      <c r="B59" s="4" t="s">
        <v>48</v>
      </c>
      <c r="C59">
        <v>5</v>
      </c>
      <c r="F59">
        <f>Table1345[[#This Row],[NT]]+Table1345[[#This Row],[SÓI]]+Table1345[[#This Row],[TMART]]</f>
        <v>5</v>
      </c>
      <c r="G59" s="1">
        <f>VLOOKUP(Table1345[[#This Row],[MẶT HÀNG]],Table134[[MẶT HÀNG]:[ĐƠN GIÁ]],7,0)</f>
        <v>35000</v>
      </c>
      <c r="H59" s="2">
        <f>Table1345[[#This Row],[TỔNG]]*Table1345[[#This Row],[ĐƠN GIÁ]]</f>
        <v>175000</v>
      </c>
    </row>
    <row r="60" spans="1:8" x14ac:dyDescent="0.3">
      <c r="A60" s="3" t="s">
        <v>34</v>
      </c>
      <c r="B60" s="4" t="s">
        <v>7</v>
      </c>
      <c r="C60">
        <v>117</v>
      </c>
      <c r="F60">
        <f>Table1345[[#This Row],[NT]]+Table1345[[#This Row],[SÓI]]+Table1345[[#This Row],[TMART]]</f>
        <v>117</v>
      </c>
      <c r="G60" s="1">
        <v>32000</v>
      </c>
      <c r="H60" s="2">
        <f>Table1345[[#This Row],[TỔNG]]*Table1345[[#This Row],[ĐƠN GIÁ]]</f>
        <v>3744000</v>
      </c>
    </row>
    <row r="61" spans="1:8" x14ac:dyDescent="0.3">
      <c r="A61" s="3" t="s">
        <v>74</v>
      </c>
      <c r="B61" s="4" t="s">
        <v>7</v>
      </c>
      <c r="C61">
        <v>60</v>
      </c>
      <c r="F61">
        <f>Table1345[[#This Row],[NT]]+Table1345[[#This Row],[SÓI]]+Table1345[[#This Row],[TMART]]</f>
        <v>60</v>
      </c>
      <c r="G61" s="1">
        <v>32000</v>
      </c>
      <c r="H61" s="2">
        <f>Table1345[[#This Row],[TỔNG]]*Table1345[[#This Row],[ĐƠN GIÁ]]</f>
        <v>1920000</v>
      </c>
    </row>
    <row r="62" spans="1:8" x14ac:dyDescent="0.3">
      <c r="A62" s="3" t="s">
        <v>40</v>
      </c>
      <c r="B62" s="4" t="s">
        <v>7</v>
      </c>
      <c r="C62">
        <v>30</v>
      </c>
      <c r="F62">
        <f>Table1345[[#This Row],[NT]]+Table1345[[#This Row],[SÓI]]+Table1345[[#This Row],[TMART]]</f>
        <v>30</v>
      </c>
      <c r="G62" s="1">
        <f>VLOOKUP(Table1345[[#This Row],[MẶT HÀNG]],Table134[[MẶT HÀNG]:[ĐƠN GIÁ]],7,0)</f>
        <v>28000</v>
      </c>
      <c r="H62" s="2">
        <f>Table1345[[#This Row],[TỔNG]]*Table1345[[#This Row],[ĐƠN GIÁ]]</f>
        <v>840000</v>
      </c>
    </row>
    <row r="63" spans="1:8" ht="14.4" customHeight="1" x14ac:dyDescent="0.3">
      <c r="A63" s="3" t="s">
        <v>37</v>
      </c>
      <c r="B63" s="4" t="s">
        <v>7</v>
      </c>
      <c r="C63">
        <v>0.5</v>
      </c>
      <c r="E63">
        <v>8</v>
      </c>
      <c r="F63">
        <f>Table1345[[#This Row],[NT]]+Table1345[[#This Row],[SÓI]]+Table1345[[#This Row],[TMART]]</f>
        <v>8.5</v>
      </c>
      <c r="G63" s="1">
        <v>28000</v>
      </c>
      <c r="H63" s="2">
        <f>Table1345[[#This Row],[TỔNG]]*Table1345[[#This Row],[ĐƠN GIÁ]]</f>
        <v>238000</v>
      </c>
    </row>
    <row r="64" spans="1:8" ht="14.4" customHeight="1" x14ac:dyDescent="0.3">
      <c r="A64" s="3" t="s">
        <v>38</v>
      </c>
      <c r="B64" s="4" t="s">
        <v>27</v>
      </c>
      <c r="C64">
        <v>30</v>
      </c>
      <c r="F64">
        <f>Table1345[[#This Row],[NT]]+Table1345[[#This Row],[SÓI]]+Table1345[[#This Row],[TMART]]</f>
        <v>30</v>
      </c>
      <c r="G64" s="1">
        <f>VLOOKUP(Table1345[[#This Row],[MẶT HÀNG]],Table134[[MẶT HÀNG]:[ĐƠN GIÁ]],7,0)</f>
        <v>6800</v>
      </c>
      <c r="H64" s="2">
        <f>Table1345[[#This Row],[TỔNG]]*Table1345[[#This Row],[ĐƠN GIÁ]]</f>
        <v>204000</v>
      </c>
    </row>
    <row r="65" spans="1:8" x14ac:dyDescent="0.3">
      <c r="A65" s="3" t="s">
        <v>39</v>
      </c>
      <c r="B65" s="4" t="s">
        <v>7</v>
      </c>
      <c r="C65">
        <v>59</v>
      </c>
      <c r="F65">
        <f>Table1345[[#This Row],[NT]]+Table1345[[#This Row],[SÓI]]+Table1345[[#This Row],[TMART]]</f>
        <v>59</v>
      </c>
      <c r="G65" s="1">
        <v>38000</v>
      </c>
      <c r="H65" s="2">
        <f>Table1345[[#This Row],[TỔNG]]*Table1345[[#This Row],[ĐƠN GIÁ]]</f>
        <v>2242000</v>
      </c>
    </row>
    <row r="66" spans="1:8" x14ac:dyDescent="0.3">
      <c r="A66" s="3" t="s">
        <v>82</v>
      </c>
      <c r="B66" s="4" t="s">
        <v>22</v>
      </c>
      <c r="C66">
        <v>15</v>
      </c>
      <c r="F66">
        <f>Table1345[[#This Row],[NT]]+Table1345[[#This Row],[SÓI]]+Table1345[[#This Row],[TMART]]</f>
        <v>15</v>
      </c>
      <c r="G66" s="1">
        <f>VLOOKUP(Table1345[[#This Row],[MẶT HÀNG]],Table134[[MẶT HÀNG]:[ĐƠN GIÁ]],7,0)</f>
        <v>120000</v>
      </c>
      <c r="H66" s="2">
        <f>Table1345[[#This Row],[TỔNG]]*Table1345[[#This Row],[ĐƠN GIÁ]]</f>
        <v>1800000</v>
      </c>
    </row>
    <row r="67" spans="1:8" x14ac:dyDescent="0.3">
      <c r="A67" s="3" t="s">
        <v>98</v>
      </c>
      <c r="B67" s="4" t="s">
        <v>7</v>
      </c>
      <c r="C67">
        <v>0.5</v>
      </c>
      <c r="F67">
        <f>Table1345[[#This Row],[NT]]+Table1345[[#This Row],[SÓI]]+Table1345[[#This Row],[TMART]]</f>
        <v>0.5</v>
      </c>
      <c r="G67" s="1">
        <v>30000</v>
      </c>
      <c r="H67" s="2">
        <f>Table1345[[#This Row],[TỔNG]]*Table1345[[#This Row],[ĐƠN GIÁ]]</f>
        <v>15000</v>
      </c>
    </row>
    <row r="68" spans="1:8" x14ac:dyDescent="0.3">
      <c r="A68" s="3" t="s">
        <v>84</v>
      </c>
      <c r="B68" s="3" t="s">
        <v>27</v>
      </c>
      <c r="C68">
        <v>5</v>
      </c>
      <c r="D68" s="4"/>
      <c r="E68" s="5"/>
      <c r="F68">
        <f>Table1345[[#This Row],[NT]]+Table1345[[#This Row],[SÓI]]+Table1345[[#This Row],[TMART]]</f>
        <v>5</v>
      </c>
      <c r="G68" s="1">
        <v>6800</v>
      </c>
      <c r="H68" s="2">
        <f>Table1345[[#This Row],[TỔNG]]*Table1345[[#This Row],[ĐƠN GIÁ]]</f>
        <v>34000</v>
      </c>
    </row>
    <row r="69" spans="1:8" x14ac:dyDescent="0.3">
      <c r="A69" s="3" t="s">
        <v>99</v>
      </c>
      <c r="B69" s="4" t="s">
        <v>7</v>
      </c>
      <c r="C69">
        <v>100</v>
      </c>
      <c r="F69">
        <f>Table1345[[#This Row],[NT]]+Table1345[[#This Row],[SÓI]]+Table1345[[#This Row],[TMART]]</f>
        <v>100</v>
      </c>
      <c r="G69" s="1">
        <v>20000</v>
      </c>
      <c r="H69" s="2">
        <f>Table1345[[#This Row],[TỔNG]]*Table1345[[#This Row],[ĐƠN GIÁ]]</f>
        <v>2000000</v>
      </c>
    </row>
    <row r="70" spans="1:8" ht="14.4" customHeight="1" x14ac:dyDescent="0.3">
      <c r="A70" s="3" t="s">
        <v>87</v>
      </c>
      <c r="B70" s="4" t="s">
        <v>7</v>
      </c>
      <c r="C70">
        <v>12</v>
      </c>
      <c r="F70">
        <f>Table1345[[#This Row],[NT]]+Table1345[[#This Row],[SÓI]]+Table1345[[#This Row],[TMART]]</f>
        <v>12</v>
      </c>
      <c r="G70" s="1">
        <f>23000</f>
        <v>23000</v>
      </c>
      <c r="H70" s="2">
        <f>Table1345[[#This Row],[TỔNG]]*Table1345[[#This Row],[ĐƠN GIÁ]]</f>
        <v>276000</v>
      </c>
    </row>
    <row r="71" spans="1:8" x14ac:dyDescent="0.3">
      <c r="G71" s="2"/>
      <c r="H71" s="2">
        <f>SUM(Table1345[TỔNG TIỀN])</f>
        <v>106323766.66666667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632B-9BC2-4211-802F-C89ED47DFF1B}">
  <dimension ref="A1:H76"/>
  <sheetViews>
    <sheetView topLeftCell="A46" workbookViewId="0">
      <selection activeCell="G56" sqref="G56"/>
    </sheetView>
  </sheetViews>
  <sheetFormatPr defaultRowHeight="14.4" x14ac:dyDescent="0.3"/>
  <cols>
    <col min="1" max="1" width="35.109375" customWidth="1"/>
    <col min="2" max="2" width="8.21875" customWidth="1"/>
    <col min="7" max="7" width="10.33203125" style="1" bestFit="1" customWidth="1"/>
    <col min="8" max="8" width="12.88671875" customWidth="1"/>
  </cols>
  <sheetData>
    <row r="1" spans="1:8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s="1" t="s">
        <v>76</v>
      </c>
      <c r="H1" t="s">
        <v>77</v>
      </c>
    </row>
    <row r="2" spans="1:8" x14ac:dyDescent="0.3">
      <c r="A2" s="3" t="s">
        <v>78</v>
      </c>
      <c r="B2" s="4" t="s">
        <v>7</v>
      </c>
      <c r="C2">
        <v>30</v>
      </c>
      <c r="F2">
        <f>SUM(Table134[[#This Row],[NT]])</f>
        <v>30</v>
      </c>
      <c r="G2" s="1">
        <v>30000</v>
      </c>
      <c r="H2" s="2">
        <f>Table134[[#This Row],[TỔNG]]*Table134[[#This Row],[ĐƠN GIÁ]]</f>
        <v>900000</v>
      </c>
    </row>
    <row r="3" spans="1:8" x14ac:dyDescent="0.3">
      <c r="A3" s="3" t="s">
        <v>79</v>
      </c>
      <c r="B3" s="4" t="s">
        <v>7</v>
      </c>
      <c r="C3">
        <v>11</v>
      </c>
      <c r="F3">
        <f>SUM(Table134[[#This Row],[NT]])</f>
        <v>11</v>
      </c>
      <c r="G3" s="1">
        <v>15000</v>
      </c>
      <c r="H3" s="2">
        <f>Table134[[#This Row],[TỔNG]]*Table134[[#This Row],[ĐƠN GIÁ]]</f>
        <v>165000</v>
      </c>
    </row>
    <row r="4" spans="1:8" x14ac:dyDescent="0.3">
      <c r="A4" s="3" t="s">
        <v>80</v>
      </c>
      <c r="B4" s="4" t="s">
        <v>7</v>
      </c>
      <c r="C4">
        <v>2</v>
      </c>
      <c r="F4">
        <f>SUM(Table134[[#This Row],[NT]])</f>
        <v>2</v>
      </c>
      <c r="G4" s="1">
        <v>6000</v>
      </c>
      <c r="H4" s="2">
        <f>Table134[[#This Row],[TỔNG]]*Table134[[#This Row],[ĐƠN GIÁ]]</f>
        <v>12000</v>
      </c>
    </row>
    <row r="5" spans="1:8" x14ac:dyDescent="0.3">
      <c r="A5" s="3" t="s">
        <v>80</v>
      </c>
      <c r="B5" s="4" t="s">
        <v>44</v>
      </c>
      <c r="C5">
        <v>50</v>
      </c>
      <c r="F5">
        <f>SUM(Table134[[#This Row],[NT]])</f>
        <v>50</v>
      </c>
      <c r="G5" s="1">
        <f>6000*0.5</f>
        <v>3000</v>
      </c>
      <c r="H5" s="2">
        <f>Table134[[#This Row],[TỔNG]]*Table134[[#This Row],[ĐƠN GIÁ]]</f>
        <v>150000</v>
      </c>
    </row>
    <row r="6" spans="1:8" x14ac:dyDescent="0.3">
      <c r="A6" s="3" t="s">
        <v>88</v>
      </c>
      <c r="B6" s="4" t="s">
        <v>7</v>
      </c>
      <c r="C6">
        <v>40</v>
      </c>
      <c r="F6">
        <f>SUM(Table134[[#This Row],[NT]])</f>
        <v>40</v>
      </c>
      <c r="G6" s="1">
        <v>5200</v>
      </c>
      <c r="H6" s="2">
        <f>Table134[[#This Row],[TỔNG]]*Table134[[#This Row],[ĐƠN GIÁ]]</f>
        <v>208000</v>
      </c>
    </row>
    <row r="7" spans="1:8" x14ac:dyDescent="0.3">
      <c r="A7" s="3" t="s">
        <v>41</v>
      </c>
      <c r="B7" s="4" t="s">
        <v>7</v>
      </c>
      <c r="C7">
        <v>17</v>
      </c>
      <c r="F7">
        <f>SUM(Table134[[#This Row],[NT]])</f>
        <v>17</v>
      </c>
      <c r="G7" s="1">
        <v>20000</v>
      </c>
      <c r="H7" s="2">
        <f>Table134[[#This Row],[TỔNG]]*Table134[[#This Row],[ĐƠN GIÁ]]</f>
        <v>340000</v>
      </c>
    </row>
    <row r="8" spans="1:8" ht="28.8" x14ac:dyDescent="0.3">
      <c r="A8" s="3" t="s">
        <v>41</v>
      </c>
      <c r="B8" s="4" t="s">
        <v>42</v>
      </c>
      <c r="C8">
        <v>240</v>
      </c>
      <c r="F8">
        <f>SUM(Table134[[#This Row],[NT]])</f>
        <v>240</v>
      </c>
      <c r="G8" s="1">
        <f>G7/3</f>
        <v>6666.666666666667</v>
      </c>
      <c r="H8" s="2">
        <f>Table134[[#This Row],[TỔNG]]*Table134[[#This Row],[ĐƠN GIÁ]]</f>
        <v>1600000</v>
      </c>
    </row>
    <row r="9" spans="1:8" x14ac:dyDescent="0.3">
      <c r="A9" s="3" t="s">
        <v>43</v>
      </c>
      <c r="B9" s="3" t="s">
        <v>44</v>
      </c>
      <c r="C9">
        <v>240</v>
      </c>
      <c r="D9" s="4"/>
      <c r="E9" s="5"/>
      <c r="F9">
        <f>SUM(Table134[[#This Row],[NT]])</f>
        <v>240</v>
      </c>
      <c r="G9" s="1">
        <f>11000*0.3</f>
        <v>3300</v>
      </c>
      <c r="H9" s="2">
        <f>Table134[[#This Row],[TỔNG]]*Table134[[#This Row],[ĐƠN GIÁ]]</f>
        <v>792000</v>
      </c>
    </row>
    <row r="10" spans="1:8" x14ac:dyDescent="0.3">
      <c r="A10" s="3" t="s">
        <v>67</v>
      </c>
      <c r="B10" s="4" t="s">
        <v>7</v>
      </c>
      <c r="C10">
        <v>95</v>
      </c>
      <c r="F10">
        <f>SUM(Table134[[#This Row],[NT]])</f>
        <v>95</v>
      </c>
      <c r="G10" s="1">
        <v>25000</v>
      </c>
      <c r="H10" s="2">
        <f>Table134[[#This Row],[TỔNG]]*Table134[[#This Row],[ĐƠN GIÁ]]</f>
        <v>2375000</v>
      </c>
    </row>
    <row r="11" spans="1:8" x14ac:dyDescent="0.3">
      <c r="A11" s="3" t="s">
        <v>17</v>
      </c>
      <c r="B11" s="4" t="s">
        <v>7</v>
      </c>
      <c r="C11">
        <v>100</v>
      </c>
      <c r="F11">
        <f>SUM(Table134[[#This Row],[NT]])</f>
        <v>100</v>
      </c>
      <c r="G11" s="1">
        <v>40000</v>
      </c>
      <c r="H11" s="2">
        <f>Table134[[#This Row],[TỔNG]]*Table134[[#This Row],[ĐƠN GIÁ]]</f>
        <v>4000000</v>
      </c>
    </row>
    <row r="12" spans="1:8" x14ac:dyDescent="0.3">
      <c r="A12" s="3" t="s">
        <v>18</v>
      </c>
      <c r="B12" s="4" t="s">
        <v>9</v>
      </c>
      <c r="C12">
        <v>85</v>
      </c>
      <c r="F12">
        <f>SUM(Table134[[#This Row],[NT]])</f>
        <v>85</v>
      </c>
      <c r="G12" s="1">
        <v>58000</v>
      </c>
      <c r="H12" s="2">
        <f>Table134[[#This Row],[TỔNG]]*Table134[[#This Row],[ĐƠN GIÁ]]</f>
        <v>4930000</v>
      </c>
    </row>
    <row r="13" spans="1:8" x14ac:dyDescent="0.3">
      <c r="A13" s="3" t="s">
        <v>45</v>
      </c>
      <c r="B13" s="4" t="s">
        <v>7</v>
      </c>
      <c r="C13">
        <v>350</v>
      </c>
      <c r="F13">
        <f>SUM(Table134[[#This Row],[NT]])</f>
        <v>350</v>
      </c>
      <c r="G13" s="1">
        <v>23000</v>
      </c>
      <c r="H13" s="2">
        <f>Table134[[#This Row],[TỔNG]]*Table134[[#This Row],[ĐƠN GIÁ]]</f>
        <v>8050000</v>
      </c>
    </row>
    <row r="14" spans="1:8" x14ac:dyDescent="0.3">
      <c r="A14" s="3" t="s">
        <v>46</v>
      </c>
      <c r="B14" s="4" t="s">
        <v>9</v>
      </c>
      <c r="C14">
        <v>120</v>
      </c>
      <c r="F14">
        <f>SUM(Table134[[#This Row],[NT]])</f>
        <v>120</v>
      </c>
      <c r="G14" s="1">
        <f>22000/2</f>
        <v>11000</v>
      </c>
      <c r="H14" s="2">
        <f>Table134[[#This Row],[TỔNG]]*Table134[[#This Row],[ĐƠN GIÁ]]</f>
        <v>1320000</v>
      </c>
    </row>
    <row r="15" spans="1:8" x14ac:dyDescent="0.3">
      <c r="A15" s="3" t="s">
        <v>89</v>
      </c>
      <c r="B15" s="4" t="s">
        <v>7</v>
      </c>
      <c r="C15">
        <v>23</v>
      </c>
      <c r="F15">
        <f>SUM(Table134[[#This Row],[NT]])</f>
        <v>23</v>
      </c>
      <c r="G15" s="1">
        <v>22000</v>
      </c>
      <c r="H15" s="2">
        <f>Table134[[#This Row],[TỔNG]]*Table134[[#This Row],[ĐƠN GIÁ]]</f>
        <v>506000</v>
      </c>
    </row>
    <row r="16" spans="1:8" x14ac:dyDescent="0.3">
      <c r="A16" s="3" t="s">
        <v>81</v>
      </c>
      <c r="B16" s="4" t="s">
        <v>48</v>
      </c>
      <c r="C16">
        <v>87</v>
      </c>
      <c r="F16">
        <f>SUM(Table134[[#This Row],[NT]])</f>
        <v>87</v>
      </c>
      <c r="G16" s="1">
        <f>38000*0.3</f>
        <v>11400</v>
      </c>
      <c r="H16" s="2">
        <f>Table134[[#This Row],[TỔNG]]*Table134[[#This Row],[ĐƠN GIÁ]]</f>
        <v>991800</v>
      </c>
    </row>
    <row r="17" spans="1:8" x14ac:dyDescent="0.3">
      <c r="A17" s="3" t="s">
        <v>70</v>
      </c>
      <c r="B17" s="4" t="s">
        <v>7</v>
      </c>
      <c r="C17">
        <v>18</v>
      </c>
      <c r="F17">
        <f>SUM(Table134[[#This Row],[NT]])</f>
        <v>18</v>
      </c>
      <c r="G17" s="1">
        <v>38000</v>
      </c>
      <c r="H17" s="2">
        <f>Table134[[#This Row],[TỔNG]]*Table134[[#This Row],[ĐƠN GIÁ]]</f>
        <v>684000</v>
      </c>
    </row>
    <row r="18" spans="1:8" ht="14.4" customHeight="1" x14ac:dyDescent="0.3">
      <c r="A18" s="3" t="s">
        <v>47</v>
      </c>
      <c r="B18" s="4" t="s">
        <v>48</v>
      </c>
      <c r="C18">
        <v>69</v>
      </c>
      <c r="F18">
        <f>SUM(Table134[[#This Row],[NT]])</f>
        <v>69</v>
      </c>
      <c r="G18" s="1">
        <f>49500*0.3</f>
        <v>14850</v>
      </c>
      <c r="H18" s="2">
        <f>Table134[[#This Row],[TỔNG]]*Table134[[#This Row],[ĐƠN GIÁ]]</f>
        <v>1024650</v>
      </c>
    </row>
    <row r="19" spans="1:8" x14ac:dyDescent="0.3">
      <c r="A19" s="3" t="s">
        <v>65</v>
      </c>
      <c r="B19" s="4" t="s">
        <v>48</v>
      </c>
      <c r="C19">
        <v>68</v>
      </c>
      <c r="F19">
        <f>SUM(Table134[[#This Row],[NT]])</f>
        <v>68</v>
      </c>
      <c r="G19" s="1">
        <f>40500*0.3</f>
        <v>12150</v>
      </c>
      <c r="H19" s="2">
        <f>Table134[[#This Row],[TỔNG]]*Table134[[#This Row],[ĐƠN GIÁ]]</f>
        <v>826200</v>
      </c>
    </row>
    <row r="20" spans="1:8" x14ac:dyDescent="0.3">
      <c r="A20" s="3" t="s">
        <v>50</v>
      </c>
      <c r="B20" s="4" t="s">
        <v>7</v>
      </c>
      <c r="C20">
        <v>75</v>
      </c>
      <c r="F20">
        <f>SUM(Table134[[#This Row],[NT]])</f>
        <v>75</v>
      </c>
      <c r="G20" s="1">
        <v>22000</v>
      </c>
      <c r="H20" s="2">
        <f>Table134[[#This Row],[TỔNG]]*Table134[[#This Row],[ĐƠN GIÁ]]</f>
        <v>1650000</v>
      </c>
    </row>
    <row r="21" spans="1:8" x14ac:dyDescent="0.3">
      <c r="A21" s="3" t="s">
        <v>6</v>
      </c>
      <c r="B21" s="4" t="s">
        <v>7</v>
      </c>
      <c r="C21">
        <v>180</v>
      </c>
      <c r="F21">
        <f>SUM(Table134[[#This Row],[NT]])</f>
        <v>180</v>
      </c>
      <c r="G21" s="1">
        <v>19000</v>
      </c>
      <c r="H21" s="2">
        <f>Table134[[#This Row],[TỔNG]]*Table134[[#This Row],[ĐƠN GIÁ]]</f>
        <v>3420000</v>
      </c>
    </row>
    <row r="22" spans="1:8" x14ac:dyDescent="0.3">
      <c r="A22" s="3" t="s">
        <v>8</v>
      </c>
      <c r="B22" s="4" t="s">
        <v>9</v>
      </c>
      <c r="C22">
        <v>83</v>
      </c>
      <c r="F22">
        <f>SUM(Table134[[#This Row],[NT]])</f>
        <v>83</v>
      </c>
      <c r="G22" s="1">
        <f>58000/5</f>
        <v>11600</v>
      </c>
      <c r="H22" s="2">
        <f>Table134[[#This Row],[TỔNG]]*Table134[[#This Row],[ĐƠN GIÁ]]</f>
        <v>962800</v>
      </c>
    </row>
    <row r="23" spans="1:8" ht="15" customHeight="1" x14ac:dyDescent="0.3">
      <c r="A23" s="3" t="s">
        <v>20</v>
      </c>
      <c r="B23" s="4" t="s">
        <v>7</v>
      </c>
      <c r="C23">
        <v>84</v>
      </c>
      <c r="F23">
        <f>SUM(Table134[[#This Row],[NT]])</f>
        <v>84</v>
      </c>
      <c r="G23" s="1">
        <v>34000</v>
      </c>
      <c r="H23" s="2">
        <f>Table134[[#This Row],[TỔNG]]*Table134[[#This Row],[ĐƠN GIÁ]]</f>
        <v>2856000</v>
      </c>
    </row>
    <row r="24" spans="1:8" x14ac:dyDescent="0.3">
      <c r="A24" s="3" t="s">
        <v>23</v>
      </c>
      <c r="B24" s="4" t="s">
        <v>22</v>
      </c>
      <c r="C24">
        <v>230</v>
      </c>
      <c r="F24">
        <f>SUM(Table134[[#This Row],[NT]])</f>
        <v>230</v>
      </c>
      <c r="G24" s="1">
        <f>34000*0.3</f>
        <v>10200</v>
      </c>
      <c r="H24" s="2">
        <f>Table134[[#This Row],[TỔNG]]*Table134[[#This Row],[ĐƠN GIÁ]]</f>
        <v>2346000</v>
      </c>
    </row>
    <row r="25" spans="1:8" ht="28.8" x14ac:dyDescent="0.3">
      <c r="A25" s="3" t="s">
        <v>23</v>
      </c>
      <c r="B25" s="4" t="s">
        <v>24</v>
      </c>
      <c r="C25">
        <v>8</v>
      </c>
      <c r="F25">
        <f>SUM(Table134[[#This Row],[NT]])</f>
        <v>8</v>
      </c>
      <c r="G25" s="1">
        <f>34000*0.15</f>
        <v>5100</v>
      </c>
      <c r="H25" s="2">
        <f>Table134[[#This Row],[TỔNG]]*Table134[[#This Row],[ĐƠN GIÁ]]</f>
        <v>40800</v>
      </c>
    </row>
    <row r="26" spans="1:8" x14ac:dyDescent="0.3">
      <c r="A26" s="3" t="s">
        <v>25</v>
      </c>
      <c r="B26" s="4" t="s">
        <v>7</v>
      </c>
      <c r="C26">
        <v>38</v>
      </c>
      <c r="F26">
        <f>SUM(Table134[[#This Row],[NT]])</f>
        <v>38</v>
      </c>
      <c r="G26" s="1">
        <v>7500</v>
      </c>
      <c r="H26" s="2">
        <f>Table134[[#This Row],[TỔNG]]*Table134[[#This Row],[ĐƠN GIÁ]]</f>
        <v>285000</v>
      </c>
    </row>
    <row r="27" spans="1:8" x14ac:dyDescent="0.3">
      <c r="A27" s="3" t="s">
        <v>26</v>
      </c>
      <c r="B27" s="4" t="s">
        <v>7</v>
      </c>
      <c r="C27">
        <v>60</v>
      </c>
      <c r="F27">
        <f>SUM(Table134[[#This Row],[NT]])</f>
        <v>60</v>
      </c>
      <c r="G27" s="1">
        <v>13500</v>
      </c>
      <c r="H27" s="2">
        <f>Table134[[#This Row],[TỔNG]]*Table134[[#This Row],[ĐƠN GIÁ]]</f>
        <v>810000</v>
      </c>
    </row>
    <row r="28" spans="1:8" x14ac:dyDescent="0.3">
      <c r="A28" s="3" t="s">
        <v>26</v>
      </c>
      <c r="B28" s="4" t="s">
        <v>27</v>
      </c>
      <c r="C28">
        <v>145</v>
      </c>
      <c r="F28">
        <f>SUM(Table134[[#This Row],[NT]])</f>
        <v>145</v>
      </c>
      <c r="G28" s="1">
        <f>14000*0.5</f>
        <v>7000</v>
      </c>
      <c r="H28" s="2">
        <f>Table134[[#This Row],[TỔNG]]*Table134[[#This Row],[ĐƠN GIÁ]]</f>
        <v>1015000</v>
      </c>
    </row>
    <row r="29" spans="1:8" x14ac:dyDescent="0.3">
      <c r="A29" s="3" t="s">
        <v>51</v>
      </c>
      <c r="B29" s="4" t="s">
        <v>9</v>
      </c>
      <c r="C29">
        <v>21</v>
      </c>
      <c r="F29">
        <f>SUM(Table134[[#This Row],[NT]])</f>
        <v>21</v>
      </c>
      <c r="G29" s="1">
        <f>141750/21</f>
        <v>6750</v>
      </c>
      <c r="H29" s="2">
        <f>Table134[[#This Row],[TỔNG]]*Table134[[#This Row],[ĐƠN GIÁ]]</f>
        <v>141750</v>
      </c>
    </row>
    <row r="30" spans="1:8" x14ac:dyDescent="0.3">
      <c r="A30" s="3" t="s">
        <v>90</v>
      </c>
      <c r="B30" s="4" t="s">
        <v>48</v>
      </c>
      <c r="C30">
        <v>38</v>
      </c>
      <c r="F30">
        <f>SUM(Table134[[#This Row],[NT]])</f>
        <v>38</v>
      </c>
      <c r="G30" s="1">
        <v>12000</v>
      </c>
      <c r="H30" s="2">
        <f>Table134[[#This Row],[TỔNG]]*Table134[[#This Row],[ĐƠN GIÁ]]</f>
        <v>456000</v>
      </c>
    </row>
    <row r="31" spans="1:8" x14ac:dyDescent="0.3">
      <c r="A31" s="3" t="s">
        <v>10</v>
      </c>
      <c r="B31" s="4" t="s">
        <v>7</v>
      </c>
      <c r="C31">
        <v>180</v>
      </c>
      <c r="F31">
        <f>SUM(Table134[[#This Row],[NT]])</f>
        <v>180</v>
      </c>
      <c r="G31" s="1">
        <v>6000</v>
      </c>
      <c r="H31" s="2">
        <f>Table134[[#This Row],[TỔNG]]*Table134[[#This Row],[ĐƠN GIÁ]]</f>
        <v>1080000</v>
      </c>
    </row>
    <row r="32" spans="1:8" ht="14.4" customHeight="1" x14ac:dyDescent="0.3">
      <c r="A32" s="3" t="s">
        <v>11</v>
      </c>
      <c r="B32" s="4" t="s">
        <v>7</v>
      </c>
      <c r="C32">
        <v>20</v>
      </c>
      <c r="F32">
        <f>SUM(Table134[[#This Row],[NT]])</f>
        <v>20</v>
      </c>
      <c r="G32" s="1">
        <v>15000</v>
      </c>
      <c r="H32" s="2">
        <f>Table134[[#This Row],[TỔNG]]*Table134[[#This Row],[ĐƠN GIÁ]]</f>
        <v>300000</v>
      </c>
    </row>
    <row r="33" spans="1:8" x14ac:dyDescent="0.3">
      <c r="A33" s="3" t="s">
        <v>12</v>
      </c>
      <c r="B33" s="4" t="s">
        <v>7</v>
      </c>
      <c r="C33">
        <v>40</v>
      </c>
      <c r="F33">
        <f>SUM(Table134[[#This Row],[NT]])</f>
        <v>40</v>
      </c>
      <c r="G33" s="1">
        <v>30000</v>
      </c>
      <c r="H33" s="2">
        <f>Table134[[#This Row],[TỔNG]]*Table134[[#This Row],[ĐƠN GIÁ]]</f>
        <v>1200000</v>
      </c>
    </row>
    <row r="34" spans="1:8" x14ac:dyDescent="0.3">
      <c r="A34" s="3" t="s">
        <v>91</v>
      </c>
      <c r="B34" s="4" t="s">
        <v>7</v>
      </c>
      <c r="C34">
        <v>8</v>
      </c>
      <c r="F34">
        <f>SUM(Table134[[#This Row],[NT]])</f>
        <v>8</v>
      </c>
      <c r="G34" s="1">
        <v>20000</v>
      </c>
      <c r="H34" s="2">
        <f>Table134[[#This Row],[TỔNG]]*Table134[[#This Row],[ĐƠN GIÁ]]</f>
        <v>160000</v>
      </c>
    </row>
    <row r="35" spans="1:8" x14ac:dyDescent="0.3">
      <c r="A35" s="3" t="s">
        <v>92</v>
      </c>
      <c r="B35" s="4" t="s">
        <v>7</v>
      </c>
      <c r="C35">
        <v>32</v>
      </c>
      <c r="F35">
        <f>SUM(Table134[[#This Row],[NT]])</f>
        <v>32</v>
      </c>
      <c r="G35" s="1">
        <v>30000</v>
      </c>
      <c r="H35" s="2">
        <f>Table134[[#This Row],[TỔNG]]*Table134[[#This Row],[ĐƠN GIÁ]]</f>
        <v>960000</v>
      </c>
    </row>
    <row r="36" spans="1:8" x14ac:dyDescent="0.3">
      <c r="A36" s="3" t="s">
        <v>13</v>
      </c>
      <c r="B36" s="4" t="s">
        <v>7</v>
      </c>
      <c r="C36">
        <v>105</v>
      </c>
      <c r="F36">
        <f>SUM(Table134[[#This Row],[NT]])</f>
        <v>105</v>
      </c>
      <c r="G36" s="1">
        <v>22000</v>
      </c>
      <c r="H36" s="2">
        <f>Table134[[#This Row],[TỔNG]]*Table134[[#This Row],[ĐƠN GIÁ]]</f>
        <v>2310000</v>
      </c>
    </row>
    <row r="37" spans="1:8" x14ac:dyDescent="0.3">
      <c r="A37" s="3" t="s">
        <v>14</v>
      </c>
      <c r="B37" s="3" t="s">
        <v>7</v>
      </c>
      <c r="C37">
        <v>150</v>
      </c>
      <c r="D37" s="4"/>
      <c r="E37" s="5"/>
      <c r="F37">
        <f>SUM(Table134[[#This Row],[NT]])</f>
        <v>150</v>
      </c>
      <c r="G37" s="1">
        <v>20000</v>
      </c>
      <c r="H37" s="2">
        <f>Table134[[#This Row],[TỔNG]]*Table134[[#This Row],[ĐƠN GIÁ]]</f>
        <v>3000000</v>
      </c>
    </row>
    <row r="38" spans="1:8" x14ac:dyDescent="0.3">
      <c r="A38" s="3" t="s">
        <v>15</v>
      </c>
      <c r="B38" s="4" t="s">
        <v>7</v>
      </c>
      <c r="C38">
        <v>15</v>
      </c>
      <c r="F38">
        <f>SUM(Table134[[#This Row],[NT]])</f>
        <v>15</v>
      </c>
      <c r="G38" s="1">
        <v>28000</v>
      </c>
      <c r="H38" s="2">
        <f>Table134[[#This Row],[TỔNG]]*Table134[[#This Row],[ĐƠN GIÁ]]</f>
        <v>420000</v>
      </c>
    </row>
    <row r="39" spans="1:8" ht="14.4" customHeight="1" x14ac:dyDescent="0.3">
      <c r="A39" s="3" t="s">
        <v>93</v>
      </c>
      <c r="B39" s="4" t="s">
        <v>7</v>
      </c>
      <c r="C39">
        <v>10</v>
      </c>
      <c r="F39">
        <f>SUM(Table134[[#This Row],[NT]])</f>
        <v>10</v>
      </c>
      <c r="G39" s="1">
        <v>15000</v>
      </c>
      <c r="H39" s="2">
        <f>Table134[[#This Row],[TỔNG]]*Table134[[#This Row],[ĐƠN GIÁ]]</f>
        <v>150000</v>
      </c>
    </row>
    <row r="40" spans="1:8" x14ac:dyDescent="0.3">
      <c r="A40" s="3" t="s">
        <v>94</v>
      </c>
      <c r="B40" s="4" t="s">
        <v>22</v>
      </c>
      <c r="C40">
        <v>10</v>
      </c>
      <c r="F40">
        <f>SUM(Table134[[#This Row],[NT]])</f>
        <v>10</v>
      </c>
      <c r="G40" s="1">
        <v>9000</v>
      </c>
      <c r="H40" s="2">
        <f>Table134[[#This Row],[TỔNG]]*Table134[[#This Row],[ĐƠN GIÁ]]</f>
        <v>90000</v>
      </c>
    </row>
    <row r="41" spans="1:8" x14ac:dyDescent="0.3">
      <c r="A41" s="3" t="s">
        <v>52</v>
      </c>
      <c r="B41" s="4" t="s">
        <v>22</v>
      </c>
      <c r="C41">
        <v>45</v>
      </c>
      <c r="F41">
        <f>SUM(Table134[[#This Row],[NT]])</f>
        <v>45</v>
      </c>
      <c r="G41" s="1">
        <f>22000*0.3</f>
        <v>6600</v>
      </c>
      <c r="H41" s="2">
        <f>Table134[[#This Row],[TỔNG]]*Table134[[#This Row],[ĐƠN GIÁ]]</f>
        <v>297000</v>
      </c>
    </row>
    <row r="42" spans="1:8" x14ac:dyDescent="0.3">
      <c r="A42" s="3" t="s">
        <v>95</v>
      </c>
      <c r="B42" s="4" t="s">
        <v>9</v>
      </c>
      <c r="C42">
        <v>5</v>
      </c>
      <c r="F42">
        <f>SUM(Table134[[#This Row],[NT]])</f>
        <v>5</v>
      </c>
      <c r="G42" s="1">
        <v>80000</v>
      </c>
      <c r="H42" s="2">
        <f>Table134[[#This Row],[TỔNG]]*Table134[[#This Row],[ĐƠN GIÁ]]</f>
        <v>400000</v>
      </c>
    </row>
    <row r="43" spans="1:8" x14ac:dyDescent="0.3">
      <c r="A43" s="3" t="s">
        <v>54</v>
      </c>
      <c r="B43" s="4" t="s">
        <v>9</v>
      </c>
      <c r="C43">
        <v>785</v>
      </c>
      <c r="F43">
        <f>SUM(Table134[[#This Row],[NT]])</f>
        <v>785</v>
      </c>
      <c r="G43" s="1">
        <v>8500</v>
      </c>
      <c r="H43" s="2">
        <f>Table134[[#This Row],[TỔNG]]*Table134[[#This Row],[ĐƠN GIÁ]]</f>
        <v>6672500</v>
      </c>
    </row>
    <row r="44" spans="1:8" x14ac:dyDescent="0.3">
      <c r="A44" s="3" t="s">
        <v>55</v>
      </c>
      <c r="B44" s="4" t="s">
        <v>7</v>
      </c>
      <c r="C44">
        <v>5</v>
      </c>
      <c r="F44">
        <f>SUM(Table134[[#This Row],[NT]])</f>
        <v>5</v>
      </c>
      <c r="G44" s="1">
        <v>12000</v>
      </c>
      <c r="H44" s="2">
        <f>Table134[[#This Row],[TỔNG]]*Table134[[#This Row],[ĐƠN GIÁ]]</f>
        <v>60000</v>
      </c>
    </row>
    <row r="45" spans="1:8" x14ac:dyDescent="0.3">
      <c r="A45" s="3" t="s">
        <v>55</v>
      </c>
      <c r="B45" s="4" t="s">
        <v>22</v>
      </c>
      <c r="C45">
        <v>27</v>
      </c>
      <c r="F45">
        <f>SUM(Table134[[#This Row],[NT]])</f>
        <v>27</v>
      </c>
      <c r="G45" s="1">
        <f>12000*0.6</f>
        <v>7200</v>
      </c>
      <c r="H45" s="2">
        <f>Table134[[#This Row],[TỔNG]]*Table134[[#This Row],[ĐƠN GIÁ]]</f>
        <v>194400</v>
      </c>
    </row>
    <row r="46" spans="1:8" x14ac:dyDescent="0.3">
      <c r="A46" s="3" t="s">
        <v>56</v>
      </c>
      <c r="B46" s="4" t="s">
        <v>7</v>
      </c>
      <c r="C46">
        <v>55</v>
      </c>
      <c r="F46">
        <f>SUM(Table134[[#This Row],[NT]])</f>
        <v>55</v>
      </c>
      <c r="G46" s="1">
        <v>8000</v>
      </c>
      <c r="H46" s="2">
        <f>Table134[[#This Row],[TỔNG]]*Table134[[#This Row],[ĐƠN GIÁ]]</f>
        <v>440000</v>
      </c>
    </row>
    <row r="47" spans="1:8" x14ac:dyDescent="0.3">
      <c r="A47" s="3" t="s">
        <v>28</v>
      </c>
      <c r="B47" s="4" t="s">
        <v>7</v>
      </c>
      <c r="C47">
        <v>7.5</v>
      </c>
      <c r="E47">
        <v>7</v>
      </c>
      <c r="F47">
        <f>SUM(Table134[[#This Row],[NT]])</f>
        <v>7.5</v>
      </c>
      <c r="G47" s="1">
        <v>48000</v>
      </c>
      <c r="H47" s="2">
        <f>Table134[[#This Row],[TỔNG]]*Table134[[#This Row],[ĐƠN GIÁ]]</f>
        <v>360000</v>
      </c>
    </row>
    <row r="48" spans="1:8" x14ac:dyDescent="0.3">
      <c r="A48" s="3" t="s">
        <v>28</v>
      </c>
      <c r="B48" s="4" t="s">
        <v>27</v>
      </c>
      <c r="C48">
        <v>42</v>
      </c>
      <c r="F48">
        <f>SUM(Table134[[#This Row],[NT]])</f>
        <v>42</v>
      </c>
      <c r="G48" s="1">
        <f>48000*0.15</f>
        <v>7200</v>
      </c>
      <c r="H48" s="2">
        <f>Table134[[#This Row],[TỔNG]]*Table134[[#This Row],[ĐƠN GIÁ]]</f>
        <v>302400</v>
      </c>
    </row>
    <row r="49" spans="1:8" ht="14.4" customHeight="1" x14ac:dyDescent="0.3">
      <c r="A49" s="3" t="s">
        <v>72</v>
      </c>
      <c r="B49" s="4" t="s">
        <v>48</v>
      </c>
      <c r="C49">
        <v>15</v>
      </c>
      <c r="F49">
        <f>SUM(Table134[[#This Row],[NT]])</f>
        <v>15</v>
      </c>
      <c r="G49" s="1">
        <v>100000</v>
      </c>
      <c r="H49" s="2">
        <f>Table134[[#This Row],[TỔNG]]*Table134[[#This Row],[ĐƠN GIÁ]]</f>
        <v>1500000</v>
      </c>
    </row>
    <row r="50" spans="1:8" x14ac:dyDescent="0.3">
      <c r="A50" s="3" t="s">
        <v>73</v>
      </c>
      <c r="B50" s="4" t="s">
        <v>7</v>
      </c>
      <c r="C50">
        <v>17</v>
      </c>
      <c r="F50">
        <f>SUM(Table134[[#This Row],[NT]])</f>
        <v>17</v>
      </c>
      <c r="G50" s="1">
        <v>27000</v>
      </c>
      <c r="H50" s="2">
        <f>Table134[[#This Row],[TỔNG]]*Table134[[#This Row],[ĐƠN GIÁ]]</f>
        <v>459000</v>
      </c>
    </row>
    <row r="51" spans="1:8" x14ac:dyDescent="0.3">
      <c r="A51" s="3" t="s">
        <v>29</v>
      </c>
      <c r="B51" s="4" t="s">
        <v>22</v>
      </c>
      <c r="C51">
        <v>411</v>
      </c>
      <c r="F51">
        <f>SUM(Table134[[#This Row],[NT]])</f>
        <v>411</v>
      </c>
      <c r="G51" s="1">
        <f>50000/20</f>
        <v>2500</v>
      </c>
      <c r="H51" s="2">
        <f>Table134[[#This Row],[TỔNG]]*Table134[[#This Row],[ĐƠN GIÁ]]</f>
        <v>1027500</v>
      </c>
    </row>
    <row r="52" spans="1:8" x14ac:dyDescent="0.3">
      <c r="A52" s="3" t="s">
        <v>31</v>
      </c>
      <c r="B52" s="4" t="s">
        <v>22</v>
      </c>
      <c r="C52">
        <v>4</v>
      </c>
      <c r="F52">
        <f>SUM(Table134[[#This Row],[NT]])</f>
        <v>4</v>
      </c>
      <c r="G52" s="1">
        <v>32000</v>
      </c>
      <c r="H52" s="2">
        <f>Table134[[#This Row],[TỔNG]]*Table134[[#This Row],[ĐƠN GIÁ]]</f>
        <v>128000</v>
      </c>
    </row>
    <row r="53" spans="1:8" x14ac:dyDescent="0.3">
      <c r="A53" s="3" t="s">
        <v>32</v>
      </c>
      <c r="B53" s="4" t="s">
        <v>7</v>
      </c>
      <c r="C53">
        <v>35</v>
      </c>
      <c r="F53">
        <f>SUM(Table134[[#This Row],[NT]])</f>
        <v>35</v>
      </c>
      <c r="G53" s="1">
        <f>94000/2</f>
        <v>47000</v>
      </c>
      <c r="H53" s="2">
        <f>Table134[[#This Row],[TỔNG]]*Table134[[#This Row],[ĐƠN GIÁ]]</f>
        <v>1645000</v>
      </c>
    </row>
    <row r="54" spans="1:8" x14ac:dyDescent="0.3">
      <c r="A54" s="3" t="s">
        <v>68</v>
      </c>
      <c r="B54" s="4" t="s">
        <v>9</v>
      </c>
      <c r="C54">
        <v>9</v>
      </c>
      <c r="F54">
        <f>SUM(Table134[[#This Row],[NT]])</f>
        <v>9</v>
      </c>
      <c r="G54" s="1">
        <v>23000</v>
      </c>
      <c r="H54" s="2">
        <f>Table134[[#This Row],[TỔNG]]*Table134[[#This Row],[ĐƠN GIÁ]]</f>
        <v>207000</v>
      </c>
    </row>
    <row r="55" spans="1:8" x14ac:dyDescent="0.3">
      <c r="A55" s="3" t="s">
        <v>57</v>
      </c>
      <c r="B55" s="4" t="s">
        <v>7</v>
      </c>
      <c r="C55">
        <v>35</v>
      </c>
      <c r="F55">
        <f>SUM(Table134[[#This Row],[NT]])</f>
        <v>35</v>
      </c>
      <c r="G55" s="1">
        <v>50000</v>
      </c>
      <c r="H55" s="2">
        <f>Table134[[#This Row],[TỔNG]]*Table134[[#This Row],[ĐƠN GIÁ]]</f>
        <v>1750000</v>
      </c>
    </row>
    <row r="56" spans="1:8" x14ac:dyDescent="0.3">
      <c r="A56" s="3" t="s">
        <v>58</v>
      </c>
      <c r="B56" s="4" t="s">
        <v>7</v>
      </c>
      <c r="C56">
        <v>9</v>
      </c>
      <c r="F56">
        <f>SUM(Table134[[#This Row],[NT]])</f>
        <v>9</v>
      </c>
      <c r="G56" s="1">
        <v>48000</v>
      </c>
      <c r="H56" s="2">
        <f>Table134[[#This Row],[TỔNG]]*Table134[[#This Row],[ĐƠN GIÁ]]</f>
        <v>432000</v>
      </c>
    </row>
    <row r="57" spans="1:8" ht="28.8" x14ac:dyDescent="0.3">
      <c r="A57" s="3" t="s">
        <v>58</v>
      </c>
      <c r="B57" s="4" t="s">
        <v>59</v>
      </c>
      <c r="C57">
        <v>95</v>
      </c>
      <c r="F57">
        <f>SUM(Table134[[#This Row],[NT]])</f>
        <v>95</v>
      </c>
      <c r="G57" s="1">
        <v>12000</v>
      </c>
      <c r="H57" s="2">
        <f>Table134[[#This Row],[TỔNG]]*Table134[[#This Row],[ĐƠN GIÁ]]</f>
        <v>1140000</v>
      </c>
    </row>
    <row r="58" spans="1:8" x14ac:dyDescent="0.3">
      <c r="A58" s="3" t="s">
        <v>60</v>
      </c>
      <c r="B58" s="4" t="s">
        <v>7</v>
      </c>
      <c r="C58">
        <v>15</v>
      </c>
      <c r="F58">
        <f>SUM(Table134[[#This Row],[NT]])</f>
        <v>15</v>
      </c>
      <c r="G58" s="1">
        <v>55000</v>
      </c>
      <c r="H58" s="2">
        <f>Table134[[#This Row],[TỔNG]]*Table134[[#This Row],[ĐƠN GIÁ]]</f>
        <v>825000</v>
      </c>
    </row>
    <row r="59" spans="1:8" x14ac:dyDescent="0.3">
      <c r="A59" s="3" t="s">
        <v>61</v>
      </c>
      <c r="B59" s="4" t="s">
        <v>7</v>
      </c>
      <c r="C59">
        <v>3</v>
      </c>
      <c r="F59">
        <f>SUM(Table134[[#This Row],[NT]])</f>
        <v>3</v>
      </c>
      <c r="G59" s="1">
        <v>32000</v>
      </c>
      <c r="H59" s="2">
        <f>Table134[[#This Row],[TỔNG]]*Table134[[#This Row],[ĐƠN GIÁ]]</f>
        <v>96000</v>
      </c>
    </row>
    <row r="60" spans="1:8" ht="28.8" x14ac:dyDescent="0.3">
      <c r="A60" s="3" t="s">
        <v>61</v>
      </c>
      <c r="B60" s="4" t="s">
        <v>59</v>
      </c>
      <c r="C60">
        <v>57</v>
      </c>
      <c r="F60">
        <f>SUM(Table134[[#This Row],[NT]])</f>
        <v>57</v>
      </c>
      <c r="G60" s="1">
        <f>32000/4</f>
        <v>8000</v>
      </c>
      <c r="H60" s="2">
        <f>Table134[[#This Row],[TỔNG]]*Table134[[#This Row],[ĐƠN GIÁ]]</f>
        <v>456000</v>
      </c>
    </row>
    <row r="61" spans="1:8" ht="28.8" x14ac:dyDescent="0.3">
      <c r="A61" s="3" t="s">
        <v>62</v>
      </c>
      <c r="B61" s="4" t="s">
        <v>59</v>
      </c>
      <c r="C61">
        <v>17</v>
      </c>
      <c r="F61">
        <f>SUM(Table134[[#This Row],[NT]])</f>
        <v>17</v>
      </c>
      <c r="G61" s="1">
        <f>38000/4</f>
        <v>9500</v>
      </c>
      <c r="H61" s="2">
        <f>Table134[[#This Row],[TỔNG]]*Table134[[#This Row],[ĐƠN GIÁ]]</f>
        <v>161500</v>
      </c>
    </row>
    <row r="62" spans="1:8" ht="14.4" customHeight="1" x14ac:dyDescent="0.3">
      <c r="A62" s="3" t="s">
        <v>63</v>
      </c>
      <c r="B62" s="4" t="s">
        <v>22</v>
      </c>
      <c r="C62">
        <v>196</v>
      </c>
      <c r="F62">
        <f>SUM(Table134[[#This Row],[NT]])</f>
        <v>196</v>
      </c>
      <c r="G62" s="1">
        <v>20000</v>
      </c>
      <c r="H62" s="2">
        <f>Table134[[#This Row],[TỔNG]]*Table134[[#This Row],[ĐƠN GIÁ]]</f>
        <v>3920000</v>
      </c>
    </row>
    <row r="63" spans="1:8" ht="14.4" customHeight="1" x14ac:dyDescent="0.3">
      <c r="A63" s="3" t="s">
        <v>33</v>
      </c>
      <c r="B63" s="4" t="s">
        <v>7</v>
      </c>
      <c r="C63">
        <v>10</v>
      </c>
      <c r="F63">
        <f>SUM(Table134[[#This Row],[NT]])</f>
        <v>10</v>
      </c>
      <c r="G63" s="1">
        <v>35000</v>
      </c>
      <c r="H63" s="2">
        <f>Table134[[#This Row],[TỔNG]]*Table134[[#This Row],[ĐƠN GIÁ]]</f>
        <v>350000</v>
      </c>
    </row>
    <row r="64" spans="1:8" x14ac:dyDescent="0.3">
      <c r="A64" s="3" t="s">
        <v>71</v>
      </c>
      <c r="B64" s="4" t="s">
        <v>7</v>
      </c>
      <c r="C64">
        <v>10</v>
      </c>
      <c r="F64">
        <f>SUM(Table134[[#This Row],[NT]])</f>
        <v>10</v>
      </c>
      <c r="G64" s="1">
        <v>18000</v>
      </c>
      <c r="H64" s="2">
        <f>Table134[[#This Row],[TỔNG]]*Table134[[#This Row],[ĐƠN GIÁ]]</f>
        <v>180000</v>
      </c>
    </row>
    <row r="65" spans="1:8" x14ac:dyDescent="0.3">
      <c r="A65" s="3" t="s">
        <v>64</v>
      </c>
      <c r="B65" s="4" t="s">
        <v>7</v>
      </c>
      <c r="C65">
        <v>15</v>
      </c>
      <c r="F65">
        <f>SUM(Table134[[#This Row],[NT]])</f>
        <v>15</v>
      </c>
      <c r="G65" s="1">
        <v>60000</v>
      </c>
      <c r="H65" s="2">
        <f>Table134[[#This Row],[TỔNG]]*Table134[[#This Row],[ĐƠN GIÁ]]</f>
        <v>900000</v>
      </c>
    </row>
    <row r="66" spans="1:8" x14ac:dyDescent="0.3">
      <c r="A66" s="3" t="s">
        <v>66</v>
      </c>
      <c r="B66" s="4" t="s">
        <v>48</v>
      </c>
      <c r="C66">
        <v>4</v>
      </c>
      <c r="F66">
        <f>SUM(Table134[[#This Row],[NT]])</f>
        <v>4</v>
      </c>
      <c r="G66" s="1">
        <v>35000</v>
      </c>
      <c r="H66" s="2">
        <f>Table134[[#This Row],[TỔNG]]*Table134[[#This Row],[ĐƠN GIÁ]]</f>
        <v>140000</v>
      </c>
    </row>
    <row r="67" spans="1:8" x14ac:dyDescent="0.3">
      <c r="A67" s="3" t="s">
        <v>34</v>
      </c>
      <c r="B67" s="3" t="s">
        <v>7</v>
      </c>
      <c r="C67">
        <v>270</v>
      </c>
      <c r="D67" s="4"/>
      <c r="E67" s="5"/>
      <c r="F67">
        <f>SUM(Table134[[#This Row],[NT]])</f>
        <v>270</v>
      </c>
      <c r="G67" s="1">
        <v>30000</v>
      </c>
      <c r="H67" s="2">
        <f>Table134[[#This Row],[TỔNG]]*Table134[[#This Row],[ĐƠN GIÁ]]</f>
        <v>8100000</v>
      </c>
    </row>
    <row r="68" spans="1:8" x14ac:dyDescent="0.3">
      <c r="A68" s="3" t="s">
        <v>74</v>
      </c>
      <c r="B68" s="4" t="s">
        <v>7</v>
      </c>
      <c r="C68">
        <v>45</v>
      </c>
      <c r="F68">
        <f>SUM(Table134[[#This Row],[NT]])</f>
        <v>45</v>
      </c>
      <c r="G68" s="1">
        <v>33000</v>
      </c>
      <c r="H68" s="2">
        <f>Table134[[#This Row],[TỔNG]]*Table134[[#This Row],[ĐƠN GIÁ]]</f>
        <v>1485000</v>
      </c>
    </row>
    <row r="69" spans="1:8" ht="14.4" customHeight="1" x14ac:dyDescent="0.3">
      <c r="A69" s="3" t="s">
        <v>35</v>
      </c>
      <c r="B69" s="4" t="s">
        <v>7</v>
      </c>
      <c r="C69">
        <v>30</v>
      </c>
      <c r="F69">
        <f>SUM(Table134[[#This Row],[NT]])</f>
        <v>30</v>
      </c>
      <c r="G69" s="1">
        <v>28000</v>
      </c>
      <c r="H69" s="2">
        <f>Table134[[#This Row],[TỔNG]]*Table134[[#This Row],[ĐƠN GIÁ]]</f>
        <v>840000</v>
      </c>
    </row>
    <row r="70" spans="1:8" x14ac:dyDescent="0.3">
      <c r="A70" s="3" t="s">
        <v>36</v>
      </c>
      <c r="B70" s="3" t="s">
        <v>27</v>
      </c>
      <c r="C70">
        <v>77</v>
      </c>
      <c r="D70" s="4"/>
      <c r="E70" s="5"/>
      <c r="F70">
        <f>SUM(Table134[[#This Row],[NT]])</f>
        <v>77</v>
      </c>
      <c r="G70" s="1">
        <v>6800</v>
      </c>
      <c r="H70" s="2">
        <f>Table134[[#This Row],[TỔNG]]*Table134[[#This Row],[ĐƠN GIÁ]]</f>
        <v>523600</v>
      </c>
    </row>
    <row r="71" spans="1:8" x14ac:dyDescent="0.3">
      <c r="A71" s="3" t="s">
        <v>40</v>
      </c>
      <c r="B71" s="4" t="s">
        <v>7</v>
      </c>
      <c r="C71">
        <v>30</v>
      </c>
      <c r="F71">
        <f>SUM(Table134[[#This Row],[NT]])</f>
        <v>30</v>
      </c>
      <c r="G71" s="1">
        <v>28000</v>
      </c>
      <c r="H71" s="2">
        <f>Table134[[#This Row],[TỔNG]]*Table134[[#This Row],[ĐƠN GIÁ]]</f>
        <v>840000</v>
      </c>
    </row>
    <row r="72" spans="1:8" x14ac:dyDescent="0.3">
      <c r="A72" s="3" t="s">
        <v>38</v>
      </c>
      <c r="B72" s="4" t="s">
        <v>27</v>
      </c>
      <c r="C72">
        <v>7</v>
      </c>
      <c r="F72">
        <f>SUM(Table134[[#This Row],[NT]])</f>
        <v>7</v>
      </c>
      <c r="G72" s="1">
        <v>6800</v>
      </c>
      <c r="H72" s="2">
        <f>Table134[[#This Row],[TỔNG]]*Table134[[#This Row],[ĐƠN GIÁ]]</f>
        <v>47600</v>
      </c>
    </row>
    <row r="73" spans="1:8" x14ac:dyDescent="0.3">
      <c r="A73" s="3" t="s">
        <v>39</v>
      </c>
      <c r="B73" s="4" t="s">
        <v>7</v>
      </c>
      <c r="C73">
        <v>36.6</v>
      </c>
      <c r="F73">
        <f>SUM(Table134[[#This Row],[NT]])</f>
        <v>36.6</v>
      </c>
      <c r="G73" s="1">
        <v>40000</v>
      </c>
      <c r="H73" s="2">
        <f>Table134[[#This Row],[TỔNG]]*Table134[[#This Row],[ĐƠN GIÁ]]</f>
        <v>1464000</v>
      </c>
    </row>
    <row r="74" spans="1:8" x14ac:dyDescent="0.3">
      <c r="A74" s="3" t="s">
        <v>82</v>
      </c>
      <c r="B74" s="4" t="s">
        <v>7</v>
      </c>
      <c r="C74">
        <v>1.5</v>
      </c>
      <c r="F74">
        <f>SUM(Table134[[#This Row],[NT]])</f>
        <v>1.5</v>
      </c>
      <c r="G74" s="1">
        <v>120000</v>
      </c>
      <c r="H74" s="2">
        <f>Table134[[#This Row],[TỔNG]]*Table134[[#This Row],[ĐƠN GIÁ]]</f>
        <v>180000</v>
      </c>
    </row>
    <row r="75" spans="1:8" x14ac:dyDescent="0.3">
      <c r="F75">
        <f>SUM(Table134[[#This Row],[NT]])</f>
        <v>0</v>
      </c>
      <c r="H75" s="2">
        <f>Table134[[#This Row],[TỔNG]]*Table134[[#This Row],[ĐƠN GIÁ]]</f>
        <v>0</v>
      </c>
    </row>
    <row r="76" spans="1:8" x14ac:dyDescent="0.3">
      <c r="G76" s="2"/>
      <c r="H76" s="2">
        <f>SUM(Table134[TỔNG TIỀN])</f>
        <v>90051500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49D0C-1D0A-48E8-A529-421DE84E248E}">
  <dimension ref="A1:H76"/>
  <sheetViews>
    <sheetView topLeftCell="A30" workbookViewId="0">
      <selection activeCell="G26" sqref="G26"/>
    </sheetView>
  </sheetViews>
  <sheetFormatPr defaultRowHeight="14.4" x14ac:dyDescent="0.3"/>
  <cols>
    <col min="1" max="1" width="35.109375" customWidth="1"/>
    <col min="2" max="2" width="8.21875" customWidth="1"/>
    <col min="7" max="7" width="10.33203125" style="1" bestFit="1" customWidth="1"/>
    <col min="8" max="8" width="12.88671875" customWidth="1"/>
  </cols>
  <sheetData>
    <row r="1" spans="1:8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s="1" t="s">
        <v>76</v>
      </c>
      <c r="H1" t="s">
        <v>77</v>
      </c>
    </row>
    <row r="2" spans="1:8" hidden="1" x14ac:dyDescent="0.3">
      <c r="A2" s="3" t="s">
        <v>78</v>
      </c>
      <c r="B2" s="4" t="s">
        <v>7</v>
      </c>
      <c r="C2">
        <v>27</v>
      </c>
      <c r="F2">
        <f>Table13[[#This Row],[NT]]+Table13[[#This Row],[TMART]]</f>
        <v>27</v>
      </c>
      <c r="G2" s="1">
        <v>30000</v>
      </c>
      <c r="H2" s="2">
        <f>Table13[[#This Row],[TỔNG]]*Table13[[#This Row],[ĐƠN GIÁ]]</f>
        <v>810000</v>
      </c>
    </row>
    <row r="3" spans="1:8" hidden="1" x14ac:dyDescent="0.3">
      <c r="A3" s="3" t="s">
        <v>79</v>
      </c>
      <c r="B3" s="4" t="s">
        <v>7</v>
      </c>
      <c r="C3">
        <v>10</v>
      </c>
      <c r="F3">
        <f>Table13[[#This Row],[NT]]+Table13[[#This Row],[TMART]]</f>
        <v>10</v>
      </c>
      <c r="G3" s="1">
        <v>15000</v>
      </c>
      <c r="H3" s="2">
        <f>Table13[[#This Row],[TỔNG]]*Table13[[#This Row],[ĐƠN GIÁ]]</f>
        <v>150000</v>
      </c>
    </row>
    <row r="4" spans="1:8" hidden="1" x14ac:dyDescent="0.3">
      <c r="A4" s="3" t="s">
        <v>80</v>
      </c>
      <c r="B4" s="4" t="s">
        <v>7</v>
      </c>
      <c r="C4">
        <v>5</v>
      </c>
      <c r="F4">
        <f>Table13[[#This Row],[NT]]+Table13[[#This Row],[TMART]]</f>
        <v>5</v>
      </c>
      <c r="G4" s="1">
        <v>6000</v>
      </c>
      <c r="H4" s="2">
        <f>Table13[[#This Row],[TỔNG]]*Table13[[#This Row],[ĐƠN GIÁ]]</f>
        <v>30000</v>
      </c>
    </row>
    <row r="5" spans="1:8" x14ac:dyDescent="0.3">
      <c r="A5" s="3" t="s">
        <v>80</v>
      </c>
      <c r="B5" s="4" t="s">
        <v>44</v>
      </c>
      <c r="C5">
        <v>50</v>
      </c>
      <c r="F5">
        <f>Table13[[#This Row],[NT]]+Table13[[#This Row],[TMART]]</f>
        <v>50</v>
      </c>
      <c r="G5" s="1">
        <f>6000*0.5</f>
        <v>3000</v>
      </c>
      <c r="H5" s="2">
        <f>Table13[[#This Row],[TỔNG]]*Table13[[#This Row],[ĐƠN GIÁ]]</f>
        <v>150000</v>
      </c>
    </row>
    <row r="6" spans="1:8" hidden="1" x14ac:dyDescent="0.3">
      <c r="A6" s="3" t="s">
        <v>41</v>
      </c>
      <c r="B6" s="4" t="s">
        <v>7</v>
      </c>
      <c r="C6">
        <v>11</v>
      </c>
      <c r="E6">
        <v>50</v>
      </c>
      <c r="F6">
        <f>Table13[[#This Row],[NT]]+Table13[[#This Row],[TMART]]</f>
        <v>61</v>
      </c>
      <c r="G6" s="1">
        <v>19000</v>
      </c>
      <c r="H6" s="2">
        <f>Table13[[#This Row],[TỔNG]]*Table13[[#This Row],[ĐƠN GIÁ]]</f>
        <v>1159000</v>
      </c>
    </row>
    <row r="7" spans="1:8" ht="28.8" x14ac:dyDescent="0.3">
      <c r="A7" s="3" t="s">
        <v>41</v>
      </c>
      <c r="B7" s="4" t="s">
        <v>42</v>
      </c>
      <c r="C7">
        <v>563</v>
      </c>
      <c r="F7">
        <f>Table13[[#This Row],[NT]]+Table13[[#This Row],[TMART]]</f>
        <v>563</v>
      </c>
      <c r="G7" s="1">
        <f>19000/3</f>
        <v>6333.333333333333</v>
      </c>
      <c r="H7" s="2">
        <f>Table13[[#This Row],[TỔNG]]*Table13[[#This Row],[ĐƠN GIÁ]]</f>
        <v>3565666.6666666665</v>
      </c>
    </row>
    <row r="8" spans="1:8" x14ac:dyDescent="0.3">
      <c r="A8" s="3" t="s">
        <v>43</v>
      </c>
      <c r="B8" s="4" t="s">
        <v>44</v>
      </c>
      <c r="C8">
        <v>493</v>
      </c>
      <c r="F8">
        <f>Table13[[#This Row],[NT]]+Table13[[#This Row],[TMART]]</f>
        <v>493</v>
      </c>
      <c r="G8" s="1">
        <f>11000*0.3</f>
        <v>3300</v>
      </c>
      <c r="H8" s="2">
        <f>Table13[[#This Row],[TỔNG]]*Table13[[#This Row],[ĐƠN GIÁ]]</f>
        <v>1626900</v>
      </c>
    </row>
    <row r="9" spans="1:8" hidden="1" x14ac:dyDescent="0.3">
      <c r="A9" s="3" t="s">
        <v>43</v>
      </c>
      <c r="B9" s="3" t="s">
        <v>7</v>
      </c>
      <c r="D9" s="4"/>
      <c r="E9" s="5">
        <v>10</v>
      </c>
      <c r="F9">
        <f>Table13[[#This Row],[NT]]+Table13[[#This Row],[TMART]]</f>
        <v>10</v>
      </c>
      <c r="G9" s="1">
        <v>11000</v>
      </c>
      <c r="H9" s="2">
        <f>Table13[[#This Row],[TỔNG]]*Table13[[#This Row],[ĐƠN GIÁ]]</f>
        <v>110000</v>
      </c>
    </row>
    <row r="10" spans="1:8" hidden="1" x14ac:dyDescent="0.3">
      <c r="A10" s="3" t="s">
        <v>67</v>
      </c>
      <c r="B10" s="4" t="s">
        <v>7</v>
      </c>
      <c r="C10">
        <v>52</v>
      </c>
      <c r="F10">
        <f>Table13[[#This Row],[NT]]+Table13[[#This Row],[TMART]]</f>
        <v>52</v>
      </c>
      <c r="G10" s="1">
        <v>25000</v>
      </c>
      <c r="H10" s="2">
        <f>Table13[[#This Row],[TỔNG]]*Table13[[#This Row],[ĐƠN GIÁ]]</f>
        <v>1300000</v>
      </c>
    </row>
    <row r="11" spans="1:8" hidden="1" x14ac:dyDescent="0.3">
      <c r="A11" s="3" t="s">
        <v>17</v>
      </c>
      <c r="B11" s="4" t="s">
        <v>7</v>
      </c>
      <c r="C11">
        <v>172.5</v>
      </c>
      <c r="F11">
        <f>Table13[[#This Row],[NT]]+Table13[[#This Row],[TMART]]</f>
        <v>172.5</v>
      </c>
      <c r="G11" s="1">
        <v>40000</v>
      </c>
      <c r="H11" s="2">
        <f>Table13[[#This Row],[TỔNG]]*Table13[[#This Row],[ĐƠN GIÁ]]</f>
        <v>6900000</v>
      </c>
    </row>
    <row r="12" spans="1:8" hidden="1" x14ac:dyDescent="0.3">
      <c r="A12" s="3" t="s">
        <v>18</v>
      </c>
      <c r="B12" s="4" t="s">
        <v>7</v>
      </c>
      <c r="C12">
        <v>7</v>
      </c>
      <c r="F12">
        <f>Table13[[#This Row],[NT]]+Table13[[#This Row],[TMART]]</f>
        <v>7</v>
      </c>
      <c r="G12" s="1">
        <v>58000</v>
      </c>
      <c r="H12" s="2">
        <f>Table13[[#This Row],[TỔNG]]*Table13[[#This Row],[ĐƠN GIÁ]]</f>
        <v>406000</v>
      </c>
    </row>
    <row r="13" spans="1:8" x14ac:dyDescent="0.3">
      <c r="A13" s="3" t="s">
        <v>18</v>
      </c>
      <c r="B13" s="4" t="s">
        <v>9</v>
      </c>
      <c r="C13">
        <v>80</v>
      </c>
      <c r="F13">
        <f>Table13[[#This Row],[NT]]+Table13[[#This Row],[TMART]]</f>
        <v>80</v>
      </c>
      <c r="G13" s="1">
        <f>58000/5</f>
        <v>11600</v>
      </c>
      <c r="H13" s="2">
        <f>Table13[[#This Row],[TỔNG]]*Table13[[#This Row],[ĐƠN GIÁ]]</f>
        <v>928000</v>
      </c>
    </row>
    <row r="14" spans="1:8" hidden="1" x14ac:dyDescent="0.3">
      <c r="A14" s="3" t="s">
        <v>45</v>
      </c>
      <c r="B14" s="4" t="s">
        <v>7</v>
      </c>
      <c r="C14">
        <v>370</v>
      </c>
      <c r="E14">
        <v>50</v>
      </c>
      <c r="F14">
        <f>Table13[[#This Row],[NT]]+Table13[[#This Row],[TMART]]</f>
        <v>420</v>
      </c>
      <c r="G14" s="1">
        <v>23000</v>
      </c>
      <c r="H14" s="2">
        <f>Table13[[#This Row],[TỔNG]]*Table13[[#This Row],[ĐƠN GIÁ]]</f>
        <v>9660000</v>
      </c>
    </row>
    <row r="15" spans="1:8" x14ac:dyDescent="0.3">
      <c r="A15" s="3" t="s">
        <v>46</v>
      </c>
      <c r="B15" s="4" t="s">
        <v>9</v>
      </c>
      <c r="C15">
        <v>177</v>
      </c>
      <c r="F15">
        <f>Table13[[#This Row],[NT]]+Table13[[#This Row],[TMART]]</f>
        <v>177</v>
      </c>
      <c r="G15" s="1">
        <f>22000/2</f>
        <v>11000</v>
      </c>
      <c r="H15" s="2">
        <f>Table13[[#This Row],[TỔNG]]*Table13[[#This Row],[ĐƠN GIÁ]]</f>
        <v>1947000</v>
      </c>
    </row>
    <row r="16" spans="1:8" x14ac:dyDescent="0.3">
      <c r="A16" s="3" t="s">
        <v>81</v>
      </c>
      <c r="B16" s="4" t="s">
        <v>48</v>
      </c>
      <c r="C16">
        <v>72</v>
      </c>
      <c r="F16">
        <f>Table13[[#This Row],[NT]]+Table13[[#This Row],[TMART]]</f>
        <v>72</v>
      </c>
      <c r="G16" s="1">
        <f>38000*0.3</f>
        <v>11400</v>
      </c>
      <c r="H16" s="2">
        <f>Table13[[#This Row],[TỔNG]]*Table13[[#This Row],[ĐƠN GIÁ]]</f>
        <v>820800</v>
      </c>
    </row>
    <row r="17" spans="1:8" hidden="1" x14ac:dyDescent="0.3">
      <c r="A17" s="3" t="s">
        <v>70</v>
      </c>
      <c r="B17" s="4" t="s">
        <v>7</v>
      </c>
      <c r="E17">
        <v>40</v>
      </c>
      <c r="F17">
        <f>Table13[[#This Row],[NT]]+Table13[[#This Row],[TMART]]</f>
        <v>40</v>
      </c>
      <c r="G17" s="1">
        <v>38000</v>
      </c>
      <c r="H17" s="2">
        <f>Table13[[#This Row],[TỔNG]]*Table13[[#This Row],[ĐƠN GIÁ]]</f>
        <v>1520000</v>
      </c>
    </row>
    <row r="18" spans="1:8" ht="14.4" customHeight="1" x14ac:dyDescent="0.3">
      <c r="A18" s="3" t="s">
        <v>47</v>
      </c>
      <c r="B18" s="4" t="s">
        <v>48</v>
      </c>
      <c r="C18">
        <v>78</v>
      </c>
      <c r="F18">
        <f>Table13[[#This Row],[NT]]+Table13[[#This Row],[TMART]]</f>
        <v>78</v>
      </c>
      <c r="G18" s="1">
        <f>51500*0.3</f>
        <v>15450</v>
      </c>
      <c r="H18" s="2">
        <f>Table13[[#This Row],[TỔNG]]*Table13[[#This Row],[ĐƠN GIÁ]]</f>
        <v>1205100</v>
      </c>
    </row>
    <row r="19" spans="1:8" x14ac:dyDescent="0.3">
      <c r="A19" s="3" t="s">
        <v>65</v>
      </c>
      <c r="B19" s="4" t="s">
        <v>48</v>
      </c>
      <c r="C19">
        <v>54</v>
      </c>
      <c r="F19">
        <f>Table13[[#This Row],[NT]]+Table13[[#This Row],[TMART]]</f>
        <v>54</v>
      </c>
      <c r="G19" s="1">
        <f>40000*0.3</f>
        <v>12000</v>
      </c>
      <c r="H19" s="2">
        <f>Table13[[#This Row],[TỔNG]]*Table13[[#This Row],[ĐƠN GIÁ]]</f>
        <v>648000</v>
      </c>
    </row>
    <row r="20" spans="1:8" hidden="1" x14ac:dyDescent="0.3">
      <c r="A20" s="3" t="s">
        <v>50</v>
      </c>
      <c r="B20" s="4" t="s">
        <v>7</v>
      </c>
      <c r="C20">
        <v>55</v>
      </c>
      <c r="E20">
        <v>120</v>
      </c>
      <c r="F20">
        <f>Table13[[#This Row],[NT]]+Table13[[#This Row],[TMART]]</f>
        <v>175</v>
      </c>
      <c r="G20" s="1">
        <v>21000</v>
      </c>
      <c r="H20" s="2">
        <f>Table13[[#This Row],[TỔNG]]*Table13[[#This Row],[ĐƠN GIÁ]]</f>
        <v>3675000</v>
      </c>
    </row>
    <row r="21" spans="1:8" hidden="1" x14ac:dyDescent="0.3">
      <c r="A21" s="3" t="s">
        <v>50</v>
      </c>
      <c r="B21" s="4" t="s">
        <v>9</v>
      </c>
      <c r="F21">
        <f>Table13[[#This Row],[NT]]+Table13[[#This Row],[TMART]]</f>
        <v>0</v>
      </c>
      <c r="G21" s="1">
        <v>20000</v>
      </c>
      <c r="H21" s="2">
        <f>Table13[[#This Row],[TỔNG]]*Table13[[#This Row],[ĐƠN GIÁ]]</f>
        <v>0</v>
      </c>
    </row>
    <row r="22" spans="1:8" hidden="1" x14ac:dyDescent="0.3">
      <c r="A22" s="3" t="s">
        <v>6</v>
      </c>
      <c r="B22" s="4" t="s">
        <v>7</v>
      </c>
      <c r="C22">
        <v>200</v>
      </c>
      <c r="F22">
        <f>Table13[[#This Row],[NT]]+Table13[[#This Row],[TMART]]</f>
        <v>200</v>
      </c>
      <c r="G22" s="1">
        <v>20000</v>
      </c>
      <c r="H22" s="2">
        <f>Table13[[#This Row],[TỔNG]]*Table13[[#This Row],[ĐƠN GIÁ]]</f>
        <v>4000000</v>
      </c>
    </row>
    <row r="23" spans="1:8" ht="15" hidden="1" customHeight="1" x14ac:dyDescent="0.3">
      <c r="A23" s="3" t="s">
        <v>86</v>
      </c>
      <c r="B23" s="4" t="s">
        <v>7</v>
      </c>
      <c r="E23">
        <v>10</v>
      </c>
      <c r="F23">
        <f>Table13[[#This Row],[NT]]+Table13[[#This Row],[TMART]]</f>
        <v>10</v>
      </c>
      <c r="G23" s="1">
        <v>58000</v>
      </c>
      <c r="H23" s="2">
        <f>Table13[[#This Row],[TỔNG]]*Table13[[#This Row],[ĐƠN GIÁ]]</f>
        <v>580000</v>
      </c>
    </row>
    <row r="24" spans="1:8" hidden="1" x14ac:dyDescent="0.3">
      <c r="A24" s="3" t="s">
        <v>20</v>
      </c>
      <c r="B24" s="4" t="s">
        <v>7</v>
      </c>
      <c r="C24">
        <v>75</v>
      </c>
      <c r="F24">
        <f>Table13[[#This Row],[NT]]+Table13[[#This Row],[TMART]]</f>
        <v>75</v>
      </c>
      <c r="G24" s="1">
        <v>29000</v>
      </c>
      <c r="H24" s="2">
        <f>Table13[[#This Row],[TỔNG]]*Table13[[#This Row],[ĐƠN GIÁ]]</f>
        <v>2175000</v>
      </c>
    </row>
    <row r="25" spans="1:8" x14ac:dyDescent="0.3">
      <c r="A25" s="3" t="s">
        <v>23</v>
      </c>
      <c r="B25" s="4" t="s">
        <v>22</v>
      </c>
      <c r="C25">
        <v>248</v>
      </c>
      <c r="F25">
        <f>Table13[[#This Row],[NT]]+Table13[[#This Row],[TMART]]</f>
        <v>248</v>
      </c>
      <c r="G25" s="1">
        <f>34500*0.3</f>
        <v>10350</v>
      </c>
      <c r="H25" s="2">
        <f>Table13[[#This Row],[TỔNG]]*Table13[[#This Row],[ĐƠN GIÁ]]</f>
        <v>2566800</v>
      </c>
    </row>
    <row r="26" spans="1:8" ht="28.8" x14ac:dyDescent="0.3">
      <c r="A26" s="3" t="s">
        <v>23</v>
      </c>
      <c r="B26" s="4" t="s">
        <v>24</v>
      </c>
      <c r="C26">
        <v>8</v>
      </c>
      <c r="F26">
        <f>Table13[[#This Row],[NT]]+Table13[[#This Row],[TMART]]</f>
        <v>8</v>
      </c>
      <c r="G26" s="1">
        <f>34500*0.15</f>
        <v>5175</v>
      </c>
      <c r="H26" s="2">
        <f>Table13[[#This Row],[TỔNG]]*Table13[[#This Row],[ĐƠN GIÁ]]</f>
        <v>41400</v>
      </c>
    </row>
    <row r="27" spans="1:8" hidden="1" x14ac:dyDescent="0.3">
      <c r="A27" s="3" t="s">
        <v>25</v>
      </c>
      <c r="B27" s="4" t="s">
        <v>7</v>
      </c>
      <c r="C27">
        <v>23</v>
      </c>
      <c r="F27">
        <f>Table13[[#This Row],[NT]]+Table13[[#This Row],[TMART]]</f>
        <v>23</v>
      </c>
      <c r="G27" s="1">
        <v>7500</v>
      </c>
      <c r="H27" s="2">
        <f>Table13[[#This Row],[TỔNG]]*Table13[[#This Row],[ĐƠN GIÁ]]</f>
        <v>172500</v>
      </c>
    </row>
    <row r="28" spans="1:8" hidden="1" x14ac:dyDescent="0.3">
      <c r="A28" s="3" t="s">
        <v>26</v>
      </c>
      <c r="B28" s="4" t="s">
        <v>7</v>
      </c>
      <c r="C28">
        <v>40</v>
      </c>
      <c r="F28">
        <f>Table13[[#This Row],[NT]]+Table13[[#This Row],[TMART]]</f>
        <v>40</v>
      </c>
      <c r="G28" s="1">
        <v>13000</v>
      </c>
      <c r="H28" s="2">
        <f>Table13[[#This Row],[TỔNG]]*Table13[[#This Row],[ĐƠN GIÁ]]</f>
        <v>520000</v>
      </c>
    </row>
    <row r="29" spans="1:8" hidden="1" x14ac:dyDescent="0.3">
      <c r="A29" s="3" t="s">
        <v>26</v>
      </c>
      <c r="B29" s="4" t="s">
        <v>27</v>
      </c>
      <c r="C29">
        <v>66</v>
      </c>
      <c r="F29">
        <f>Table13[[#This Row],[NT]]+Table13[[#This Row],[TMART]]</f>
        <v>66</v>
      </c>
      <c r="G29" s="1">
        <v>7500</v>
      </c>
      <c r="H29" s="2">
        <f>Table13[[#This Row],[TỔNG]]*Table13[[#This Row],[ĐƠN GIÁ]]</f>
        <v>495000</v>
      </c>
    </row>
    <row r="30" spans="1:8" x14ac:dyDescent="0.3">
      <c r="A30" s="3" t="s">
        <v>51</v>
      </c>
      <c r="B30" s="4" t="s">
        <v>9</v>
      </c>
      <c r="C30">
        <v>12</v>
      </c>
      <c r="F30">
        <f>Table13[[#This Row],[NT]]+Table13[[#This Row],[TMART]]</f>
        <v>12</v>
      </c>
      <c r="G30" s="1">
        <f>75000/12</f>
        <v>6250</v>
      </c>
      <c r="H30" s="2">
        <f>Table13[[#This Row],[TỔNG]]*Table13[[#This Row],[ĐƠN GIÁ]]</f>
        <v>75000</v>
      </c>
    </row>
    <row r="31" spans="1:8" hidden="1" x14ac:dyDescent="0.3">
      <c r="A31" s="3" t="s">
        <v>10</v>
      </c>
      <c r="B31" s="4" t="s">
        <v>7</v>
      </c>
      <c r="C31">
        <v>306</v>
      </c>
      <c r="F31">
        <f>Table13[[#This Row],[NT]]+Table13[[#This Row],[TMART]]</f>
        <v>306</v>
      </c>
      <c r="G31" s="1">
        <v>6000</v>
      </c>
      <c r="H31" s="2">
        <f>Table13[[#This Row],[TỔNG]]*Table13[[#This Row],[ĐƠN GIÁ]]</f>
        <v>1836000</v>
      </c>
    </row>
    <row r="32" spans="1:8" ht="14.4" hidden="1" customHeight="1" x14ac:dyDescent="0.3">
      <c r="A32" s="3" t="s">
        <v>11</v>
      </c>
      <c r="B32" s="4" t="s">
        <v>7</v>
      </c>
      <c r="C32">
        <v>20</v>
      </c>
      <c r="E32">
        <v>20</v>
      </c>
      <c r="F32">
        <f>Table13[[#This Row],[NT]]+Table13[[#This Row],[TMART]]</f>
        <v>40</v>
      </c>
      <c r="G32" s="1">
        <v>14000</v>
      </c>
      <c r="H32" s="2">
        <f>Table13[[#This Row],[TỔNG]]*Table13[[#This Row],[ĐƠN GIÁ]]</f>
        <v>560000</v>
      </c>
    </row>
    <row r="33" spans="1:8" hidden="1" x14ac:dyDescent="0.3">
      <c r="A33" s="3" t="s">
        <v>12</v>
      </c>
      <c r="B33" s="4" t="s">
        <v>7</v>
      </c>
      <c r="C33">
        <v>80</v>
      </c>
      <c r="F33">
        <f>Table13[[#This Row],[NT]]+Table13[[#This Row],[TMART]]</f>
        <v>80</v>
      </c>
      <c r="G33" s="1">
        <v>30000</v>
      </c>
      <c r="H33" s="2">
        <f>Table13[[#This Row],[TỔNG]]*Table13[[#This Row],[ĐƠN GIÁ]]</f>
        <v>2400000</v>
      </c>
    </row>
    <row r="34" spans="1:8" hidden="1" x14ac:dyDescent="0.3">
      <c r="A34" s="3" t="s">
        <v>13</v>
      </c>
      <c r="B34" s="4" t="s">
        <v>7</v>
      </c>
      <c r="C34">
        <v>170</v>
      </c>
      <c r="F34">
        <f>Table13[[#This Row],[NT]]+Table13[[#This Row],[TMART]]</f>
        <v>170</v>
      </c>
      <c r="G34" s="1">
        <v>22000</v>
      </c>
      <c r="H34" s="2">
        <f>Table13[[#This Row],[TỔNG]]*Table13[[#This Row],[ĐƠN GIÁ]]</f>
        <v>3740000</v>
      </c>
    </row>
    <row r="35" spans="1:8" hidden="1" x14ac:dyDescent="0.3">
      <c r="A35" s="3" t="s">
        <v>15</v>
      </c>
      <c r="B35" s="4" t="s">
        <v>7</v>
      </c>
      <c r="C35">
        <v>35</v>
      </c>
      <c r="F35">
        <f>Table13[[#This Row],[NT]]+Table13[[#This Row],[TMART]]</f>
        <v>35</v>
      </c>
      <c r="G35" s="1">
        <v>27000</v>
      </c>
      <c r="H35" s="2">
        <f>Table13[[#This Row],[TỔNG]]*Table13[[#This Row],[ĐƠN GIÁ]]</f>
        <v>945000</v>
      </c>
    </row>
    <row r="36" spans="1:8" hidden="1" x14ac:dyDescent="0.3">
      <c r="A36" s="3" t="s">
        <v>16</v>
      </c>
      <c r="B36" s="4" t="s">
        <v>7</v>
      </c>
      <c r="C36">
        <v>55</v>
      </c>
      <c r="F36">
        <f>Table13[[#This Row],[NT]]+Table13[[#This Row],[TMART]]</f>
        <v>55</v>
      </c>
      <c r="G36" s="1">
        <v>18000</v>
      </c>
      <c r="H36" s="2">
        <f>Table13[[#This Row],[TỔNG]]*Table13[[#This Row],[ĐƠN GIÁ]]</f>
        <v>990000</v>
      </c>
    </row>
    <row r="37" spans="1:8" hidden="1" x14ac:dyDescent="0.3">
      <c r="A37" s="3" t="s">
        <v>87</v>
      </c>
      <c r="B37" s="3" t="s">
        <v>7</v>
      </c>
      <c r="D37" s="4"/>
      <c r="E37" s="5">
        <v>10</v>
      </c>
      <c r="F37">
        <f>Table13[[#This Row],[NT]]+Table13[[#This Row],[TMART]]</f>
        <v>10</v>
      </c>
      <c r="G37" s="1">
        <v>22000</v>
      </c>
      <c r="H37" s="2">
        <f>Table13[[#This Row],[TỔNG]]*Table13[[#This Row],[ĐƠN GIÁ]]</f>
        <v>220000</v>
      </c>
    </row>
    <row r="38" spans="1:8" x14ac:dyDescent="0.3">
      <c r="A38" s="3" t="s">
        <v>52</v>
      </c>
      <c r="B38" s="4" t="s">
        <v>22</v>
      </c>
      <c r="C38">
        <v>25</v>
      </c>
      <c r="F38">
        <f>Table13[[#This Row],[NT]]+Table13[[#This Row],[TMART]]</f>
        <v>25</v>
      </c>
      <c r="G38" s="1">
        <f>22000*0.3</f>
        <v>6600</v>
      </c>
      <c r="H38" s="2">
        <f>Table13[[#This Row],[TỔNG]]*Table13[[#This Row],[ĐƠN GIÁ]]</f>
        <v>165000</v>
      </c>
    </row>
    <row r="39" spans="1:8" ht="14.4" customHeight="1" x14ac:dyDescent="0.3">
      <c r="A39" s="3" t="s">
        <v>54</v>
      </c>
      <c r="B39" s="4" t="s">
        <v>9</v>
      </c>
      <c r="C39">
        <v>730</v>
      </c>
      <c r="E39">
        <v>160</v>
      </c>
      <c r="F39">
        <f>Table13[[#This Row],[NT]]+Table13[[#This Row],[TMART]]</f>
        <v>890</v>
      </c>
      <c r="G39" s="1">
        <v>8500</v>
      </c>
      <c r="H39" s="2">
        <f>Table13[[#This Row],[TỔNG]]*Table13[[#This Row],[ĐƠN GIÁ]]</f>
        <v>7565000</v>
      </c>
    </row>
    <row r="40" spans="1:8" x14ac:dyDescent="0.3">
      <c r="A40" s="3" t="s">
        <v>55</v>
      </c>
      <c r="B40" s="4" t="s">
        <v>22</v>
      </c>
      <c r="C40">
        <v>9</v>
      </c>
      <c r="F40">
        <f>Table13[[#This Row],[NT]]+Table13[[#This Row],[TMART]]</f>
        <v>9</v>
      </c>
      <c r="G40" s="1">
        <f>11000*0.6</f>
        <v>6600</v>
      </c>
      <c r="H40" s="2">
        <f>Table13[[#This Row],[TỔNG]]*Table13[[#This Row],[ĐƠN GIÁ]]</f>
        <v>59400</v>
      </c>
    </row>
    <row r="41" spans="1:8" hidden="1" x14ac:dyDescent="0.3">
      <c r="A41" s="3" t="s">
        <v>56</v>
      </c>
      <c r="B41" s="4" t="s">
        <v>7</v>
      </c>
      <c r="F41">
        <f>Table13[[#This Row],[NT]]+Table13[[#This Row],[TMART]]</f>
        <v>0</v>
      </c>
      <c r="H41" s="2">
        <f>Table13[[#This Row],[TỔNG]]*Table13[[#This Row],[ĐƠN GIÁ]]</f>
        <v>0</v>
      </c>
    </row>
    <row r="42" spans="1:8" hidden="1" x14ac:dyDescent="0.3">
      <c r="A42" s="3" t="s">
        <v>28</v>
      </c>
      <c r="B42" s="4" t="s">
        <v>7</v>
      </c>
      <c r="C42">
        <v>13</v>
      </c>
      <c r="F42">
        <f>Table13[[#This Row],[NT]]+Table13[[#This Row],[TMART]]</f>
        <v>13</v>
      </c>
      <c r="G42" s="1">
        <f>48000</f>
        <v>48000</v>
      </c>
      <c r="H42" s="2">
        <f>Table13[[#This Row],[TỔNG]]*Table13[[#This Row],[ĐƠN GIÁ]]</f>
        <v>624000</v>
      </c>
    </row>
    <row r="43" spans="1:8" hidden="1" x14ac:dyDescent="0.3">
      <c r="A43" s="3" t="s">
        <v>28</v>
      </c>
      <c r="B43" s="4" t="s">
        <v>27</v>
      </c>
      <c r="C43">
        <v>59</v>
      </c>
      <c r="F43">
        <f>Table13[[#This Row],[NT]]+Table13[[#This Row],[TMART]]</f>
        <v>59</v>
      </c>
      <c r="G43" s="1">
        <f>48000/6</f>
        <v>8000</v>
      </c>
      <c r="H43" s="2">
        <f>Table13[[#This Row],[TỔNG]]*Table13[[#This Row],[ĐƠN GIÁ]]</f>
        <v>472000</v>
      </c>
    </row>
    <row r="44" spans="1:8" x14ac:dyDescent="0.3">
      <c r="A44" s="3" t="s">
        <v>72</v>
      </c>
      <c r="B44" s="4" t="s">
        <v>48</v>
      </c>
      <c r="C44">
        <v>27</v>
      </c>
      <c r="F44">
        <f>Table13[[#This Row],[NT]]+Table13[[#This Row],[TMART]]</f>
        <v>27</v>
      </c>
      <c r="G44" s="1">
        <v>100000</v>
      </c>
      <c r="H44" s="2">
        <f>Table13[[#This Row],[TỔNG]]*Table13[[#This Row],[ĐƠN GIÁ]]</f>
        <v>2700000</v>
      </c>
    </row>
    <row r="45" spans="1:8" x14ac:dyDescent="0.3">
      <c r="A45" s="3" t="s">
        <v>73</v>
      </c>
      <c r="B45" s="4" t="s">
        <v>85</v>
      </c>
      <c r="C45">
        <v>43</v>
      </c>
      <c r="F45">
        <f>Table13[[#This Row],[NT]]+Table13[[#This Row],[TMART]]</f>
        <v>43</v>
      </c>
      <c r="G45" s="1">
        <f>27000*0.3</f>
        <v>8100</v>
      </c>
      <c r="H45" s="2">
        <f>Table13[[#This Row],[TỔNG]]*Table13[[#This Row],[ĐƠN GIÁ]]</f>
        <v>348300</v>
      </c>
    </row>
    <row r="46" spans="1:8" x14ac:dyDescent="0.3">
      <c r="A46" s="3" t="s">
        <v>29</v>
      </c>
      <c r="B46" s="4" t="s">
        <v>22</v>
      </c>
      <c r="C46">
        <v>301</v>
      </c>
      <c r="F46">
        <f>Table13[[#This Row],[NT]]+Table13[[#This Row],[TMART]]</f>
        <v>301</v>
      </c>
      <c r="G46" s="1">
        <f>48000/20</f>
        <v>2400</v>
      </c>
      <c r="H46" s="2">
        <f>Table13[[#This Row],[TỔNG]]*Table13[[#This Row],[ĐƠN GIÁ]]</f>
        <v>722400</v>
      </c>
    </row>
    <row r="47" spans="1:8" hidden="1" x14ac:dyDescent="0.3">
      <c r="A47" s="3" t="s">
        <v>29</v>
      </c>
      <c r="B47" s="4" t="s">
        <v>7</v>
      </c>
      <c r="E47">
        <v>10</v>
      </c>
      <c r="F47">
        <f>Table13[[#This Row],[NT]]+Table13[[#This Row],[TMART]]</f>
        <v>10</v>
      </c>
      <c r="G47" s="1">
        <v>48000</v>
      </c>
      <c r="H47" s="2">
        <f>Table13[[#This Row],[TỔNG]]*Table13[[#This Row],[ĐƠN GIÁ]]</f>
        <v>480000</v>
      </c>
    </row>
    <row r="48" spans="1:8" hidden="1" x14ac:dyDescent="0.3">
      <c r="A48" s="3" t="s">
        <v>30</v>
      </c>
      <c r="B48" s="4" t="s">
        <v>7</v>
      </c>
      <c r="C48">
        <v>2</v>
      </c>
      <c r="F48">
        <f>Table13[[#This Row],[NT]]+Table13[[#This Row],[TMART]]</f>
        <v>2</v>
      </c>
      <c r="G48" s="1">
        <v>14000</v>
      </c>
      <c r="H48" s="2">
        <f>Table13[[#This Row],[TỔNG]]*Table13[[#This Row],[ĐƠN GIÁ]]</f>
        <v>28000</v>
      </c>
    </row>
    <row r="49" spans="1:8" ht="14.4" hidden="1" customHeight="1" x14ac:dyDescent="0.3">
      <c r="A49" s="3" t="s">
        <v>31</v>
      </c>
      <c r="B49" s="4" t="s">
        <v>7</v>
      </c>
      <c r="C49">
        <v>6.5</v>
      </c>
      <c r="F49">
        <f>Table13[[#This Row],[NT]]+Table13[[#This Row],[TMART]]</f>
        <v>6.5</v>
      </c>
      <c r="G49" s="1">
        <v>32000</v>
      </c>
      <c r="H49" s="2">
        <f>Table13[[#This Row],[TỔNG]]*Table13[[#This Row],[ĐƠN GIÁ]]</f>
        <v>208000</v>
      </c>
    </row>
    <row r="50" spans="1:8" hidden="1" x14ac:dyDescent="0.3">
      <c r="A50" s="3" t="s">
        <v>32</v>
      </c>
      <c r="B50" s="4" t="s">
        <v>7</v>
      </c>
      <c r="C50">
        <v>50</v>
      </c>
      <c r="F50">
        <f>Table13[[#This Row],[NT]]+Table13[[#This Row],[TMART]]</f>
        <v>50</v>
      </c>
      <c r="G50" s="1">
        <f>92000/2</f>
        <v>46000</v>
      </c>
      <c r="H50" s="2">
        <f>Table13[[#This Row],[TỔNG]]*Table13[[#This Row],[ĐƠN GIÁ]]</f>
        <v>2300000</v>
      </c>
    </row>
    <row r="51" spans="1:8" x14ac:dyDescent="0.3">
      <c r="A51" s="3" t="s">
        <v>68</v>
      </c>
      <c r="B51" s="4" t="s">
        <v>9</v>
      </c>
      <c r="C51">
        <v>2</v>
      </c>
      <c r="F51">
        <f>Table13[[#This Row],[NT]]+Table13[[#This Row],[TMART]]</f>
        <v>2</v>
      </c>
      <c r="G51" s="1">
        <v>23000</v>
      </c>
      <c r="H51" s="2">
        <f>Table13[[#This Row],[TỔNG]]*Table13[[#This Row],[ĐƠN GIÁ]]</f>
        <v>46000</v>
      </c>
    </row>
    <row r="52" spans="1:8" hidden="1" x14ac:dyDescent="0.3">
      <c r="A52" s="3" t="s">
        <v>57</v>
      </c>
      <c r="B52" s="4" t="s">
        <v>7</v>
      </c>
      <c r="C52">
        <v>33</v>
      </c>
      <c r="F52">
        <f>Table13[[#This Row],[NT]]+Table13[[#This Row],[TMART]]</f>
        <v>33</v>
      </c>
      <c r="G52" s="1">
        <v>50000</v>
      </c>
      <c r="H52" s="2">
        <f>Table13[[#This Row],[TỔNG]]*Table13[[#This Row],[ĐƠN GIÁ]]</f>
        <v>1650000</v>
      </c>
    </row>
    <row r="53" spans="1:8" hidden="1" x14ac:dyDescent="0.3">
      <c r="A53" s="3" t="s">
        <v>58</v>
      </c>
      <c r="B53" s="4" t="s">
        <v>7</v>
      </c>
      <c r="C53">
        <v>11</v>
      </c>
      <c r="E53">
        <v>30</v>
      </c>
      <c r="F53">
        <f>Table13[[#This Row],[NT]]+Table13[[#This Row],[TMART]]</f>
        <v>41</v>
      </c>
      <c r="G53" s="1">
        <f>48000</f>
        <v>48000</v>
      </c>
      <c r="H53" s="2">
        <f>Table13[[#This Row],[TỔNG]]*Table13[[#This Row],[ĐƠN GIÁ]]</f>
        <v>1968000</v>
      </c>
    </row>
    <row r="54" spans="1:8" ht="28.8" x14ac:dyDescent="0.3">
      <c r="A54" s="3" t="s">
        <v>58</v>
      </c>
      <c r="B54" s="4" t="s">
        <v>59</v>
      </c>
      <c r="C54">
        <v>99</v>
      </c>
      <c r="F54">
        <f>Table13[[#This Row],[NT]]+Table13[[#This Row],[TMART]]</f>
        <v>99</v>
      </c>
      <c r="G54" s="1">
        <f>48000/4</f>
        <v>12000</v>
      </c>
      <c r="H54" s="2">
        <f>Table13[[#This Row],[TỔNG]]*Table13[[#This Row],[ĐƠN GIÁ]]</f>
        <v>1188000</v>
      </c>
    </row>
    <row r="55" spans="1:8" x14ac:dyDescent="0.3">
      <c r="A55" s="3" t="s">
        <v>60</v>
      </c>
      <c r="B55" s="4" t="s">
        <v>48</v>
      </c>
      <c r="C55">
        <v>61</v>
      </c>
      <c r="F55">
        <f>Table13[[#This Row],[NT]]+Table13[[#This Row],[TMART]]</f>
        <v>61</v>
      </c>
      <c r="G55" s="1">
        <v>55000</v>
      </c>
      <c r="H55" s="2">
        <f>Table13[[#This Row],[TỔNG]]*Table13[[#This Row],[ĐƠN GIÁ]]</f>
        <v>3355000</v>
      </c>
    </row>
    <row r="56" spans="1:8" hidden="1" x14ac:dyDescent="0.3">
      <c r="A56" s="3" t="s">
        <v>61</v>
      </c>
      <c r="B56" s="4" t="s">
        <v>7</v>
      </c>
      <c r="C56">
        <v>6</v>
      </c>
      <c r="E56">
        <v>10</v>
      </c>
      <c r="F56">
        <f>Table13[[#This Row],[NT]]+Table13[[#This Row],[TMART]]</f>
        <v>16</v>
      </c>
      <c r="G56" s="1">
        <v>40000</v>
      </c>
      <c r="H56" s="2">
        <f>Table13[[#This Row],[TỔNG]]*Table13[[#This Row],[ĐƠN GIÁ]]</f>
        <v>640000</v>
      </c>
    </row>
    <row r="57" spans="1:8" ht="28.8" x14ac:dyDescent="0.3">
      <c r="A57" s="3" t="s">
        <v>61</v>
      </c>
      <c r="B57" s="4" t="s">
        <v>59</v>
      </c>
      <c r="C57">
        <v>45</v>
      </c>
      <c r="F57">
        <f>Table13[[#This Row],[NT]]+Table13[[#This Row],[TMART]]</f>
        <v>45</v>
      </c>
      <c r="G57" s="1">
        <v>10000</v>
      </c>
      <c r="H57" s="2">
        <f>Table13[[#This Row],[TỔNG]]*Table13[[#This Row],[ĐƠN GIÁ]]</f>
        <v>450000</v>
      </c>
    </row>
    <row r="58" spans="1:8" hidden="1" x14ac:dyDescent="0.3">
      <c r="A58" s="3" t="s">
        <v>62</v>
      </c>
      <c r="B58" s="4" t="s">
        <v>7</v>
      </c>
      <c r="C58">
        <v>2</v>
      </c>
      <c r="E58">
        <v>20</v>
      </c>
      <c r="F58">
        <f>Table13[[#This Row],[NT]]+Table13[[#This Row],[TMART]]</f>
        <v>22</v>
      </c>
      <c r="G58" s="1">
        <v>34000</v>
      </c>
      <c r="H58" s="2">
        <f>Table13[[#This Row],[TỔNG]]*Table13[[#This Row],[ĐƠN GIÁ]]</f>
        <v>748000</v>
      </c>
    </row>
    <row r="59" spans="1:8" ht="28.8" x14ac:dyDescent="0.3">
      <c r="A59" s="3" t="s">
        <v>62</v>
      </c>
      <c r="B59" s="4" t="s">
        <v>59</v>
      </c>
      <c r="C59">
        <v>20</v>
      </c>
      <c r="F59">
        <f>Table13[[#This Row],[NT]]+Table13[[#This Row],[TMART]]</f>
        <v>20</v>
      </c>
      <c r="G59" s="1">
        <f>34000/4</f>
        <v>8500</v>
      </c>
      <c r="H59" s="2">
        <f>Table13[[#This Row],[TỔNG]]*Table13[[#This Row],[ĐƠN GIÁ]]</f>
        <v>170000</v>
      </c>
    </row>
    <row r="60" spans="1:8" x14ac:dyDescent="0.3">
      <c r="A60" s="3" t="s">
        <v>63</v>
      </c>
      <c r="B60" s="4" t="s">
        <v>22</v>
      </c>
      <c r="C60">
        <v>215</v>
      </c>
      <c r="E60">
        <v>84</v>
      </c>
      <c r="F60">
        <f>Table13[[#This Row],[NT]]+Table13[[#This Row],[TMART]]</f>
        <v>299</v>
      </c>
      <c r="G60" s="1">
        <v>19000</v>
      </c>
      <c r="H60" s="2">
        <f>Table13[[#This Row],[TỔNG]]*Table13[[#This Row],[ĐƠN GIÁ]]</f>
        <v>5681000</v>
      </c>
    </row>
    <row r="61" spans="1:8" hidden="1" x14ac:dyDescent="0.3">
      <c r="A61" s="3" t="s">
        <v>33</v>
      </c>
      <c r="B61" s="4" t="s">
        <v>7</v>
      </c>
      <c r="C61">
        <v>20</v>
      </c>
      <c r="F61">
        <f>Table13[[#This Row],[NT]]+Table13[[#This Row],[TMART]]</f>
        <v>20</v>
      </c>
      <c r="G61" s="1">
        <v>35000</v>
      </c>
      <c r="H61" s="2">
        <f>Table13[[#This Row],[TỔNG]]*Table13[[#This Row],[ĐƠN GIÁ]]</f>
        <v>700000</v>
      </c>
    </row>
    <row r="62" spans="1:8" ht="14.4" hidden="1" customHeight="1" x14ac:dyDescent="0.3">
      <c r="A62" s="3" t="s">
        <v>71</v>
      </c>
      <c r="B62" s="4" t="s">
        <v>7</v>
      </c>
      <c r="C62">
        <v>10</v>
      </c>
      <c r="F62">
        <f>Table13[[#This Row],[NT]]+Table13[[#This Row],[TMART]]</f>
        <v>10</v>
      </c>
      <c r="G62" s="1">
        <v>18000</v>
      </c>
      <c r="H62" s="2">
        <f>Table13[[#This Row],[TỔNG]]*Table13[[#This Row],[ĐƠN GIÁ]]</f>
        <v>180000</v>
      </c>
    </row>
    <row r="63" spans="1:8" ht="14.4" hidden="1" customHeight="1" x14ac:dyDescent="0.3">
      <c r="A63" s="3" t="s">
        <v>64</v>
      </c>
      <c r="B63" s="4" t="s">
        <v>7</v>
      </c>
      <c r="C63">
        <v>7</v>
      </c>
      <c r="F63">
        <f>Table13[[#This Row],[NT]]+Table13[[#This Row],[TMART]]</f>
        <v>7</v>
      </c>
      <c r="G63" s="1">
        <v>60000</v>
      </c>
      <c r="H63" s="2">
        <f>Table13[[#This Row],[TỔNG]]*Table13[[#This Row],[ĐƠN GIÁ]]</f>
        <v>420000</v>
      </c>
    </row>
    <row r="64" spans="1:8" x14ac:dyDescent="0.3">
      <c r="A64" s="3" t="s">
        <v>66</v>
      </c>
      <c r="B64" s="4" t="s">
        <v>48</v>
      </c>
      <c r="C64">
        <v>5</v>
      </c>
      <c r="F64">
        <f>Table13[[#This Row],[NT]]+Table13[[#This Row],[TMART]]</f>
        <v>5</v>
      </c>
      <c r="G64" s="1">
        <v>35000</v>
      </c>
      <c r="H64" s="2">
        <f>Table13[[#This Row],[TỔNG]]*Table13[[#This Row],[ĐƠN GIÁ]]</f>
        <v>175000</v>
      </c>
    </row>
    <row r="65" spans="1:8" hidden="1" x14ac:dyDescent="0.3">
      <c r="A65" s="3" t="s">
        <v>34</v>
      </c>
      <c r="B65" s="4" t="s">
        <v>7</v>
      </c>
      <c r="C65">
        <v>200</v>
      </c>
      <c r="F65">
        <f>Table13[[#This Row],[NT]]+Table13[[#This Row],[TMART]]</f>
        <v>200</v>
      </c>
      <c r="G65" s="1">
        <v>28000</v>
      </c>
      <c r="H65" s="2">
        <f>Table13[[#This Row],[TỔNG]]*Table13[[#This Row],[ĐƠN GIÁ]]</f>
        <v>5600000</v>
      </c>
    </row>
    <row r="66" spans="1:8" hidden="1" x14ac:dyDescent="0.3">
      <c r="A66" s="3" t="s">
        <v>35</v>
      </c>
      <c r="B66" s="4" t="s">
        <v>7</v>
      </c>
      <c r="C66">
        <v>30</v>
      </c>
      <c r="F66">
        <f>Table13[[#This Row],[NT]]+Table13[[#This Row],[TMART]]</f>
        <v>30</v>
      </c>
      <c r="G66" s="1">
        <v>28000</v>
      </c>
      <c r="H66" s="2">
        <f>Table13[[#This Row],[TỔNG]]*Table13[[#This Row],[ĐƠN GIÁ]]</f>
        <v>840000</v>
      </c>
    </row>
    <row r="67" spans="1:8" hidden="1" x14ac:dyDescent="0.3">
      <c r="A67" s="3" t="s">
        <v>35</v>
      </c>
      <c r="B67" s="3" t="s">
        <v>7</v>
      </c>
      <c r="D67" s="4"/>
      <c r="E67" s="5">
        <v>8</v>
      </c>
      <c r="F67">
        <f>Table13[[#This Row],[NT]]+Table13[[#This Row],[TMART]]</f>
        <v>8</v>
      </c>
      <c r="G67" s="1">
        <v>27000</v>
      </c>
      <c r="H67" s="2">
        <f>Table13[[#This Row],[TỔNG]]*Table13[[#This Row],[ĐƠN GIÁ]]</f>
        <v>216000</v>
      </c>
    </row>
    <row r="68" spans="1:8" hidden="1" x14ac:dyDescent="0.3">
      <c r="A68" s="3" t="s">
        <v>36</v>
      </c>
      <c r="B68" s="4" t="s">
        <v>27</v>
      </c>
      <c r="C68">
        <v>302</v>
      </c>
      <c r="F68">
        <f>Table13[[#This Row],[NT]]+Table13[[#This Row],[TMART]]</f>
        <v>302</v>
      </c>
      <c r="G68" s="1">
        <v>6800</v>
      </c>
      <c r="H68" s="2">
        <f>Table13[[#This Row],[TỔNG]]*Table13[[#This Row],[ĐƠN GIÁ]]</f>
        <v>2053600</v>
      </c>
    </row>
    <row r="69" spans="1:8" ht="14.4" hidden="1" customHeight="1" x14ac:dyDescent="0.3">
      <c r="A69" s="3" t="s">
        <v>40</v>
      </c>
      <c r="B69" s="4" t="s">
        <v>7</v>
      </c>
      <c r="C69">
        <v>48.5</v>
      </c>
      <c r="F69">
        <f>Table13[[#This Row],[NT]]+Table13[[#This Row],[TMART]]</f>
        <v>48.5</v>
      </c>
      <c r="G69" s="1">
        <v>28000</v>
      </c>
      <c r="H69" s="2">
        <f>Table13[[#This Row],[TỔNG]]*Table13[[#This Row],[ĐƠN GIÁ]]</f>
        <v>1358000</v>
      </c>
    </row>
    <row r="70" spans="1:8" hidden="1" x14ac:dyDescent="0.3">
      <c r="A70" s="3" t="s">
        <v>37</v>
      </c>
      <c r="B70" s="3" t="s">
        <v>7</v>
      </c>
      <c r="D70" s="4"/>
      <c r="E70" s="5">
        <v>8</v>
      </c>
      <c r="F70">
        <f>Table13[[#This Row],[NT]]+Table13[[#This Row],[TMART]]</f>
        <v>8</v>
      </c>
      <c r="G70" s="1">
        <v>28000</v>
      </c>
      <c r="H70" s="2">
        <f>Table13[[#This Row],[TỔNG]]*Table13[[#This Row],[ĐƠN GIÁ]]</f>
        <v>224000</v>
      </c>
    </row>
    <row r="71" spans="1:8" hidden="1" x14ac:dyDescent="0.3">
      <c r="A71" s="3" t="s">
        <v>38</v>
      </c>
      <c r="B71" s="4" t="s">
        <v>27</v>
      </c>
      <c r="C71">
        <v>23</v>
      </c>
      <c r="F71">
        <f>Table13[[#This Row],[NT]]+Table13[[#This Row],[TMART]]</f>
        <v>23</v>
      </c>
      <c r="G71" s="1">
        <v>6800</v>
      </c>
      <c r="H71" s="2">
        <f>Table13[[#This Row],[TỔNG]]*Table13[[#This Row],[ĐƠN GIÁ]]</f>
        <v>156400</v>
      </c>
    </row>
    <row r="72" spans="1:8" hidden="1" x14ac:dyDescent="0.3">
      <c r="A72" s="3" t="s">
        <v>39</v>
      </c>
      <c r="B72" s="4" t="s">
        <v>7</v>
      </c>
      <c r="C72">
        <v>30</v>
      </c>
      <c r="F72">
        <f>Table13[[#This Row],[NT]]+Table13[[#This Row],[TMART]]</f>
        <v>30</v>
      </c>
      <c r="G72" s="1">
        <v>40000</v>
      </c>
      <c r="H72" s="2">
        <f>Table13[[#This Row],[TỔNG]]*Table13[[#This Row],[ĐƠN GIÁ]]</f>
        <v>1200000</v>
      </c>
    </row>
    <row r="73" spans="1:8" hidden="1" x14ac:dyDescent="0.3">
      <c r="A73" s="3" t="s">
        <v>82</v>
      </c>
      <c r="B73" s="4" t="s">
        <v>7</v>
      </c>
      <c r="C73">
        <v>2</v>
      </c>
      <c r="F73">
        <f>Table13[[#This Row],[NT]]+Table13[[#This Row],[TMART]]</f>
        <v>2</v>
      </c>
      <c r="G73" s="1">
        <v>120000</v>
      </c>
      <c r="H73" s="2">
        <f>Table13[[#This Row],[TỔNG]]*Table13[[#This Row],[ĐƠN GIÁ]]</f>
        <v>240000</v>
      </c>
    </row>
    <row r="74" spans="1:8" hidden="1" x14ac:dyDescent="0.3">
      <c r="A74" s="3" t="s">
        <v>83</v>
      </c>
      <c r="B74" s="4" t="s">
        <v>7</v>
      </c>
      <c r="C74">
        <v>5</v>
      </c>
      <c r="F74">
        <f>Table13[[#This Row],[NT]]+Table13[[#This Row],[TMART]]</f>
        <v>5</v>
      </c>
      <c r="G74" s="1">
        <v>25000</v>
      </c>
      <c r="H74" s="2">
        <f>Table13[[#This Row],[TỔNG]]*Table13[[#This Row],[ĐƠN GIÁ]]</f>
        <v>125000</v>
      </c>
    </row>
    <row r="75" spans="1:8" hidden="1" x14ac:dyDescent="0.3">
      <c r="A75" s="3" t="s">
        <v>84</v>
      </c>
      <c r="B75" s="4" t="s">
        <v>27</v>
      </c>
      <c r="C75">
        <v>5</v>
      </c>
      <c r="F75">
        <f>Table13[[#This Row],[NT]]+Table13[[#This Row],[TMART]]</f>
        <v>5</v>
      </c>
      <c r="G75" s="1">
        <v>68000</v>
      </c>
      <c r="H75" s="2">
        <f>Table13[[#This Row],[TỔNG]]*Table13[[#This Row],[ĐƠN GIÁ]]</f>
        <v>340000</v>
      </c>
    </row>
    <row r="76" spans="1:8" x14ac:dyDescent="0.3">
      <c r="G76" s="2"/>
      <c r="H76" s="2">
        <f>SUM(Table13[TỔNG TIỀN])</f>
        <v>103324266.66666666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opLeftCell="A19" workbookViewId="0">
      <selection activeCell="G25" sqref="G25"/>
    </sheetView>
  </sheetViews>
  <sheetFormatPr defaultRowHeight="14.4" x14ac:dyDescent="0.3"/>
  <cols>
    <col min="1" max="1" width="17.88671875" customWidth="1"/>
    <col min="2" max="2" width="8.21875" customWidth="1"/>
    <col min="7" max="7" width="10.33203125" style="1" bestFit="1" customWidth="1"/>
    <col min="8" max="8" width="12.88671875" customWidth="1"/>
  </cols>
  <sheetData>
    <row r="1" spans="1:8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s="1" t="s">
        <v>76</v>
      </c>
      <c r="H1" t="s">
        <v>77</v>
      </c>
    </row>
    <row r="2" spans="1:8" x14ac:dyDescent="0.3">
      <c r="A2" t="s">
        <v>19</v>
      </c>
      <c r="B2" t="s">
        <v>7</v>
      </c>
      <c r="C2">
        <v>30</v>
      </c>
      <c r="F2">
        <f>SUM(Table1[[#This Row],[NT]:[TMART]])</f>
        <v>30</v>
      </c>
      <c r="G2" s="1">
        <v>13000</v>
      </c>
      <c r="H2" s="2">
        <f>Table1[[#This Row],[TỔNG]]*Table1[[#This Row],[ĐƠN GIÁ]]</f>
        <v>390000</v>
      </c>
    </row>
    <row r="3" spans="1:8" x14ac:dyDescent="0.3">
      <c r="A3" t="s">
        <v>69</v>
      </c>
      <c r="B3" t="s">
        <v>7</v>
      </c>
      <c r="C3">
        <v>0.96</v>
      </c>
      <c r="F3">
        <f>SUM(Table1[[#This Row],[NT]:[TMART]])</f>
        <v>0.96</v>
      </c>
      <c r="G3" s="1">
        <v>30000</v>
      </c>
      <c r="H3" s="2">
        <f>Table1[[#This Row],[TỔNG]]*Table1[[#This Row],[ĐƠN GIÁ]]</f>
        <v>28800</v>
      </c>
    </row>
    <row r="4" spans="1:8" x14ac:dyDescent="0.3">
      <c r="A4" t="s">
        <v>41</v>
      </c>
      <c r="B4" t="s">
        <v>42</v>
      </c>
      <c r="C4">
        <v>228</v>
      </c>
      <c r="F4">
        <f>SUM(Table1[[#This Row],[NT]:[TMART]])</f>
        <v>228</v>
      </c>
      <c r="G4" s="1">
        <f>18000*0.3</f>
        <v>5400</v>
      </c>
      <c r="H4" s="2">
        <f>Table1[[#This Row],[TỔNG]]*Table1[[#This Row],[ĐƠN GIÁ]]</f>
        <v>1231200</v>
      </c>
    </row>
    <row r="5" spans="1:8" x14ac:dyDescent="0.3">
      <c r="A5" t="s">
        <v>43</v>
      </c>
      <c r="B5" t="s">
        <v>7</v>
      </c>
      <c r="C5">
        <v>3</v>
      </c>
      <c r="F5">
        <f>SUM(Table1[[#This Row],[NT]:[TMART]])</f>
        <v>3</v>
      </c>
      <c r="G5" s="1">
        <v>11000</v>
      </c>
      <c r="H5" s="2">
        <f>Table1[[#This Row],[TỔNG]]*Table1[[#This Row],[ĐƠN GIÁ]]</f>
        <v>33000</v>
      </c>
    </row>
    <row r="6" spans="1:8" x14ac:dyDescent="0.3">
      <c r="A6" t="s">
        <v>43</v>
      </c>
      <c r="B6" t="s">
        <v>44</v>
      </c>
      <c r="C6">
        <v>300</v>
      </c>
      <c r="F6">
        <f>SUM(Table1[[#This Row],[NT]:[TMART]])</f>
        <v>300</v>
      </c>
      <c r="G6" s="1">
        <f>11000*0.3</f>
        <v>3300</v>
      </c>
      <c r="H6" s="2">
        <f>Table1[[#This Row],[TỔNG]]*Table1[[#This Row],[ĐƠN GIÁ]]</f>
        <v>990000</v>
      </c>
    </row>
    <row r="7" spans="1:8" x14ac:dyDescent="0.3">
      <c r="A7" t="s">
        <v>67</v>
      </c>
      <c r="B7" t="s">
        <v>7</v>
      </c>
      <c r="C7">
        <v>121</v>
      </c>
      <c r="F7">
        <f>SUM(Table1[[#This Row],[NT]:[TMART]])</f>
        <v>121</v>
      </c>
      <c r="G7" s="1">
        <v>25000</v>
      </c>
      <c r="H7" s="2">
        <f>Table1[[#This Row],[TỔNG]]*Table1[[#This Row],[ĐƠN GIÁ]]</f>
        <v>3025000</v>
      </c>
    </row>
    <row r="8" spans="1:8" x14ac:dyDescent="0.3">
      <c r="A8" t="s">
        <v>75</v>
      </c>
      <c r="B8" t="s">
        <v>7</v>
      </c>
      <c r="C8">
        <v>1</v>
      </c>
      <c r="F8">
        <f>SUM(Table1[[#This Row],[NT]:[TMART]])</f>
        <v>1</v>
      </c>
      <c r="G8" s="1">
        <v>20000</v>
      </c>
      <c r="H8" s="2">
        <f>Table1[[#This Row],[TỔNG]]*Table1[[#This Row],[ĐƠN GIÁ]]</f>
        <v>20000</v>
      </c>
    </row>
    <row r="9" spans="1:8" x14ac:dyDescent="0.3">
      <c r="A9" t="s">
        <v>17</v>
      </c>
      <c r="B9" t="s">
        <v>7</v>
      </c>
      <c r="C9">
        <v>60</v>
      </c>
      <c r="F9">
        <f>SUM(Table1[[#This Row],[NT]:[TMART]])</f>
        <v>60</v>
      </c>
      <c r="G9" s="1">
        <v>40000</v>
      </c>
      <c r="H9" s="2">
        <f>Table1[[#This Row],[TỔNG]]*Table1[[#This Row],[ĐƠN GIÁ]]</f>
        <v>2400000</v>
      </c>
    </row>
    <row r="10" spans="1:8" x14ac:dyDescent="0.3">
      <c r="A10" t="s">
        <v>18</v>
      </c>
      <c r="B10" t="s">
        <v>7</v>
      </c>
      <c r="C10">
        <v>17</v>
      </c>
      <c r="F10">
        <f>SUM(Table1[[#This Row],[NT]:[TMART]])</f>
        <v>17</v>
      </c>
      <c r="G10" s="1">
        <v>50000</v>
      </c>
      <c r="H10" s="2">
        <f>Table1[[#This Row],[TỔNG]]*Table1[[#This Row],[ĐƠN GIÁ]]</f>
        <v>850000</v>
      </c>
    </row>
    <row r="11" spans="1:8" x14ac:dyDescent="0.3">
      <c r="A11" t="s">
        <v>18</v>
      </c>
      <c r="B11" t="s">
        <v>9</v>
      </c>
      <c r="C11">
        <v>20</v>
      </c>
      <c r="F11">
        <f>SUM(Table1[[#This Row],[NT]:[TMART]])</f>
        <v>20</v>
      </c>
      <c r="G11" s="1">
        <f>50000/5</f>
        <v>10000</v>
      </c>
      <c r="H11" s="2">
        <f>Table1[[#This Row],[TỔNG]]*Table1[[#This Row],[ĐƠN GIÁ]]</f>
        <v>200000</v>
      </c>
    </row>
    <row r="12" spans="1:8" x14ac:dyDescent="0.3">
      <c r="A12" t="s">
        <v>45</v>
      </c>
      <c r="B12" t="s">
        <v>7</v>
      </c>
      <c r="C12">
        <v>150</v>
      </c>
      <c r="F12">
        <f>SUM(Table1[[#This Row],[NT]:[TMART]])</f>
        <v>150</v>
      </c>
      <c r="G12" s="1">
        <v>22000</v>
      </c>
      <c r="H12" s="2">
        <f>Table1[[#This Row],[TỔNG]]*Table1[[#This Row],[ĐƠN GIÁ]]</f>
        <v>3300000</v>
      </c>
    </row>
    <row r="13" spans="1:8" x14ac:dyDescent="0.3">
      <c r="A13" t="s">
        <v>46</v>
      </c>
      <c r="B13" t="s">
        <v>9</v>
      </c>
      <c r="C13">
        <v>343</v>
      </c>
      <c r="F13">
        <f>SUM(Table1[[#This Row],[NT]:[TMART]])</f>
        <v>343</v>
      </c>
      <c r="G13" s="1">
        <f>21000/2</f>
        <v>10500</v>
      </c>
      <c r="H13" s="2">
        <f>Table1[[#This Row],[TỔNG]]*Table1[[#This Row],[ĐƠN GIÁ]]</f>
        <v>3601500</v>
      </c>
    </row>
    <row r="14" spans="1:8" x14ac:dyDescent="0.3">
      <c r="A14" t="s">
        <v>70</v>
      </c>
      <c r="B14" t="s">
        <v>7</v>
      </c>
      <c r="C14">
        <v>16</v>
      </c>
      <c r="F14">
        <f>SUM(Table1[[#This Row],[NT]:[TMART]])</f>
        <v>16</v>
      </c>
      <c r="G14" s="1">
        <v>38000</v>
      </c>
      <c r="H14" s="2">
        <f>Table1[[#This Row],[TỔNG]]*Table1[[#This Row],[ĐƠN GIÁ]]</f>
        <v>608000</v>
      </c>
    </row>
    <row r="15" spans="1:8" x14ac:dyDescent="0.3">
      <c r="A15" t="s">
        <v>47</v>
      </c>
      <c r="B15" t="s">
        <v>48</v>
      </c>
      <c r="C15">
        <v>10</v>
      </c>
      <c r="F15">
        <f>SUM(Table1[[#This Row],[NT]:[TMART]])</f>
        <v>10</v>
      </c>
      <c r="G15" s="1">
        <f>51500*0.3</f>
        <v>15450</v>
      </c>
      <c r="H15" s="2">
        <f>Table1[[#This Row],[TỔNG]]*Table1[[#This Row],[ĐƠN GIÁ]]</f>
        <v>154500</v>
      </c>
    </row>
    <row r="16" spans="1:8" x14ac:dyDescent="0.3">
      <c r="A16" t="s">
        <v>49</v>
      </c>
      <c r="B16" t="s">
        <v>7</v>
      </c>
      <c r="C16">
        <v>1</v>
      </c>
      <c r="F16">
        <f>SUM(Table1[[#This Row],[NT]:[TMART]])</f>
        <v>1</v>
      </c>
      <c r="G16" s="1">
        <v>40000</v>
      </c>
      <c r="H16" s="2">
        <f>Table1[[#This Row],[TỔNG]]*Table1[[#This Row],[ĐƠN GIÁ]]</f>
        <v>40000</v>
      </c>
    </row>
    <row r="17" spans="1:8" x14ac:dyDescent="0.3">
      <c r="A17" t="s">
        <v>65</v>
      </c>
      <c r="B17" t="s">
        <v>48</v>
      </c>
      <c r="C17">
        <v>80</v>
      </c>
      <c r="F17">
        <f>SUM(Table1[[#This Row],[NT]:[TMART]])</f>
        <v>80</v>
      </c>
      <c r="G17" s="1">
        <f>40000*0.3</f>
        <v>12000</v>
      </c>
      <c r="H17" s="2">
        <f>Table1[[#This Row],[TỔNG]]*Table1[[#This Row],[ĐƠN GIÁ]]</f>
        <v>960000</v>
      </c>
    </row>
    <row r="18" spans="1:8" x14ac:dyDescent="0.3">
      <c r="A18" t="s">
        <v>50</v>
      </c>
      <c r="B18" t="s">
        <v>7</v>
      </c>
      <c r="C18">
        <v>104</v>
      </c>
      <c r="F18">
        <f>SUM(Table1[[#This Row],[NT]:[TMART]])</f>
        <v>104</v>
      </c>
      <c r="G18" s="1">
        <v>21000</v>
      </c>
      <c r="H18" s="2">
        <f>Table1[[#This Row],[TỔNG]]*Table1[[#This Row],[ĐƠN GIÁ]]</f>
        <v>2184000</v>
      </c>
    </row>
    <row r="19" spans="1:8" x14ac:dyDescent="0.3">
      <c r="A19" t="s">
        <v>6</v>
      </c>
      <c r="B19" t="s">
        <v>7</v>
      </c>
      <c r="C19">
        <v>220</v>
      </c>
      <c r="F19">
        <f>SUM(Table1[[#This Row],[NT]:[TMART]])</f>
        <v>220</v>
      </c>
      <c r="G19" s="1">
        <v>20000</v>
      </c>
      <c r="H19" s="2">
        <f>Table1[[#This Row],[TỔNG]]*Table1[[#This Row],[ĐƠN GIÁ]]</f>
        <v>4400000</v>
      </c>
    </row>
    <row r="20" spans="1:8" x14ac:dyDescent="0.3">
      <c r="A20" t="s">
        <v>8</v>
      </c>
      <c r="B20" t="s">
        <v>9</v>
      </c>
      <c r="C20">
        <v>90</v>
      </c>
      <c r="F20">
        <f>SUM(Table1[[#This Row],[NT]:[TMART]])</f>
        <v>90</v>
      </c>
      <c r="G20" s="1">
        <f>58000/5</f>
        <v>11600</v>
      </c>
      <c r="H20" s="2">
        <f>Table1[[#This Row],[TỔNG]]*Table1[[#This Row],[ĐƠN GIÁ]]</f>
        <v>1044000</v>
      </c>
    </row>
    <row r="21" spans="1:8" x14ac:dyDescent="0.3">
      <c r="A21" t="s">
        <v>20</v>
      </c>
      <c r="B21" t="s">
        <v>7</v>
      </c>
      <c r="C21">
        <v>70</v>
      </c>
      <c r="F21">
        <f>SUM(Table1[[#This Row],[NT]:[TMART]])</f>
        <v>70</v>
      </c>
      <c r="G21" s="1">
        <v>34000</v>
      </c>
      <c r="H21" s="2">
        <f>Table1[[#This Row],[TỔNG]]*Table1[[#This Row],[ĐƠN GIÁ]]</f>
        <v>2380000</v>
      </c>
    </row>
    <row r="22" spans="1:8" x14ac:dyDescent="0.3">
      <c r="A22" t="s">
        <v>21</v>
      </c>
      <c r="B22" t="s">
        <v>22</v>
      </c>
      <c r="C22">
        <v>10</v>
      </c>
      <c r="F22">
        <f>SUM(Table1[[#This Row],[NT]:[TMART]])</f>
        <v>10</v>
      </c>
      <c r="G22" s="1">
        <v>19000</v>
      </c>
      <c r="H22" s="2">
        <f>Table1[[#This Row],[TỔNG]]*Table1[[#This Row],[ĐƠN GIÁ]]</f>
        <v>190000</v>
      </c>
    </row>
    <row r="23" spans="1:8" x14ac:dyDescent="0.3">
      <c r="A23" t="s">
        <v>23</v>
      </c>
      <c r="B23" t="s">
        <v>7</v>
      </c>
      <c r="C23">
        <v>3</v>
      </c>
      <c r="F23">
        <f>SUM(Table1[[#This Row],[NT]:[TMART]])</f>
        <v>3</v>
      </c>
      <c r="G23" s="1">
        <v>34500</v>
      </c>
      <c r="H23" s="2">
        <f>Table1[[#This Row],[TỔNG]]*Table1[[#This Row],[ĐƠN GIÁ]]</f>
        <v>103500</v>
      </c>
    </row>
    <row r="24" spans="1:8" x14ac:dyDescent="0.3">
      <c r="A24" t="s">
        <v>23</v>
      </c>
      <c r="B24" t="s">
        <v>22</v>
      </c>
      <c r="C24">
        <v>160</v>
      </c>
      <c r="F24">
        <f>SUM(Table1[[#This Row],[NT]:[TMART]])</f>
        <v>160</v>
      </c>
      <c r="G24" s="1">
        <f>35000*0.3</f>
        <v>10500</v>
      </c>
      <c r="H24" s="2">
        <f>Table1[[#This Row],[TỔNG]]*Table1[[#This Row],[ĐƠN GIÁ]]</f>
        <v>1680000</v>
      </c>
    </row>
    <row r="25" spans="1:8" x14ac:dyDescent="0.3">
      <c r="A25" t="s">
        <v>23</v>
      </c>
      <c r="B25" t="s">
        <v>24</v>
      </c>
      <c r="C25">
        <v>8</v>
      </c>
      <c r="F25">
        <f>SUM(Table1[[#This Row],[NT]:[TMART]])</f>
        <v>8</v>
      </c>
      <c r="G25" s="1">
        <f>38000*0.15</f>
        <v>5700</v>
      </c>
      <c r="H25" s="2">
        <f>Table1[[#This Row],[TỔNG]]*Table1[[#This Row],[ĐƠN GIÁ]]</f>
        <v>45600</v>
      </c>
    </row>
    <row r="26" spans="1:8" x14ac:dyDescent="0.3">
      <c r="A26" t="s">
        <v>25</v>
      </c>
      <c r="B26" t="s">
        <v>7</v>
      </c>
      <c r="C26">
        <v>96</v>
      </c>
      <c r="F26">
        <f>SUM(Table1[[#This Row],[NT]:[TMART]])</f>
        <v>96</v>
      </c>
      <c r="G26" s="1">
        <v>8500</v>
      </c>
      <c r="H26" s="2">
        <f>Table1[[#This Row],[TỔNG]]*Table1[[#This Row],[ĐƠN GIÁ]]</f>
        <v>816000</v>
      </c>
    </row>
    <row r="27" spans="1:8" x14ac:dyDescent="0.3">
      <c r="A27" t="s">
        <v>26</v>
      </c>
      <c r="B27" t="s">
        <v>27</v>
      </c>
      <c r="C27">
        <v>190</v>
      </c>
      <c r="F27">
        <f>SUM(Table1[[#This Row],[NT]:[TMART]])</f>
        <v>190</v>
      </c>
      <c r="G27" s="1">
        <f>15000*0.5</f>
        <v>7500</v>
      </c>
      <c r="H27" s="2">
        <f>Table1[[#This Row],[TỔNG]]*Table1[[#This Row],[ĐƠN GIÁ]]</f>
        <v>1425000</v>
      </c>
    </row>
    <row r="28" spans="1:8" x14ac:dyDescent="0.3">
      <c r="A28" t="s">
        <v>26</v>
      </c>
      <c r="B28" t="s">
        <v>7</v>
      </c>
      <c r="C28">
        <v>3</v>
      </c>
      <c r="F28">
        <f>SUM(Table1[[#This Row],[NT]:[TMART]])</f>
        <v>3</v>
      </c>
      <c r="G28" s="1">
        <v>15000</v>
      </c>
      <c r="H28" s="2">
        <f>Table1[[#This Row],[TỔNG]]*Table1[[#This Row],[ĐƠN GIÁ]]</f>
        <v>45000</v>
      </c>
    </row>
    <row r="29" spans="1:8" x14ac:dyDescent="0.3">
      <c r="A29" t="s">
        <v>51</v>
      </c>
      <c r="B29" t="s">
        <v>9</v>
      </c>
      <c r="C29">
        <v>30</v>
      </c>
      <c r="F29">
        <f>SUM(Table1[[#This Row],[NT]:[TMART]])</f>
        <v>30</v>
      </c>
      <c r="G29" s="1">
        <f>222750/30</f>
        <v>7425</v>
      </c>
      <c r="H29" s="2">
        <f>Table1[[#This Row],[TỔNG]]*Table1[[#This Row],[ĐƠN GIÁ]]</f>
        <v>222750</v>
      </c>
    </row>
    <row r="30" spans="1:8" x14ac:dyDescent="0.3">
      <c r="A30" t="s">
        <v>10</v>
      </c>
      <c r="B30" t="s">
        <v>7</v>
      </c>
      <c r="C30">
        <v>151</v>
      </c>
      <c r="F30">
        <f>SUM(Table1[[#This Row],[NT]:[TMART]])</f>
        <v>151</v>
      </c>
      <c r="G30" s="1">
        <v>6500</v>
      </c>
      <c r="H30" s="2">
        <f>Table1[[#This Row],[TỔNG]]*Table1[[#This Row],[ĐƠN GIÁ]]</f>
        <v>981500</v>
      </c>
    </row>
    <row r="31" spans="1:8" x14ac:dyDescent="0.3">
      <c r="A31" t="s">
        <v>11</v>
      </c>
      <c r="B31" t="s">
        <v>7</v>
      </c>
      <c r="C31">
        <v>40</v>
      </c>
      <c r="F31">
        <f>SUM(Table1[[#This Row],[NT]:[TMART]])</f>
        <v>40</v>
      </c>
      <c r="G31" s="1">
        <v>14000</v>
      </c>
      <c r="H31" s="2">
        <f>Table1[[#This Row],[TỔNG]]*Table1[[#This Row],[ĐƠN GIÁ]]</f>
        <v>560000</v>
      </c>
    </row>
    <row r="32" spans="1:8" x14ac:dyDescent="0.3">
      <c r="A32" t="s">
        <v>12</v>
      </c>
      <c r="B32" t="s">
        <v>7</v>
      </c>
      <c r="C32">
        <v>40</v>
      </c>
      <c r="F32">
        <f>SUM(Table1[[#This Row],[NT]:[TMART]])</f>
        <v>40</v>
      </c>
      <c r="G32" s="1">
        <v>30000</v>
      </c>
      <c r="H32" s="2">
        <f>Table1[[#This Row],[TỔNG]]*Table1[[#This Row],[ĐƠN GIÁ]]</f>
        <v>1200000</v>
      </c>
    </row>
    <row r="33" spans="1:8" x14ac:dyDescent="0.3">
      <c r="A33" t="s">
        <v>13</v>
      </c>
      <c r="B33" t="s">
        <v>7</v>
      </c>
      <c r="C33">
        <v>100</v>
      </c>
      <c r="F33">
        <f>SUM(Table1[[#This Row],[NT]:[TMART]])</f>
        <v>100</v>
      </c>
      <c r="G33" s="1">
        <v>22000</v>
      </c>
      <c r="H33" s="2">
        <f>Table1[[#This Row],[TỔNG]]*Table1[[#This Row],[ĐƠN GIÁ]]</f>
        <v>2200000</v>
      </c>
    </row>
    <row r="34" spans="1:8" x14ac:dyDescent="0.3">
      <c r="A34" t="s">
        <v>14</v>
      </c>
      <c r="B34" t="s">
        <v>7</v>
      </c>
      <c r="C34">
        <v>110</v>
      </c>
      <c r="F34">
        <f>SUM(Table1[[#This Row],[NT]:[TMART]])</f>
        <v>110</v>
      </c>
      <c r="G34" s="1">
        <v>21000</v>
      </c>
      <c r="H34" s="2">
        <f>Table1[[#This Row],[TỔNG]]*Table1[[#This Row],[ĐƠN GIÁ]]</f>
        <v>2310000</v>
      </c>
    </row>
    <row r="35" spans="1:8" x14ac:dyDescent="0.3">
      <c r="A35" t="s">
        <v>15</v>
      </c>
      <c r="B35" t="s">
        <v>7</v>
      </c>
      <c r="C35">
        <v>27</v>
      </c>
      <c r="F35">
        <f>SUM(Table1[[#This Row],[NT]:[TMART]])</f>
        <v>27</v>
      </c>
      <c r="G35" s="1">
        <v>27000</v>
      </c>
      <c r="H35" s="2">
        <f>Table1[[#This Row],[TỔNG]]*Table1[[#This Row],[ĐƠN GIÁ]]</f>
        <v>729000</v>
      </c>
    </row>
    <row r="36" spans="1:8" x14ac:dyDescent="0.3">
      <c r="A36" t="s">
        <v>16</v>
      </c>
      <c r="B36" t="s">
        <v>7</v>
      </c>
      <c r="C36">
        <v>63</v>
      </c>
      <c r="F36">
        <f>SUM(Table1[[#This Row],[NT]:[TMART]])</f>
        <v>63</v>
      </c>
      <c r="G36" s="1">
        <v>18000</v>
      </c>
      <c r="H36" s="2">
        <f>Table1[[#This Row],[TỔNG]]*Table1[[#This Row],[ĐƠN GIÁ]]</f>
        <v>1134000</v>
      </c>
    </row>
    <row r="37" spans="1:8" x14ac:dyDescent="0.3">
      <c r="A37" t="s">
        <v>52</v>
      </c>
      <c r="B37" t="s">
        <v>22</v>
      </c>
      <c r="C37">
        <v>30</v>
      </c>
      <c r="F37">
        <f>SUM(Table1[[#This Row],[NT]:[TMART]])</f>
        <v>30</v>
      </c>
      <c r="G37" s="1">
        <v>8000</v>
      </c>
      <c r="H37" s="2">
        <f>Table1[[#This Row],[TỔNG]]*Table1[[#This Row],[ĐƠN GIÁ]]</f>
        <v>240000</v>
      </c>
    </row>
    <row r="38" spans="1:8" x14ac:dyDescent="0.3">
      <c r="A38" t="s">
        <v>53</v>
      </c>
      <c r="B38" t="s">
        <v>7</v>
      </c>
      <c r="C38">
        <v>20</v>
      </c>
      <c r="F38">
        <f>SUM(Table1[[#This Row],[NT]:[TMART]])</f>
        <v>20</v>
      </c>
      <c r="G38" s="1">
        <v>19500</v>
      </c>
      <c r="H38" s="2">
        <f>Table1[[#This Row],[TỔNG]]*Table1[[#This Row],[ĐƠN GIÁ]]</f>
        <v>390000</v>
      </c>
    </row>
    <row r="39" spans="1:8" x14ac:dyDescent="0.3">
      <c r="A39" t="s">
        <v>54</v>
      </c>
      <c r="B39" t="s">
        <v>9</v>
      </c>
      <c r="C39">
        <v>230</v>
      </c>
      <c r="F39">
        <f>SUM(Table1[[#This Row],[NT]:[TMART]])</f>
        <v>230</v>
      </c>
      <c r="G39" s="1">
        <v>8500</v>
      </c>
      <c r="H39" s="2">
        <f>Table1[[#This Row],[TỔNG]]*Table1[[#This Row],[ĐƠN GIÁ]]</f>
        <v>1955000</v>
      </c>
    </row>
    <row r="40" spans="1:8" x14ac:dyDescent="0.3">
      <c r="A40" t="s">
        <v>55</v>
      </c>
      <c r="B40" t="s">
        <v>22</v>
      </c>
      <c r="C40">
        <v>31</v>
      </c>
      <c r="F40">
        <f>SUM(Table1[[#This Row],[NT]:[TMART]])</f>
        <v>31</v>
      </c>
      <c r="G40" s="1">
        <f>11000*0.6</f>
        <v>6600</v>
      </c>
      <c r="H40" s="2">
        <f>Table1[[#This Row],[TỔNG]]*Table1[[#This Row],[ĐƠN GIÁ]]</f>
        <v>204600</v>
      </c>
    </row>
    <row r="41" spans="1:8" x14ac:dyDescent="0.3">
      <c r="A41" t="s">
        <v>56</v>
      </c>
      <c r="B41" t="s">
        <v>7</v>
      </c>
      <c r="C41">
        <v>60</v>
      </c>
      <c r="F41">
        <f>SUM(Table1[[#This Row],[NT]:[TMART]])</f>
        <v>60</v>
      </c>
      <c r="G41" s="1">
        <v>8000</v>
      </c>
      <c r="H41" s="2">
        <f>Table1[[#This Row],[TỔNG]]*Table1[[#This Row],[ĐƠN GIÁ]]</f>
        <v>480000</v>
      </c>
    </row>
    <row r="42" spans="1:8" x14ac:dyDescent="0.3">
      <c r="A42" t="s">
        <v>28</v>
      </c>
      <c r="B42" t="s">
        <v>27</v>
      </c>
      <c r="C42">
        <v>50</v>
      </c>
      <c r="F42">
        <f>SUM(Table1[[#This Row],[NT]:[TMART]])</f>
        <v>50</v>
      </c>
      <c r="G42" s="1">
        <f>40000/5</f>
        <v>8000</v>
      </c>
      <c r="H42" s="2">
        <f>Table1[[#This Row],[TỔNG]]*Table1[[#This Row],[ĐƠN GIÁ]]</f>
        <v>400000</v>
      </c>
    </row>
    <row r="43" spans="1:8" x14ac:dyDescent="0.3">
      <c r="A43" t="s">
        <v>72</v>
      </c>
      <c r="B43" t="s">
        <v>48</v>
      </c>
      <c r="C43">
        <v>40</v>
      </c>
      <c r="F43">
        <f>SUM(Table1[[#This Row],[NT]:[TMART]])</f>
        <v>40</v>
      </c>
      <c r="G43" s="1">
        <v>100000</v>
      </c>
      <c r="H43" s="2">
        <f>Table1[[#This Row],[TỔNG]]*Table1[[#This Row],[ĐƠN GIÁ]]</f>
        <v>4000000</v>
      </c>
    </row>
    <row r="44" spans="1:8" x14ac:dyDescent="0.3">
      <c r="A44" t="s">
        <v>73</v>
      </c>
      <c r="B44" t="s">
        <v>7</v>
      </c>
      <c r="C44">
        <v>7</v>
      </c>
      <c r="F44">
        <f>SUM(Table1[[#This Row],[NT]:[TMART]])</f>
        <v>7</v>
      </c>
      <c r="G44" s="1">
        <v>25000</v>
      </c>
      <c r="H44" s="2">
        <f>Table1[[#This Row],[TỔNG]]*Table1[[#This Row],[ĐƠN GIÁ]]</f>
        <v>175000</v>
      </c>
    </row>
    <row r="45" spans="1:8" x14ac:dyDescent="0.3">
      <c r="A45" t="s">
        <v>29</v>
      </c>
      <c r="B45" t="s">
        <v>22</v>
      </c>
      <c r="C45">
        <v>415</v>
      </c>
      <c r="F45">
        <f>SUM(Table1[[#This Row],[NT]:[TMART]])</f>
        <v>415</v>
      </c>
      <c r="G45" s="1">
        <v>50000</v>
      </c>
      <c r="H45" s="2">
        <f>Table1[[#This Row],[TỔNG]]*Table1[[#This Row],[ĐƠN GIÁ]]</f>
        <v>20750000</v>
      </c>
    </row>
    <row r="46" spans="1:8" x14ac:dyDescent="0.3">
      <c r="A46" t="s">
        <v>30</v>
      </c>
      <c r="B46" t="s">
        <v>7</v>
      </c>
      <c r="C46">
        <v>5</v>
      </c>
      <c r="F46">
        <f>SUM(Table1[[#This Row],[NT]:[TMART]])</f>
        <v>5</v>
      </c>
      <c r="G46" s="1">
        <v>14000</v>
      </c>
      <c r="H46" s="2">
        <f>Table1[[#This Row],[TỔNG]]*Table1[[#This Row],[ĐƠN GIÁ]]</f>
        <v>70000</v>
      </c>
    </row>
    <row r="47" spans="1:8" x14ac:dyDescent="0.3">
      <c r="A47" t="s">
        <v>31</v>
      </c>
      <c r="B47" t="s">
        <v>7</v>
      </c>
      <c r="C47">
        <v>4.5</v>
      </c>
      <c r="F47">
        <f>SUM(Table1[[#This Row],[NT]:[TMART]])</f>
        <v>4.5</v>
      </c>
      <c r="G47" s="1">
        <v>32000</v>
      </c>
      <c r="H47" s="2">
        <f>Table1[[#This Row],[TỔNG]]*Table1[[#This Row],[ĐƠN GIÁ]]</f>
        <v>144000</v>
      </c>
    </row>
    <row r="48" spans="1:8" x14ac:dyDescent="0.3">
      <c r="A48" t="s">
        <v>32</v>
      </c>
      <c r="B48" t="s">
        <v>7</v>
      </c>
      <c r="C48">
        <v>20</v>
      </c>
      <c r="F48">
        <f>SUM(Table1[[#This Row],[NT]:[TMART]])</f>
        <v>20</v>
      </c>
      <c r="G48" s="1">
        <f>94000/2</f>
        <v>47000</v>
      </c>
      <c r="H48" s="2">
        <f>Table1[[#This Row],[TỔNG]]*Table1[[#This Row],[ĐƠN GIÁ]]</f>
        <v>940000</v>
      </c>
    </row>
    <row r="49" spans="1:8" x14ac:dyDescent="0.3">
      <c r="A49" t="s">
        <v>68</v>
      </c>
      <c r="B49" t="s">
        <v>9</v>
      </c>
      <c r="C49">
        <v>13</v>
      </c>
      <c r="F49">
        <f>SUM(Table1[[#This Row],[NT]:[TMART]])</f>
        <v>13</v>
      </c>
      <c r="G49" s="1">
        <v>23000</v>
      </c>
      <c r="H49" s="2">
        <f>Table1[[#This Row],[TỔNG]]*Table1[[#This Row],[ĐƠN GIÁ]]</f>
        <v>299000</v>
      </c>
    </row>
    <row r="50" spans="1:8" x14ac:dyDescent="0.3">
      <c r="A50" t="s">
        <v>57</v>
      </c>
      <c r="B50" t="s">
        <v>7</v>
      </c>
      <c r="C50">
        <v>50</v>
      </c>
      <c r="F50">
        <f>SUM(Table1[[#This Row],[NT]:[TMART]])</f>
        <v>50</v>
      </c>
      <c r="G50" s="1">
        <v>50000</v>
      </c>
      <c r="H50" s="2">
        <f>Table1[[#This Row],[TỔNG]]*Table1[[#This Row],[ĐƠN GIÁ]]</f>
        <v>2500000</v>
      </c>
    </row>
    <row r="51" spans="1:8" x14ac:dyDescent="0.3">
      <c r="A51" t="s">
        <v>58</v>
      </c>
      <c r="B51" t="s">
        <v>7</v>
      </c>
      <c r="C51">
        <v>2.5</v>
      </c>
      <c r="F51">
        <f>SUM(Table1[[#This Row],[NT]:[TMART]])</f>
        <v>2.5</v>
      </c>
      <c r="G51" s="1">
        <v>48000</v>
      </c>
      <c r="H51" s="2">
        <f>Table1[[#This Row],[TỔNG]]*Table1[[#This Row],[ĐƠN GIÁ]]</f>
        <v>120000</v>
      </c>
    </row>
    <row r="52" spans="1:8" x14ac:dyDescent="0.3">
      <c r="A52" t="s">
        <v>58</v>
      </c>
      <c r="B52" t="s">
        <v>59</v>
      </c>
      <c r="C52">
        <v>200</v>
      </c>
      <c r="F52">
        <f>SUM(Table1[[#This Row],[NT]:[TMART]])</f>
        <v>200</v>
      </c>
      <c r="G52" s="1">
        <v>12000</v>
      </c>
      <c r="H52" s="2">
        <f>Table1[[#This Row],[TỔNG]]*Table1[[#This Row],[ĐƠN GIÁ]]</f>
        <v>2400000</v>
      </c>
    </row>
    <row r="53" spans="1:8" x14ac:dyDescent="0.3">
      <c r="A53" t="s">
        <v>60</v>
      </c>
      <c r="B53" t="s">
        <v>7</v>
      </c>
      <c r="C53">
        <v>14</v>
      </c>
      <c r="F53">
        <f>SUM(Table1[[#This Row],[NT]:[TMART]])</f>
        <v>14</v>
      </c>
      <c r="G53" s="1">
        <v>55000</v>
      </c>
      <c r="H53" s="2">
        <f>Table1[[#This Row],[TỔNG]]*Table1[[#This Row],[ĐƠN GIÁ]]</f>
        <v>770000</v>
      </c>
    </row>
    <row r="54" spans="1:8" x14ac:dyDescent="0.3">
      <c r="A54" t="s">
        <v>61</v>
      </c>
      <c r="B54" t="s">
        <v>7</v>
      </c>
      <c r="C54">
        <v>1.5</v>
      </c>
      <c r="F54">
        <f>SUM(Table1[[#This Row],[NT]:[TMART]])</f>
        <v>1.5</v>
      </c>
      <c r="G54" s="1">
        <v>40000</v>
      </c>
      <c r="H54" s="2">
        <f>Table1[[#This Row],[TỔNG]]*Table1[[#This Row],[ĐƠN GIÁ]]</f>
        <v>60000</v>
      </c>
    </row>
    <row r="55" spans="1:8" x14ac:dyDescent="0.3">
      <c r="A55" t="s">
        <v>61</v>
      </c>
      <c r="B55" t="s">
        <v>59</v>
      </c>
      <c r="C55">
        <v>120</v>
      </c>
      <c r="F55">
        <f>SUM(Table1[[#This Row],[NT]:[TMART]])</f>
        <v>120</v>
      </c>
      <c r="G55" s="1">
        <v>10000</v>
      </c>
      <c r="H55" s="2">
        <f>Table1[[#This Row],[TỔNG]]*Table1[[#This Row],[ĐƠN GIÁ]]</f>
        <v>1200000</v>
      </c>
    </row>
    <row r="56" spans="1:8" x14ac:dyDescent="0.3">
      <c r="A56" t="s">
        <v>62</v>
      </c>
      <c r="B56" t="s">
        <v>7</v>
      </c>
      <c r="C56">
        <v>2</v>
      </c>
      <c r="F56">
        <f>SUM(Table1[[#This Row],[NT]:[TMART]])</f>
        <v>2</v>
      </c>
      <c r="G56" s="1">
        <v>38000</v>
      </c>
      <c r="H56" s="2">
        <f>Table1[[#This Row],[TỔNG]]*Table1[[#This Row],[ĐƠN GIÁ]]</f>
        <v>76000</v>
      </c>
    </row>
    <row r="57" spans="1:8" x14ac:dyDescent="0.3">
      <c r="A57" t="s">
        <v>62</v>
      </c>
      <c r="B57" t="s">
        <v>59</v>
      </c>
      <c r="C57">
        <v>50</v>
      </c>
      <c r="F57">
        <f>SUM(Table1[[#This Row],[NT]:[TMART]])</f>
        <v>50</v>
      </c>
      <c r="G57" s="1">
        <f>38000/5</f>
        <v>7600</v>
      </c>
      <c r="H57" s="2">
        <f>Table1[[#This Row],[TỔNG]]*Table1[[#This Row],[ĐƠN GIÁ]]</f>
        <v>380000</v>
      </c>
    </row>
    <row r="58" spans="1:8" x14ac:dyDescent="0.3">
      <c r="A58" t="s">
        <v>63</v>
      </c>
      <c r="B58" t="s">
        <v>22</v>
      </c>
      <c r="C58">
        <v>99</v>
      </c>
      <c r="F58">
        <f>SUM(Table1[[#This Row],[NT]:[TMART]])</f>
        <v>99</v>
      </c>
      <c r="G58" s="1">
        <v>19000</v>
      </c>
      <c r="H58" s="2">
        <f>Table1[[#This Row],[TỔNG]]*Table1[[#This Row],[ĐƠN GIÁ]]</f>
        <v>1881000</v>
      </c>
    </row>
    <row r="59" spans="1:8" x14ac:dyDescent="0.3">
      <c r="A59" t="s">
        <v>33</v>
      </c>
      <c r="B59" t="s">
        <v>7</v>
      </c>
      <c r="C59">
        <v>5</v>
      </c>
      <c r="F59">
        <f>SUM(Table1[[#This Row],[NT]:[TMART]])</f>
        <v>5</v>
      </c>
      <c r="G59" s="1">
        <v>35000</v>
      </c>
      <c r="H59" s="2">
        <f>Table1[[#This Row],[TỔNG]]*Table1[[#This Row],[ĐƠN GIÁ]]</f>
        <v>175000</v>
      </c>
    </row>
    <row r="60" spans="1:8" x14ac:dyDescent="0.3">
      <c r="A60" t="s">
        <v>71</v>
      </c>
      <c r="B60" t="s">
        <v>7</v>
      </c>
      <c r="C60">
        <v>20</v>
      </c>
      <c r="F60">
        <f>SUM(Table1[[#This Row],[NT]:[TMART]])</f>
        <v>20</v>
      </c>
      <c r="G60" s="1">
        <v>18000</v>
      </c>
      <c r="H60" s="2">
        <f>Table1[[#This Row],[TỔNG]]*Table1[[#This Row],[ĐƠN GIÁ]]</f>
        <v>360000</v>
      </c>
    </row>
    <row r="61" spans="1:8" x14ac:dyDescent="0.3">
      <c r="A61" t="s">
        <v>64</v>
      </c>
      <c r="B61" t="s">
        <v>7</v>
      </c>
      <c r="C61">
        <v>3</v>
      </c>
      <c r="F61">
        <f>SUM(Table1[[#This Row],[NT]:[TMART]])</f>
        <v>3</v>
      </c>
      <c r="G61" s="1">
        <v>60000</v>
      </c>
      <c r="H61" s="2">
        <f>Table1[[#This Row],[TỔNG]]*Table1[[#This Row],[ĐƠN GIÁ]]</f>
        <v>180000</v>
      </c>
    </row>
    <row r="62" spans="1:8" x14ac:dyDescent="0.3">
      <c r="A62" t="s">
        <v>66</v>
      </c>
      <c r="B62" t="s">
        <v>48</v>
      </c>
      <c r="C62">
        <v>10</v>
      </c>
      <c r="F62">
        <f>SUM(Table1[[#This Row],[NT]:[TMART]])</f>
        <v>10</v>
      </c>
      <c r="G62" s="1">
        <v>35000</v>
      </c>
      <c r="H62" s="2">
        <f>Table1[[#This Row],[TỔNG]]*Table1[[#This Row],[ĐƠN GIÁ]]</f>
        <v>350000</v>
      </c>
    </row>
    <row r="63" spans="1:8" x14ac:dyDescent="0.3">
      <c r="A63" t="s">
        <v>34</v>
      </c>
      <c r="B63" t="s">
        <v>7</v>
      </c>
      <c r="C63">
        <v>110</v>
      </c>
      <c r="F63">
        <f>SUM(Table1[[#This Row],[NT]:[TMART]])</f>
        <v>110</v>
      </c>
      <c r="G63" s="1">
        <v>32000</v>
      </c>
      <c r="H63" s="2">
        <f>Table1[[#This Row],[TỔNG]]*Table1[[#This Row],[ĐƠN GIÁ]]</f>
        <v>3520000</v>
      </c>
    </row>
    <row r="64" spans="1:8" x14ac:dyDescent="0.3">
      <c r="A64" t="s">
        <v>74</v>
      </c>
      <c r="B64" t="s">
        <v>7</v>
      </c>
      <c r="C64">
        <v>40</v>
      </c>
      <c r="F64">
        <f>SUM(Table1[[#This Row],[NT]:[TMART]])</f>
        <v>40</v>
      </c>
      <c r="G64" s="1">
        <v>26000</v>
      </c>
      <c r="H64" s="2">
        <f>Table1[[#This Row],[TỔNG]]*Table1[[#This Row],[ĐƠN GIÁ]]</f>
        <v>1040000</v>
      </c>
    </row>
    <row r="65" spans="1:8" x14ac:dyDescent="0.3">
      <c r="A65" t="s">
        <v>35</v>
      </c>
      <c r="B65" t="s">
        <v>7</v>
      </c>
      <c r="C65">
        <v>32</v>
      </c>
      <c r="F65">
        <f>SUM(Table1[[#This Row],[NT]:[TMART]])</f>
        <v>32</v>
      </c>
      <c r="G65" s="1">
        <v>26000</v>
      </c>
      <c r="H65" s="2">
        <f>Table1[[#This Row],[TỔNG]]*Table1[[#This Row],[ĐƠN GIÁ]]</f>
        <v>832000</v>
      </c>
    </row>
    <row r="66" spans="1:8" x14ac:dyDescent="0.3">
      <c r="A66" t="s">
        <v>36</v>
      </c>
      <c r="B66" t="s">
        <v>27</v>
      </c>
      <c r="C66">
        <v>100</v>
      </c>
      <c r="F66">
        <f>SUM(Table1[[#This Row],[NT]:[TMART]])</f>
        <v>100</v>
      </c>
      <c r="G66" s="1">
        <v>6800</v>
      </c>
      <c r="H66" s="2">
        <f>Table1[[#This Row],[TỔNG]]*Table1[[#This Row],[ĐƠN GIÁ]]</f>
        <v>680000</v>
      </c>
    </row>
    <row r="67" spans="1:8" x14ac:dyDescent="0.3">
      <c r="A67" t="s">
        <v>40</v>
      </c>
      <c r="B67" t="s">
        <v>7</v>
      </c>
      <c r="C67">
        <v>63</v>
      </c>
      <c r="F67">
        <f>SUM(Table1[[#This Row],[NT]:[TMART]])</f>
        <v>63</v>
      </c>
      <c r="G67" s="1">
        <v>28000</v>
      </c>
      <c r="H67" s="2">
        <f>Table1[[#This Row],[TỔNG]]*Table1[[#This Row],[ĐƠN GIÁ]]</f>
        <v>1764000</v>
      </c>
    </row>
    <row r="68" spans="1:8" x14ac:dyDescent="0.3">
      <c r="A68" t="s">
        <v>37</v>
      </c>
      <c r="B68" t="s">
        <v>7</v>
      </c>
      <c r="C68">
        <v>2</v>
      </c>
      <c r="F68">
        <f>SUM(Table1[[#This Row],[NT]:[TMART]])</f>
        <v>2</v>
      </c>
      <c r="G68" s="1">
        <v>28000</v>
      </c>
      <c r="H68" s="2">
        <f>Table1[[#This Row],[TỔNG]]*Table1[[#This Row],[ĐƠN GIÁ]]</f>
        <v>56000</v>
      </c>
    </row>
    <row r="69" spans="1:8" x14ac:dyDescent="0.3">
      <c r="A69" t="s">
        <v>38</v>
      </c>
      <c r="B69" t="s">
        <v>27</v>
      </c>
      <c r="C69">
        <v>20</v>
      </c>
      <c r="F69">
        <f>SUM(Table1[[#This Row],[NT]:[TMART]])</f>
        <v>20</v>
      </c>
      <c r="G69" s="1">
        <v>6800</v>
      </c>
      <c r="H69" s="2">
        <f>Table1[[#This Row],[TỔNG]]*Table1[[#This Row],[ĐƠN GIÁ]]</f>
        <v>136000</v>
      </c>
    </row>
    <row r="70" spans="1:8" x14ac:dyDescent="0.3">
      <c r="A70" t="s">
        <v>39</v>
      </c>
      <c r="B70" t="s">
        <v>7</v>
      </c>
      <c r="C70">
        <v>20</v>
      </c>
      <c r="F70">
        <f>SUM(Table1[[#This Row],[NT]:[TMART]])</f>
        <v>20</v>
      </c>
      <c r="G70" s="1">
        <v>35000</v>
      </c>
      <c r="H70" s="2">
        <f>Table1[[#This Row],[TỔNG]]*Table1[[#This Row],[ĐƠN GIÁ]]</f>
        <v>700000</v>
      </c>
    </row>
    <row r="71" spans="1:8" x14ac:dyDescent="0.3">
      <c r="H71" s="2">
        <f>SUM(Table1[TỔNG TIỀN])</f>
        <v>90709950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AE96-F0AE-427A-8F29-7E79FD0200D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3011</vt:lpstr>
      <vt:lpstr>2911</vt:lpstr>
      <vt:lpstr>2811</vt:lpstr>
      <vt:lpstr>2711</vt:lpstr>
      <vt:lpstr>2611</vt:lpstr>
      <vt:lpstr>2511</vt:lpstr>
      <vt:lpstr>2411</vt:lpstr>
      <vt:lpstr>2311</vt:lpstr>
      <vt:lpstr>2211</vt:lpstr>
      <vt:lpstr>2111</vt:lpstr>
      <vt:lpstr>2011</vt:lpstr>
      <vt:lpstr>1911</vt:lpstr>
      <vt:lpstr>1811</vt:lpstr>
      <vt:lpstr>1711</vt:lpstr>
      <vt:lpstr>1611</vt:lpstr>
      <vt:lpstr>1511</vt:lpstr>
      <vt:lpstr>1411</vt:lpstr>
      <vt:lpstr>1311</vt:lpstr>
      <vt:lpstr>1211</vt:lpstr>
      <vt:lpstr>1111</vt:lpstr>
      <vt:lpstr>1011</vt:lpstr>
      <vt:lpstr>0911</vt:lpstr>
      <vt:lpstr>08.11</vt:lpstr>
      <vt:lpstr>07.11</vt:lpstr>
      <vt:lpstr>06.11</vt:lpstr>
      <vt:lpstr>05.11</vt:lpstr>
      <vt:lpstr>04.11</vt:lpstr>
      <vt:lpstr>03.11</vt:lpstr>
      <vt:lpstr>02.11</vt:lpstr>
      <vt:lpstr>01.11</vt:lpstr>
      <vt:lpstr>31.10</vt:lpstr>
      <vt:lpstr>30.10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Nguyren Nhat Linh</dc:creator>
  <cp:lastModifiedBy>Nguyren Nhat Linh</cp:lastModifiedBy>
  <dcterms:created xsi:type="dcterms:W3CDTF">2015-06-05T18:17:20Z</dcterms:created>
  <dcterms:modified xsi:type="dcterms:W3CDTF">2024-12-04T06:29:51Z</dcterms:modified>
</cp:coreProperties>
</file>