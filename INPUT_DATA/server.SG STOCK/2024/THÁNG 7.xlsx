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A557B182-A544-4514-86D8-2C97B2C7BA84}" xr6:coauthVersionLast="47" xr6:coauthVersionMax="47" xr10:uidLastSave="{00000000-0000-0000-0000-000000000000}"/>
  <bookViews>
    <workbookView xWindow="-108" yWindow="-108" windowWidth="30936" windowHeight="12456" firstSheet="13" activeTab="30" xr2:uid="{00000000-000D-0000-FFFF-FFFF00000000}"/>
  </bookViews>
  <sheets>
    <sheet name="1.7" sheetId="1" r:id="rId1"/>
    <sheet name="2.7" sheetId="3" r:id="rId2"/>
    <sheet name="3.7" sheetId="4" r:id="rId3"/>
    <sheet name="4.7" sheetId="5" r:id="rId4"/>
    <sheet name="5.7" sheetId="6" r:id="rId5"/>
    <sheet name="6.7 " sheetId="7" r:id="rId6"/>
    <sheet name="7.7" sheetId="8" r:id="rId7"/>
    <sheet name="8.7" sheetId="9" r:id="rId8"/>
    <sheet name="9.7" sheetId="10" r:id="rId9"/>
    <sheet name="10.7" sheetId="11" r:id="rId10"/>
    <sheet name="11.7" sheetId="12" r:id="rId11"/>
    <sheet name="12.7" sheetId="13" r:id="rId12"/>
    <sheet name="13.7" sheetId="14" r:id="rId13"/>
    <sheet name="14.7" sheetId="15" r:id="rId14"/>
    <sheet name="15.7" sheetId="16" r:id="rId15"/>
    <sheet name="16.7" sheetId="17" r:id="rId16"/>
    <sheet name="17.7" sheetId="18" r:id="rId17"/>
    <sheet name="18.7" sheetId="19" r:id="rId18"/>
    <sheet name="19.7" sheetId="20" r:id="rId19"/>
    <sheet name="20.7" sheetId="21" r:id="rId20"/>
    <sheet name="21.7" sheetId="22" r:id="rId21"/>
    <sheet name="22.7" sheetId="23" r:id="rId22"/>
    <sheet name="23.7" sheetId="24" r:id="rId23"/>
    <sheet name="24.7" sheetId="25" r:id="rId24"/>
    <sheet name="25.7" sheetId="26" r:id="rId25"/>
    <sheet name="26.7" sheetId="27" r:id="rId26"/>
    <sheet name="27.7" sheetId="28" r:id="rId27"/>
    <sheet name="28.7" sheetId="29" r:id="rId28"/>
    <sheet name="29.7" sheetId="30" r:id="rId29"/>
    <sheet name="30.7" sheetId="31" r:id="rId30"/>
    <sheet name="31.7" sheetId="32" r:id="rId31"/>
  </sheets>
  <definedNames>
    <definedName name="_xlnm._FilterDatabase" localSheetId="0" hidden="1">'1.7'!$A$2:$IT$673</definedName>
    <definedName name="_xlnm._FilterDatabase" localSheetId="9" hidden="1">'10.7'!$A$2:$D$672</definedName>
    <definedName name="_xlnm._FilterDatabase" localSheetId="10" hidden="1">'11.7'!$A$2:$D$395</definedName>
    <definedName name="_xlnm._FilterDatabase" localSheetId="11" hidden="1">'12.7'!$A$2:$D$672</definedName>
    <definedName name="_xlnm._FilterDatabase" localSheetId="12" hidden="1">'13.7'!$A$2:$D$672</definedName>
    <definedName name="_xlnm._FilterDatabase" localSheetId="13" hidden="1">'14.7'!$A$2:$D$672</definedName>
    <definedName name="_xlnm._FilterDatabase" localSheetId="14" hidden="1">'15.7'!$A$2:$D$672</definedName>
    <definedName name="_xlnm._FilterDatabase" localSheetId="15" hidden="1">'16.7'!$A$2:$D$483</definedName>
    <definedName name="_xlnm._FilterDatabase" localSheetId="16" hidden="1">'17.7'!$A$2:$D$672</definedName>
    <definedName name="_xlnm._FilterDatabase" localSheetId="17" hidden="1">'18.7'!$A$2:$D$672</definedName>
    <definedName name="_xlnm._FilterDatabase" localSheetId="18" hidden="1">'19.7'!$A$2:$D$672</definedName>
    <definedName name="_xlnm._FilterDatabase" localSheetId="1" hidden="1">'2.7'!$A$2:$IT$673</definedName>
    <definedName name="_xlnm._FilterDatabase" localSheetId="19" hidden="1">'20.7'!$A$2:$D$449</definedName>
    <definedName name="_xlnm._FilterDatabase" localSheetId="20" hidden="1">'21.7'!$A$2:$D$672</definedName>
    <definedName name="_xlnm._FilterDatabase" localSheetId="21" hidden="1">'22.7'!$A$2:$D$672</definedName>
    <definedName name="_xlnm._FilterDatabase" localSheetId="22" hidden="1">'23.7'!$A$2:$D$672</definedName>
    <definedName name="_xlnm._FilterDatabase" localSheetId="23" hidden="1">'24.7'!$A$2:$D$672</definedName>
    <definedName name="_xlnm._FilterDatabase" localSheetId="24" hidden="1">'25.7'!$A$2:$D$672</definedName>
    <definedName name="_xlnm._FilterDatabase" localSheetId="25" hidden="1">'26.7'!$A$2:$D$672</definedName>
    <definedName name="_xlnm._FilterDatabase" localSheetId="26" hidden="1">'27.7'!$A$2:$D$672</definedName>
    <definedName name="_xlnm._FilterDatabase" localSheetId="27" hidden="1">'28.7'!$A$2:$D$388</definedName>
    <definedName name="_xlnm._FilterDatabase" localSheetId="28" hidden="1">'29.7'!$A$2:$D$672</definedName>
    <definedName name="_xlnm._FilterDatabase" localSheetId="2" hidden="1">'3.7'!$A$2:$IT$673</definedName>
    <definedName name="_xlnm._FilterDatabase" localSheetId="29" hidden="1">'30.7'!$A$2:$D$672</definedName>
    <definedName name="_xlnm._FilterDatabase" localSheetId="30" hidden="1">'31.7'!$A$2:$D$672</definedName>
    <definedName name="_xlnm._FilterDatabase" localSheetId="3" hidden="1">'4.7'!$A$2:$IT$673</definedName>
    <definedName name="_xlnm._FilterDatabase" localSheetId="4" hidden="1">'5.7'!$A$2:$D$672</definedName>
    <definedName name="_xlnm._FilterDatabase" localSheetId="5" hidden="1">'6.7 '!$A$2:$D$672</definedName>
    <definedName name="_xlnm._FilterDatabase" localSheetId="6" hidden="1">'7.7'!$A$2:$D$672</definedName>
    <definedName name="_xlnm._FilterDatabase" localSheetId="7" hidden="1">'8.7'!$A$2:$D$672</definedName>
    <definedName name="_xlnm._FilterDatabase" localSheetId="8" hidden="1">'9.7'!$A$2:$D$205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80" i="32" l="1"/>
  <c r="K676" i="32"/>
  <c r="K674" i="32"/>
  <c r="K673" i="32"/>
  <c r="D674" i="30" l="1"/>
  <c r="D346" i="29"/>
  <c r="D388" i="29"/>
  <c r="D390" i="29" s="1"/>
  <c r="D340" i="29"/>
  <c r="D674" i="31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181" i="32"/>
  <c r="D182" i="32"/>
  <c r="D183" i="32"/>
  <c r="D184" i="32"/>
  <c r="D185" i="32"/>
  <c r="D186" i="32"/>
  <c r="D187" i="32"/>
  <c r="D188" i="32"/>
  <c r="D189" i="32"/>
  <c r="D190" i="32"/>
  <c r="D191" i="32"/>
  <c r="D192" i="32"/>
  <c r="D193" i="32"/>
  <c r="D194" i="32"/>
  <c r="D195" i="32"/>
  <c r="D196" i="32"/>
  <c r="D197" i="32"/>
  <c r="D198" i="32"/>
  <c r="D199" i="32"/>
  <c r="D200" i="32"/>
  <c r="D201" i="32"/>
  <c r="D202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7" i="32"/>
  <c r="D218" i="32"/>
  <c r="D219" i="32"/>
  <c r="D220" i="32"/>
  <c r="D221" i="32"/>
  <c r="D222" i="32"/>
  <c r="D223" i="32"/>
  <c r="D224" i="32"/>
  <c r="D225" i="32"/>
  <c r="D226" i="32"/>
  <c r="D227" i="32"/>
  <c r="D228" i="32"/>
  <c r="D229" i="32"/>
  <c r="D230" i="32"/>
  <c r="D231" i="32"/>
  <c r="D232" i="32"/>
  <c r="D233" i="32"/>
  <c r="D234" i="32"/>
  <c r="D235" i="32"/>
  <c r="D236" i="32"/>
  <c r="D237" i="32"/>
  <c r="D238" i="32"/>
  <c r="D239" i="32"/>
  <c r="D240" i="32"/>
  <c r="D241" i="32"/>
  <c r="D242" i="32"/>
  <c r="D243" i="32"/>
  <c r="D244" i="32"/>
  <c r="D245" i="32"/>
  <c r="D246" i="32"/>
  <c r="D247" i="32"/>
  <c r="D248" i="32"/>
  <c r="D249" i="32"/>
  <c r="D250" i="32"/>
  <c r="D252" i="32"/>
  <c r="D253" i="32"/>
  <c r="D254" i="32"/>
  <c r="D255" i="32"/>
  <c r="D256" i="32"/>
  <c r="D257" i="32"/>
  <c r="D258" i="32"/>
  <c r="D260" i="32"/>
  <c r="D261" i="32"/>
  <c r="D262" i="32"/>
  <c r="D264" i="32"/>
  <c r="D265" i="32"/>
  <c r="D266" i="32"/>
  <c r="D267" i="32"/>
  <c r="D268" i="32"/>
  <c r="D269" i="32"/>
  <c r="D270" i="32"/>
  <c r="D271" i="32"/>
  <c r="D272" i="32"/>
  <c r="D273" i="32"/>
  <c r="D274" i="32"/>
  <c r="D275" i="32"/>
  <c r="D276" i="32"/>
  <c r="D277" i="32"/>
  <c r="D278" i="32"/>
  <c r="D279" i="32"/>
  <c r="D280" i="32"/>
  <c r="D281" i="32"/>
  <c r="D282" i="32"/>
  <c r="D283" i="32"/>
  <c r="D284" i="32"/>
  <c r="D285" i="32"/>
  <c r="D286" i="32"/>
  <c r="D287" i="32"/>
  <c r="D288" i="32"/>
  <c r="D289" i="32"/>
  <c r="D290" i="32"/>
  <c r="D291" i="32"/>
  <c r="D292" i="32"/>
  <c r="D293" i="32"/>
  <c r="D294" i="32"/>
  <c r="D295" i="32"/>
  <c r="D296" i="32"/>
  <c r="D297" i="32"/>
  <c r="D298" i="32"/>
  <c r="D299" i="32"/>
  <c r="D300" i="32"/>
  <c r="D301" i="32"/>
  <c r="D302" i="32"/>
  <c r="D303" i="32"/>
  <c r="D304" i="32"/>
  <c r="D305" i="32"/>
  <c r="D306" i="32"/>
  <c r="D307" i="32"/>
  <c r="D308" i="32"/>
  <c r="D309" i="32"/>
  <c r="D310" i="32"/>
  <c r="D311" i="32"/>
  <c r="D312" i="32"/>
  <c r="D313" i="32"/>
  <c r="D314" i="32"/>
  <c r="D315" i="32"/>
  <c r="D316" i="32"/>
  <c r="D317" i="32"/>
  <c r="D318" i="32"/>
  <c r="D319" i="32"/>
  <c r="D320" i="32"/>
  <c r="D321" i="32"/>
  <c r="D322" i="32"/>
  <c r="D323" i="32"/>
  <c r="D324" i="32"/>
  <c r="D325" i="32"/>
  <c r="D326" i="32"/>
  <c r="D327" i="32"/>
  <c r="D328" i="32"/>
  <c r="D329" i="32"/>
  <c r="D330" i="32"/>
  <c r="D331" i="32"/>
  <c r="D332" i="32"/>
  <c r="D333" i="32"/>
  <c r="D334" i="32"/>
  <c r="D335" i="32"/>
  <c r="D336" i="32"/>
  <c r="D337" i="32"/>
  <c r="D338" i="32"/>
  <c r="D339" i="32"/>
  <c r="D341" i="32"/>
  <c r="D344" i="32"/>
  <c r="D345" i="32"/>
  <c r="D346" i="32"/>
  <c r="D347" i="32"/>
  <c r="D348" i="32"/>
  <c r="D349" i="32"/>
  <c r="D350" i="32"/>
  <c r="D351" i="32"/>
  <c r="D352" i="32"/>
  <c r="D353" i="32"/>
  <c r="D354" i="32"/>
  <c r="D355" i="32"/>
  <c r="D356" i="32"/>
  <c r="D357" i="32"/>
  <c r="D358" i="32"/>
  <c r="D359" i="32"/>
  <c r="D360" i="32"/>
  <c r="D361" i="32"/>
  <c r="D363" i="32"/>
  <c r="D364" i="32"/>
  <c r="D365" i="32"/>
  <c r="D366" i="32"/>
  <c r="D367" i="32"/>
  <c r="D368" i="32"/>
  <c r="D369" i="32"/>
  <c r="D370" i="32"/>
  <c r="D371" i="32"/>
  <c r="D372" i="32"/>
  <c r="D373" i="32"/>
  <c r="D374" i="32"/>
  <c r="D375" i="32"/>
  <c r="D376" i="32"/>
  <c r="D377" i="32"/>
  <c r="D378" i="32"/>
  <c r="D379" i="32"/>
  <c r="D380" i="32"/>
  <c r="D381" i="32"/>
  <c r="D382" i="32"/>
  <c r="D383" i="32"/>
  <c r="D384" i="32"/>
  <c r="D385" i="32"/>
  <c r="D386" i="32"/>
  <c r="D387" i="32"/>
  <c r="D388" i="32"/>
  <c r="D389" i="32"/>
  <c r="D390" i="32"/>
  <c r="D391" i="32"/>
  <c r="D392" i="32"/>
  <c r="D393" i="32"/>
  <c r="D394" i="32"/>
  <c r="D395" i="32"/>
  <c r="D396" i="32"/>
  <c r="D397" i="32"/>
  <c r="D398" i="32"/>
  <c r="D399" i="32"/>
  <c r="D400" i="32"/>
  <c r="D401" i="32"/>
  <c r="D402" i="32"/>
  <c r="D403" i="32"/>
  <c r="D404" i="32"/>
  <c r="D405" i="32"/>
  <c r="D406" i="32"/>
  <c r="D407" i="32"/>
  <c r="D408" i="32"/>
  <c r="D409" i="32"/>
  <c r="D410" i="32"/>
  <c r="D411" i="32"/>
  <c r="D412" i="32"/>
  <c r="D413" i="32"/>
  <c r="D414" i="32"/>
  <c r="D415" i="32"/>
  <c r="D416" i="32"/>
  <c r="D417" i="32"/>
  <c r="D418" i="32"/>
  <c r="D419" i="32"/>
  <c r="D420" i="32"/>
  <c r="D421" i="32"/>
  <c r="D422" i="32"/>
  <c r="D423" i="32"/>
  <c r="D424" i="32"/>
  <c r="D425" i="32"/>
  <c r="D426" i="32"/>
  <c r="D427" i="32"/>
  <c r="D428" i="32"/>
  <c r="D429" i="32"/>
  <c r="D430" i="32"/>
  <c r="D431" i="32"/>
  <c r="D432" i="32"/>
  <c r="D433" i="32"/>
  <c r="D434" i="32"/>
  <c r="D435" i="32"/>
  <c r="D436" i="32"/>
  <c r="D437" i="32"/>
  <c r="D438" i="32"/>
  <c r="D439" i="32"/>
  <c r="D440" i="32"/>
  <c r="D441" i="32"/>
  <c r="D442" i="32"/>
  <c r="D443" i="32"/>
  <c r="D444" i="32"/>
  <c r="D445" i="32"/>
  <c r="D446" i="32"/>
  <c r="D447" i="32"/>
  <c r="D448" i="32"/>
  <c r="D449" i="32"/>
  <c r="D450" i="32"/>
  <c r="D451" i="32"/>
  <c r="D452" i="32"/>
  <c r="D453" i="32"/>
  <c r="D454" i="32"/>
  <c r="D455" i="32"/>
  <c r="D456" i="32"/>
  <c r="D457" i="32"/>
  <c r="D458" i="32"/>
  <c r="D459" i="32"/>
  <c r="D460" i="32"/>
  <c r="D461" i="32"/>
  <c r="D462" i="32"/>
  <c r="D463" i="32"/>
  <c r="D464" i="32"/>
  <c r="D465" i="32"/>
  <c r="D466" i="32"/>
  <c r="D467" i="32"/>
  <c r="D468" i="32"/>
  <c r="D469" i="32"/>
  <c r="D470" i="32"/>
  <c r="D471" i="32"/>
  <c r="D472" i="32"/>
  <c r="D473" i="32"/>
  <c r="D474" i="32"/>
  <c r="D475" i="32"/>
  <c r="D476" i="32"/>
  <c r="D477" i="32"/>
  <c r="D478" i="32"/>
  <c r="D479" i="32"/>
  <c r="D480" i="32"/>
  <c r="D481" i="32"/>
  <c r="D482" i="32"/>
  <c r="D483" i="32"/>
  <c r="D484" i="32"/>
  <c r="D485" i="32"/>
  <c r="D486" i="32"/>
  <c r="D487" i="32"/>
  <c r="D488" i="32"/>
  <c r="D489" i="32"/>
  <c r="D490" i="32"/>
  <c r="D491" i="32"/>
  <c r="D492" i="32"/>
  <c r="D493" i="32"/>
  <c r="D494" i="32"/>
  <c r="D495" i="32"/>
  <c r="D496" i="32"/>
  <c r="D497" i="32"/>
  <c r="D498" i="32"/>
  <c r="D499" i="32"/>
  <c r="D500" i="32"/>
  <c r="D501" i="32"/>
  <c r="D502" i="32"/>
  <c r="D503" i="32"/>
  <c r="D504" i="32"/>
  <c r="D505" i="32"/>
  <c r="D506" i="32"/>
  <c r="D507" i="32"/>
  <c r="D508" i="32"/>
  <c r="D509" i="32"/>
  <c r="D510" i="32"/>
  <c r="D511" i="32"/>
  <c r="D512" i="32"/>
  <c r="D513" i="32"/>
  <c r="D514" i="32"/>
  <c r="D515" i="32"/>
  <c r="D516" i="32"/>
  <c r="D517" i="32"/>
  <c r="D518" i="32"/>
  <c r="D519" i="32"/>
  <c r="D520" i="32"/>
  <c r="D521" i="32"/>
  <c r="D522" i="32"/>
  <c r="D523" i="32"/>
  <c r="D524" i="32"/>
  <c r="D525" i="32"/>
  <c r="D526" i="32"/>
  <c r="D527" i="32"/>
  <c r="D528" i="32"/>
  <c r="D529" i="32"/>
  <c r="D530" i="32"/>
  <c r="D531" i="32"/>
  <c r="D532" i="32"/>
  <c r="D533" i="32"/>
  <c r="D534" i="32"/>
  <c r="D535" i="32"/>
  <c r="D536" i="32"/>
  <c r="D537" i="32"/>
  <c r="D538" i="32"/>
  <c r="D539" i="32"/>
  <c r="D540" i="32"/>
  <c r="D541" i="32"/>
  <c r="D542" i="32"/>
  <c r="D543" i="32"/>
  <c r="D544" i="32"/>
  <c r="D545" i="32"/>
  <c r="D546" i="32"/>
  <c r="D547" i="32"/>
  <c r="D548" i="32"/>
  <c r="D549" i="32"/>
  <c r="D550" i="32"/>
  <c r="D551" i="32"/>
  <c r="D552" i="32"/>
  <c r="D553" i="32"/>
  <c r="D554" i="32"/>
  <c r="D555" i="32"/>
  <c r="D556" i="32"/>
  <c r="D557" i="32"/>
  <c r="D558" i="32"/>
  <c r="D559" i="32"/>
  <c r="D560" i="32"/>
  <c r="D561" i="32"/>
  <c r="D562" i="32"/>
  <c r="D563" i="32"/>
  <c r="D564" i="32"/>
  <c r="D565" i="32"/>
  <c r="D566" i="32"/>
  <c r="D567" i="32"/>
  <c r="D568" i="32"/>
  <c r="D569" i="32"/>
  <c r="D570" i="32"/>
  <c r="D571" i="32"/>
  <c r="D572" i="32"/>
  <c r="D573" i="32"/>
  <c r="D574" i="32"/>
  <c r="D575" i="32"/>
  <c r="D576" i="32"/>
  <c r="D577" i="32"/>
  <c r="D578" i="32"/>
  <c r="D579" i="32"/>
  <c r="D580" i="32"/>
  <c r="D581" i="32"/>
  <c r="D582" i="32"/>
  <c r="D583" i="32"/>
  <c r="D584" i="32"/>
  <c r="D585" i="32"/>
  <c r="D586" i="32"/>
  <c r="D587" i="32"/>
  <c r="D588" i="32"/>
  <c r="D589" i="32"/>
  <c r="D590" i="32"/>
  <c r="D591" i="32"/>
  <c r="D592" i="32"/>
  <c r="D593" i="32"/>
  <c r="D594" i="32"/>
  <c r="D595" i="32"/>
  <c r="D596" i="32"/>
  <c r="D597" i="32"/>
  <c r="D598" i="32"/>
  <c r="D599" i="32"/>
  <c r="D600" i="32"/>
  <c r="D601" i="32"/>
  <c r="D602" i="32"/>
  <c r="D603" i="32"/>
  <c r="D604" i="32"/>
  <c r="D605" i="32"/>
  <c r="D606" i="32"/>
  <c r="D607" i="32"/>
  <c r="D608" i="32"/>
  <c r="D609" i="32"/>
  <c r="D610" i="32"/>
  <c r="D611" i="32"/>
  <c r="D612" i="32"/>
  <c r="D613" i="32"/>
  <c r="D614" i="32"/>
  <c r="D615" i="32"/>
  <c r="D616" i="32"/>
  <c r="D617" i="32"/>
  <c r="D618" i="32"/>
  <c r="D619" i="32"/>
  <c r="D620" i="32"/>
  <c r="D621" i="32"/>
  <c r="D622" i="32"/>
  <c r="D623" i="32"/>
  <c r="D624" i="32"/>
  <c r="D625" i="32"/>
  <c r="D626" i="32"/>
  <c r="D627" i="32"/>
  <c r="D628" i="32"/>
  <c r="D629" i="32"/>
  <c r="D630" i="32"/>
  <c r="D631" i="32"/>
  <c r="D632" i="32"/>
  <c r="D633" i="32"/>
  <c r="D634" i="32"/>
  <c r="D635" i="32"/>
  <c r="D636" i="32"/>
  <c r="D637" i="32"/>
  <c r="D638" i="32"/>
  <c r="D639" i="32"/>
  <c r="D640" i="32"/>
  <c r="D641" i="32"/>
  <c r="D642" i="32"/>
  <c r="D643" i="32"/>
  <c r="D644" i="32"/>
  <c r="D645" i="32"/>
  <c r="D646" i="32"/>
  <c r="D647" i="32"/>
  <c r="D648" i="32"/>
  <c r="D649" i="32"/>
  <c r="D650" i="32"/>
  <c r="D651" i="32"/>
  <c r="D652" i="32"/>
  <c r="D653" i="32"/>
  <c r="D654" i="32"/>
  <c r="D655" i="32"/>
  <c r="D656" i="32"/>
  <c r="D657" i="32"/>
  <c r="D658" i="32"/>
  <c r="D659" i="32"/>
  <c r="D660" i="32"/>
  <c r="D661" i="32"/>
  <c r="D662" i="32"/>
  <c r="D663" i="32"/>
  <c r="D664" i="32"/>
  <c r="D665" i="32"/>
  <c r="D666" i="32"/>
  <c r="D667" i="32"/>
  <c r="D668" i="32"/>
  <c r="D669" i="32"/>
  <c r="D670" i="32"/>
  <c r="D671" i="32"/>
  <c r="D3" i="32"/>
  <c r="B362" i="32"/>
  <c r="B672" i="32" s="1"/>
  <c r="B263" i="32"/>
  <c r="D263" i="32" s="1"/>
  <c r="B259" i="32"/>
  <c r="D259" i="32" s="1"/>
  <c r="B251" i="32"/>
  <c r="D251" i="32" s="1"/>
  <c r="B216" i="32"/>
  <c r="D216" i="32" s="1"/>
  <c r="B205" i="32"/>
  <c r="B136" i="32"/>
  <c r="D136" i="32" s="1"/>
  <c r="B104" i="32"/>
  <c r="D104" i="32" s="1"/>
  <c r="B80" i="32"/>
  <c r="B78" i="32"/>
  <c r="B54" i="32"/>
  <c r="D54" i="32" s="1"/>
  <c r="D340" i="32" l="1"/>
  <c r="D362" i="32"/>
  <c r="D672" i="32" s="1"/>
  <c r="B340" i="32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1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3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6" i="31"/>
  <c r="D517" i="31"/>
  <c r="D518" i="31"/>
  <c r="D519" i="31"/>
  <c r="D520" i="31"/>
  <c r="D521" i="31"/>
  <c r="D522" i="31"/>
  <c r="D523" i="31"/>
  <c r="D524" i="31"/>
  <c r="D525" i="31"/>
  <c r="D526" i="31"/>
  <c r="D527" i="31"/>
  <c r="D528" i="31"/>
  <c r="D529" i="31"/>
  <c r="D530" i="31"/>
  <c r="D531" i="31"/>
  <c r="D532" i="31"/>
  <c r="D533" i="31"/>
  <c r="D534" i="31"/>
  <c r="D535" i="31"/>
  <c r="D536" i="31"/>
  <c r="D537" i="31"/>
  <c r="D538" i="31"/>
  <c r="D539" i="31"/>
  <c r="D540" i="31"/>
  <c r="D541" i="31"/>
  <c r="D542" i="31"/>
  <c r="D543" i="31"/>
  <c r="D544" i="31"/>
  <c r="D545" i="31"/>
  <c r="D546" i="31"/>
  <c r="D547" i="31"/>
  <c r="D548" i="31"/>
  <c r="D549" i="31"/>
  <c r="D550" i="31"/>
  <c r="D551" i="31"/>
  <c r="D552" i="31"/>
  <c r="D553" i="31"/>
  <c r="D554" i="31"/>
  <c r="D555" i="31"/>
  <c r="D556" i="31"/>
  <c r="D557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4" i="31"/>
  <c r="D615" i="31"/>
  <c r="D616" i="31"/>
  <c r="D617" i="31"/>
  <c r="D618" i="31"/>
  <c r="D619" i="31"/>
  <c r="D620" i="31"/>
  <c r="D621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2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665" i="31"/>
  <c r="D666" i="31"/>
  <c r="D667" i="31"/>
  <c r="D668" i="31"/>
  <c r="D669" i="31"/>
  <c r="D670" i="31"/>
  <c r="D671" i="31"/>
  <c r="D3" i="31"/>
  <c r="B362" i="31"/>
  <c r="B672" i="31" s="1"/>
  <c r="B340" i="31"/>
  <c r="B259" i="31"/>
  <c r="D259" i="31" s="1"/>
  <c r="B251" i="31"/>
  <c r="B216" i="31"/>
  <c r="B203" i="31"/>
  <c r="B202" i="31"/>
  <c r="B136" i="31"/>
  <c r="B78" i="31"/>
  <c r="B54" i="31"/>
  <c r="D54" i="31" s="1"/>
  <c r="D675" i="32" l="1"/>
  <c r="D340" i="31"/>
  <c r="D362" i="31"/>
  <c r="D672" i="31" s="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9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4" i="30"/>
  <c r="D206" i="30"/>
  <c r="D207" i="30"/>
  <c r="D208" i="30"/>
  <c r="D209" i="30"/>
  <c r="D210" i="30"/>
  <c r="D211" i="30"/>
  <c r="D212" i="30"/>
  <c r="D213" i="30"/>
  <c r="D214" i="30"/>
  <c r="D215" i="30"/>
  <c r="D217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60" i="30"/>
  <c r="D261" i="30"/>
  <c r="D262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3" i="30"/>
  <c r="D334" i="30"/>
  <c r="D335" i="30"/>
  <c r="D336" i="30"/>
  <c r="D337" i="30"/>
  <c r="D338" i="30"/>
  <c r="D339" i="30"/>
  <c r="D341" i="30"/>
  <c r="D344" i="30"/>
  <c r="D345" i="30"/>
  <c r="D346" i="30"/>
  <c r="D347" i="30"/>
  <c r="D348" i="30"/>
  <c r="D349" i="30"/>
  <c r="D350" i="30"/>
  <c r="D351" i="30"/>
  <c r="D352" i="30"/>
  <c r="D353" i="30"/>
  <c r="D354" i="30"/>
  <c r="D355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2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4" i="30"/>
  <c r="D455" i="30"/>
  <c r="D456" i="30"/>
  <c r="D457" i="30"/>
  <c r="D458" i="30"/>
  <c r="D459" i="30"/>
  <c r="D460" i="30"/>
  <c r="D461" i="30"/>
  <c r="D462" i="30"/>
  <c r="D463" i="30"/>
  <c r="D464" i="30"/>
  <c r="D465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500" i="30"/>
  <c r="D501" i="30"/>
  <c r="D502" i="30"/>
  <c r="D503" i="30"/>
  <c r="D504" i="30"/>
  <c r="D505" i="30"/>
  <c r="D506" i="30"/>
  <c r="D507" i="30"/>
  <c r="D508" i="30"/>
  <c r="D509" i="30"/>
  <c r="D510" i="30"/>
  <c r="D511" i="30"/>
  <c r="D512" i="30"/>
  <c r="D513" i="30"/>
  <c r="D514" i="30"/>
  <c r="D515" i="30"/>
  <c r="D516" i="30"/>
  <c r="D517" i="30"/>
  <c r="D518" i="30"/>
  <c r="D519" i="30"/>
  <c r="D521" i="30"/>
  <c r="D522" i="30"/>
  <c r="D523" i="30"/>
  <c r="D524" i="30"/>
  <c r="D525" i="30"/>
  <c r="D526" i="30"/>
  <c r="D527" i="30"/>
  <c r="D528" i="30"/>
  <c r="D529" i="30"/>
  <c r="D530" i="30"/>
  <c r="D531" i="30"/>
  <c r="D532" i="30"/>
  <c r="D533" i="30"/>
  <c r="D534" i="30"/>
  <c r="D535" i="30"/>
  <c r="D536" i="30"/>
  <c r="D537" i="30"/>
  <c r="D538" i="30"/>
  <c r="D539" i="30"/>
  <c r="D540" i="30"/>
  <c r="D541" i="30"/>
  <c r="D542" i="30"/>
  <c r="D543" i="30"/>
  <c r="D544" i="30"/>
  <c r="D545" i="30"/>
  <c r="D546" i="30"/>
  <c r="D547" i="30"/>
  <c r="D548" i="30"/>
  <c r="D549" i="30"/>
  <c r="D550" i="30"/>
  <c r="D551" i="30"/>
  <c r="D552" i="30"/>
  <c r="D553" i="30"/>
  <c r="D554" i="30"/>
  <c r="D555" i="30"/>
  <c r="D556" i="30"/>
  <c r="D557" i="30"/>
  <c r="D558" i="30"/>
  <c r="D559" i="30"/>
  <c r="D560" i="30"/>
  <c r="D561" i="30"/>
  <c r="D562" i="30"/>
  <c r="D563" i="30"/>
  <c r="D564" i="30"/>
  <c r="D565" i="30"/>
  <c r="D566" i="30"/>
  <c r="D567" i="30"/>
  <c r="D568" i="30"/>
  <c r="D569" i="30"/>
  <c r="D570" i="30"/>
  <c r="D571" i="30"/>
  <c r="D572" i="30"/>
  <c r="D573" i="30"/>
  <c r="D574" i="30"/>
  <c r="D575" i="30"/>
  <c r="D576" i="30"/>
  <c r="D577" i="30"/>
  <c r="D578" i="30"/>
  <c r="D579" i="30"/>
  <c r="D580" i="30"/>
  <c r="D581" i="30"/>
  <c r="D582" i="30"/>
  <c r="D583" i="30"/>
  <c r="D584" i="30"/>
  <c r="D585" i="30"/>
  <c r="D586" i="30"/>
  <c r="D587" i="30"/>
  <c r="D588" i="30"/>
  <c r="D589" i="30"/>
  <c r="D590" i="30"/>
  <c r="D591" i="30"/>
  <c r="D592" i="30"/>
  <c r="D593" i="30"/>
  <c r="D594" i="30"/>
  <c r="D595" i="30"/>
  <c r="D596" i="30"/>
  <c r="D597" i="30"/>
  <c r="D598" i="30"/>
  <c r="D599" i="30"/>
  <c r="D600" i="30"/>
  <c r="D601" i="30"/>
  <c r="D602" i="30"/>
  <c r="D603" i="30"/>
  <c r="D604" i="30"/>
  <c r="D605" i="30"/>
  <c r="D606" i="30"/>
  <c r="D607" i="30"/>
  <c r="D608" i="30"/>
  <c r="D609" i="30"/>
  <c r="D610" i="30"/>
  <c r="D611" i="30"/>
  <c r="D612" i="30"/>
  <c r="D613" i="30"/>
  <c r="D614" i="30"/>
  <c r="D615" i="30"/>
  <c r="D616" i="30"/>
  <c r="D617" i="30"/>
  <c r="D618" i="30"/>
  <c r="D619" i="30"/>
  <c r="D620" i="30"/>
  <c r="D621" i="30"/>
  <c r="D622" i="30"/>
  <c r="D623" i="30"/>
  <c r="D624" i="30"/>
  <c r="D625" i="30"/>
  <c r="D626" i="30"/>
  <c r="D627" i="30"/>
  <c r="D628" i="30"/>
  <c r="D629" i="30"/>
  <c r="D630" i="30"/>
  <c r="D631" i="30"/>
  <c r="D632" i="30"/>
  <c r="D633" i="30"/>
  <c r="D634" i="30"/>
  <c r="D635" i="30"/>
  <c r="D636" i="30"/>
  <c r="D637" i="30"/>
  <c r="D638" i="30"/>
  <c r="D639" i="30"/>
  <c r="D640" i="30"/>
  <c r="D641" i="30"/>
  <c r="D642" i="30"/>
  <c r="D643" i="30"/>
  <c r="D644" i="30"/>
  <c r="D645" i="30"/>
  <c r="D646" i="30"/>
  <c r="D647" i="30"/>
  <c r="D648" i="30"/>
  <c r="D649" i="30"/>
  <c r="D650" i="30"/>
  <c r="D651" i="30"/>
  <c r="D652" i="30"/>
  <c r="D653" i="30"/>
  <c r="D654" i="30"/>
  <c r="D655" i="30"/>
  <c r="D656" i="30"/>
  <c r="D657" i="30"/>
  <c r="D658" i="30"/>
  <c r="D659" i="30"/>
  <c r="D660" i="30"/>
  <c r="D661" i="30"/>
  <c r="D662" i="30"/>
  <c r="D663" i="30"/>
  <c r="D664" i="30"/>
  <c r="D665" i="30"/>
  <c r="D666" i="30"/>
  <c r="D667" i="30"/>
  <c r="D668" i="30"/>
  <c r="D669" i="30"/>
  <c r="D670" i="30"/>
  <c r="D671" i="30"/>
  <c r="D3" i="30"/>
  <c r="B585" i="30"/>
  <c r="B520" i="30"/>
  <c r="D520" i="30" s="1"/>
  <c r="B362" i="30"/>
  <c r="B263" i="30"/>
  <c r="D263" i="30" s="1"/>
  <c r="B259" i="30"/>
  <c r="D259" i="30" s="1"/>
  <c r="B218" i="30"/>
  <c r="D218" i="30" s="1"/>
  <c r="B216" i="30"/>
  <c r="D216" i="30" s="1"/>
  <c r="B205" i="30"/>
  <c r="D205" i="30" s="1"/>
  <c r="B203" i="30"/>
  <c r="D203" i="30" s="1"/>
  <c r="B202" i="30"/>
  <c r="D202" i="30" s="1"/>
  <c r="B185" i="30"/>
  <c r="D185" i="30" s="1"/>
  <c r="B171" i="30"/>
  <c r="D171" i="30" s="1"/>
  <c r="B136" i="30"/>
  <c r="D136" i="30" s="1"/>
  <c r="B104" i="30"/>
  <c r="D104" i="30" s="1"/>
  <c r="B80" i="30"/>
  <c r="D80" i="30" s="1"/>
  <c r="B78" i="30"/>
  <c r="D78" i="30" s="1"/>
  <c r="B54" i="30"/>
  <c r="B38" i="30"/>
  <c r="B672" i="30" l="1"/>
  <c r="B340" i="30"/>
  <c r="D38" i="30"/>
  <c r="D340" i="30" s="1"/>
  <c r="D672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5" i="29"/>
  <c r="D26" i="29"/>
  <c r="D27" i="29"/>
  <c r="D28" i="29"/>
  <c r="D30" i="29"/>
  <c r="D31" i="29"/>
  <c r="D32" i="29"/>
  <c r="D34" i="29"/>
  <c r="D35" i="29"/>
  <c r="D36" i="29"/>
  <c r="D37" i="29"/>
  <c r="D38" i="29"/>
  <c r="D39" i="29"/>
  <c r="D40" i="29"/>
  <c r="D41" i="29"/>
  <c r="D42" i="29"/>
  <c r="D43" i="29"/>
  <c r="D44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5" i="29"/>
  <c r="D146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3" i="29"/>
  <c r="D334" i="29"/>
  <c r="D335" i="29"/>
  <c r="D336" i="29"/>
  <c r="D337" i="29"/>
  <c r="D338" i="29"/>
  <c r="D339" i="29"/>
  <c r="D341" i="29"/>
  <c r="D344" i="29"/>
  <c r="D345" i="29"/>
  <c r="D347" i="29"/>
  <c r="D348" i="29"/>
  <c r="D349" i="29"/>
  <c r="D350" i="29"/>
  <c r="D351" i="29"/>
  <c r="D352" i="29"/>
  <c r="D353" i="29"/>
  <c r="D354" i="29"/>
  <c r="D355" i="29"/>
  <c r="D356" i="29"/>
  <c r="D357" i="29"/>
  <c r="D358" i="29"/>
  <c r="D359" i="29"/>
  <c r="D360" i="29"/>
  <c r="D361" i="29"/>
  <c r="D362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2" i="29"/>
  <c r="D383" i="29"/>
  <c r="D384" i="29"/>
  <c r="D385" i="29"/>
  <c r="D386" i="29"/>
  <c r="D387" i="29"/>
  <c r="D3" i="29"/>
  <c r="B285" i="29"/>
  <c r="D285" i="29" s="1"/>
  <c r="B271" i="29"/>
  <c r="D271" i="29" s="1"/>
  <c r="B215" i="29"/>
  <c r="D215" i="29" s="1"/>
  <c r="B184" i="29"/>
  <c r="D184" i="29" s="1"/>
  <c r="B169" i="29"/>
  <c r="D169" i="29" s="1"/>
  <c r="B147" i="29"/>
  <c r="D147" i="29" s="1"/>
  <c r="B144" i="29"/>
  <c r="D144" i="29" s="1"/>
  <c r="B96" i="29"/>
  <c r="B70" i="29"/>
  <c r="D70" i="29" s="1"/>
  <c r="B69" i="29"/>
  <c r="D69" i="29" s="1"/>
  <c r="B45" i="29"/>
  <c r="D45" i="29" s="1"/>
  <c r="B33" i="29"/>
  <c r="D33" i="29" s="1"/>
  <c r="B29" i="29"/>
  <c r="D29" i="29" s="1"/>
  <c r="B24" i="29"/>
  <c r="D24" i="29" s="1"/>
  <c r="B340" i="29" l="1"/>
  <c r="D4" i="28" l="1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4" i="28"/>
  <c r="D206" i="28"/>
  <c r="D207" i="28"/>
  <c r="D208" i="28"/>
  <c r="D209" i="28"/>
  <c r="D210" i="28"/>
  <c r="D211" i="28"/>
  <c r="D212" i="28"/>
  <c r="D213" i="28"/>
  <c r="D214" i="28"/>
  <c r="D215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2" i="28"/>
  <c r="D253" i="28"/>
  <c r="D254" i="28"/>
  <c r="D255" i="28"/>
  <c r="D256" i="28"/>
  <c r="D257" i="28"/>
  <c r="D258" i="28"/>
  <c r="D260" i="28"/>
  <c r="D261" i="28"/>
  <c r="D262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1" i="28"/>
  <c r="D344" i="28"/>
  <c r="D345" i="28"/>
  <c r="D346" i="28"/>
  <c r="D347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3" i="28"/>
  <c r="B362" i="28"/>
  <c r="D362" i="28" s="1"/>
  <c r="B348" i="28"/>
  <c r="B263" i="28"/>
  <c r="D263" i="28" s="1"/>
  <c r="B259" i="28"/>
  <c r="D259" i="28" s="1"/>
  <c r="B251" i="28"/>
  <c r="D251" i="28" s="1"/>
  <c r="B216" i="28"/>
  <c r="D216" i="28" s="1"/>
  <c r="B205" i="28"/>
  <c r="D205" i="28" s="1"/>
  <c r="B203" i="28"/>
  <c r="D203" i="28" s="1"/>
  <c r="B202" i="28"/>
  <c r="D202" i="28" s="1"/>
  <c r="B185" i="28"/>
  <c r="D185" i="28" s="1"/>
  <c r="B136" i="28"/>
  <c r="D136" i="28" s="1"/>
  <c r="B78" i="28"/>
  <c r="D78" i="28" s="1"/>
  <c r="B54" i="28"/>
  <c r="D54" i="28" s="1"/>
  <c r="B25" i="28"/>
  <c r="D25" i="28" s="1"/>
  <c r="B672" i="28" l="1"/>
  <c r="B340" i="28"/>
  <c r="D340" i="28"/>
  <c r="D348" i="28"/>
  <c r="D672" i="28" s="1"/>
  <c r="D674" i="28" s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5" i="27"/>
  <c r="D26" i="27"/>
  <c r="D27" i="27"/>
  <c r="D28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1" i="27"/>
  <c r="D344" i="27"/>
  <c r="D345" i="27"/>
  <c r="D346" i="27"/>
  <c r="D347" i="27"/>
  <c r="D349" i="27"/>
  <c r="D350" i="27"/>
  <c r="D351" i="27"/>
  <c r="D352" i="27"/>
  <c r="D353" i="27"/>
  <c r="D354" i="27"/>
  <c r="D355" i="27"/>
  <c r="D356" i="27"/>
  <c r="D357" i="27"/>
  <c r="D358" i="27"/>
  <c r="D359" i="27"/>
  <c r="D360" i="27"/>
  <c r="D361" i="27"/>
  <c r="D363" i="27"/>
  <c r="D364" i="27"/>
  <c r="D365" i="27"/>
  <c r="D366" i="27"/>
  <c r="D367" i="27"/>
  <c r="D368" i="27"/>
  <c r="D369" i="27"/>
  <c r="D370" i="27"/>
  <c r="D371" i="27"/>
  <c r="D372" i="27"/>
  <c r="D373" i="27"/>
  <c r="D374" i="27"/>
  <c r="D375" i="27"/>
  <c r="D376" i="27"/>
  <c r="D377" i="27"/>
  <c r="D378" i="27"/>
  <c r="D379" i="27"/>
  <c r="D380" i="27"/>
  <c r="D381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0" i="27"/>
  <c r="D431" i="27"/>
  <c r="D432" i="27"/>
  <c r="D433" i="27"/>
  <c r="D434" i="27"/>
  <c r="D435" i="27"/>
  <c r="D436" i="27"/>
  <c r="D437" i="27"/>
  <c r="D438" i="27"/>
  <c r="D439" i="27"/>
  <c r="D440" i="27"/>
  <c r="D441" i="27"/>
  <c r="D442" i="27"/>
  <c r="D443" i="27"/>
  <c r="D444" i="27"/>
  <c r="D445" i="27"/>
  <c r="D446" i="27"/>
  <c r="D447" i="27"/>
  <c r="D448" i="27"/>
  <c r="D449" i="27"/>
  <c r="D450" i="27"/>
  <c r="D451" i="27"/>
  <c r="D452" i="27"/>
  <c r="D453" i="27"/>
  <c r="D454" i="27"/>
  <c r="D455" i="27"/>
  <c r="D456" i="27"/>
  <c r="D457" i="27"/>
  <c r="D458" i="27"/>
  <c r="D459" i="27"/>
  <c r="D460" i="27"/>
  <c r="D461" i="27"/>
  <c r="D462" i="27"/>
  <c r="D463" i="27"/>
  <c r="D464" i="27"/>
  <c r="D465" i="27"/>
  <c r="D466" i="27"/>
  <c r="D467" i="27"/>
  <c r="D468" i="27"/>
  <c r="D469" i="27"/>
  <c r="D470" i="27"/>
  <c r="D471" i="27"/>
  <c r="D472" i="27"/>
  <c r="D473" i="27"/>
  <c r="D474" i="27"/>
  <c r="D475" i="27"/>
  <c r="D476" i="27"/>
  <c r="D477" i="27"/>
  <c r="D478" i="27"/>
  <c r="D479" i="27"/>
  <c r="D480" i="27"/>
  <c r="D481" i="27"/>
  <c r="D482" i="27"/>
  <c r="D483" i="27"/>
  <c r="D484" i="27"/>
  <c r="D485" i="27"/>
  <c r="D486" i="27"/>
  <c r="D487" i="27"/>
  <c r="D488" i="27"/>
  <c r="D489" i="27"/>
  <c r="D490" i="27"/>
  <c r="D491" i="27"/>
  <c r="D492" i="27"/>
  <c r="D493" i="27"/>
  <c r="D494" i="27"/>
  <c r="D495" i="27"/>
  <c r="D496" i="27"/>
  <c r="D497" i="27"/>
  <c r="D498" i="27"/>
  <c r="D499" i="27"/>
  <c r="D500" i="27"/>
  <c r="D501" i="27"/>
  <c r="D502" i="27"/>
  <c r="D503" i="27"/>
  <c r="D504" i="27"/>
  <c r="D505" i="27"/>
  <c r="D506" i="27"/>
  <c r="D507" i="27"/>
  <c r="D508" i="27"/>
  <c r="D509" i="27"/>
  <c r="D510" i="27"/>
  <c r="D511" i="27"/>
  <c r="D512" i="27"/>
  <c r="D513" i="27"/>
  <c r="D514" i="27"/>
  <c r="D515" i="27"/>
  <c r="D516" i="27"/>
  <c r="D517" i="27"/>
  <c r="D518" i="27"/>
  <c r="D519" i="27"/>
  <c r="D520" i="27"/>
  <c r="D521" i="27"/>
  <c r="D522" i="27"/>
  <c r="D523" i="27"/>
  <c r="D524" i="27"/>
  <c r="D525" i="27"/>
  <c r="D526" i="27"/>
  <c r="D527" i="27"/>
  <c r="D528" i="27"/>
  <c r="D529" i="27"/>
  <c r="D530" i="27"/>
  <c r="D531" i="27"/>
  <c r="D532" i="27"/>
  <c r="D533" i="27"/>
  <c r="D534" i="27"/>
  <c r="D535" i="27"/>
  <c r="D536" i="27"/>
  <c r="D537" i="27"/>
  <c r="D538" i="27"/>
  <c r="D539" i="27"/>
  <c r="D540" i="27"/>
  <c r="D541" i="27"/>
  <c r="D542" i="27"/>
  <c r="D543" i="27"/>
  <c r="D544" i="27"/>
  <c r="D545" i="27"/>
  <c r="D546" i="27"/>
  <c r="D547" i="27"/>
  <c r="D548" i="27"/>
  <c r="D549" i="27"/>
  <c r="D550" i="27"/>
  <c r="D551" i="27"/>
  <c r="D552" i="27"/>
  <c r="D553" i="27"/>
  <c r="D554" i="27"/>
  <c r="D555" i="27"/>
  <c r="D556" i="27"/>
  <c r="D557" i="27"/>
  <c r="D558" i="27"/>
  <c r="D559" i="27"/>
  <c r="D560" i="27"/>
  <c r="D561" i="27"/>
  <c r="D562" i="27"/>
  <c r="D563" i="27"/>
  <c r="D564" i="27"/>
  <c r="D565" i="27"/>
  <c r="D566" i="27"/>
  <c r="D567" i="27"/>
  <c r="D568" i="27"/>
  <c r="D569" i="27"/>
  <c r="D570" i="27"/>
  <c r="D571" i="27"/>
  <c r="D572" i="27"/>
  <c r="D573" i="27"/>
  <c r="D574" i="27"/>
  <c r="D575" i="27"/>
  <c r="D576" i="27"/>
  <c r="D577" i="27"/>
  <c r="D578" i="27"/>
  <c r="D579" i="27"/>
  <c r="D580" i="27"/>
  <c r="D581" i="27"/>
  <c r="D582" i="27"/>
  <c r="D583" i="27"/>
  <c r="D584" i="27"/>
  <c r="D585" i="27"/>
  <c r="D586" i="27"/>
  <c r="D587" i="27"/>
  <c r="D588" i="27"/>
  <c r="D589" i="27"/>
  <c r="D590" i="27"/>
  <c r="D591" i="27"/>
  <c r="D592" i="27"/>
  <c r="D593" i="27"/>
  <c r="D594" i="27"/>
  <c r="D595" i="27"/>
  <c r="D596" i="27"/>
  <c r="D597" i="27"/>
  <c r="D598" i="27"/>
  <c r="D599" i="27"/>
  <c r="D600" i="27"/>
  <c r="D601" i="27"/>
  <c r="D602" i="27"/>
  <c r="D603" i="27"/>
  <c r="D604" i="27"/>
  <c r="D605" i="27"/>
  <c r="D606" i="27"/>
  <c r="D607" i="27"/>
  <c r="D608" i="27"/>
  <c r="D609" i="27"/>
  <c r="D610" i="27"/>
  <c r="D611" i="27"/>
  <c r="D612" i="27"/>
  <c r="D613" i="27"/>
  <c r="D614" i="27"/>
  <c r="D615" i="27"/>
  <c r="D616" i="27"/>
  <c r="D617" i="27"/>
  <c r="D618" i="27"/>
  <c r="D619" i="27"/>
  <c r="D620" i="27"/>
  <c r="D621" i="27"/>
  <c r="D622" i="27"/>
  <c r="D623" i="27"/>
  <c r="D624" i="27"/>
  <c r="D625" i="27"/>
  <c r="D626" i="27"/>
  <c r="D627" i="27"/>
  <c r="D628" i="27"/>
  <c r="D629" i="27"/>
  <c r="D630" i="27"/>
  <c r="D631" i="27"/>
  <c r="D632" i="27"/>
  <c r="D633" i="27"/>
  <c r="D634" i="27"/>
  <c r="D635" i="27"/>
  <c r="D636" i="27"/>
  <c r="D637" i="27"/>
  <c r="D638" i="27"/>
  <c r="D639" i="27"/>
  <c r="D640" i="27"/>
  <c r="D641" i="27"/>
  <c r="D642" i="27"/>
  <c r="D643" i="27"/>
  <c r="D644" i="27"/>
  <c r="D645" i="27"/>
  <c r="D646" i="27"/>
  <c r="D647" i="27"/>
  <c r="D648" i="27"/>
  <c r="D649" i="27"/>
  <c r="D650" i="27"/>
  <c r="D651" i="27"/>
  <c r="D652" i="27"/>
  <c r="D653" i="27"/>
  <c r="D654" i="27"/>
  <c r="D655" i="27"/>
  <c r="D656" i="27"/>
  <c r="D657" i="27"/>
  <c r="D658" i="27"/>
  <c r="D659" i="27"/>
  <c r="D660" i="27"/>
  <c r="D661" i="27"/>
  <c r="D662" i="27"/>
  <c r="D663" i="27"/>
  <c r="D664" i="27"/>
  <c r="D665" i="27"/>
  <c r="D666" i="27"/>
  <c r="D667" i="27"/>
  <c r="D668" i="27"/>
  <c r="D669" i="27"/>
  <c r="D670" i="27"/>
  <c r="D671" i="27"/>
  <c r="D3" i="27"/>
  <c r="B362" i="27"/>
  <c r="D362" i="27" s="1"/>
  <c r="B348" i="27"/>
  <c r="D348" i="27" s="1"/>
  <c r="B270" i="27"/>
  <c r="D270" i="27" s="1"/>
  <c r="B184" i="27"/>
  <c r="D184" i="27" s="1"/>
  <c r="B147" i="27"/>
  <c r="D147" i="27" s="1"/>
  <c r="B116" i="27"/>
  <c r="D116" i="27" s="1"/>
  <c r="B70" i="27"/>
  <c r="D70" i="27" s="1"/>
  <c r="B69" i="27"/>
  <c r="D69" i="27" s="1"/>
  <c r="B44" i="27"/>
  <c r="D44" i="27" s="1"/>
  <c r="B29" i="27"/>
  <c r="D29" i="27" s="1"/>
  <c r="B24" i="27"/>
  <c r="B340" i="27" l="1"/>
  <c r="D24" i="27"/>
  <c r="D340" i="27" s="1"/>
  <c r="B672" i="27"/>
  <c r="D672" i="27"/>
  <c r="D674" i="27" s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6" i="26"/>
  <c r="D207" i="26"/>
  <c r="D208" i="26"/>
  <c r="D209" i="26"/>
  <c r="D210" i="26"/>
  <c r="D211" i="26"/>
  <c r="D212" i="26"/>
  <c r="D213" i="26"/>
  <c r="D214" i="26"/>
  <c r="D215" i="26"/>
  <c r="D217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60" i="26"/>
  <c r="D261" i="26"/>
  <c r="D262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1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D642" i="26"/>
  <c r="D643" i="26"/>
  <c r="D644" i="26"/>
  <c r="D645" i="26"/>
  <c r="D646" i="26"/>
  <c r="D647" i="26"/>
  <c r="D648" i="26"/>
  <c r="D649" i="26"/>
  <c r="D650" i="26"/>
  <c r="D651" i="26"/>
  <c r="D652" i="26"/>
  <c r="D653" i="26"/>
  <c r="D654" i="26"/>
  <c r="D655" i="26"/>
  <c r="D656" i="26"/>
  <c r="D657" i="26"/>
  <c r="D658" i="26"/>
  <c r="D659" i="26"/>
  <c r="D660" i="26"/>
  <c r="D661" i="26"/>
  <c r="D662" i="26"/>
  <c r="D663" i="26"/>
  <c r="D664" i="26"/>
  <c r="D665" i="26"/>
  <c r="D666" i="26"/>
  <c r="D667" i="26"/>
  <c r="D668" i="26"/>
  <c r="D669" i="26"/>
  <c r="D670" i="26"/>
  <c r="D671" i="26"/>
  <c r="D3" i="26"/>
  <c r="B536" i="26"/>
  <c r="D536" i="26" s="1"/>
  <c r="B461" i="26"/>
  <c r="B672" i="26" s="1"/>
  <c r="B263" i="26"/>
  <c r="D263" i="26" s="1"/>
  <c r="B259" i="26"/>
  <c r="D259" i="26" s="1"/>
  <c r="B218" i="26"/>
  <c r="D218" i="26" s="1"/>
  <c r="B216" i="26"/>
  <c r="D216" i="26" s="1"/>
  <c r="B205" i="26"/>
  <c r="D205" i="26" s="1"/>
  <c r="B202" i="26"/>
  <c r="B169" i="26"/>
  <c r="B123" i="26"/>
  <c r="B54" i="26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3" i="25"/>
  <c r="D204" i="25"/>
  <c r="D206" i="25"/>
  <c r="D207" i="25"/>
  <c r="D208" i="25"/>
  <c r="D209" i="25"/>
  <c r="D210" i="25"/>
  <c r="D211" i="25"/>
  <c r="D212" i="25"/>
  <c r="D213" i="25"/>
  <c r="D214" i="25"/>
  <c r="D215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2" i="25"/>
  <c r="D253" i="25"/>
  <c r="D254" i="25"/>
  <c r="D255" i="25"/>
  <c r="D256" i="25"/>
  <c r="D257" i="25"/>
  <c r="D258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9" i="25"/>
  <c r="D290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3" i="25"/>
  <c r="D334" i="25"/>
  <c r="D335" i="25"/>
  <c r="D336" i="25"/>
  <c r="D337" i="25"/>
  <c r="D338" i="25"/>
  <c r="D339" i="25"/>
  <c r="D341" i="25"/>
  <c r="D344" i="25"/>
  <c r="D345" i="25"/>
  <c r="D346" i="25"/>
  <c r="D347" i="25"/>
  <c r="D348" i="25"/>
  <c r="D349" i="25"/>
  <c r="D350" i="25"/>
  <c r="D351" i="25"/>
  <c r="D352" i="25"/>
  <c r="D353" i="25"/>
  <c r="D354" i="25"/>
  <c r="D355" i="25"/>
  <c r="D356" i="25"/>
  <c r="D357" i="25"/>
  <c r="D358" i="25"/>
  <c r="D359" i="25"/>
  <c r="D360" i="25"/>
  <c r="D361" i="25"/>
  <c r="D363" i="25"/>
  <c r="D364" i="25"/>
  <c r="D365" i="25"/>
  <c r="D366" i="25"/>
  <c r="D367" i="25"/>
  <c r="D368" i="25"/>
  <c r="D369" i="25"/>
  <c r="D370" i="25"/>
  <c r="D371" i="25"/>
  <c r="D372" i="25"/>
  <c r="D373" i="25"/>
  <c r="D374" i="25"/>
  <c r="D375" i="25"/>
  <c r="D376" i="25"/>
  <c r="D377" i="25"/>
  <c r="D378" i="25"/>
  <c r="D379" i="25"/>
  <c r="D380" i="25"/>
  <c r="D381" i="25"/>
  <c r="D382" i="25"/>
  <c r="D383" i="25"/>
  <c r="D384" i="25"/>
  <c r="D385" i="25"/>
  <c r="D386" i="25"/>
  <c r="D387" i="25"/>
  <c r="D388" i="25"/>
  <c r="D389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0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8" i="25"/>
  <c r="D449" i="25"/>
  <c r="D450" i="25"/>
  <c r="D451" i="25"/>
  <c r="D452" i="25"/>
  <c r="D453" i="25"/>
  <c r="D454" i="25"/>
  <c r="D455" i="25"/>
  <c r="D456" i="25"/>
  <c r="D457" i="25"/>
  <c r="D458" i="25"/>
  <c r="D459" i="25"/>
  <c r="D460" i="25"/>
  <c r="D461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0" i="25"/>
  <c r="D481" i="25"/>
  <c r="D482" i="25"/>
  <c r="D483" i="25"/>
  <c r="D484" i="25"/>
  <c r="D485" i="25"/>
  <c r="D486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2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5" i="25"/>
  <c r="D516" i="25"/>
  <c r="D517" i="25"/>
  <c r="D518" i="25"/>
  <c r="D519" i="25"/>
  <c r="D520" i="25"/>
  <c r="D521" i="25"/>
  <c r="D522" i="25"/>
  <c r="D523" i="25"/>
  <c r="D524" i="25"/>
  <c r="D525" i="25"/>
  <c r="D526" i="25"/>
  <c r="D527" i="25"/>
  <c r="D528" i="25"/>
  <c r="D529" i="25"/>
  <c r="D530" i="25"/>
  <c r="D531" i="25"/>
  <c r="D532" i="25"/>
  <c r="D533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2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4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1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646" i="25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665" i="25"/>
  <c r="D666" i="25"/>
  <c r="D667" i="25"/>
  <c r="D668" i="25"/>
  <c r="D669" i="25"/>
  <c r="D670" i="25"/>
  <c r="D671" i="25"/>
  <c r="D3" i="25"/>
  <c r="B362" i="25"/>
  <c r="B672" i="25" s="1"/>
  <c r="B291" i="25"/>
  <c r="D291" i="25" s="1"/>
  <c r="B288" i="25"/>
  <c r="D288" i="25" s="1"/>
  <c r="B259" i="25"/>
  <c r="D259" i="25" s="1"/>
  <c r="B251" i="25"/>
  <c r="D251" i="25" s="1"/>
  <c r="B216" i="25"/>
  <c r="D216" i="25" s="1"/>
  <c r="B205" i="25"/>
  <c r="D205" i="25" s="1"/>
  <c r="B202" i="25"/>
  <c r="D202" i="25" s="1"/>
  <c r="B184" i="25"/>
  <c r="D184" i="25" s="1"/>
  <c r="B136" i="25"/>
  <c r="D136" i="25" s="1"/>
  <c r="B123" i="25"/>
  <c r="D123" i="25" s="1"/>
  <c r="B25" i="25"/>
  <c r="D25" i="25" s="1"/>
  <c r="B340" i="26" l="1"/>
  <c r="D461" i="26"/>
  <c r="D672" i="26" s="1"/>
  <c r="D362" i="25"/>
  <c r="D672" i="25" s="1"/>
  <c r="D674" i="25" s="1"/>
  <c r="D340" i="25"/>
  <c r="D54" i="26"/>
  <c r="D340" i="26" s="1"/>
  <c r="B340" i="25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6" i="24"/>
  <c r="D207" i="24"/>
  <c r="D208" i="24"/>
  <c r="D209" i="24"/>
  <c r="D210" i="24"/>
  <c r="D211" i="24"/>
  <c r="D212" i="24"/>
  <c r="D213" i="24"/>
  <c r="D214" i="24"/>
  <c r="D215" i="24"/>
  <c r="D217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2" i="24"/>
  <c r="D253" i="24"/>
  <c r="D254" i="24"/>
  <c r="D255" i="24"/>
  <c r="D256" i="24"/>
  <c r="D257" i="24"/>
  <c r="D258" i="24"/>
  <c r="D260" i="24"/>
  <c r="D261" i="24"/>
  <c r="D262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1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3" i="24"/>
  <c r="B536" i="24"/>
  <c r="D536" i="24" s="1"/>
  <c r="B361" i="24"/>
  <c r="D361" i="24" s="1"/>
  <c r="B288" i="24"/>
  <c r="D288" i="24" s="1"/>
  <c r="B263" i="24"/>
  <c r="D263" i="24" s="1"/>
  <c r="B259" i="24"/>
  <c r="D259" i="24" s="1"/>
  <c r="B251" i="24"/>
  <c r="D251" i="24" s="1"/>
  <c r="B218" i="24"/>
  <c r="D218" i="24" s="1"/>
  <c r="B216" i="24"/>
  <c r="D216" i="24" s="1"/>
  <c r="B205" i="24"/>
  <c r="D205" i="24" s="1"/>
  <c r="B185" i="24"/>
  <c r="D185" i="24" s="1"/>
  <c r="B184" i="24"/>
  <c r="D184" i="24" s="1"/>
  <c r="B169" i="24"/>
  <c r="D169" i="24" s="1"/>
  <c r="B136" i="24"/>
  <c r="D136" i="24" s="1"/>
  <c r="B78" i="24"/>
  <c r="D78" i="24" s="1"/>
  <c r="B54" i="24"/>
  <c r="D54" i="24" s="1"/>
  <c r="B25" i="24"/>
  <c r="B20" i="24"/>
  <c r="D20" i="24" s="1"/>
  <c r="D674" i="26" l="1"/>
  <c r="D340" i="24"/>
  <c r="B672" i="24"/>
  <c r="D672" i="24"/>
  <c r="B340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1" i="23"/>
  <c r="D22" i="23"/>
  <c r="D23" i="23"/>
  <c r="D24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9" i="23"/>
  <c r="D80" i="23"/>
  <c r="D81" i="23"/>
  <c r="D82" i="23"/>
  <c r="D83" i="23"/>
  <c r="D84" i="23"/>
  <c r="D85" i="23"/>
  <c r="D86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4" i="23"/>
  <c r="D206" i="23"/>
  <c r="D207" i="23"/>
  <c r="D208" i="23"/>
  <c r="D209" i="23"/>
  <c r="D210" i="23"/>
  <c r="D211" i="23"/>
  <c r="D212" i="23"/>
  <c r="D213" i="23"/>
  <c r="D214" i="23"/>
  <c r="D215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3" i="23"/>
  <c r="D254" i="23"/>
  <c r="D255" i="23"/>
  <c r="D256" i="23"/>
  <c r="D257" i="23"/>
  <c r="D258" i="23"/>
  <c r="D261" i="23"/>
  <c r="D262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30" i="23"/>
  <c r="D331" i="23"/>
  <c r="D332" i="23"/>
  <c r="D333" i="23"/>
  <c r="D334" i="23"/>
  <c r="D335" i="23"/>
  <c r="D336" i="23"/>
  <c r="D337" i="23"/>
  <c r="D338" i="23"/>
  <c r="D339" i="23"/>
  <c r="D341" i="23"/>
  <c r="D344" i="23"/>
  <c r="D345" i="23"/>
  <c r="D346" i="23"/>
  <c r="D347" i="23"/>
  <c r="D348" i="23"/>
  <c r="D349" i="23"/>
  <c r="D350" i="23"/>
  <c r="D351" i="23"/>
  <c r="D352" i="23"/>
  <c r="D353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92" i="23"/>
  <c r="D393" i="23"/>
  <c r="D394" i="23"/>
  <c r="D395" i="23"/>
  <c r="D396" i="23"/>
  <c r="D397" i="23"/>
  <c r="D398" i="23"/>
  <c r="D399" i="23"/>
  <c r="D400" i="23"/>
  <c r="D401" i="23"/>
  <c r="D402" i="23"/>
  <c r="D403" i="23"/>
  <c r="D40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21" i="23"/>
  <c r="D422" i="23"/>
  <c r="D423" i="23"/>
  <c r="D424" i="23"/>
  <c r="D425" i="23"/>
  <c r="D426" i="23"/>
  <c r="D427" i="23"/>
  <c r="D428" i="23"/>
  <c r="D429" i="23"/>
  <c r="D430" i="23"/>
  <c r="D431" i="23"/>
  <c r="D432" i="23"/>
  <c r="D433" i="23"/>
  <c r="D434" i="23"/>
  <c r="D435" i="23"/>
  <c r="D436" i="23"/>
  <c r="D437" i="23"/>
  <c r="D438" i="23"/>
  <c r="D439" i="23"/>
  <c r="D440" i="23"/>
  <c r="D441" i="23"/>
  <c r="D442" i="23"/>
  <c r="D443" i="23"/>
  <c r="D444" i="23"/>
  <c r="D445" i="23"/>
  <c r="D446" i="23"/>
  <c r="D447" i="23"/>
  <c r="D448" i="23"/>
  <c r="D449" i="23"/>
  <c r="D450" i="23"/>
  <c r="D451" i="23"/>
  <c r="D452" i="23"/>
  <c r="D453" i="23"/>
  <c r="D454" i="23"/>
  <c r="D455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537" i="23"/>
  <c r="D538" i="23"/>
  <c r="D539" i="23"/>
  <c r="D540" i="23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665" i="23"/>
  <c r="D666" i="23"/>
  <c r="D667" i="23"/>
  <c r="D668" i="23"/>
  <c r="D669" i="23"/>
  <c r="D670" i="23"/>
  <c r="D671" i="23"/>
  <c r="D3" i="23"/>
  <c r="B672" i="23"/>
  <c r="B263" i="23"/>
  <c r="D263" i="23" s="1"/>
  <c r="B260" i="23"/>
  <c r="D260" i="23" s="1"/>
  <c r="B259" i="23"/>
  <c r="D259" i="23" s="1"/>
  <c r="B252" i="23"/>
  <c r="D252" i="23" s="1"/>
  <c r="B251" i="23"/>
  <c r="D251" i="23" s="1"/>
  <c r="B216" i="23"/>
  <c r="D216" i="23" s="1"/>
  <c r="B205" i="23"/>
  <c r="D205" i="23" s="1"/>
  <c r="B203" i="23"/>
  <c r="D203" i="23" s="1"/>
  <c r="B184" i="23"/>
  <c r="D184" i="23" s="1"/>
  <c r="B136" i="23"/>
  <c r="D136" i="23" s="1"/>
  <c r="B123" i="23"/>
  <c r="D123" i="23" s="1"/>
  <c r="B87" i="23"/>
  <c r="D87" i="23" s="1"/>
  <c r="B78" i="23"/>
  <c r="D78" i="23" s="1"/>
  <c r="B54" i="23"/>
  <c r="D54" i="23" s="1"/>
  <c r="B25" i="23"/>
  <c r="D25" i="23" s="1"/>
  <c r="B20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1" i="22"/>
  <c r="D22" i="22"/>
  <c r="D23" i="22"/>
  <c r="D24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4" i="22"/>
  <c r="D206" i="22"/>
  <c r="D207" i="22"/>
  <c r="D208" i="22"/>
  <c r="D209" i="22"/>
  <c r="D210" i="22"/>
  <c r="D211" i="22"/>
  <c r="D212" i="22"/>
  <c r="D213" i="22"/>
  <c r="D214" i="22"/>
  <c r="D215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3" i="22"/>
  <c r="D254" i="22"/>
  <c r="D255" i="22"/>
  <c r="D256" i="22"/>
  <c r="D257" i="22"/>
  <c r="D258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1" i="22"/>
  <c r="D344" i="22"/>
  <c r="D345" i="22"/>
  <c r="D346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534" i="22"/>
  <c r="D535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1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665" i="22"/>
  <c r="D666" i="22"/>
  <c r="D667" i="22"/>
  <c r="D668" i="22"/>
  <c r="D669" i="22"/>
  <c r="D670" i="22"/>
  <c r="D671" i="22"/>
  <c r="D3" i="22"/>
  <c r="B672" i="22"/>
  <c r="B263" i="22"/>
  <c r="B259" i="22"/>
  <c r="D259" i="22" s="1"/>
  <c r="B252" i="22"/>
  <c r="D252" i="22" s="1"/>
  <c r="B251" i="22"/>
  <c r="D251" i="22" s="1"/>
  <c r="B216" i="22"/>
  <c r="D216" i="22" s="1"/>
  <c r="B205" i="22"/>
  <c r="D205" i="22" s="1"/>
  <c r="B203" i="22"/>
  <c r="D203" i="22" s="1"/>
  <c r="B184" i="22"/>
  <c r="D184" i="22" s="1"/>
  <c r="B169" i="22"/>
  <c r="D169" i="22" s="1"/>
  <c r="B78" i="22"/>
  <c r="D78" i="22" s="1"/>
  <c r="B25" i="22"/>
  <c r="D25" i="22" s="1"/>
  <c r="B20" i="22"/>
  <c r="D20" i="22" s="1"/>
  <c r="D674" i="24" l="1"/>
  <c r="D340" i="22"/>
  <c r="B340" i="23"/>
  <c r="D20" i="23"/>
  <c r="D340" i="23" s="1"/>
  <c r="D672" i="23"/>
  <c r="D674" i="23" s="1"/>
  <c r="D672" i="22"/>
  <c r="D674" i="22" s="1"/>
  <c r="B340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8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3" i="21"/>
  <c r="B449" i="21"/>
  <c r="D117" i="21" l="1"/>
  <c r="D449" i="2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1" i="20"/>
  <c r="D22" i="20"/>
  <c r="D23" i="20"/>
  <c r="D24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4" i="20"/>
  <c r="D206" i="20"/>
  <c r="D207" i="20"/>
  <c r="D208" i="20"/>
  <c r="D209" i="20"/>
  <c r="D210" i="20"/>
  <c r="D211" i="20"/>
  <c r="D212" i="20"/>
  <c r="D213" i="20"/>
  <c r="D214" i="20"/>
  <c r="D215" i="20"/>
  <c r="D217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2" i="20"/>
  <c r="D253" i="20"/>
  <c r="D254" i="20"/>
  <c r="D255" i="20"/>
  <c r="D256" i="20"/>
  <c r="D257" i="20"/>
  <c r="D258" i="20"/>
  <c r="D260" i="20"/>
  <c r="D261" i="20"/>
  <c r="D262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1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3" i="20"/>
  <c r="B672" i="20"/>
  <c r="B294" i="20"/>
  <c r="D294" i="20" s="1"/>
  <c r="B263" i="20"/>
  <c r="D263" i="20" s="1"/>
  <c r="B259" i="20"/>
  <c r="D259" i="20" s="1"/>
  <c r="B251" i="20"/>
  <c r="D251" i="20" s="1"/>
  <c r="B218" i="20"/>
  <c r="D218" i="20" s="1"/>
  <c r="B216" i="20"/>
  <c r="D216" i="20" s="1"/>
  <c r="B205" i="20"/>
  <c r="D205" i="20" s="1"/>
  <c r="B203" i="20"/>
  <c r="D203" i="20" s="1"/>
  <c r="B202" i="20"/>
  <c r="D202" i="20" s="1"/>
  <c r="B184" i="20"/>
  <c r="D184" i="20" s="1"/>
  <c r="B136" i="20"/>
  <c r="D136" i="20" s="1"/>
  <c r="B123" i="20"/>
  <c r="D123" i="20" s="1"/>
  <c r="B78" i="20"/>
  <c r="D78" i="20" s="1"/>
  <c r="B54" i="20"/>
  <c r="D54" i="20" s="1"/>
  <c r="B25" i="20"/>
  <c r="D25" i="20" s="1"/>
  <c r="B20" i="20"/>
  <c r="D451" i="21" l="1"/>
  <c r="B340" i="20"/>
  <c r="D20" i="20"/>
  <c r="D340" i="20" s="1"/>
  <c r="D672" i="20"/>
  <c r="D674" i="20" s="1"/>
  <c r="D4" i="19" l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1" i="19"/>
  <c r="D22" i="19"/>
  <c r="D23" i="19"/>
  <c r="D24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3" i="19"/>
  <c r="D204" i="19"/>
  <c r="D206" i="19"/>
  <c r="D207" i="19"/>
  <c r="D208" i="19"/>
  <c r="D209" i="19"/>
  <c r="D210" i="19"/>
  <c r="D211" i="19"/>
  <c r="D212" i="19"/>
  <c r="D213" i="19"/>
  <c r="D214" i="19"/>
  <c r="D215" i="19"/>
  <c r="D217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3" i="19"/>
  <c r="D254" i="19"/>
  <c r="D255" i="19"/>
  <c r="D256" i="19"/>
  <c r="D257" i="19"/>
  <c r="D258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1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3" i="19"/>
  <c r="B505" i="19"/>
  <c r="D505" i="19" s="1"/>
  <c r="B260" i="19"/>
  <c r="D260" i="19" s="1"/>
  <c r="B259" i="19"/>
  <c r="D259" i="19" s="1"/>
  <c r="B252" i="19"/>
  <c r="D252" i="19" s="1"/>
  <c r="B251" i="19"/>
  <c r="B218" i="19"/>
  <c r="D218" i="19" s="1"/>
  <c r="B216" i="19"/>
  <c r="D216" i="19" s="1"/>
  <c r="B205" i="19"/>
  <c r="D205" i="19" s="1"/>
  <c r="B202" i="19"/>
  <c r="D202" i="19" s="1"/>
  <c r="B136" i="19"/>
  <c r="D136" i="19" s="1"/>
  <c r="B123" i="19"/>
  <c r="D123" i="19" s="1"/>
  <c r="B78" i="19"/>
  <c r="D78" i="19" s="1"/>
  <c r="B54" i="19"/>
  <c r="D54" i="19" s="1"/>
  <c r="B25" i="19"/>
  <c r="D25" i="19" s="1"/>
  <c r="B20" i="19"/>
  <c r="B672" i="19" l="1"/>
  <c r="B340" i="19"/>
  <c r="D20" i="19"/>
  <c r="D340" i="19" s="1"/>
  <c r="D672" i="19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1" i="18"/>
  <c r="D22" i="18"/>
  <c r="D23" i="18"/>
  <c r="D24" i="18"/>
  <c r="D26" i="18"/>
  <c r="D27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81" i="18"/>
  <c r="D82" i="18"/>
  <c r="D83" i="18"/>
  <c r="D84" i="18"/>
  <c r="D85" i="18"/>
  <c r="D86" i="18"/>
  <c r="D87" i="18"/>
  <c r="D88" i="18"/>
  <c r="D89" i="18"/>
  <c r="D90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2" i="18"/>
  <c r="D113" i="18"/>
  <c r="D114" i="18"/>
  <c r="D115" i="18"/>
  <c r="D116" i="18"/>
  <c r="D117" i="18"/>
  <c r="D118" i="18"/>
  <c r="D119" i="18"/>
  <c r="D120" i="18"/>
  <c r="D121" i="18"/>
  <c r="D122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6" i="18"/>
  <c r="D207" i="18"/>
  <c r="D208" i="18"/>
  <c r="D209" i="18"/>
  <c r="D210" i="18"/>
  <c r="D211" i="18"/>
  <c r="D212" i="18"/>
  <c r="D213" i="18"/>
  <c r="D214" i="18"/>
  <c r="D215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9" i="18"/>
  <c r="D250" i="18"/>
  <c r="D253" i="18"/>
  <c r="D254" i="18"/>
  <c r="D255" i="18"/>
  <c r="D256" i="18"/>
  <c r="D257" i="18"/>
  <c r="D258" i="18"/>
  <c r="D261" i="18"/>
  <c r="D262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2" i="18"/>
  <c r="D293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1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3" i="18"/>
  <c r="B551" i="18"/>
  <c r="D551" i="18" s="1"/>
  <c r="B520" i="18"/>
  <c r="D520" i="18" s="1"/>
  <c r="B442" i="18"/>
  <c r="D442" i="18" s="1"/>
  <c r="B414" i="18"/>
  <c r="D414" i="18" s="1"/>
  <c r="B294" i="18"/>
  <c r="D294" i="18" s="1"/>
  <c r="B291" i="18"/>
  <c r="D291" i="18" s="1"/>
  <c r="B263" i="18"/>
  <c r="D263" i="18" s="1"/>
  <c r="B260" i="18"/>
  <c r="D260" i="18" s="1"/>
  <c r="B259" i="18"/>
  <c r="D259" i="18" s="1"/>
  <c r="B252" i="18"/>
  <c r="D252" i="18" s="1"/>
  <c r="B251" i="18"/>
  <c r="D251" i="18" s="1"/>
  <c r="B248" i="18"/>
  <c r="D248" i="18" s="1"/>
  <c r="B216" i="18"/>
  <c r="D216" i="18" s="1"/>
  <c r="B205" i="18"/>
  <c r="D205" i="18" s="1"/>
  <c r="B169" i="18"/>
  <c r="D169" i="18" s="1"/>
  <c r="B136" i="18"/>
  <c r="D136" i="18" s="1"/>
  <c r="B123" i="18"/>
  <c r="D123" i="18" s="1"/>
  <c r="B111" i="18"/>
  <c r="D111" i="18" s="1"/>
  <c r="B91" i="18"/>
  <c r="D91" i="18" s="1"/>
  <c r="B80" i="18"/>
  <c r="D80" i="18" s="1"/>
  <c r="B79" i="18"/>
  <c r="D79" i="18" s="1"/>
  <c r="B54" i="18"/>
  <c r="D54" i="18" s="1"/>
  <c r="B28" i="18"/>
  <c r="D28" i="18" s="1"/>
  <c r="B25" i="18"/>
  <c r="D25" i="18" s="1"/>
  <c r="B20" i="18"/>
  <c r="D20" i="18" s="1"/>
  <c r="D674" i="19" l="1"/>
  <c r="D340" i="18"/>
  <c r="B340" i="18"/>
  <c r="D672" i="18"/>
  <c r="D674" i="18" s="1"/>
  <c r="B672" i="18"/>
  <c r="D597" i="16"/>
  <c r="D593" i="16"/>
  <c r="D585" i="16"/>
  <c r="D568" i="16"/>
  <c r="D556" i="16"/>
  <c r="D553" i="16"/>
  <c r="D542" i="16"/>
  <c r="D520" i="16"/>
  <c r="D461" i="16"/>
  <c r="D444" i="16"/>
  <c r="D442" i="16"/>
  <c r="D414" i="16"/>
  <c r="D389" i="16"/>
  <c r="D387" i="16"/>
  <c r="D380" i="16"/>
  <c r="D367" i="16"/>
  <c r="D362" i="16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2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3" i="17"/>
  <c r="B316" i="17"/>
  <c r="B483" i="17" s="1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1" i="16"/>
  <c r="D22" i="16"/>
  <c r="D23" i="16"/>
  <c r="D24" i="16"/>
  <c r="D26" i="16"/>
  <c r="D27" i="16"/>
  <c r="D29" i="16"/>
  <c r="D30" i="16"/>
  <c r="D31" i="16"/>
  <c r="D32" i="16"/>
  <c r="D33" i="16"/>
  <c r="D34" i="16"/>
  <c r="D35" i="16"/>
  <c r="D36" i="16"/>
  <c r="D37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4" i="16"/>
  <c r="D206" i="16"/>
  <c r="D207" i="16"/>
  <c r="D208" i="16"/>
  <c r="D209" i="16"/>
  <c r="D210" i="16"/>
  <c r="D211" i="16"/>
  <c r="D212" i="16"/>
  <c r="D213" i="16"/>
  <c r="D214" i="16"/>
  <c r="D215" i="16"/>
  <c r="D217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2" i="16"/>
  <c r="D253" i="16"/>
  <c r="D254" i="16"/>
  <c r="D255" i="16"/>
  <c r="D256" i="16"/>
  <c r="D257" i="16"/>
  <c r="D258" i="16"/>
  <c r="D260" i="16"/>
  <c r="D261" i="16"/>
  <c r="D262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1" i="16"/>
  <c r="D344" i="16"/>
  <c r="D345" i="16"/>
  <c r="D346" i="16"/>
  <c r="D347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3" i="16"/>
  <c r="D364" i="16"/>
  <c r="D365" i="16"/>
  <c r="D366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1" i="16"/>
  <c r="D382" i="16"/>
  <c r="D383" i="16"/>
  <c r="D384" i="16"/>
  <c r="D385" i="16"/>
  <c r="D386" i="16"/>
  <c r="D388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3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3" i="16"/>
  <c r="D544" i="16"/>
  <c r="D545" i="16"/>
  <c r="D546" i="16"/>
  <c r="D547" i="16"/>
  <c r="D548" i="16"/>
  <c r="D549" i="16"/>
  <c r="D550" i="16"/>
  <c r="D552" i="16"/>
  <c r="D554" i="16"/>
  <c r="D555" i="16"/>
  <c r="D557" i="16"/>
  <c r="D558" i="16"/>
  <c r="D559" i="16"/>
  <c r="D560" i="16"/>
  <c r="D561" i="16"/>
  <c r="D562" i="16"/>
  <c r="D563" i="16"/>
  <c r="D564" i="16"/>
  <c r="D565" i="16"/>
  <c r="D566" i="16"/>
  <c r="D567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6" i="16"/>
  <c r="D587" i="16"/>
  <c r="D588" i="16"/>
  <c r="D589" i="16"/>
  <c r="D590" i="16"/>
  <c r="D591" i="16"/>
  <c r="D592" i="16"/>
  <c r="D594" i="16"/>
  <c r="D595" i="16"/>
  <c r="D596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665" i="16"/>
  <c r="D666" i="16"/>
  <c r="D667" i="16"/>
  <c r="D668" i="16"/>
  <c r="D669" i="16"/>
  <c r="D670" i="16"/>
  <c r="D671" i="16"/>
  <c r="B551" i="16"/>
  <c r="D551" i="16" s="1"/>
  <c r="B348" i="16"/>
  <c r="D348" i="16" s="1"/>
  <c r="B263" i="16"/>
  <c r="D263" i="16" s="1"/>
  <c r="B259" i="16"/>
  <c r="D259" i="16" s="1"/>
  <c r="B251" i="16"/>
  <c r="D251" i="16" s="1"/>
  <c r="B218" i="16"/>
  <c r="D218" i="16" s="1"/>
  <c r="B216" i="16"/>
  <c r="D216" i="16" s="1"/>
  <c r="B205" i="16"/>
  <c r="D205" i="16" s="1"/>
  <c r="B203" i="16"/>
  <c r="D203" i="16" s="1"/>
  <c r="B202" i="16"/>
  <c r="D202" i="16" s="1"/>
  <c r="B169" i="16"/>
  <c r="D169" i="16" s="1"/>
  <c r="B123" i="16"/>
  <c r="D123" i="16" s="1"/>
  <c r="B54" i="16"/>
  <c r="D54" i="16" s="1"/>
  <c r="B38" i="16"/>
  <c r="D38" i="16" s="1"/>
  <c r="B28" i="16"/>
  <c r="D28" i="16" s="1"/>
  <c r="B25" i="16"/>
  <c r="D25" i="16" s="1"/>
  <c r="B20" i="16"/>
  <c r="D20" i="16" s="1"/>
  <c r="B3" i="16"/>
  <c r="D3" i="16" s="1"/>
  <c r="D151" i="17" l="1"/>
  <c r="D340" i="16"/>
  <c r="B340" i="16"/>
  <c r="B672" i="16"/>
  <c r="D483" i="17"/>
  <c r="D485" i="17" s="1"/>
  <c r="D672" i="16"/>
  <c r="D674" i="16" s="1"/>
  <c r="D4" i="15"/>
  <c r="D5" i="15"/>
  <c r="D6" i="15"/>
  <c r="D7" i="15"/>
  <c r="D8" i="15"/>
  <c r="D9" i="15"/>
  <c r="D10" i="15"/>
  <c r="D11" i="15"/>
  <c r="D12" i="15"/>
  <c r="D13" i="15"/>
  <c r="D14" i="15"/>
  <c r="D16" i="15"/>
  <c r="D17" i="15"/>
  <c r="D18" i="15"/>
  <c r="D19" i="15"/>
  <c r="D21" i="15"/>
  <c r="D22" i="15"/>
  <c r="D23" i="15"/>
  <c r="D24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8" i="15"/>
  <c r="D49" i="15"/>
  <c r="D50" i="15"/>
  <c r="D51" i="15"/>
  <c r="D52" i="15"/>
  <c r="D53" i="15"/>
  <c r="D55" i="15"/>
  <c r="D56" i="15"/>
  <c r="D57" i="15"/>
  <c r="D58" i="15"/>
  <c r="D59" i="15"/>
  <c r="D60" i="15"/>
  <c r="D61" i="15"/>
  <c r="D62" i="15"/>
  <c r="D63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2" i="15"/>
  <c r="D83" i="15"/>
  <c r="D84" i="15"/>
  <c r="D85" i="15"/>
  <c r="D86" i="15"/>
  <c r="D87" i="15"/>
  <c r="D88" i="15"/>
  <c r="D89" i="15"/>
  <c r="D90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4" i="15"/>
  <c r="D206" i="15"/>
  <c r="D207" i="15"/>
  <c r="D208" i="15"/>
  <c r="D209" i="15"/>
  <c r="D210" i="15"/>
  <c r="D211" i="15"/>
  <c r="D212" i="15"/>
  <c r="D213" i="15"/>
  <c r="D214" i="15"/>
  <c r="D215" i="15"/>
  <c r="D217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2" i="15"/>
  <c r="D253" i="15"/>
  <c r="D254" i="15"/>
  <c r="D255" i="15"/>
  <c r="D256" i="15"/>
  <c r="D257" i="15"/>
  <c r="D258" i="15"/>
  <c r="D260" i="15"/>
  <c r="D261" i="15"/>
  <c r="D262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1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3" i="15"/>
  <c r="B536" i="15"/>
  <c r="B672" i="15" s="1"/>
  <c r="B291" i="15"/>
  <c r="D291" i="15" s="1"/>
  <c r="B263" i="15"/>
  <c r="D263" i="15" s="1"/>
  <c r="B259" i="15"/>
  <c r="D259" i="15" s="1"/>
  <c r="B251" i="15"/>
  <c r="D251" i="15" s="1"/>
  <c r="B218" i="15"/>
  <c r="D218" i="15" s="1"/>
  <c r="B216" i="15"/>
  <c r="D216" i="15" s="1"/>
  <c r="B205" i="15"/>
  <c r="D205" i="15" s="1"/>
  <c r="B203" i="15"/>
  <c r="D203" i="15" s="1"/>
  <c r="B202" i="15"/>
  <c r="D202" i="15" s="1"/>
  <c r="B136" i="15"/>
  <c r="D136" i="15" s="1"/>
  <c r="B91" i="15"/>
  <c r="D91" i="15" s="1"/>
  <c r="B81" i="15"/>
  <c r="D81" i="15" s="1"/>
  <c r="B80" i="15"/>
  <c r="D80" i="15" s="1"/>
  <c r="B64" i="15"/>
  <c r="D64" i="15" s="1"/>
  <c r="B54" i="15"/>
  <c r="D54" i="15" s="1"/>
  <c r="B47" i="15"/>
  <c r="D47" i="15" s="1"/>
  <c r="B25" i="15"/>
  <c r="D25" i="15" s="1"/>
  <c r="B20" i="15"/>
  <c r="D20" i="15" s="1"/>
  <c r="B15" i="15"/>
  <c r="D15" i="15" s="1"/>
  <c r="D340" i="15" l="1"/>
  <c r="D536" i="15"/>
  <c r="D672" i="15"/>
  <c r="D674" i="15" s="1"/>
  <c r="B340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1" i="14"/>
  <c r="D22" i="14"/>
  <c r="D23" i="14"/>
  <c r="D24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6" i="14"/>
  <c r="D177" i="14"/>
  <c r="D178" i="14"/>
  <c r="D179" i="14"/>
  <c r="D180" i="14"/>
  <c r="D181" i="14"/>
  <c r="D182" i="14"/>
  <c r="D183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4" i="14"/>
  <c r="D206" i="14"/>
  <c r="D207" i="14"/>
  <c r="D208" i="14"/>
  <c r="D209" i="14"/>
  <c r="D210" i="14"/>
  <c r="D211" i="14"/>
  <c r="D212" i="14"/>
  <c r="D213" i="14"/>
  <c r="D214" i="14"/>
  <c r="D215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2" i="14"/>
  <c r="D253" i="14"/>
  <c r="D254" i="14"/>
  <c r="D255" i="14"/>
  <c r="D256" i="14"/>
  <c r="D257" i="14"/>
  <c r="D258" i="14"/>
  <c r="D260" i="14"/>
  <c r="D261" i="14"/>
  <c r="D262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1" i="14"/>
  <c r="D344" i="14"/>
  <c r="D345" i="14"/>
  <c r="D346" i="14"/>
  <c r="D347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B348" i="14"/>
  <c r="D348" i="14" s="1"/>
  <c r="B263" i="14"/>
  <c r="D263" i="14" s="1"/>
  <c r="B259" i="14"/>
  <c r="D259" i="14" s="1"/>
  <c r="B251" i="14"/>
  <c r="D251" i="14" s="1"/>
  <c r="B216" i="14"/>
  <c r="D216" i="14" s="1"/>
  <c r="B205" i="14"/>
  <c r="D205" i="14" s="1"/>
  <c r="B203" i="14"/>
  <c r="D203" i="14" s="1"/>
  <c r="B202" i="14"/>
  <c r="D202" i="14" s="1"/>
  <c r="B184" i="14"/>
  <c r="D184" i="14" s="1"/>
  <c r="B175" i="14"/>
  <c r="D175" i="14" s="1"/>
  <c r="B136" i="14"/>
  <c r="D136" i="14" s="1"/>
  <c r="B123" i="14"/>
  <c r="D123" i="14" s="1"/>
  <c r="B78" i="14"/>
  <c r="D78" i="14" s="1"/>
  <c r="B25" i="14"/>
  <c r="D25" i="14" s="1"/>
  <c r="B20" i="14"/>
  <c r="D20" i="14" s="1"/>
  <c r="B3" i="14"/>
  <c r="D3" i="14" s="1"/>
  <c r="D672" i="14" l="1"/>
  <c r="D340" i="14"/>
  <c r="B672" i="14"/>
  <c r="B340" i="14"/>
  <c r="D4" i="13"/>
  <c r="D5" i="13"/>
  <c r="D6" i="13"/>
  <c r="D7" i="13"/>
  <c r="D8" i="13"/>
  <c r="D9" i="13"/>
  <c r="D10" i="13"/>
  <c r="D11" i="13"/>
  <c r="D12" i="13"/>
  <c r="D13" i="13"/>
  <c r="D14" i="13"/>
  <c r="D16" i="13"/>
  <c r="D17" i="13"/>
  <c r="D19" i="13"/>
  <c r="D21" i="13"/>
  <c r="D22" i="13"/>
  <c r="D23" i="13"/>
  <c r="D24" i="13"/>
  <c r="D26" i="13"/>
  <c r="D27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3" i="13"/>
  <c r="D204" i="13"/>
  <c r="D206" i="13"/>
  <c r="D207" i="13"/>
  <c r="D208" i="13"/>
  <c r="D209" i="13"/>
  <c r="D210" i="13"/>
  <c r="D211" i="13"/>
  <c r="D212" i="13"/>
  <c r="D213" i="13"/>
  <c r="D214" i="13"/>
  <c r="D215" i="13"/>
  <c r="D217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2" i="13"/>
  <c r="D253" i="13"/>
  <c r="D254" i="13"/>
  <c r="D255" i="13"/>
  <c r="D256" i="13"/>
  <c r="D257" i="13"/>
  <c r="D258" i="13"/>
  <c r="D260" i="13"/>
  <c r="D261" i="13"/>
  <c r="D262" i="13"/>
  <c r="D264" i="13"/>
  <c r="D265" i="13"/>
  <c r="D266" i="13"/>
  <c r="D267" i="13"/>
  <c r="D268" i="13"/>
  <c r="D269" i="13"/>
  <c r="D270" i="13"/>
  <c r="D271" i="13"/>
  <c r="D272" i="13"/>
  <c r="D273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9" i="13"/>
  <c r="D290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1" i="13"/>
  <c r="D344" i="13"/>
  <c r="D345" i="13"/>
  <c r="D346" i="13"/>
  <c r="D347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3" i="13"/>
  <c r="B442" i="13"/>
  <c r="B389" i="13"/>
  <c r="D389" i="13" s="1"/>
  <c r="B348" i="13"/>
  <c r="D348" i="13" s="1"/>
  <c r="B291" i="13"/>
  <c r="D291" i="13" s="1"/>
  <c r="B288" i="13"/>
  <c r="D288" i="13" s="1"/>
  <c r="B274" i="13"/>
  <c r="D274" i="13" s="1"/>
  <c r="B263" i="13"/>
  <c r="D263" i="13" s="1"/>
  <c r="B259" i="13"/>
  <c r="D259" i="13" s="1"/>
  <c r="B251" i="13"/>
  <c r="D251" i="13" s="1"/>
  <c r="B218" i="13"/>
  <c r="D218" i="13" s="1"/>
  <c r="B216" i="13"/>
  <c r="D216" i="13" s="1"/>
  <c r="B205" i="13"/>
  <c r="D205" i="13" s="1"/>
  <c r="B202" i="13"/>
  <c r="D202" i="13" s="1"/>
  <c r="B185" i="13"/>
  <c r="D185" i="13" s="1"/>
  <c r="B184" i="13"/>
  <c r="D184" i="13" s="1"/>
  <c r="B169" i="13"/>
  <c r="D169" i="13" s="1"/>
  <c r="B136" i="13"/>
  <c r="D136" i="13" s="1"/>
  <c r="B80" i="13"/>
  <c r="D80" i="13" s="1"/>
  <c r="B28" i="13"/>
  <c r="D28" i="13" s="1"/>
  <c r="B25" i="13"/>
  <c r="D25" i="13" s="1"/>
  <c r="B20" i="13"/>
  <c r="D20" i="13" s="1"/>
  <c r="B18" i="13"/>
  <c r="D18" i="13" s="1"/>
  <c r="B15" i="13"/>
  <c r="D15" i="13" s="1"/>
  <c r="B672" i="13" l="1"/>
  <c r="D340" i="13"/>
  <c r="D674" i="14"/>
  <c r="D442" i="13"/>
  <c r="D672" i="13" s="1"/>
  <c r="D674" i="13" s="1"/>
  <c r="B340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5" i="12"/>
  <c r="D26" i="12"/>
  <c r="D27" i="12"/>
  <c r="D28" i="12"/>
  <c r="D30" i="12"/>
  <c r="D31" i="12"/>
  <c r="D32" i="12"/>
  <c r="D34" i="12"/>
  <c r="D35" i="12"/>
  <c r="D37" i="12"/>
  <c r="D38" i="12"/>
  <c r="D39" i="12"/>
  <c r="D40" i="12"/>
  <c r="D41" i="12"/>
  <c r="D42" i="12"/>
  <c r="D43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8" i="12"/>
  <c r="D119" i="12"/>
  <c r="D120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1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B285" i="12"/>
  <c r="D285" i="12" s="1"/>
  <c r="B270" i="12"/>
  <c r="D270" i="12" s="1"/>
  <c r="B183" i="12"/>
  <c r="D183" i="12" s="1"/>
  <c r="B169" i="12"/>
  <c r="D169" i="12" s="1"/>
  <c r="B147" i="12"/>
  <c r="B121" i="12"/>
  <c r="D121" i="12" s="1"/>
  <c r="B117" i="12"/>
  <c r="D117" i="12" s="1"/>
  <c r="B116" i="12"/>
  <c r="D116" i="12" s="1"/>
  <c r="B69" i="12"/>
  <c r="D69" i="12" s="1"/>
  <c r="B44" i="12"/>
  <c r="D44" i="12" s="1"/>
  <c r="B36" i="12"/>
  <c r="D36" i="12" s="1"/>
  <c r="B33" i="12"/>
  <c r="D33" i="12" s="1"/>
  <c r="B29" i="12"/>
  <c r="D29" i="12" s="1"/>
  <c r="B24" i="12"/>
  <c r="D24" i="12" s="1"/>
  <c r="B3" i="12"/>
  <c r="D3" i="12" s="1"/>
  <c r="D671" i="11"/>
  <c r="D670" i="11"/>
  <c r="D669" i="11"/>
  <c r="D668" i="11"/>
  <c r="D667" i="11"/>
  <c r="D666" i="11"/>
  <c r="D665" i="11"/>
  <c r="D664" i="11"/>
  <c r="D663" i="11"/>
  <c r="D662" i="11"/>
  <c r="D661" i="11"/>
  <c r="D660" i="11"/>
  <c r="D659" i="11"/>
  <c r="D658" i="11"/>
  <c r="D657" i="11"/>
  <c r="D656" i="11"/>
  <c r="D655" i="11"/>
  <c r="D654" i="11"/>
  <c r="D653" i="11"/>
  <c r="D652" i="11"/>
  <c r="D651" i="11"/>
  <c r="D650" i="11"/>
  <c r="D649" i="11"/>
  <c r="D648" i="11"/>
  <c r="D647" i="11"/>
  <c r="D646" i="11"/>
  <c r="D645" i="11"/>
  <c r="D644" i="11"/>
  <c r="D643" i="11"/>
  <c r="D642" i="11"/>
  <c r="D641" i="11"/>
  <c r="D640" i="11"/>
  <c r="D639" i="11"/>
  <c r="D638" i="11"/>
  <c r="D637" i="11"/>
  <c r="D636" i="11"/>
  <c r="D635" i="11"/>
  <c r="D634" i="11"/>
  <c r="D633" i="11"/>
  <c r="D632" i="11"/>
  <c r="D631" i="11"/>
  <c r="D630" i="11"/>
  <c r="D629" i="11"/>
  <c r="D628" i="11"/>
  <c r="D627" i="11"/>
  <c r="D626" i="11"/>
  <c r="D625" i="11"/>
  <c r="D624" i="11"/>
  <c r="D623" i="11"/>
  <c r="D622" i="11"/>
  <c r="D621" i="11"/>
  <c r="D620" i="11"/>
  <c r="D619" i="11"/>
  <c r="D618" i="11"/>
  <c r="D617" i="11"/>
  <c r="D616" i="11"/>
  <c r="D615" i="11"/>
  <c r="D614" i="11"/>
  <c r="D613" i="11"/>
  <c r="D612" i="11"/>
  <c r="D611" i="11"/>
  <c r="D610" i="11"/>
  <c r="D609" i="11"/>
  <c r="D608" i="11"/>
  <c r="D607" i="11"/>
  <c r="D606" i="11"/>
  <c r="D605" i="11"/>
  <c r="D604" i="11"/>
  <c r="D603" i="11"/>
  <c r="D602" i="11"/>
  <c r="D601" i="11"/>
  <c r="D600" i="11"/>
  <c r="D599" i="11"/>
  <c r="D598" i="11"/>
  <c r="D597" i="11"/>
  <c r="D596" i="11"/>
  <c r="D595" i="11"/>
  <c r="D594" i="11"/>
  <c r="D593" i="11"/>
  <c r="D592" i="11"/>
  <c r="D591" i="11"/>
  <c r="D590" i="11"/>
  <c r="D589" i="11"/>
  <c r="D588" i="11"/>
  <c r="D587" i="11"/>
  <c r="D586" i="11"/>
  <c r="D585" i="11"/>
  <c r="D584" i="11"/>
  <c r="D583" i="11"/>
  <c r="D582" i="11"/>
  <c r="D581" i="11"/>
  <c r="D580" i="11"/>
  <c r="D579" i="11"/>
  <c r="D578" i="11"/>
  <c r="D577" i="11"/>
  <c r="D576" i="11"/>
  <c r="D575" i="11"/>
  <c r="D574" i="11"/>
  <c r="D573" i="11"/>
  <c r="D572" i="11"/>
  <c r="D571" i="11"/>
  <c r="D570" i="11"/>
  <c r="D569" i="11"/>
  <c r="D568" i="11"/>
  <c r="D567" i="11"/>
  <c r="D566" i="11"/>
  <c r="D565" i="11"/>
  <c r="D564" i="11"/>
  <c r="D563" i="11"/>
  <c r="D562" i="11"/>
  <c r="D561" i="11"/>
  <c r="D560" i="11"/>
  <c r="D559" i="11"/>
  <c r="D558" i="11"/>
  <c r="D557" i="11"/>
  <c r="D556" i="11"/>
  <c r="D555" i="11"/>
  <c r="D554" i="11"/>
  <c r="D553" i="11"/>
  <c r="D552" i="11"/>
  <c r="D551" i="11"/>
  <c r="D550" i="11"/>
  <c r="D549" i="11"/>
  <c r="D548" i="11"/>
  <c r="D547" i="11"/>
  <c r="D546" i="11"/>
  <c r="D545" i="11"/>
  <c r="D544" i="11"/>
  <c r="D543" i="11"/>
  <c r="B542" i="11"/>
  <c r="B672" i="11" s="1"/>
  <c r="D541" i="11"/>
  <c r="D540" i="11"/>
  <c r="D539" i="11"/>
  <c r="D538" i="11"/>
  <c r="D537" i="11"/>
  <c r="D536" i="11"/>
  <c r="D535" i="11"/>
  <c r="D534" i="11"/>
  <c r="D533" i="11"/>
  <c r="D532" i="11"/>
  <c r="D531" i="11"/>
  <c r="D530" i="11"/>
  <c r="D529" i="11"/>
  <c r="D528" i="11"/>
  <c r="D527" i="11"/>
  <c r="D526" i="11"/>
  <c r="D525" i="11"/>
  <c r="D524" i="11"/>
  <c r="D523" i="11"/>
  <c r="D522" i="11"/>
  <c r="D521" i="11"/>
  <c r="D520" i="11"/>
  <c r="D519" i="11"/>
  <c r="D518" i="11"/>
  <c r="D517" i="11"/>
  <c r="D516" i="11"/>
  <c r="D515" i="11"/>
  <c r="D514" i="11"/>
  <c r="D513" i="11"/>
  <c r="D512" i="11"/>
  <c r="D511" i="11"/>
  <c r="D510" i="11"/>
  <c r="D509" i="11"/>
  <c r="D508" i="11"/>
  <c r="D507" i="11"/>
  <c r="D506" i="11"/>
  <c r="D505" i="11"/>
  <c r="D504" i="11"/>
  <c r="D503" i="11"/>
  <c r="D502" i="11"/>
  <c r="D501" i="11"/>
  <c r="D500" i="11"/>
  <c r="D499" i="11"/>
  <c r="D498" i="11"/>
  <c r="D497" i="11"/>
  <c r="D496" i="11"/>
  <c r="D495" i="11"/>
  <c r="D494" i="11"/>
  <c r="D493" i="11"/>
  <c r="D492" i="11"/>
  <c r="D491" i="11"/>
  <c r="D490" i="11"/>
  <c r="D489" i="11"/>
  <c r="D488" i="11"/>
  <c r="D487" i="11"/>
  <c r="D486" i="11"/>
  <c r="D485" i="11"/>
  <c r="D484" i="11"/>
  <c r="D483" i="11"/>
  <c r="D482" i="11"/>
  <c r="D481" i="11"/>
  <c r="D480" i="11"/>
  <c r="D479" i="11"/>
  <c r="D478" i="11"/>
  <c r="D477" i="11"/>
  <c r="D476" i="11"/>
  <c r="D475" i="11"/>
  <c r="D474" i="11"/>
  <c r="D473" i="11"/>
  <c r="D472" i="11"/>
  <c r="D471" i="11"/>
  <c r="D470" i="11"/>
  <c r="D469" i="11"/>
  <c r="D468" i="11"/>
  <c r="D467" i="11"/>
  <c r="D466" i="11"/>
  <c r="D465" i="11"/>
  <c r="D464" i="11"/>
  <c r="D463" i="11"/>
  <c r="D462" i="11"/>
  <c r="D461" i="11"/>
  <c r="D460" i="11"/>
  <c r="D459" i="11"/>
  <c r="D458" i="11"/>
  <c r="D457" i="11"/>
  <c r="D456" i="11"/>
  <c r="D455" i="11"/>
  <c r="D454" i="11"/>
  <c r="D453" i="11"/>
  <c r="D452" i="11"/>
  <c r="D451" i="11"/>
  <c r="D450" i="11"/>
  <c r="D449" i="11"/>
  <c r="D448" i="11"/>
  <c r="D447" i="11"/>
  <c r="D446" i="11"/>
  <c r="D445" i="11"/>
  <c r="D444" i="11"/>
  <c r="D443" i="11"/>
  <c r="D442" i="11"/>
  <c r="D441" i="11"/>
  <c r="D440" i="11"/>
  <c r="D439" i="11"/>
  <c r="D438" i="11"/>
  <c r="D437" i="11"/>
  <c r="D436" i="11"/>
  <c r="D435" i="11"/>
  <c r="D434" i="11"/>
  <c r="D433" i="11"/>
  <c r="D432" i="11"/>
  <c r="D431" i="11"/>
  <c r="D430" i="11"/>
  <c r="D429" i="11"/>
  <c r="D428" i="11"/>
  <c r="D427" i="11"/>
  <c r="D426" i="11"/>
  <c r="D425" i="11"/>
  <c r="D424" i="11"/>
  <c r="D423" i="11"/>
  <c r="D422" i="11"/>
  <c r="D421" i="11"/>
  <c r="D420" i="11"/>
  <c r="D419" i="11"/>
  <c r="D418" i="11"/>
  <c r="D417" i="11"/>
  <c r="D416" i="11"/>
  <c r="D415" i="11"/>
  <c r="D414" i="11"/>
  <c r="D413" i="11"/>
  <c r="D412" i="11"/>
  <c r="D411" i="11"/>
  <c r="D410" i="1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D397" i="11"/>
  <c r="D396" i="11"/>
  <c r="D395" i="11"/>
  <c r="D394" i="11"/>
  <c r="D393" i="11"/>
  <c r="D392" i="11"/>
  <c r="D391" i="11"/>
  <c r="D390" i="11"/>
  <c r="D389" i="11"/>
  <c r="D388" i="11"/>
  <c r="D387" i="11"/>
  <c r="D386" i="11"/>
  <c r="D385" i="11"/>
  <c r="D384" i="11"/>
  <c r="D383" i="11"/>
  <c r="D382" i="11"/>
  <c r="D381" i="11"/>
  <c r="D380" i="11"/>
  <c r="D379" i="11"/>
  <c r="D378" i="11"/>
  <c r="D377" i="11"/>
  <c r="D376" i="11"/>
  <c r="D375" i="11"/>
  <c r="D374" i="11"/>
  <c r="D373" i="11"/>
  <c r="D372" i="11"/>
  <c r="D371" i="11"/>
  <c r="D370" i="11"/>
  <c r="D369" i="11"/>
  <c r="D368" i="11"/>
  <c r="D367" i="11"/>
  <c r="D366" i="11"/>
  <c r="D365" i="11"/>
  <c r="D364" i="11"/>
  <c r="D363" i="11"/>
  <c r="D362" i="11"/>
  <c r="D361" i="11"/>
  <c r="D360" i="11"/>
  <c r="D359" i="11"/>
  <c r="D358" i="11"/>
  <c r="D357" i="11"/>
  <c r="D356" i="11"/>
  <c r="D355" i="11"/>
  <c r="D354" i="11"/>
  <c r="D353" i="11"/>
  <c r="D352" i="11"/>
  <c r="D351" i="11"/>
  <c r="D350" i="11"/>
  <c r="D349" i="11"/>
  <c r="D348" i="11"/>
  <c r="D347" i="11"/>
  <c r="D346" i="11"/>
  <c r="D345" i="11"/>
  <c r="D344" i="11"/>
  <c r="D341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24" i="11"/>
  <c r="D323" i="11"/>
  <c r="D322" i="11"/>
  <c r="D321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05" i="11"/>
  <c r="D304" i="11"/>
  <c r="D303" i="11"/>
  <c r="D302" i="11"/>
  <c r="D301" i="11"/>
  <c r="D300" i="11"/>
  <c r="D299" i="11"/>
  <c r="D298" i="11"/>
  <c r="D297" i="11"/>
  <c r="D296" i="11"/>
  <c r="D295" i="11"/>
  <c r="B294" i="11"/>
  <c r="D294" i="11" s="1"/>
  <c r="D293" i="11"/>
  <c r="D292" i="11"/>
  <c r="D291" i="11"/>
  <c r="D290" i="11"/>
  <c r="D289" i="11"/>
  <c r="D288" i="11"/>
  <c r="D287" i="11"/>
  <c r="D286" i="11"/>
  <c r="D285" i="11"/>
  <c r="D284" i="11"/>
  <c r="D283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67" i="11"/>
  <c r="D266" i="11"/>
  <c r="D265" i="11"/>
  <c r="D264" i="11"/>
  <c r="B263" i="11"/>
  <c r="D263" i="11" s="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B205" i="11"/>
  <c r="D205" i="11" s="1"/>
  <c r="D204" i="11"/>
  <c r="B203" i="11"/>
  <c r="D203" i="11" s="1"/>
  <c r="B202" i="11"/>
  <c r="D202" i="11" s="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B25" i="11"/>
  <c r="D25" i="11" s="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0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B556" i="9"/>
  <c r="D556" i="9" s="1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B520" i="9"/>
  <c r="D520" i="9" s="1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B389" i="9"/>
  <c r="D389" i="9" s="1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B362" i="9"/>
  <c r="D362" i="9" s="1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1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B203" i="9"/>
  <c r="D203" i="9" s="1"/>
  <c r="B202" i="9"/>
  <c r="D202" i="9" s="1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B169" i="9"/>
  <c r="D169" i="9" s="1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B47" i="9"/>
  <c r="D47" i="9" s="1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B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B556" i="8"/>
  <c r="D556" i="8" s="1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B542" i="8"/>
  <c r="D542" i="8" s="1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B520" i="8"/>
  <c r="D520" i="8" s="1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B472" i="8"/>
  <c r="D472" i="8" s="1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B389" i="8"/>
  <c r="D389" i="8" s="1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B362" i="8"/>
  <c r="D362" i="8" s="1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1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B202" i="8"/>
  <c r="D202" i="8" s="1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B70" i="8"/>
  <c r="D70" i="8" s="1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B568" i="7"/>
  <c r="D568" i="7" s="1"/>
  <c r="D567" i="7"/>
  <c r="D566" i="7"/>
  <c r="D565" i="7"/>
  <c r="D564" i="7"/>
  <c r="D563" i="7"/>
  <c r="D562" i="7"/>
  <c r="D561" i="7"/>
  <c r="D560" i="7"/>
  <c r="D559" i="7"/>
  <c r="D558" i="7"/>
  <c r="D557" i="7"/>
  <c r="B556" i="7"/>
  <c r="D556" i="7" s="1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B542" i="7"/>
  <c r="D542" i="7" s="1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B520" i="7"/>
  <c r="D520" i="7" s="1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B472" i="7"/>
  <c r="D472" i="7" s="1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B389" i="7"/>
  <c r="D389" i="7" s="1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B362" i="7"/>
  <c r="D362" i="7" s="1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B348" i="7"/>
  <c r="D348" i="7" s="1"/>
  <c r="D347" i="7"/>
  <c r="D346" i="7"/>
  <c r="D345" i="7"/>
  <c r="D344" i="7"/>
  <c r="D341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B263" i="7"/>
  <c r="D263" i="7" s="1"/>
  <c r="D262" i="7"/>
  <c r="D261" i="7"/>
  <c r="D260" i="7"/>
  <c r="B259" i="7"/>
  <c r="D259" i="7" s="1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B203" i="7"/>
  <c r="D203" i="7" s="1"/>
  <c r="B202" i="7"/>
  <c r="D202" i="7" s="1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B185" i="7"/>
  <c r="D185" i="7" s="1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B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B522" i="6"/>
  <c r="D522" i="6" s="1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B486" i="6"/>
  <c r="D486" i="6" s="1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B461" i="6"/>
  <c r="D461" i="6" s="1"/>
  <c r="D460" i="6"/>
  <c r="D459" i="6"/>
  <c r="D458" i="6"/>
  <c r="D457" i="6"/>
  <c r="D456" i="6"/>
  <c r="D455" i="6"/>
  <c r="B454" i="6"/>
  <c r="D454" i="6" s="1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B385" i="6"/>
  <c r="D385" i="6" s="1"/>
  <c r="D384" i="6"/>
  <c r="D383" i="6"/>
  <c r="D382" i="6"/>
  <c r="D381" i="6"/>
  <c r="D380" i="6"/>
  <c r="D379" i="6"/>
  <c r="D378" i="6"/>
  <c r="B377" i="6"/>
  <c r="D377" i="6" s="1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1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B259" i="6"/>
  <c r="D259" i="6" s="1"/>
  <c r="D258" i="6"/>
  <c r="D257" i="6"/>
  <c r="D256" i="6"/>
  <c r="D255" i="6"/>
  <c r="D254" i="6"/>
  <c r="D253" i="6"/>
  <c r="D252" i="6"/>
  <c r="B251" i="6"/>
  <c r="D251" i="6" s="1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B202" i="6"/>
  <c r="D202" i="6" s="1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B64" i="6"/>
  <c r="D64" i="6" s="1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555" i="5"/>
  <c r="E552" i="5"/>
  <c r="E541" i="5"/>
  <c r="E519" i="5"/>
  <c r="E503" i="5"/>
  <c r="E471" i="5"/>
  <c r="E460" i="5"/>
  <c r="E426" i="5"/>
  <c r="E413" i="5"/>
  <c r="E388" i="5"/>
  <c r="E361" i="5"/>
  <c r="E328" i="5"/>
  <c r="E295" i="5"/>
  <c r="E292" i="5"/>
  <c r="E289" i="5"/>
  <c r="E275" i="5"/>
  <c r="E270" i="5"/>
  <c r="E264" i="5"/>
  <c r="E260" i="5"/>
  <c r="E252" i="5"/>
  <c r="E228" i="5"/>
  <c r="E217" i="5"/>
  <c r="E210" i="5"/>
  <c r="E206" i="5"/>
  <c r="E204" i="5"/>
  <c r="E203" i="5"/>
  <c r="E185" i="5"/>
  <c r="E170" i="5"/>
  <c r="E88" i="5"/>
  <c r="E82" i="5"/>
  <c r="E81" i="5"/>
  <c r="E71" i="5"/>
  <c r="E65" i="5"/>
  <c r="E54" i="5"/>
  <c r="E39" i="5"/>
  <c r="E26" i="5"/>
  <c r="E21" i="5"/>
  <c r="E19" i="5"/>
  <c r="E16" i="5"/>
  <c r="D555" i="4"/>
  <c r="E555" i="4" s="1"/>
  <c r="D541" i="4"/>
  <c r="E541" i="4" s="1"/>
  <c r="E519" i="4"/>
  <c r="E503" i="4"/>
  <c r="E496" i="4"/>
  <c r="E491" i="4"/>
  <c r="D471" i="4"/>
  <c r="E471" i="4" s="1"/>
  <c r="D460" i="4"/>
  <c r="E460" i="4" s="1"/>
  <c r="D426" i="4"/>
  <c r="E426" i="4" s="1"/>
  <c r="D413" i="4"/>
  <c r="E413" i="4" s="1"/>
  <c r="D388" i="4"/>
  <c r="E388" i="4" s="1"/>
  <c r="E386" i="4"/>
  <c r="D361" i="4"/>
  <c r="E361" i="4" s="1"/>
  <c r="D354" i="4"/>
  <c r="E354" i="4" s="1"/>
  <c r="D347" i="4"/>
  <c r="E347" i="4" s="1"/>
  <c r="E336" i="4"/>
  <c r="E328" i="4"/>
  <c r="E316" i="4"/>
  <c r="E311" i="4"/>
  <c r="E295" i="4"/>
  <c r="D275" i="4"/>
  <c r="E275" i="4" s="1"/>
  <c r="E271" i="4"/>
  <c r="D264" i="4"/>
  <c r="E264" i="4" s="1"/>
  <c r="D260" i="4"/>
  <c r="E260" i="4" s="1"/>
  <c r="D255" i="4"/>
  <c r="E255" i="4" s="1"/>
  <c r="D252" i="4"/>
  <c r="E252" i="4" s="1"/>
  <c r="D249" i="4"/>
  <c r="E249" i="4" s="1"/>
  <c r="D228" i="4"/>
  <c r="E228" i="4" s="1"/>
  <c r="D217" i="4"/>
  <c r="E217" i="4" s="1"/>
  <c r="E212" i="4"/>
  <c r="E210" i="4"/>
  <c r="D206" i="4"/>
  <c r="E206" i="4" s="1"/>
  <c r="D204" i="4"/>
  <c r="E204" i="4" s="1"/>
  <c r="D203" i="4"/>
  <c r="E203" i="4" s="1"/>
  <c r="D188" i="4"/>
  <c r="E188" i="4" s="1"/>
  <c r="D186" i="4"/>
  <c r="E186" i="4" s="1"/>
  <c r="D185" i="4"/>
  <c r="E185" i="4" s="1"/>
  <c r="D176" i="4"/>
  <c r="E176" i="4" s="1"/>
  <c r="E172" i="4"/>
  <c r="E164" i="4"/>
  <c r="E155" i="4"/>
  <c r="E152" i="4"/>
  <c r="E148" i="4"/>
  <c r="E134" i="4"/>
  <c r="E105" i="4"/>
  <c r="E81" i="4"/>
  <c r="D65" i="4"/>
  <c r="E65" i="4" s="1"/>
  <c r="E58" i="4"/>
  <c r="E48" i="4"/>
  <c r="E46" i="4"/>
  <c r="E41" i="4"/>
  <c r="D39" i="4"/>
  <c r="E39" i="4" s="1"/>
  <c r="D29" i="4"/>
  <c r="E29" i="4" s="1"/>
  <c r="D26" i="4"/>
  <c r="E26" i="4" s="1"/>
  <c r="D21" i="4"/>
  <c r="E21" i="4" s="1"/>
  <c r="D19" i="4"/>
  <c r="E19" i="4" s="1"/>
  <c r="D16" i="4"/>
  <c r="E16" i="4" s="1"/>
  <c r="D4" i="4"/>
  <c r="E4" i="4" s="1"/>
  <c r="E555" i="3"/>
  <c r="E550" i="3"/>
  <c r="E541" i="3"/>
  <c r="E519" i="3"/>
  <c r="E503" i="3"/>
  <c r="E471" i="3"/>
  <c r="E460" i="3"/>
  <c r="E426" i="3"/>
  <c r="E413" i="3"/>
  <c r="E388" i="3"/>
  <c r="E361" i="3"/>
  <c r="E354" i="3"/>
  <c r="E347" i="3"/>
  <c r="E289" i="3"/>
  <c r="E275" i="3"/>
  <c r="E264" i="3"/>
  <c r="E260" i="3"/>
  <c r="E255" i="3"/>
  <c r="E252" i="3"/>
  <c r="E249" i="3"/>
  <c r="E228" i="3"/>
  <c r="E219" i="3"/>
  <c r="E217" i="3"/>
  <c r="E206" i="3"/>
  <c r="E204" i="3"/>
  <c r="E203" i="3"/>
  <c r="E188" i="3"/>
  <c r="E186" i="3"/>
  <c r="E185" i="3"/>
  <c r="E176" i="3"/>
  <c r="E139" i="3"/>
  <c r="E88" i="3"/>
  <c r="E86" i="3"/>
  <c r="E82" i="3"/>
  <c r="E73" i="3"/>
  <c r="E65" i="3"/>
  <c r="E64" i="3"/>
  <c r="E39" i="3"/>
  <c r="E29" i="3"/>
  <c r="E27" i="3"/>
  <c r="E26" i="3"/>
  <c r="E21" i="3"/>
  <c r="E20" i="3"/>
  <c r="E16" i="3"/>
  <c r="E4" i="3"/>
  <c r="E567" i="1"/>
  <c r="E555" i="1"/>
  <c r="E541" i="1"/>
  <c r="E519" i="1"/>
  <c r="E503" i="1"/>
  <c r="E496" i="1"/>
  <c r="E471" i="1"/>
  <c r="E453" i="1"/>
  <c r="E413" i="1"/>
  <c r="E388" i="1"/>
  <c r="E361" i="1"/>
  <c r="E354" i="1"/>
  <c r="E347" i="1"/>
  <c r="E292" i="1"/>
  <c r="E289" i="1"/>
  <c r="E275" i="1"/>
  <c r="E271" i="1"/>
  <c r="E264" i="1"/>
  <c r="E262" i="1"/>
  <c r="E260" i="1"/>
  <c r="E254" i="1"/>
  <c r="E252" i="1"/>
  <c r="E249" i="1"/>
  <c r="E228" i="1"/>
  <c r="E219" i="1"/>
  <c r="E213" i="1"/>
  <c r="E204" i="1"/>
  <c r="E203" i="1"/>
  <c r="E188" i="1"/>
  <c r="E186" i="1"/>
  <c r="E176" i="1"/>
  <c r="E170" i="1"/>
  <c r="E167" i="1"/>
  <c r="E139" i="1"/>
  <c r="E112" i="1"/>
  <c r="E92" i="1"/>
  <c r="E86" i="1"/>
  <c r="E82" i="1"/>
  <c r="E81" i="1"/>
  <c r="E62" i="1"/>
  <c r="E58" i="1"/>
  <c r="E39" i="1"/>
  <c r="E29" i="1"/>
  <c r="E27" i="1"/>
  <c r="E26" i="1"/>
  <c r="E21" i="1"/>
  <c r="E16" i="1"/>
  <c r="E671" i="3" l="1"/>
  <c r="D205" i="10"/>
  <c r="E671" i="5"/>
  <c r="B672" i="7"/>
  <c r="E341" i="3"/>
  <c r="E673" i="3" s="1"/>
  <c r="E341" i="1"/>
  <c r="D672" i="7"/>
  <c r="B340" i="8"/>
  <c r="D542" i="11"/>
  <c r="D672" i="11" s="1"/>
  <c r="D395" i="12"/>
  <c r="D149" i="10"/>
  <c r="D207" i="10" s="1"/>
  <c r="B340" i="7"/>
  <c r="D28" i="7"/>
  <c r="D340" i="7" s="1"/>
  <c r="B340" i="9"/>
  <c r="D672" i="9"/>
  <c r="D672" i="8"/>
  <c r="B340" i="6"/>
  <c r="E341" i="5"/>
  <c r="D25" i="9"/>
  <c r="D340" i="9" s="1"/>
  <c r="B672" i="9"/>
  <c r="E671" i="1"/>
  <c r="E672" i="1" s="1"/>
  <c r="D340" i="8"/>
  <c r="B340" i="11"/>
  <c r="B672" i="8"/>
  <c r="D340" i="6"/>
  <c r="D340" i="12"/>
  <c r="D340" i="11"/>
  <c r="E341" i="4"/>
  <c r="E671" i="4"/>
  <c r="D672" i="6"/>
  <c r="B672" i="6"/>
  <c r="B340" i="12"/>
  <c r="E673" i="5" l="1"/>
  <c r="E673" i="1"/>
  <c r="D674" i="8"/>
  <c r="E672" i="3"/>
  <c r="D674" i="9"/>
  <c r="D674" i="11"/>
  <c r="E672" i="5"/>
  <c r="D674" i="7"/>
  <c r="D397" i="12"/>
  <c r="D674" i="6"/>
  <c r="E673" i="4"/>
  <c r="E672" i="4"/>
</calcChain>
</file>

<file path=xl/sharedStrings.xml><?xml version="1.0" encoding="utf-8"?>
<sst xmlns="http://schemas.openxmlformats.org/spreadsheetml/2006/main" count="22110" uniqueCount="445">
  <si>
    <t xml:space="preserve">Stock </t>
  </si>
  <si>
    <t>TÊN SẢN PHẨM VR</t>
  </si>
  <si>
    <t>ĐVT</t>
  </si>
  <si>
    <t>TỒN TRƯỚC</t>
  </si>
  <si>
    <t>GIÁ NHẬP</t>
  </si>
  <si>
    <t>THÀNH TIỀN</t>
  </si>
  <si>
    <t>BẮP CẢI TÍM</t>
  </si>
  <si>
    <t>Kg</t>
  </si>
  <si>
    <t>BẮP CẢI TÍM (BẮP)</t>
  </si>
  <si>
    <t>BẮP</t>
  </si>
  <si>
    <t>BẮP CẢI TÍM SUSHI</t>
  </si>
  <si>
    <t>BẮP CẢI TRẮNG</t>
  </si>
  <si>
    <t>BẮP CẢI TRẮNG (BẮP)</t>
  </si>
  <si>
    <t>BẮP CẢI TRẮNG MỘC CHÂU</t>
  </si>
  <si>
    <t>BẮP CẢI TRẮNG SÓI BIỂN</t>
  </si>
  <si>
    <t>BẮP CẢI TRẮNG SUSHI</t>
  </si>
  <si>
    <t>BẮP MỸ CẶP</t>
  </si>
  <si>
    <t>CẶP</t>
  </si>
  <si>
    <t>BẦU</t>
  </si>
  <si>
    <t>BÍ ĐAO XANH</t>
  </si>
  <si>
    <t>BÍ ĐAO XANH 400G</t>
  </si>
  <si>
    <t>TRÁI</t>
  </si>
  <si>
    <t>BÍ ĐỎ HỒ LÔ</t>
  </si>
  <si>
    <t>BÍ ĐỎ MINI</t>
  </si>
  <si>
    <t>BÍ ĐỎ NON (KG)KQ</t>
  </si>
  <si>
    <t>BÍ ĐỎ NON TRÁI VR</t>
  </si>
  <si>
    <t>BÍ ĐỎ NON( KG) VR</t>
  </si>
  <si>
    <t>BÍ ĐỎ TRÒN</t>
  </si>
  <si>
    <t>BÍ MINI VÀNG 300GR</t>
  </si>
  <si>
    <t>BÍ MINI VÀNG KG</t>
  </si>
  <si>
    <t>BÍ NGÒI VÀNG</t>
  </si>
  <si>
    <t>BÍ NGÒI VÀNG (TRÁI)</t>
  </si>
  <si>
    <t>BÍ NGÒI XANH</t>
  </si>
  <si>
    <t>BÍ NGÒI XANH(TRÁI)</t>
  </si>
  <si>
    <t>BÍ NHẬT</t>
  </si>
  <si>
    <t>BƠ 034</t>
  </si>
  <si>
    <t>BƠ 034 COOP</t>
  </si>
  <si>
    <t>BƠ BOOTH</t>
  </si>
  <si>
    <t>BO HOA CHUONG</t>
  </si>
  <si>
    <t>BÓ</t>
  </si>
  <si>
    <t>BO HOA CUC TANA</t>
  </si>
  <si>
    <t>BO HOA DONG TIEN HN</t>
  </si>
  <si>
    <t>BO HOA LOA KEN</t>
  </si>
  <si>
    <t>BO HOA PHANG</t>
  </si>
  <si>
    <t>BO HOA SEN QUAN AM</t>
  </si>
  <si>
    <t>BO HOA SEN SUPER</t>
  </si>
  <si>
    <t>BƠ SÁP</t>
  </si>
  <si>
    <t>BÓ XÔI</t>
  </si>
  <si>
    <t>BÓ XÔI 300G VR</t>
  </si>
  <si>
    <t>TÚI</t>
  </si>
  <si>
    <t>BÓ XÔI-NA</t>
  </si>
  <si>
    <t>BÔNG ATISO</t>
  </si>
  <si>
    <t>BÔNG BÍ</t>
  </si>
  <si>
    <t>BÔNG BÍ TÚI 300GR</t>
  </si>
  <si>
    <t>VỈ</t>
  </si>
  <si>
    <t>BÔNG CẢI TRẮNG</t>
  </si>
  <si>
    <t>BÔNG CẢI TRẮNG (CÂY)</t>
  </si>
  <si>
    <t>CÂY</t>
  </si>
  <si>
    <t>BÔNG CẢI XANH 10P</t>
  </si>
  <si>
    <t>BÔNG CẢI XANH AEON</t>
  </si>
  <si>
    <t>BÔNG CẢI XANH AEON (CÂY)</t>
  </si>
  <si>
    <t>BÔNG CẢI XANH BABY (KG)</t>
  </si>
  <si>
    <t>BÔNG CẢI XANH BABY 200G</t>
  </si>
  <si>
    <t>BÔNG CẢI XANH BIGC</t>
  </si>
  <si>
    <t>BÔNG CẢI XANH CITI</t>
  </si>
  <si>
    <t>CÀ CHUA</t>
  </si>
  <si>
    <t>CÀ CHUA BI</t>
  </si>
  <si>
    <t>CÀ CHUA BI (HỘP) 300GR KQ</t>
  </si>
  <si>
    <t>HỘP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</si>
  <si>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</si>
  <si>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</si>
  <si>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</si>
  <si>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</si>
  <si>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</si>
  <si>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</si>
  <si>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CHERRY MIX 300G</t>
  </si>
  <si>
    <t>CÀ CHUA L1</t>
  </si>
  <si>
    <t>CÀ CHUA MỘC CHÂU</t>
  </si>
  <si>
    <t>CÀ CHUA NGỌT</t>
  </si>
  <si>
    <t>CÀ CHUA NGỌT 300GR (KG)</t>
  </si>
  <si>
    <t>CÀ CHUA NGỌT XÁ</t>
  </si>
  <si>
    <t>CÀ CHUA ROSEBERRY 300G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</si>
  <si>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</si>
  <si>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</si>
  <si>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</si>
  <si>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</si>
  <si>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</si>
  <si>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</si>
  <si>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</si>
  <si>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CHUA VỈ 400GR</t>
  </si>
  <si>
    <t>CÀ CHUA Ý</t>
  </si>
  <si>
    <t>CÀ CHUA Ý 500G</t>
  </si>
  <si>
    <t>CÀ CHUA Ý CHÙM</t>
  </si>
  <si>
    <t>KG</t>
  </si>
  <si>
    <t>CÀ CHUA Ý(VỈ) KG</t>
  </si>
  <si>
    <t>CÀ CHUA Ý(VỈ) KG KQ</t>
  </si>
  <si>
    <t>CÀ RỐT BABY</t>
  </si>
  <si>
    <t>CÀ RỐT BABY (KG) KQ</t>
  </si>
  <si>
    <t>CÀ RỐT BABY 200GR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</si>
  <si>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</si>
  <si>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</si>
  <si>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</si>
  <si>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</si>
  <si>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</si>
  <si>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CÀ TÍM</t>
  </si>
  <si>
    <t>CÀ TÍM CẶP 400G</t>
  </si>
  <si>
    <t>CÀ TÍM SỌC PHA LÊ 300G</t>
  </si>
  <si>
    <t>CÀ TÍM SỌC PHA LÊ HỘP 500GR  VR</t>
  </si>
  <si>
    <t>CÀ TÍM SỌC PHA LÊ TÍM (KG) VR</t>
  </si>
  <si>
    <t>CÀ Ý VỈ 650GR</t>
  </si>
  <si>
    <t>CẢI CẦU VỒNG</t>
  </si>
  <si>
    <t>CẢI CẦU VỒNG 300GR</t>
  </si>
  <si>
    <t>CẢI CÚC 300GR</t>
  </si>
  <si>
    <t>CẢI KALE</t>
  </si>
  <si>
    <t>CẢI KALE 150GR</t>
  </si>
  <si>
    <t>CẢI KALE 300GR</t>
  </si>
  <si>
    <t>CẢI MÈO MỘC CHÂU</t>
  </si>
  <si>
    <t>CẢI THẢO DL</t>
  </si>
  <si>
    <t>CẢI THẢO DL(BẮP)</t>
  </si>
  <si>
    <t>CẢI THẢO HỎA TIỄN</t>
  </si>
  <si>
    <t>CẢI THẢO HỎA TIỄN 250GR</t>
  </si>
  <si>
    <t>CẢI THẢO KIM CHI</t>
  </si>
  <si>
    <t>CẢI THẢO MỘC CHÂU</t>
  </si>
  <si>
    <t>CẢI THẢO VR</t>
  </si>
  <si>
    <t>CẦN TÂY (KG)</t>
  </si>
  <si>
    <t>CẦN TÂY THUỶ CANH</t>
  </si>
  <si>
    <t>CẦN TÂY(CÂY)</t>
  </si>
  <si>
    <t>CHANH DÂY</t>
  </si>
  <si>
    <t>CHANH DÂY NGỌT L2</t>
  </si>
  <si>
    <t>CHANH DÂY NGỌT VỈ 300GR</t>
  </si>
  <si>
    <t>CHANH KHÔNG HẠT</t>
  </si>
  <si>
    <t>CHANH VÀNG (KG)</t>
  </si>
  <si>
    <t>CHANH VÀNG TRÁI 180UP</t>
  </si>
  <si>
    <t>CHẬU CÂY CẢI CẦU VỒNG</t>
  </si>
  <si>
    <t>CHẬU</t>
  </si>
  <si>
    <t>CHẬU CÂY CẢI KALE</t>
  </si>
  <si>
    <t>CHẬU CÂY CẦN TÂY</t>
  </si>
  <si>
    <t>CHUỐI LABA</t>
  </si>
  <si>
    <t>CÓC NON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</si>
  <si>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</si>
  <si>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</si>
  <si>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</si>
  <si>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</si>
  <si>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</si>
  <si>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</si>
  <si>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CỦ CẢI MUỐI (VỈ) 250G KQ</t>
  </si>
  <si>
    <t>CỦ CẢI MUỐI(KG)</t>
  </si>
  <si>
    <t>CỦ CẢI TRẮNG</t>
  </si>
  <si>
    <t>CỦ CẢI TRẮNG CẶP 400GR</t>
  </si>
  <si>
    <t>CỦ ĐẬU 400G</t>
  </si>
  <si>
    <t>CỦ DỀN</t>
  </si>
  <si>
    <t>CỦ DỀN 600G</t>
  </si>
  <si>
    <t>CỦ HÀNH ĐỎ</t>
  </si>
  <si>
    <t>CỦ HÀNH ĐỎ 500GR</t>
  </si>
  <si>
    <t>CỦ NGHỆ</t>
  </si>
  <si>
    <t>ĐÀO VN</t>
  </si>
  <si>
    <t>ĐẬU BO</t>
  </si>
  <si>
    <t>ĐẬU BO 250GR</t>
  </si>
  <si>
    <t>ĐẬU COVE MỘC CHÂU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</si>
  <si>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</si>
  <si>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</si>
  <si>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</si>
  <si>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</si>
  <si>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</si>
  <si>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</si>
  <si>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</si>
  <si>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</si>
  <si>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NA)</t>
  </si>
  <si>
    <t>ĐẬU QUE TRẮNG (KG) VR</t>
  </si>
  <si>
    <t>ĐẬU QUE TRẮNG (TÚI) KQ</t>
  </si>
  <si>
    <t>ĐẬU QUE TRẮNG (TÚI) VR</t>
  </si>
  <si>
    <t>ĐẬU QUE TRẮNG (TÚI) VR 300gr</t>
  </si>
  <si>
    <t>ĐẬU QUE XANH (KG) KQ</t>
  </si>
  <si>
    <t>ĐẬU QUE XANH( KG) VR</t>
  </si>
  <si>
    <t>ĐẬU QUE XANH( TÚI) KQ</t>
  </si>
  <si>
    <t>ĐẬU QUE XANH( TÚI) VR</t>
  </si>
  <si>
    <t>DAU THAP CAM (HON HOP) TUOI 100G</t>
  </si>
  <si>
    <t>ĐẬU TRẮNG</t>
  </si>
  <si>
    <t>ĐẬU TRẮNG 250GR</t>
  </si>
  <si>
    <t>DỨA 350G</t>
  </si>
  <si>
    <t>DƯA LEO</t>
  </si>
  <si>
    <t>DƯA LEO 400G</t>
  </si>
  <si>
    <t>DƯA LEO BABY KQ(KG)</t>
  </si>
  <si>
    <t>DƯA LEO BABY VR</t>
  </si>
  <si>
    <t>DƯA LEO BABY VR 300G</t>
  </si>
  <si>
    <t>DƯA LEO BABY VR(KG)</t>
  </si>
  <si>
    <t>DƯA LEO BABY VR(KG)-NA</t>
  </si>
  <si>
    <t>DƯA LEO BABY XÁ</t>
  </si>
  <si>
    <t>DƯA LEO GIỐNG NHẬT 600GR</t>
  </si>
  <si>
    <t>DƯA LEO GIỐNG NHẬT KG</t>
  </si>
  <si>
    <t>DƯA LEO KG (VỈ)</t>
  </si>
  <si>
    <t>GỪNG</t>
  </si>
  <si>
    <t>GỪNG 250GR</t>
  </si>
  <si>
    <t>HÀNH LÁ</t>
  </si>
  <si>
    <t>HÀNH LÁ THUỶ CANH</t>
  </si>
  <si>
    <t>HÀNH LÁ THUỶ CANH(KG)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</si>
  <si>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</si>
  <si>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</si>
  <si>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</si>
  <si>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</si>
  <si>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</si>
  <si>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</si>
  <si>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</si>
  <si>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</si>
  <si>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HẠT DẺ TƯƠI BẮC KINH</t>
  </si>
  <si>
    <t>HẠT DẺ TƯƠI SIZE 24</t>
  </si>
  <si>
    <t>HẠT DẺ TƯƠI SIZE 26</t>
  </si>
  <si>
    <t>HẠT DẺ TƯƠI TÚI 500GR</t>
  </si>
  <si>
    <t>HỒNG GIÒN</t>
  </si>
  <si>
    <t>HỒNG TREO GIÓ</t>
  </si>
  <si>
    <t>HÚNG CAY 50G VR</t>
  </si>
  <si>
    <t>HÚNG LỦI TA 50G VR</t>
  </si>
  <si>
    <t>HÚNG QUẾ 50G VR</t>
  </si>
  <si>
    <t>HƯƠNG THẢO 50G VGR</t>
  </si>
  <si>
    <t>KHỔ QUA</t>
  </si>
  <si>
    <t>KHỔ QUA 400GR</t>
  </si>
  <si>
    <t>KHOAI LANG MẬT (KG) 2-3 CỦ</t>
  </si>
  <si>
    <t>KHOAI LANG MẬT (KG) 4-6 CỦ</t>
  </si>
  <si>
    <t>KHOAI LANG MẬT 500G VR</t>
  </si>
  <si>
    <t>KHOAI LANG NHẬT</t>
  </si>
  <si>
    <t>KHOAI LANG TÚI LƯỚI 1KG</t>
  </si>
  <si>
    <t>KHOAI LANG TÚI LƯỚI 500GR</t>
  </si>
  <si>
    <t>KHOAI MỠ</t>
  </si>
  <si>
    <t>KHOAI MÔN CAO</t>
  </si>
  <si>
    <t>KHOAI MÔN SỌ</t>
  </si>
  <si>
    <t>KHOAI TÂY BI</t>
  </si>
  <si>
    <t>KHOAI TÂY BI 500G VR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</si>
  <si>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</si>
  <si>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</si>
  <si>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</si>
  <si>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</si>
  <si>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</si>
  <si>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TRUNG TÚI LƯỚI 500G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</si>
  <si>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</si>
  <si>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</si>
  <si>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</si>
  <si>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</si>
  <si>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</si>
  <si>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</si>
  <si>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</si>
  <si>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</si>
  <si>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LÊ</t>
  </si>
  <si>
    <t>MÂM XÔI ĐEN</t>
  </si>
  <si>
    <t>MẬN HẬU 500G</t>
  </si>
  <si>
    <t>MẬN HẬU ĐẶC BIỆT</t>
  </si>
  <si>
    <t>MẬN RUBY</t>
  </si>
  <si>
    <t>MĂNG TÂY</t>
  </si>
  <si>
    <t>MĂNG TÂY 300GR</t>
  </si>
  <si>
    <t>MIT RUOT DO XE</t>
  </si>
  <si>
    <t>MÍT THÁI</t>
  </si>
  <si>
    <t>MÍT TỐ NỮ</t>
  </si>
  <si>
    <t>MỒNG TƠI</t>
  </si>
  <si>
    <t>MƯỚP HƯƠNG</t>
  </si>
  <si>
    <t>MƯỚP HƯƠNG 300G</t>
  </si>
  <si>
    <t>NẤM MỠ NÂU 170G</t>
  </si>
  <si>
    <t>NẤM MỠ TRẮNG 170G</t>
  </si>
  <si>
    <t>NGÒ GAI 50G VR</t>
  </si>
  <si>
    <t>NGÒ RÍ</t>
  </si>
  <si>
    <t>NGÒ RÍ TÚI 50GR</t>
  </si>
  <si>
    <t>NGÒ TÂY</t>
  </si>
  <si>
    <t>NGÒ TÂY 50G VR</t>
  </si>
  <si>
    <t>NGUYEN LIEU COM CHIEN DUONG CHAU AL 150G</t>
  </si>
  <si>
    <t>NHA DAM</t>
  </si>
  <si>
    <t>ỔI GĂNG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</si>
  <si>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</si>
  <si>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</si>
  <si>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</si>
  <si>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</si>
  <si>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</si>
  <si>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</si>
  <si>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</si>
  <si>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MÀU SNACK MÀU</t>
  </si>
  <si>
    <t>ỚT CHUÔNG MÀU SNACK MÀU(KG) KQ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</si>
  <si>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</si>
  <si>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</si>
  <si>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</si>
  <si>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</si>
  <si>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</si>
  <si>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</si>
  <si>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</si>
  <si>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ỚT HIỂM</t>
  </si>
  <si>
    <t>ỚT HIỂM 100G</t>
  </si>
  <si>
    <t>OT HIEM XANH</t>
  </si>
  <si>
    <t>ỚT NGỌT PALERMO (KG) VR</t>
  </si>
  <si>
    <t>ỚT NGỌT PALERMO TÚI 300GR</t>
  </si>
  <si>
    <t>ỚT SỪNG</t>
  </si>
  <si>
    <t>ỚT SỪNG VÀNG</t>
  </si>
  <si>
    <t>ỚT TRÁI CÂY TÚI 150GR</t>
  </si>
  <si>
    <t>PARO</t>
  </si>
  <si>
    <t>PARO (CÂY)</t>
  </si>
  <si>
    <t>QUẢ MƠ</t>
  </si>
  <si>
    <t>QUẾ TÂY 50G VR</t>
  </si>
  <si>
    <t>RAU BẦU ĐẤT</t>
  </si>
  <si>
    <t>RAU DIẾP CÁ 50G</t>
  </si>
  <si>
    <t>RAU RĂM 50G VR</t>
  </si>
  <si>
    <t>ROCKET</t>
  </si>
  <si>
    <t>ROCKET 200G</t>
  </si>
  <si>
    <t>SẦU RIÊNG RI 6</t>
  </si>
  <si>
    <t>SẤU TƯƠI</t>
  </si>
  <si>
    <t>SET ỚT CHUÔNG BABY 250G</t>
  </si>
  <si>
    <t>SET RAU KÈM ỚT</t>
  </si>
  <si>
    <t>SET RAU KHÔNG KÈM ỚT</t>
  </si>
  <si>
    <t>SU HÀO</t>
  </si>
  <si>
    <t>SU HÀO 400G</t>
  </si>
  <si>
    <t>SU HÀO MỘC CHÂU</t>
  </si>
  <si>
    <t>SU SU</t>
  </si>
  <si>
    <t>SU SU 400G</t>
  </si>
  <si>
    <t>SU SU MỘC CHÂU</t>
  </si>
  <si>
    <t>SÚ TRÁI TIM</t>
  </si>
  <si>
    <t>SÚ TRÁI TIM (BẮP)</t>
  </si>
  <si>
    <t>SUNG GIỐNG MỸ 300G</t>
  </si>
  <si>
    <t>THÌ LÀ</t>
  </si>
  <si>
    <t>THÌ LÀ TÚI 80GR</t>
  </si>
  <si>
    <t>TÍA TÔ 50G</t>
  </si>
  <si>
    <t>TỎI</t>
  </si>
  <si>
    <t>TỎI 250G</t>
  </si>
  <si>
    <t>TRÁI SAKE</t>
  </si>
  <si>
    <t>VẢI THIỀU MB</t>
  </si>
  <si>
    <t>VÚ SỮA</t>
  </si>
  <si>
    <t>XẠ HƯƠNG</t>
  </si>
  <si>
    <t>XÀ LÁCH BÚP MỠ</t>
  </si>
  <si>
    <t>XÀ LÁCH CAROL</t>
  </si>
  <si>
    <t>XÀ LÁCH LOLO TÍM</t>
  </si>
  <si>
    <t>XÀ LÁCH LOLO TÍM TÚI 300G</t>
  </si>
  <si>
    <t>XÀ LÁCH LOLO XANH</t>
  </si>
  <si>
    <t>XÀ LÁCH LOLO XANH SUSHI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</si>
  <si>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</si>
  <si>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</si>
  <si>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</si>
  <si>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</si>
  <si>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</si>
  <si>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</si>
  <si>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</si>
  <si>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</si>
  <si>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</si>
  <si>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(KG)</t>
  </si>
  <si>
    <t>XÀ LÁCH ROMEN THUỶ CANH (KG) VR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</si>
  <si>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</si>
  <si>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</si>
  <si>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</si>
  <si>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</si>
  <si>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</si>
  <si>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</si>
  <si>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</si>
  <si>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</si>
  <si>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</si>
  <si>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</si>
  <si>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</si>
  <si>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</si>
  <si>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</si>
  <si>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</si>
  <si>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</si>
  <si>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XOÀI CẮT 200G</t>
  </si>
  <si>
    <t>XOÀI CÁT HOÀ LỘC</t>
  </si>
  <si>
    <t>TÊN SẢN PHẨM KQ</t>
  </si>
  <si>
    <t>BẮP MỸ</t>
  </si>
  <si>
    <t>BÓ XÔI-HN KQ</t>
  </si>
  <si>
    <t>CÀ CHUA VR</t>
  </si>
  <si>
    <t>CẢI CANH</t>
  </si>
  <si>
    <t>CẢI CHÍP</t>
  </si>
  <si>
    <t>CẢI CÚC 500GR</t>
  </si>
  <si>
    <t>CẢI NGỌT</t>
  </si>
  <si>
    <t>CHANH DÂY TÍM</t>
  </si>
  <si>
    <t>CỦ SẮN</t>
  </si>
  <si>
    <t>ĐẬU QUE TRẮNG (KG) KQ</t>
  </si>
  <si>
    <t>DƯA LEO BABY KQ</t>
  </si>
  <si>
    <t>KHOAI LANG MẬT 500G KQ</t>
  </si>
  <si>
    <t>KHOAI SỌ</t>
  </si>
  <si>
    <t>KHOAI TÂY BI TÚI LƯỚI 500GR</t>
  </si>
  <si>
    <t>KHOAI TÂY DT TÚI LƯỚI 1KG</t>
  </si>
  <si>
    <t>KHOAI TÂY VÀNG RỬA</t>
  </si>
  <si>
    <t>MẬN HẬU</t>
  </si>
  <si>
    <t>MẬN HẬU 500G VIP</t>
  </si>
  <si>
    <t>ỚT NGỌT PALERMO (KG) KQ</t>
  </si>
  <si>
    <t>ỚT NGỌT PALERMO TÚI 300GR KQ</t>
  </si>
  <si>
    <t>ỚT SỪNG 100G</t>
  </si>
  <si>
    <t>RAU NGÓT</t>
  </si>
  <si>
    <t>TỎI CÔ ĐƠN</t>
  </si>
  <si>
    <t>VẢI THANH HÀ</t>
  </si>
  <si>
    <t>XẢ CÂY</t>
  </si>
  <si>
    <t>hàng tồn cuối ngày 5/7 vr</t>
  </si>
  <si>
    <t>TÊN SẢN PHẨM</t>
  </si>
  <si>
    <t>NGÀY 07 /07/2024</t>
  </si>
  <si>
    <t>hàng tồn cuối ngày 6/7 vr</t>
  </si>
  <si>
    <t>KHỔ QUA KG(VỈ)</t>
  </si>
  <si>
    <t>hàng tồn cuối ngày 6/7 kq</t>
  </si>
  <si>
    <t>hàng tồn cuối ngày 7/7 vr</t>
  </si>
  <si>
    <t xml:space="preserve">GIÁ NHẬP </t>
  </si>
  <si>
    <t>NGÀY  09/07/2024</t>
  </si>
  <si>
    <t>hàng tồn cuối ngày 8/7 vr</t>
  </si>
  <si>
    <t>hàng tồn cuối ngày 8/7 kq</t>
  </si>
  <si>
    <t>GIÁ NHÂP</t>
  </si>
  <si>
    <t>hàng tồn cuối ngày 9/7 vr</t>
  </si>
  <si>
    <t>hàng tồn cuối ngày 9/7 kq</t>
  </si>
  <si>
    <t>hàng tồn cuối ngày 10/7 vr</t>
  </si>
  <si>
    <t>hàng tồn cuối ngày 10/7 kq</t>
  </si>
  <si>
    <t xml:space="preserve"> THÀNH TIỀN</t>
  </si>
  <si>
    <t>hàng tồn cuối ngày 11/7 vr</t>
  </si>
  <si>
    <t>hàng tồn cuối ngày 11/7 kq</t>
  </si>
  <si>
    <t>hàng tồn cuối ngày 12/7 vr</t>
  </si>
  <si>
    <t>hàng tồn cuối ngày 12/7 kq</t>
  </si>
  <si>
    <t>hàng tồn cuối ngày 13/7 vr</t>
  </si>
  <si>
    <t>hàng tồn cuối ngày 13/7 kq</t>
  </si>
  <si>
    <t>hàng tồn cuối ngaỳ 14/7 vr</t>
  </si>
  <si>
    <t>hàng tồn cuối ngày 14/7 kq</t>
  </si>
  <si>
    <t>hàng tồn cuối ngày 15/7 vr</t>
  </si>
  <si>
    <t>hàng tồn cuối ngày 16/7 vr</t>
  </si>
  <si>
    <t>hàng tồn cuối ngày 15/7 kq</t>
  </si>
  <si>
    <t>hàng tồn cuối ngày 16/7 kq</t>
  </si>
  <si>
    <t>hàng tồn cuối ngày 17/7 vr</t>
  </si>
  <si>
    <t>hàng tồn cuối ngày 17/9 kq</t>
  </si>
  <si>
    <t>hàng tồn cuối ngày 18/7 vr</t>
  </si>
  <si>
    <t>hàng tồn cuối ngày 18/7 kq</t>
  </si>
  <si>
    <t>hàng tồn cuối ngày 20/7 vr</t>
  </si>
  <si>
    <t>hàng tồn cuối ngày 20/7 kq</t>
  </si>
  <si>
    <t>hàng tồn cuối ngày 21/7 vr</t>
  </si>
  <si>
    <t>hàng tồn cuối ngày 21/7 kq</t>
  </si>
  <si>
    <t>hàng tồn cuối ngày 22/7 vr</t>
  </si>
  <si>
    <t>hàng tồn cuối ngày 22/7 kq</t>
  </si>
  <si>
    <t>hàng tồn cuối ngày 23/7 vr</t>
  </si>
  <si>
    <t>hàng tồn cuối ngày 23/7 kq</t>
  </si>
  <si>
    <t>hàng tồn cuối ngày 24/7 vr</t>
  </si>
  <si>
    <t>hàng tồn cuối ngày 25/7 vr</t>
  </si>
  <si>
    <t>hàng tồn cuối ngày 24/7 kq</t>
  </si>
  <si>
    <t>hàng tồn cuối ngày 25/7 kq</t>
  </si>
  <si>
    <t>hàng tồn cuối ngày 26/7 vr</t>
  </si>
  <si>
    <t>hàng tồn cuối ngày 26/7 kq</t>
  </si>
  <si>
    <t>hàng tồn cuối ngày 27/7 vr</t>
  </si>
  <si>
    <t>hàng tồn cuối ngày 27/7 kq</t>
  </si>
  <si>
    <t>hàng tồn cuối ngày 28/7 vr</t>
  </si>
  <si>
    <t>hàng tồn cuối ngày 28/7 kq</t>
  </si>
  <si>
    <t>hàng tồn cuối ngày 29/7 vr</t>
  </si>
  <si>
    <t>hàng tồn cuối ngày 29/7</t>
  </si>
  <si>
    <t>hàng tồn cuối ngày 30/7 vr</t>
  </si>
  <si>
    <t>hàng tồn cuối ngày 30/7 kq</t>
  </si>
  <si>
    <t>hàng tồn cuối ngày 31/7 vr</t>
  </si>
  <si>
    <t>hàng tồn cuối ngày 31/7 kq</t>
  </si>
  <si>
    <t>Đà Lạt</t>
  </si>
  <si>
    <t>Xuất trong kỳ</t>
  </si>
  <si>
    <t>Tồn đầu kỳ tháng 7</t>
  </si>
  <si>
    <t>Tổn cuối tháng 7</t>
  </si>
  <si>
    <t>Tổng cộng nhập trong kỳ từ 30/06 đến 30/07</t>
  </si>
  <si>
    <t>Ngọc Thụy</t>
  </si>
  <si>
    <t>Cộng</t>
  </si>
  <si>
    <t>xuất kho thuế tháng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</si>
</sst>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0"/>
      <name val="Times New Roman"/>
      <family val="1"/>
      <charset val="163"/>
    </font>
    <font>
      <sz val="14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name val="Times New Roman"/>
      <family val="1"/>
      <charset val="163"/>
    </font>
    <font>
      <sz val="8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9"/>
      <name val="Times New Roman"/>
      <family val="1"/>
      <charset val="163"/>
    </font>
    <font>
      <sz val="18"/>
      <name val="Times New Roman"/>
      <family val="1"/>
      <charset val="163"/>
    </font>
    <font>
      <b/>
      <sz val="18"/>
      <name val="Times New Roman"/>
      <family val="1"/>
      <charset val="163"/>
    </font>
    <font>
      <sz val="18"/>
      <color theme="1"/>
      <name val="Times New Roman"/>
      <family val="1"/>
      <charset val="163"/>
    </font>
    <font>
      <sz val="13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9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  <charset val="163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sz val="13"/>
      <color theme="1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sz val="11"/>
      <name val="Times New Roman"/>
      <family val="1"/>
    </font>
    <font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1" fontId="5" fillId="0" borderId="2" xfId="0" applyNumberFormat="1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wrapText="1" shrinkToFit="1"/>
    </xf>
    <xf numFmtId="165" fontId="7" fillId="0" borderId="2" xfId="0" applyNumberFormat="1" applyFont="1" applyBorder="1" applyAlignment="1">
      <alignment horizontal="left" vertical="center" shrinkToFit="1"/>
    </xf>
    <xf numFmtId="165" fontId="5" fillId="0" borderId="2" xfId="0" applyNumberFormat="1" applyFont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wrapText="1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65" fontId="6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wrapText="1" shrinkToFit="1"/>
    </xf>
    <xf numFmtId="3" fontId="6" fillId="0" borderId="2" xfId="0" applyNumberFormat="1" applyFont="1" applyBorder="1"/>
    <xf numFmtId="1" fontId="7" fillId="0" borderId="2" xfId="0" applyNumberFormat="1" applyFont="1" applyBorder="1" applyAlignment="1">
      <alignment horizontal="left" vertical="center" shrinkToFit="1"/>
    </xf>
    <xf numFmtId="1" fontId="7" fillId="0" borderId="3" xfId="0" applyNumberFormat="1" applyFont="1" applyBorder="1" applyAlignment="1">
      <alignment horizontal="left" vertical="center" shrinkToFit="1"/>
    </xf>
    <xf numFmtId="165" fontId="7" fillId="0" borderId="3" xfId="0" applyNumberFormat="1" applyFont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165" fontId="7" fillId="0" borderId="2" xfId="0" applyNumberFormat="1" applyFont="1" applyBorder="1" applyAlignment="1">
      <alignment horizontal="left" vertical="center" wrapText="1" shrinkToFit="1"/>
    </xf>
    <xf numFmtId="166" fontId="5" fillId="0" borderId="2" xfId="2" applyNumberFormat="1" applyFont="1" applyFill="1" applyBorder="1" applyAlignment="1">
      <alignment horizontal="left" vertical="top"/>
    </xf>
    <xf numFmtId="165" fontId="5" fillId="3" borderId="2" xfId="0" applyNumberFormat="1" applyFont="1" applyFill="1" applyBorder="1" applyAlignment="1">
      <alignment horizontal="left" vertical="center" shrinkToFit="1"/>
    </xf>
    <xf numFmtId="164" fontId="8" fillId="0" borderId="2" xfId="2" applyNumberFormat="1" applyFont="1" applyFill="1" applyBorder="1" applyAlignment="1">
      <alignment horizontal="left" vertical="center" wrapText="1" shrinkToFit="1"/>
    </xf>
    <xf numFmtId="1" fontId="9" fillId="0" borderId="2" xfId="0" applyNumberFormat="1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left" vertical="center" shrinkToFit="1"/>
    </xf>
    <xf numFmtId="164" fontId="10" fillId="0" borderId="2" xfId="2" applyNumberFormat="1" applyFont="1" applyFill="1" applyBorder="1" applyAlignment="1">
      <alignment horizontal="left" vertical="center" shrinkToFit="1"/>
    </xf>
    <xf numFmtId="0" fontId="10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left" vertical="center" shrinkToFit="1"/>
    </xf>
    <xf numFmtId="3" fontId="7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64" fontId="11" fillId="0" borderId="2" xfId="2" applyNumberFormat="1" applyFont="1" applyFill="1" applyBorder="1" applyAlignment="1">
      <alignment horizontal="center" vertical="center"/>
    </xf>
    <xf numFmtId="1" fontId="11" fillId="0" borderId="2" xfId="0" applyNumberFormat="1" applyFont="1" applyBorder="1" applyAlignment="1">
      <alignment vertical="center" shrinkToFit="1"/>
    </xf>
    <xf numFmtId="164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left" vertical="center" shrinkToFit="1"/>
    </xf>
    <xf numFmtId="165" fontId="6" fillId="0" borderId="0" xfId="0" applyNumberFormat="1" applyFont="1" applyAlignment="1">
      <alignment horizontal="left" vertical="center" shrinkToFit="1"/>
    </xf>
    <xf numFmtId="165" fontId="7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2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" fontId="2" fillId="0" borderId="0" xfId="0" applyNumberFormat="1" applyFont="1"/>
    <xf numFmtId="164" fontId="3" fillId="0" borderId="0" xfId="2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18" fillId="4" borderId="2" xfId="2" applyNumberFormat="1" applyFont="1" applyFill="1" applyBorder="1" applyAlignment="1">
      <alignment vertical="center" wrapText="1"/>
    </xf>
    <xf numFmtId="3" fontId="18" fillId="4" borderId="2" xfId="0" applyNumberFormat="1" applyFont="1" applyFill="1" applyBorder="1" applyAlignment="1">
      <alignment horizontal="center" vertical="center" wrapText="1"/>
    </xf>
    <xf numFmtId="3" fontId="18" fillId="4" borderId="6" xfId="0" applyNumberFormat="1" applyFont="1" applyFill="1" applyBorder="1" applyAlignment="1">
      <alignment horizontal="center" vertical="center" wrapText="1"/>
    </xf>
    <xf numFmtId="3" fontId="18" fillId="4" borderId="7" xfId="0" applyNumberFormat="1" applyFont="1" applyFill="1" applyBorder="1" applyAlignment="1">
      <alignment horizontal="center" vertical="center" wrapText="1"/>
    </xf>
    <xf numFmtId="164" fontId="4" fillId="0" borderId="2" xfId="2" applyNumberFormat="1" applyFont="1" applyFill="1" applyBorder="1" applyAlignment="1">
      <alignment vertical="center" wrapText="1"/>
    </xf>
    <xf numFmtId="3" fontId="19" fillId="3" borderId="6" xfId="0" applyNumberFormat="1" applyFont="1" applyFill="1" applyBorder="1" applyAlignment="1">
      <alignment horizontal="center" vertical="center" wrapText="1"/>
    </xf>
    <xf numFmtId="3" fontId="20" fillId="3" borderId="7" xfId="0" applyNumberFormat="1" applyFont="1" applyFill="1" applyBorder="1" applyAlignment="1">
      <alignment horizontal="center" vertical="center" wrapText="1"/>
    </xf>
    <xf numFmtId="164" fontId="21" fillId="0" borderId="2" xfId="2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left" vertical="center" shrinkToFit="1"/>
    </xf>
    <xf numFmtId="3" fontId="17" fillId="3" borderId="7" xfId="0" applyNumberFormat="1" applyFont="1" applyFill="1" applyBorder="1" applyAlignment="1">
      <alignment horizontal="left" vertical="center" shrinkToFit="1"/>
    </xf>
    <xf numFmtId="164" fontId="7" fillId="0" borderId="2" xfId="2" applyNumberFormat="1" applyFont="1" applyFill="1" applyBorder="1" applyAlignment="1">
      <alignment horizontal="center" vertical="center"/>
    </xf>
    <xf numFmtId="164" fontId="7" fillId="0" borderId="2" xfId="2" applyNumberFormat="1" applyFont="1" applyFill="1" applyBorder="1" applyAlignment="1">
      <alignment horizontal="left" vertical="center" shrinkToFit="1"/>
    </xf>
    <xf numFmtId="3" fontId="7" fillId="3" borderId="8" xfId="0" applyNumberFormat="1" applyFont="1" applyFill="1" applyBorder="1" applyAlignment="1">
      <alignment horizontal="left" vertical="center" shrinkToFit="1"/>
    </xf>
    <xf numFmtId="3" fontId="7" fillId="3" borderId="7" xfId="0" applyNumberFormat="1" applyFont="1" applyFill="1" applyBorder="1" applyAlignment="1">
      <alignment horizontal="left" vertical="center" shrinkToFit="1"/>
    </xf>
    <xf numFmtId="3" fontId="11" fillId="3" borderId="8" xfId="0" applyNumberFormat="1" applyFont="1" applyFill="1" applyBorder="1" applyAlignment="1">
      <alignment horizontal="left" vertical="center" shrinkToFit="1"/>
    </xf>
    <xf numFmtId="3" fontId="17" fillId="3" borderId="8" xfId="0" applyNumberFormat="1" applyFont="1" applyFill="1" applyBorder="1" applyAlignment="1">
      <alignment horizontal="left" vertical="center" shrinkToFit="1"/>
    </xf>
    <xf numFmtId="3" fontId="17" fillId="3" borderId="7" xfId="0" applyNumberFormat="1" applyFont="1" applyFill="1" applyBorder="1" applyAlignment="1">
      <alignment horizontal="left" vertical="center"/>
    </xf>
    <xf numFmtId="164" fontId="22" fillId="0" borderId="2" xfId="2" applyNumberFormat="1" applyFont="1" applyFill="1" applyBorder="1" applyAlignment="1">
      <alignment horizontal="center" vertical="center"/>
    </xf>
    <xf numFmtId="3" fontId="10" fillId="3" borderId="8" xfId="0" applyNumberFormat="1" applyFont="1" applyFill="1" applyBorder="1" applyAlignment="1">
      <alignment horizontal="left" vertical="center" shrinkToFit="1"/>
    </xf>
    <xf numFmtId="3" fontId="9" fillId="3" borderId="7" xfId="0" applyNumberFormat="1" applyFont="1" applyFill="1" applyBorder="1" applyAlignment="1">
      <alignment horizontal="left" vertical="center" shrinkToFit="1"/>
    </xf>
    <xf numFmtId="3" fontId="5" fillId="3" borderId="9" xfId="0" applyNumberFormat="1" applyFont="1" applyFill="1" applyBorder="1" applyAlignment="1">
      <alignment horizontal="left" vertical="center" shrinkToFit="1"/>
    </xf>
    <xf numFmtId="3" fontId="5" fillId="3" borderId="10" xfId="0" applyNumberFormat="1" applyFont="1" applyFill="1" applyBorder="1" applyAlignment="1">
      <alignment horizontal="left" vertical="center" shrinkToFit="1"/>
    </xf>
    <xf numFmtId="3" fontId="5" fillId="3" borderId="8" xfId="0" applyNumberFormat="1" applyFont="1" applyFill="1" applyBorder="1" applyAlignment="1">
      <alignment horizontal="center" vertical="center" shrinkToFit="1"/>
    </xf>
    <xf numFmtId="3" fontId="5" fillId="3" borderId="7" xfId="0" applyNumberFormat="1" applyFont="1" applyFill="1" applyBorder="1" applyAlignment="1">
      <alignment horizontal="left" vertical="center" shrinkToFit="1"/>
    </xf>
    <xf numFmtId="3" fontId="17" fillId="3" borderId="7" xfId="0" applyNumberFormat="1" applyFont="1" applyFill="1" applyBorder="1" applyAlignment="1">
      <alignment horizontal="left" vertical="center" wrapText="1" shrinkToFit="1"/>
    </xf>
    <xf numFmtId="1" fontId="18" fillId="0" borderId="2" xfId="0" applyNumberFormat="1" applyFont="1" applyBorder="1" applyAlignment="1">
      <alignment vertical="center" shrinkToFit="1"/>
    </xf>
    <xf numFmtId="164" fontId="18" fillId="0" borderId="2" xfId="2" applyNumberFormat="1" applyFont="1" applyFill="1" applyBorder="1" applyAlignment="1">
      <alignment horizontal="center" vertical="center"/>
    </xf>
    <xf numFmtId="164" fontId="18" fillId="3" borderId="8" xfId="2" applyNumberFormat="1" applyFont="1" applyFill="1" applyBorder="1" applyAlignment="1">
      <alignment horizontal="center" vertical="center"/>
    </xf>
    <xf numFmtId="164" fontId="18" fillId="3" borderId="11" xfId="2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left" vertical="center" wrapText="1" shrinkToFit="1"/>
    </xf>
    <xf numFmtId="164" fontId="20" fillId="5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 shrinkToFit="1"/>
    </xf>
    <xf numFmtId="3" fontId="7" fillId="3" borderId="7" xfId="0" applyNumberFormat="1" applyFont="1" applyFill="1" applyBorder="1" applyAlignment="1">
      <alignment horizontal="right" vertical="center" shrinkToFit="1"/>
    </xf>
    <xf numFmtId="166" fontId="7" fillId="0" borderId="2" xfId="2" applyNumberFormat="1" applyFont="1" applyFill="1" applyBorder="1" applyAlignment="1">
      <alignment horizontal="left" vertical="center" shrinkToFit="1"/>
    </xf>
    <xf numFmtId="164" fontId="6" fillId="0" borderId="2" xfId="2" applyNumberFormat="1" applyFont="1" applyFill="1" applyBorder="1" applyAlignment="1">
      <alignment horizontal="center" vertical="center"/>
    </xf>
    <xf numFmtId="164" fontId="6" fillId="0" borderId="2" xfId="2" applyNumberFormat="1" applyFont="1" applyFill="1" applyBorder="1" applyAlignment="1">
      <alignment horizontal="left" vertical="center" shrinkToFit="1"/>
    </xf>
    <xf numFmtId="164" fontId="18" fillId="3" borderId="11" xfId="2" applyNumberFormat="1" applyFont="1" applyFill="1" applyBorder="1" applyAlignment="1">
      <alignment horizontal="right" vertical="center"/>
    </xf>
    <xf numFmtId="3" fontId="18" fillId="4" borderId="7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164" fontId="23" fillId="0" borderId="2" xfId="2" applyNumberFormat="1" applyFont="1" applyFill="1" applyBorder="1" applyAlignment="1">
      <alignment horizontal="center" vertical="center"/>
    </xf>
    <xf numFmtId="164" fontId="7" fillId="0" borderId="2" xfId="2" applyNumberFormat="1" applyFont="1" applyFill="1" applyBorder="1" applyAlignment="1">
      <alignment horizontal="right" vertical="center"/>
    </xf>
    <xf numFmtId="164" fontId="24" fillId="0" borderId="2" xfId="2" applyNumberFormat="1" applyFont="1" applyFill="1" applyBorder="1" applyAlignment="1">
      <alignment horizontal="center" vertical="center"/>
    </xf>
    <xf numFmtId="164" fontId="25" fillId="0" borderId="2" xfId="2" applyNumberFormat="1" applyFont="1" applyFill="1" applyBorder="1" applyAlignment="1">
      <alignment horizontal="center" vertical="center"/>
    </xf>
    <xf numFmtId="164" fontId="18" fillId="0" borderId="2" xfId="2" applyNumberFormat="1" applyFont="1" applyFill="1" applyBorder="1" applyAlignment="1">
      <alignment horizontal="right" vertical="center"/>
    </xf>
    <xf numFmtId="164" fontId="17" fillId="5" borderId="0" xfId="0" applyNumberFormat="1" applyFont="1" applyFill="1" applyAlignment="1">
      <alignment horizontal="left" vertical="center"/>
    </xf>
    <xf numFmtId="164" fontId="20" fillId="5" borderId="0" xfId="0" applyNumberFormat="1" applyFont="1" applyFill="1" applyAlignment="1">
      <alignment horizontal="right" vertical="center"/>
    </xf>
    <xf numFmtId="3" fontId="5" fillId="3" borderId="8" xfId="0" applyNumberFormat="1" applyFont="1" applyFill="1" applyBorder="1" applyAlignment="1">
      <alignment horizontal="left" vertical="center" wrapText="1" shrinkToFit="1"/>
    </xf>
    <xf numFmtId="3" fontId="17" fillId="3" borderId="7" xfId="0" applyNumberFormat="1" applyFont="1" applyFill="1" applyBorder="1" applyAlignment="1">
      <alignment horizontal="left" vertical="top"/>
    </xf>
    <xf numFmtId="3" fontId="18" fillId="3" borderId="7" xfId="0" applyNumberFormat="1" applyFont="1" applyFill="1" applyBorder="1" applyAlignment="1">
      <alignment horizontal="left" vertical="center" shrinkToFit="1"/>
    </xf>
    <xf numFmtId="3" fontId="20" fillId="5" borderId="0" xfId="0" applyNumberFormat="1" applyFont="1" applyFill="1" applyAlignment="1">
      <alignment horizontal="left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3" fontId="19" fillId="3" borderId="11" xfId="0" applyNumberFormat="1" applyFont="1" applyFill="1" applyBorder="1" applyAlignment="1">
      <alignment horizontal="center" vertical="center" wrapText="1"/>
    </xf>
    <xf numFmtId="3" fontId="20" fillId="3" borderId="12" xfId="0" applyNumberFormat="1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left" vertical="center" shrinkToFit="1"/>
    </xf>
    <xf numFmtId="3" fontId="5" fillId="3" borderId="11" xfId="0" applyNumberFormat="1" applyFont="1" applyFill="1" applyBorder="1" applyAlignment="1">
      <alignment horizontal="left" vertical="center" shrinkToFit="1"/>
    </xf>
    <xf numFmtId="3" fontId="20" fillId="3" borderId="12" xfId="0" applyNumberFormat="1" applyFont="1" applyFill="1" applyBorder="1" applyAlignment="1">
      <alignment horizontal="left" vertical="center" shrinkToFit="1"/>
    </xf>
    <xf numFmtId="3" fontId="5" fillId="3" borderId="13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3" fontId="7" fillId="3" borderId="11" xfId="0" applyNumberFormat="1" applyFont="1" applyFill="1" applyBorder="1" applyAlignment="1">
      <alignment horizontal="left" vertical="center" shrinkToFit="1"/>
    </xf>
    <xf numFmtId="3" fontId="7" fillId="3" borderId="12" xfId="0" applyNumberFormat="1" applyFont="1" applyFill="1" applyBorder="1" applyAlignment="1">
      <alignment horizontal="left" vertical="center" shrinkToFit="1"/>
    </xf>
    <xf numFmtId="3" fontId="11" fillId="3" borderId="12" xfId="0" applyNumberFormat="1" applyFont="1" applyFill="1" applyBorder="1" applyAlignment="1">
      <alignment horizontal="left" vertical="center" wrapText="1"/>
    </xf>
    <xf numFmtId="3" fontId="20" fillId="3" borderId="12" xfId="0" applyNumberFormat="1" applyFont="1" applyFill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3" fontId="5" fillId="3" borderId="11" xfId="0" applyNumberFormat="1" applyFont="1" applyFill="1" applyBorder="1" applyAlignment="1">
      <alignment horizontal="left" vertical="center"/>
    </xf>
    <xf numFmtId="166" fontId="7" fillId="0" borderId="2" xfId="1" applyNumberFormat="1" applyFont="1" applyFill="1" applyBorder="1" applyAlignment="1">
      <alignment horizontal="left" vertical="center" shrinkToFit="1"/>
    </xf>
    <xf numFmtId="166" fontId="5" fillId="0" borderId="2" xfId="1" applyNumberFormat="1" applyFont="1" applyFill="1" applyBorder="1" applyAlignment="1">
      <alignment horizontal="left" vertical="top"/>
    </xf>
    <xf numFmtId="3" fontId="11" fillId="3" borderId="12" xfId="0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left" vertical="center" shrinkToFit="1"/>
    </xf>
    <xf numFmtId="3" fontId="5" fillId="3" borderId="14" xfId="0" applyNumberFormat="1" applyFont="1" applyFill="1" applyBorder="1" applyAlignment="1">
      <alignment horizontal="left" vertical="center" shrinkToFit="1"/>
    </xf>
    <xf numFmtId="3" fontId="20" fillId="3" borderId="7" xfId="0" applyNumberFormat="1" applyFont="1" applyFill="1" applyBorder="1" applyAlignment="1">
      <alignment horizontal="left" vertical="center" shrinkToFit="1"/>
    </xf>
    <xf numFmtId="3" fontId="5" fillId="3" borderId="11" xfId="0" applyNumberFormat="1" applyFont="1" applyFill="1" applyBorder="1" applyAlignment="1">
      <alignment horizontal="left" vertical="top"/>
    </xf>
    <xf numFmtId="164" fontId="11" fillId="0" borderId="2" xfId="1" applyNumberFormat="1" applyFont="1" applyFill="1" applyBorder="1" applyAlignment="1">
      <alignment horizontal="center" vertical="center"/>
    </xf>
    <xf numFmtId="164" fontId="18" fillId="0" borderId="2" xfId="1" applyNumberFormat="1" applyFont="1" applyFill="1" applyBorder="1" applyAlignment="1">
      <alignment horizontal="center" vertical="center"/>
    </xf>
    <xf numFmtId="164" fontId="18" fillId="3" borderId="12" xfId="2" applyNumberFormat="1" applyFont="1" applyFill="1" applyBorder="1" applyAlignment="1">
      <alignment horizontal="center" vertical="center"/>
    </xf>
    <xf numFmtId="3" fontId="19" fillId="0" borderId="6" xfId="0" applyNumberFormat="1" applyFont="1" applyBorder="1" applyAlignment="1">
      <alignment horizontal="center" vertical="center" wrapText="1"/>
    </xf>
    <xf numFmtId="3" fontId="20" fillId="0" borderId="7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left" vertical="center" shrinkToFit="1"/>
    </xf>
    <xf numFmtId="3" fontId="17" fillId="0" borderId="7" xfId="0" applyNumberFormat="1" applyFont="1" applyBorder="1" applyAlignment="1">
      <alignment horizontal="left" vertical="center" shrinkToFit="1"/>
    </xf>
    <xf numFmtId="3" fontId="7" fillId="0" borderId="8" xfId="0" applyNumberFormat="1" applyFont="1" applyBorder="1" applyAlignment="1">
      <alignment horizontal="left" vertical="center" shrinkToFit="1"/>
    </xf>
    <xf numFmtId="3" fontId="7" fillId="0" borderId="7" xfId="0" applyNumberFormat="1" applyFont="1" applyBorder="1" applyAlignment="1">
      <alignment horizontal="left" vertical="center" shrinkToFit="1"/>
    </xf>
    <xf numFmtId="3" fontId="11" fillId="0" borderId="8" xfId="0" applyNumberFormat="1" applyFont="1" applyBorder="1" applyAlignment="1">
      <alignment horizontal="left" vertical="center" shrinkToFit="1"/>
    </xf>
    <xf numFmtId="3" fontId="17" fillId="0" borderId="8" xfId="0" applyNumberFormat="1" applyFont="1" applyBorder="1" applyAlignment="1">
      <alignment horizontal="left" vertical="center" shrinkToFit="1"/>
    </xf>
    <xf numFmtId="3" fontId="17" fillId="0" borderId="7" xfId="0" applyNumberFormat="1" applyFont="1" applyBorder="1" applyAlignment="1">
      <alignment horizontal="left" vertical="center"/>
    </xf>
    <xf numFmtId="3" fontId="11" fillId="0" borderId="8" xfId="0" applyNumberFormat="1" applyFont="1" applyBorder="1" applyAlignment="1">
      <alignment horizontal="left" vertical="center" wrapText="1" shrinkToFit="1"/>
    </xf>
    <xf numFmtId="3" fontId="10" fillId="0" borderId="8" xfId="0" applyNumberFormat="1" applyFont="1" applyBorder="1" applyAlignment="1">
      <alignment horizontal="left" vertical="center" shrinkToFit="1"/>
    </xf>
    <xf numFmtId="3" fontId="9" fillId="0" borderId="7" xfId="0" applyNumberFormat="1" applyFont="1" applyBorder="1" applyAlignment="1">
      <alignment horizontal="left" vertical="center" shrinkToFit="1"/>
    </xf>
    <xf numFmtId="3" fontId="17" fillId="0" borderId="7" xfId="0" applyNumberFormat="1" applyFont="1" applyBorder="1" applyAlignment="1">
      <alignment horizontal="left" vertical="top"/>
    </xf>
    <xf numFmtId="3" fontId="5" fillId="0" borderId="9" xfId="0" applyNumberFormat="1" applyFont="1" applyBorder="1" applyAlignment="1">
      <alignment horizontal="left" vertical="center" shrinkToFit="1"/>
    </xf>
    <xf numFmtId="3" fontId="5" fillId="0" borderId="10" xfId="0" applyNumberFormat="1" applyFont="1" applyBorder="1" applyAlignment="1">
      <alignment horizontal="left" vertical="center" shrinkToFit="1"/>
    </xf>
    <xf numFmtId="3" fontId="5" fillId="0" borderId="8" xfId="0" applyNumberFormat="1" applyFont="1" applyBorder="1" applyAlignment="1">
      <alignment horizontal="center" vertical="center" shrinkToFit="1"/>
    </xf>
    <xf numFmtId="3" fontId="5" fillId="0" borderId="7" xfId="0" applyNumberFormat="1" applyFont="1" applyBorder="1" applyAlignment="1">
      <alignment horizontal="left" vertical="center" shrinkToFit="1"/>
    </xf>
    <xf numFmtId="164" fontId="18" fillId="0" borderId="8" xfId="2" applyNumberFormat="1" applyFont="1" applyFill="1" applyBorder="1" applyAlignment="1">
      <alignment horizontal="center" vertical="center"/>
    </xf>
    <xf numFmtId="164" fontId="18" fillId="0" borderId="11" xfId="2" applyNumberFormat="1" applyFont="1" applyFill="1" applyBorder="1" applyAlignment="1">
      <alignment horizontal="center" vertical="center"/>
    </xf>
    <xf numFmtId="164" fontId="18" fillId="5" borderId="0" xfId="0" applyNumberFormat="1" applyFont="1" applyFill="1" applyAlignment="1">
      <alignment horizontal="left" vertical="center"/>
    </xf>
    <xf numFmtId="0" fontId="28" fillId="0" borderId="0" xfId="0" applyFont="1"/>
    <xf numFmtId="0" fontId="29" fillId="0" borderId="0" xfId="0" applyFont="1" applyAlignment="1">
      <alignment horizontal="left" vertical="center"/>
    </xf>
    <xf numFmtId="0" fontId="30" fillId="0" borderId="1" xfId="0" applyFont="1" applyBorder="1" applyAlignment="1">
      <alignment horizontal="center" vertical="center" wrapText="1"/>
    </xf>
    <xf numFmtId="3" fontId="30" fillId="6" borderId="2" xfId="0" applyNumberFormat="1" applyFont="1" applyFill="1" applyBorder="1" applyAlignment="1">
      <alignment horizontal="center" vertical="center" wrapText="1"/>
    </xf>
    <xf numFmtId="3" fontId="30" fillId="0" borderId="2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left" vertical="center" shrinkToFit="1"/>
    </xf>
    <xf numFmtId="164" fontId="31" fillId="0" borderId="2" xfId="1" applyNumberFormat="1" applyFont="1" applyFill="1" applyBorder="1" applyAlignment="1">
      <alignment horizontal="left" vertical="center" shrinkToFit="1"/>
    </xf>
    <xf numFmtId="164" fontId="31" fillId="0" borderId="2" xfId="2" applyNumberFormat="1" applyFont="1" applyFill="1" applyBorder="1" applyAlignment="1">
      <alignment horizontal="left" vertical="center" shrinkToFit="1"/>
    </xf>
    <xf numFmtId="165" fontId="32" fillId="0" borderId="2" xfId="0" applyNumberFormat="1" applyFont="1" applyBorder="1" applyAlignment="1">
      <alignment horizontal="left" vertical="center" shrinkToFit="1"/>
    </xf>
    <xf numFmtId="3" fontId="33" fillId="0" borderId="2" xfId="0" applyNumberFormat="1" applyFont="1" applyBorder="1"/>
    <xf numFmtId="1" fontId="31" fillId="0" borderId="2" xfId="0" applyNumberFormat="1" applyFont="1" applyBorder="1" applyAlignment="1">
      <alignment horizontal="left" vertical="center" shrinkToFit="1"/>
    </xf>
    <xf numFmtId="166" fontId="31" fillId="0" borderId="2" xfId="1" applyNumberFormat="1" applyFont="1" applyFill="1" applyBorder="1" applyAlignment="1">
      <alignment horizontal="left" vertical="center" shrinkToFit="1"/>
    </xf>
    <xf numFmtId="1" fontId="32" fillId="0" borderId="2" xfId="0" applyNumberFormat="1" applyFont="1" applyBorder="1" applyAlignment="1">
      <alignment horizontal="left" vertical="center" shrinkToFit="1"/>
    </xf>
    <xf numFmtId="165" fontId="33" fillId="0" borderId="2" xfId="0" applyNumberFormat="1" applyFont="1" applyBorder="1" applyAlignment="1">
      <alignment horizontal="left" vertical="center" shrinkToFit="1"/>
    </xf>
    <xf numFmtId="3" fontId="31" fillId="0" borderId="2" xfId="0" applyNumberFormat="1" applyFont="1" applyBorder="1" applyAlignment="1">
      <alignment horizontal="left" vertical="center" shrinkToFit="1"/>
    </xf>
    <xf numFmtId="165" fontId="33" fillId="0" borderId="0" xfId="0" applyNumberFormat="1" applyFont="1" applyAlignment="1">
      <alignment horizontal="left" vertical="center" shrinkToFit="1"/>
    </xf>
    <xf numFmtId="3" fontId="33" fillId="0" borderId="2" xfId="0" applyNumberFormat="1" applyFont="1" applyBorder="1" applyAlignment="1">
      <alignment horizontal="left" vertical="center" shrinkToFit="1"/>
    </xf>
    <xf numFmtId="165" fontId="31" fillId="0" borderId="0" xfId="0" applyNumberFormat="1" applyFont="1" applyAlignment="1">
      <alignment horizontal="left" vertical="center" shrinkToFit="1"/>
    </xf>
    <xf numFmtId="1" fontId="34" fillId="0" borderId="2" xfId="0" applyNumberFormat="1" applyFont="1" applyBorder="1" applyAlignment="1">
      <alignment horizontal="left" vertical="center" shrinkToFit="1"/>
    </xf>
    <xf numFmtId="164" fontId="34" fillId="0" borderId="2" xfId="1" applyNumberFormat="1" applyFont="1" applyFill="1" applyBorder="1" applyAlignment="1">
      <alignment horizontal="left" vertical="center" shrinkToFit="1"/>
    </xf>
    <xf numFmtId="0" fontId="31" fillId="0" borderId="2" xfId="0" applyFont="1" applyBorder="1" applyAlignment="1">
      <alignment horizontal="left" vertical="center" shrinkToFit="1"/>
    </xf>
    <xf numFmtId="0" fontId="33" fillId="0" borderId="2" xfId="0" applyFont="1" applyBorder="1" applyAlignment="1">
      <alignment horizontal="left" vertical="center" shrinkToFit="1"/>
    </xf>
    <xf numFmtId="1" fontId="33" fillId="0" borderId="2" xfId="0" applyNumberFormat="1" applyFont="1" applyBorder="1" applyAlignment="1">
      <alignment horizontal="left" vertical="center" shrinkToFit="1"/>
    </xf>
    <xf numFmtId="164" fontId="35" fillId="0" borderId="2" xfId="1" applyNumberFormat="1" applyFont="1" applyFill="1" applyBorder="1" applyAlignment="1">
      <alignment horizontal="center" vertical="center"/>
    </xf>
    <xf numFmtId="3" fontId="32" fillId="0" borderId="2" xfId="0" applyNumberFormat="1" applyFont="1" applyBorder="1" applyAlignment="1">
      <alignment horizontal="left" vertical="center" shrinkToFit="1"/>
    </xf>
    <xf numFmtId="165" fontId="33" fillId="0" borderId="3" xfId="0" applyNumberFormat="1" applyFont="1" applyBorder="1" applyAlignment="1">
      <alignment horizontal="left" vertical="center" shrinkToFit="1"/>
    </xf>
    <xf numFmtId="1" fontId="31" fillId="0" borderId="3" xfId="0" applyNumberFormat="1" applyFont="1" applyBorder="1" applyAlignment="1">
      <alignment horizontal="left" vertical="center" shrinkToFit="1"/>
    </xf>
    <xf numFmtId="0" fontId="32" fillId="0" borderId="2" xfId="0" applyFont="1" applyBorder="1" applyAlignment="1">
      <alignment horizontal="left" vertical="center" wrapText="1" shrinkToFit="1"/>
    </xf>
    <xf numFmtId="166" fontId="31" fillId="0" borderId="2" xfId="1" applyNumberFormat="1" applyFont="1" applyFill="1" applyBorder="1" applyAlignment="1">
      <alignment horizontal="left" vertical="top"/>
    </xf>
    <xf numFmtId="1" fontId="31" fillId="0" borderId="0" xfId="0" applyNumberFormat="1" applyFont="1" applyAlignment="1">
      <alignment horizontal="left" vertical="center" shrinkToFit="1"/>
    </xf>
    <xf numFmtId="164" fontId="36" fillId="0" borderId="2" xfId="1" applyNumberFormat="1" applyFont="1" applyFill="1" applyBorder="1" applyAlignment="1">
      <alignment horizontal="left" vertical="center" wrapText="1" shrinkToFit="1"/>
    </xf>
    <xf numFmtId="1" fontId="37" fillId="0" borderId="2" xfId="0" applyNumberFormat="1" applyFont="1" applyBorder="1" applyAlignment="1">
      <alignment horizontal="left" vertical="center" shrinkToFit="1"/>
    </xf>
    <xf numFmtId="165" fontId="31" fillId="3" borderId="2" xfId="0" applyNumberFormat="1" applyFont="1" applyFill="1" applyBorder="1" applyAlignment="1">
      <alignment horizontal="left" vertical="center" shrinkToFit="1"/>
    </xf>
    <xf numFmtId="164" fontId="31" fillId="0" borderId="2" xfId="1" applyNumberFormat="1" applyFont="1" applyFill="1" applyBorder="1" applyAlignment="1">
      <alignment horizontal="left" vertical="center" wrapText="1" shrinkToFit="1"/>
    </xf>
    <xf numFmtId="1" fontId="32" fillId="0" borderId="2" xfId="0" applyNumberFormat="1" applyFont="1" applyBorder="1" applyAlignment="1">
      <alignment horizontal="left" vertical="center" wrapText="1" shrinkToFit="1"/>
    </xf>
    <xf numFmtId="165" fontId="32" fillId="0" borderId="2" xfId="0" applyNumberFormat="1" applyFont="1" applyBorder="1" applyAlignment="1">
      <alignment horizontal="left" vertical="center" wrapText="1" shrinkToFit="1"/>
    </xf>
    <xf numFmtId="0" fontId="34" fillId="0" borderId="2" xfId="0" applyFont="1" applyBorder="1" applyAlignment="1">
      <alignment vertical="center"/>
    </xf>
    <xf numFmtId="1" fontId="35" fillId="0" borderId="2" xfId="0" applyNumberFormat="1" applyFont="1" applyBorder="1" applyAlignment="1">
      <alignment vertical="center" shrinkToFit="1"/>
    </xf>
    <xf numFmtId="164" fontId="30" fillId="0" borderId="2" xfId="1" applyNumberFormat="1" applyFont="1" applyFill="1" applyBorder="1" applyAlignment="1">
      <alignment horizontal="center" vertical="center"/>
    </xf>
    <xf numFmtId="164" fontId="0" fillId="0" borderId="0" xfId="0" applyNumberFormat="1"/>
    <xf numFmtId="3" fontId="7" fillId="5" borderId="8" xfId="0" applyNumberFormat="1" applyFont="1" applyFill="1" applyBorder="1" applyAlignment="1">
      <alignment horizontal="left" vertical="center" shrinkToFit="1"/>
    </xf>
    <xf numFmtId="3" fontId="7" fillId="5" borderId="7" xfId="0" applyNumberFormat="1" applyFont="1" applyFill="1" applyBorder="1" applyAlignment="1">
      <alignment horizontal="left" vertical="center" shrinkToFit="1"/>
    </xf>
    <xf numFmtId="164" fontId="5" fillId="5" borderId="2" xfId="2" applyNumberFormat="1" applyFont="1" applyFill="1" applyBorder="1" applyAlignment="1">
      <alignment horizontal="left" vertical="center" shrinkToFit="1"/>
    </xf>
    <xf numFmtId="1" fontId="32" fillId="0" borderId="3" xfId="0" applyNumberFormat="1" applyFont="1" applyBorder="1" applyAlignment="1">
      <alignment horizontal="left" vertical="center" shrinkToFit="1"/>
    </xf>
    <xf numFmtId="165" fontId="32" fillId="0" borderId="3" xfId="0" applyNumberFormat="1" applyFont="1" applyBorder="1" applyAlignment="1">
      <alignment horizontal="left" vertical="center" shrinkToFit="1"/>
    </xf>
    <xf numFmtId="164" fontId="38" fillId="0" borderId="2" xfId="1" applyNumberFormat="1" applyFont="1" applyFill="1" applyBorder="1" applyAlignment="1">
      <alignment horizontal="left" vertical="center" wrapText="1" shrinkToFit="1"/>
    </xf>
    <xf numFmtId="164" fontId="39" fillId="0" borderId="2" xfId="1" applyNumberFormat="1" applyFont="1" applyFill="1" applyBorder="1" applyAlignment="1">
      <alignment horizontal="left" vertical="center" wrapText="1" shrinkToFit="1"/>
    </xf>
    <xf numFmtId="164" fontId="40" fillId="0" borderId="2" xfId="1" applyNumberFormat="1" applyFont="1" applyFill="1" applyBorder="1" applyAlignment="1">
      <alignment horizontal="left" vertical="center" wrapText="1" shrinkToFit="1"/>
    </xf>
    <xf numFmtId="1" fontId="41" fillId="0" borderId="2" xfId="0" applyNumberFormat="1" applyFont="1" applyBorder="1" applyAlignment="1">
      <alignment horizontal="left" vertical="center" shrinkToFit="1"/>
    </xf>
    <xf numFmtId="164" fontId="41" fillId="0" borderId="2" xfId="1" applyNumberFormat="1" applyFont="1" applyFill="1" applyBorder="1" applyAlignment="1">
      <alignment horizontal="left" vertical="center" shrinkToFit="1"/>
    </xf>
    <xf numFmtId="165" fontId="32" fillId="0" borderId="0" xfId="0" applyNumberFormat="1" applyFont="1" applyAlignment="1">
      <alignment horizontal="left" vertical="center" shrinkToFit="1"/>
    </xf>
    <xf numFmtId="0" fontId="1" fillId="0" borderId="0" xfId="0" applyFont="1"/>
    <xf numFmtId="164" fontId="0" fillId="0" borderId="0" xfId="1" applyNumberFormat="1" applyFont="1"/>
    <xf numFmtId="164" fontId="1" fillId="0" borderId="0" xfId="1" applyNumberFormat="1" applyFont="1"/>
    <xf numFmtId="0" fontId="18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TK673"/>
  <sheetViews>
    <sheetView workbookViewId="0">
      <pane xSplit="1" ySplit="15" topLeftCell="B555" activePane="bottomRight" state="frozen"/>
      <selection pane="topRight"/>
      <selection pane="bottomLeft"/>
      <selection pane="bottomRight" activeCell="E673" sqref="E673"/>
    </sheetView>
  </sheetViews>
  <sheetFormatPr defaultColWidth="0" defaultRowHeight="16.8"/>
  <cols>
    <col min="1" max="1" width="45.88671875" style="47" customWidth="1"/>
    <col min="2" max="2" width="6.44140625" style="106" customWidth="1"/>
    <col min="3" max="3" width="13" style="47" customWidth="1"/>
    <col min="4" max="4" width="20.88671875" style="49" customWidth="1"/>
    <col min="5" max="5" width="32" style="50" customWidth="1"/>
    <col min="6" max="12" width="9.44140625" style="47" customWidth="1"/>
    <col min="13" max="13" width="11.5546875" style="47" customWidth="1"/>
    <col min="14" max="14" width="9.44140625" style="47" customWidth="1"/>
    <col min="15" max="15" width="10.109375" style="47" customWidth="1"/>
    <col min="16" max="21" width="11.44140625" style="47" hidden="1" customWidth="1"/>
    <col min="22" max="25" width="7" style="47" hidden="1" customWidth="1"/>
    <col min="26" max="27" width="6.44140625" style="47" hidden="1" customWidth="1"/>
    <col min="28" max="29" width="11.44140625" style="47" customWidth="1"/>
    <col min="30" max="30" width="56.88671875" style="47" customWidth="1"/>
    <col min="31" max="31" width="9.109375" style="47" customWidth="1"/>
    <col min="32" max="32" width="32" style="47" customWidth="1"/>
    <col min="33" max="33" width="22.88671875" style="47" customWidth="1"/>
    <col min="34" max="34" width="31" style="47" customWidth="1"/>
    <col min="35" max="35" width="5" style="47" customWidth="1"/>
    <col min="36" max="36" width="6.44140625" style="47" hidden="1" customWidth="1"/>
    <col min="37" max="37" width="6.109375" style="47" hidden="1" customWidth="1"/>
    <col min="38" max="38" width="5" style="47" customWidth="1"/>
    <col min="39" max="40" width="6.44140625" style="47" hidden="1" customWidth="1"/>
    <col min="41" max="41" width="5" style="47" customWidth="1"/>
    <col min="42" max="43" width="6.44140625" style="47" hidden="1" customWidth="1"/>
    <col min="44" max="44" width="5" style="47" customWidth="1"/>
    <col min="45" max="46" width="6.44140625" style="47" hidden="1" customWidth="1"/>
    <col min="47" max="47" width="5" style="47" customWidth="1"/>
    <col min="48" max="49" width="6.44140625" style="47" hidden="1" customWidth="1"/>
    <col min="50" max="50" width="8.44140625" style="47" hidden="1" customWidth="1"/>
    <col min="51" max="51" width="9" style="47" hidden="1" customWidth="1"/>
    <col min="52" max="52" width="6" style="47" hidden="1" customWidth="1"/>
    <col min="53" max="53" width="5.44140625" style="47" hidden="1" customWidth="1"/>
    <col min="54" max="55" width="6.44140625" style="47" hidden="1" customWidth="1"/>
    <col min="56" max="56" width="8.44140625" style="47" hidden="1" customWidth="1"/>
    <col min="57" max="58" width="6.44140625" style="47" hidden="1" customWidth="1"/>
    <col min="59" max="59" width="5.88671875" style="47" hidden="1" customWidth="1"/>
    <col min="60" max="60" width="7.109375" style="47" hidden="1" customWidth="1"/>
    <col min="61" max="61" width="6.44140625" style="47" hidden="1" customWidth="1"/>
    <col min="62" max="62" width="5.44140625" style="47" hidden="1" customWidth="1"/>
    <col min="63" max="64" width="6.44140625" style="47" hidden="1" customWidth="1"/>
    <col min="65" max="65" width="5.44140625" style="47" hidden="1" customWidth="1"/>
    <col min="66" max="67" width="6.44140625" style="47" hidden="1" customWidth="1"/>
    <col min="68" max="68" width="6" style="47" hidden="1" customWidth="1"/>
    <col min="69" max="70" width="6.44140625" style="47" hidden="1" customWidth="1"/>
    <col min="71" max="71" width="6.109375" style="47" hidden="1" customWidth="1"/>
    <col min="72" max="72" width="9.109375" style="47" hidden="1" customWidth="1"/>
    <col min="73" max="73" width="6" style="47" hidden="1" customWidth="1"/>
    <col min="74" max="74" width="5" style="47" hidden="1" customWidth="1"/>
    <col min="75" max="76" width="6.44140625" style="47" hidden="1" customWidth="1"/>
    <col min="77" max="77" width="7.44140625" style="47" hidden="1" customWidth="1"/>
    <col min="78" max="78" width="6.44140625" style="47" hidden="1" customWidth="1"/>
    <col min="79" max="79" width="5" style="47" hidden="1" customWidth="1"/>
    <col min="80" max="82" width="6.44140625" style="47" hidden="1" customWidth="1"/>
    <col min="83" max="83" width="5" style="47" hidden="1" customWidth="1"/>
    <col min="84" max="84" width="9.44140625" style="47" hidden="1" customWidth="1"/>
    <col min="85" max="85" width="5" style="47" hidden="1" customWidth="1"/>
    <col min="86" max="86" width="0" style="47" hidden="1" customWidth="1"/>
    <col min="87" max="87" width="6.44140625" style="47" hidden="1" customWidth="1"/>
    <col min="88" max="88" width="5" style="47" hidden="1" customWidth="1"/>
    <col min="89" max="90" width="6.44140625" style="47" hidden="1" customWidth="1"/>
    <col min="91" max="91" width="5" style="47" hidden="1" customWidth="1"/>
    <col min="92" max="93" width="6.44140625" style="47" hidden="1" customWidth="1"/>
    <col min="94" max="94" width="5" style="47" hidden="1" customWidth="1"/>
    <col min="95" max="96" width="6.44140625" style="47" hidden="1" customWidth="1"/>
    <col min="97" max="97" width="5" style="47" hidden="1" customWidth="1"/>
    <col min="98" max="99" width="6.44140625" style="47" hidden="1" customWidth="1"/>
    <col min="100" max="100" width="5" style="47" hidden="1" customWidth="1"/>
    <col min="101" max="102" width="6.44140625" style="47" hidden="1" customWidth="1"/>
    <col min="103" max="103" width="5" style="47" hidden="1" customWidth="1"/>
    <col min="104" max="104" width="9.44140625" style="47" hidden="1" customWidth="1"/>
    <col min="105" max="105" width="0" style="47" hidden="1" customWidth="1"/>
    <col min="106" max="106" width="6.44140625" style="47" hidden="1" customWidth="1"/>
    <col min="107" max="107" width="7.109375" style="47" hidden="1" customWidth="1"/>
    <col min="108" max="109" width="6.44140625" style="47" hidden="1" customWidth="1"/>
    <col min="110" max="110" width="7.109375" style="47" hidden="1" customWidth="1"/>
    <col min="111" max="112" width="6.44140625" style="47" hidden="1" customWidth="1"/>
    <col min="113" max="113" width="9.44140625" style="47" customWidth="1"/>
    <col min="114" max="115" width="6.44140625" style="47" hidden="1" customWidth="1"/>
    <col min="116" max="116" width="7.109375" style="47" hidden="1" customWidth="1"/>
    <col min="117" max="118" width="6.44140625" style="47" hidden="1" customWidth="1"/>
    <col min="119" max="119" width="0" style="47" hidden="1" customWidth="1"/>
    <col min="120" max="121" width="6.44140625" style="47" hidden="1" customWidth="1"/>
    <col min="122" max="122" width="7.109375" style="47" hidden="1" customWidth="1"/>
    <col min="123" max="124" width="6.44140625" style="47" hidden="1" customWidth="1"/>
    <col min="125" max="125" width="7.109375" style="47" hidden="1" customWidth="1"/>
    <col min="126" max="127" width="6.44140625" style="47" hidden="1" customWidth="1"/>
    <col min="128" max="128" width="7.109375" style="47" hidden="1" customWidth="1"/>
    <col min="129" max="129" width="6.44140625" style="47" hidden="1" customWidth="1"/>
    <col min="130" max="130" width="0" style="47" hidden="1" customWidth="1"/>
    <col min="131" max="131" width="6.44140625" style="47" hidden="1" customWidth="1"/>
    <col min="132" max="132" width="6.44140625" style="47" customWidth="1"/>
    <col min="133" max="133" width="6.88671875" style="47" hidden="1" customWidth="1"/>
    <col min="134" max="134" width="9.44140625" style="47" hidden="1" customWidth="1"/>
    <col min="135" max="135" width="6.44140625" style="47" hidden="1" customWidth="1"/>
    <col min="136" max="136" width="6.88671875" style="47" hidden="1" customWidth="1"/>
    <col min="137" max="137" width="9.44140625" style="47" hidden="1" customWidth="1"/>
    <col min="138" max="139" width="6.44140625" style="47" hidden="1" customWidth="1"/>
    <col min="140" max="140" width="9.44140625" style="47" hidden="1" customWidth="1"/>
    <col min="141" max="141" width="6.44140625" style="47" hidden="1" customWidth="1"/>
    <col min="142" max="142" width="7.44140625" style="47" hidden="1" customWidth="1"/>
    <col min="143" max="143" width="9.44140625" style="47" hidden="1" customWidth="1"/>
    <col min="144" max="145" width="6.44140625" style="47" hidden="1" customWidth="1"/>
    <col min="146" max="146" width="7.109375" style="47" customWidth="1"/>
    <col min="147" max="147" width="6.44140625" style="47" hidden="1" customWidth="1"/>
    <col min="148" max="148" width="7.44140625" style="47" hidden="1" customWidth="1"/>
    <col min="149" max="150" width="9.44140625" style="47" hidden="1" customWidth="1"/>
    <col min="151" max="151" width="9" style="47" hidden="1" customWidth="1"/>
    <col min="152" max="152" width="0" style="47" hidden="1" customWidth="1"/>
    <col min="153" max="153" width="11" style="47" hidden="1" customWidth="1"/>
    <col min="154" max="154" width="6.44140625" style="47" hidden="1" customWidth="1"/>
    <col min="155" max="155" width="0" style="47" hidden="1" customWidth="1"/>
    <col min="156" max="156" width="6.44140625" style="47" hidden="1" customWidth="1"/>
    <col min="157" max="157" width="6.44140625" style="47" customWidth="1"/>
    <col min="158" max="158" width="0" style="47" hidden="1" customWidth="1"/>
    <col min="159" max="159" width="7" style="47" hidden="1" customWidth="1"/>
    <col min="160" max="160" width="8.88671875" style="47" hidden="1" customWidth="1"/>
    <col min="161" max="161" width="0" style="47" hidden="1" customWidth="1"/>
    <col min="162" max="162" width="7" style="47" hidden="1" customWidth="1"/>
    <col min="163" max="163" width="8.88671875" style="47" hidden="1" customWidth="1"/>
    <col min="164" max="166" width="0" style="47" hidden="1" customWidth="1"/>
    <col min="167" max="167" width="7" style="47" hidden="1" customWidth="1"/>
    <col min="168" max="168" width="8.88671875" style="47" hidden="1" customWidth="1"/>
    <col min="169" max="169" width="0" style="47" hidden="1" customWidth="1"/>
    <col min="170" max="170" width="7" style="47" hidden="1" customWidth="1"/>
    <col min="171" max="171" width="8.88671875" style="47" hidden="1" customWidth="1"/>
    <col min="172" max="172" width="0" style="47" hidden="1" customWidth="1"/>
    <col min="173" max="173" width="7" style="47" hidden="1" customWidth="1"/>
    <col min="174" max="174" width="8.88671875" style="47" hidden="1" customWidth="1"/>
    <col min="175" max="175" width="0" style="47" hidden="1" customWidth="1"/>
    <col min="176" max="176" width="7" style="47" hidden="1" customWidth="1"/>
    <col min="177" max="177" width="8.88671875" style="47" hidden="1" customWidth="1"/>
    <col min="178" max="178" width="0" style="47" hidden="1" customWidth="1"/>
    <col min="179" max="179" width="9" style="47" customWidth="1"/>
    <col min="180" max="180" width="0" style="47" hidden="1" customWidth="1"/>
    <col min="181" max="181" width="8.44140625" style="47" hidden="1" customWidth="1"/>
    <col min="182" max="182" width="8.44140625" style="47" customWidth="1"/>
    <col min="183" max="184" width="11.44140625" style="47" hidden="1" customWidth="1"/>
    <col min="185" max="185" width="6.44140625" style="47" customWidth="1"/>
    <col min="186" max="187" width="11.44140625" style="47" hidden="1" customWidth="1"/>
    <col min="188" max="188" width="7" style="47" customWidth="1"/>
    <col min="189" max="190" width="11.44140625" style="47" hidden="1" customWidth="1"/>
    <col min="191" max="193" width="7" style="47" customWidth="1"/>
    <col min="194" max="194" width="8.88671875" style="47" hidden="1" customWidth="1"/>
    <col min="195" max="195" width="0" style="47" hidden="1" customWidth="1"/>
    <col min="196" max="196" width="7.44140625" style="47" customWidth="1"/>
    <col min="197" max="197" width="0" style="47" hidden="1" customWidth="1"/>
    <col min="198" max="198" width="7" style="47" hidden="1" customWidth="1"/>
    <col min="199" max="199" width="7" style="47" customWidth="1"/>
    <col min="200" max="200" width="0" style="47" hidden="1" customWidth="1"/>
    <col min="201" max="201" width="7" style="47" hidden="1" customWidth="1"/>
    <col min="202" max="202" width="7" style="47" customWidth="1"/>
    <col min="203" max="203" width="0" style="47" hidden="1" customWidth="1"/>
    <col min="204" max="204" width="7" style="47" hidden="1" customWidth="1"/>
    <col min="205" max="205" width="7" style="47" customWidth="1"/>
    <col min="206" max="206" width="0" style="47" hidden="1" customWidth="1"/>
    <col min="207" max="207" width="6.44140625" style="47" customWidth="1"/>
    <col min="208" max="208" width="8.88671875" style="47" hidden="1" customWidth="1"/>
    <col min="209" max="209" width="0" style="47" hidden="1" customWidth="1"/>
    <col min="210" max="210" width="7" style="47" hidden="1" customWidth="1"/>
    <col min="211" max="211" width="0" style="47" hidden="1" customWidth="1"/>
    <col min="212" max="212" width="8.44140625" style="47" hidden="1" customWidth="1"/>
    <col min="213" max="217" width="11.44140625" style="47" hidden="1" customWidth="1"/>
    <col min="218" max="221" width="11.44140625" style="47" hidden="1"/>
    <col min="222" max="225" width="7" style="47" hidden="1"/>
    <col min="226" max="226" width="0" style="47" hidden="1"/>
    <col min="227" max="227" width="7" style="47" hidden="1"/>
    <col min="228" max="228" width="8.88671875" style="47" hidden="1"/>
    <col min="229" max="229" width="0" style="47" hidden="1"/>
    <col min="230" max="230" width="7" style="47" hidden="1"/>
    <col min="231" max="231" width="8.88671875" style="47" hidden="1"/>
    <col min="232" max="232" width="0" style="47" hidden="1"/>
    <col min="233" max="233" width="7" style="47" hidden="1"/>
    <col min="234" max="234" width="8.88671875" style="47" hidden="1"/>
    <col min="235" max="235" width="0" style="47" hidden="1"/>
    <col min="236" max="236" width="7" style="47" hidden="1"/>
    <col min="237" max="237" width="8.88671875" style="47" hidden="1"/>
    <col min="238" max="238" width="0" style="47" hidden="1"/>
    <col min="239" max="239" width="7" style="47" hidden="1"/>
    <col min="240" max="240" width="0" style="47" hidden="1"/>
    <col min="241" max="241" width="8.44140625" style="47" hidden="1"/>
    <col min="242" max="250" width="11.44140625" style="47" hidden="1"/>
    <col min="251" max="252" width="7" style="47" hidden="1"/>
    <col min="253" max="253" width="41.44140625" style="47" customWidth="1"/>
    <col min="254" max="254" width="6.44140625" style="47" customWidth="1"/>
    <col min="255" max="255" width="14.5546875" style="47" customWidth="1"/>
    <col min="256" max="256" width="11.44140625" style="47" customWidth="1"/>
    <col min="257" max="257" width="13" style="47" customWidth="1"/>
    <col min="258" max="258" width="25.44140625" style="47" customWidth="1"/>
    <col min="259" max="268" width="9.44140625" style="47" customWidth="1"/>
    <col min="269" max="269" width="11.5546875" style="47" customWidth="1"/>
    <col min="270" max="270" width="9.44140625" style="47" customWidth="1"/>
    <col min="271" max="271" width="10.109375" style="47" customWidth="1"/>
    <col min="272" max="283" width="11.44140625" style="47" hidden="1" customWidth="1"/>
    <col min="284" max="285" width="11.44140625" style="47" customWidth="1"/>
    <col min="286" max="286" width="56.88671875" style="47" customWidth="1"/>
    <col min="287" max="287" width="9.109375" style="47" customWidth="1"/>
    <col min="288" max="288" width="32" style="47" customWidth="1"/>
    <col min="289" max="289" width="22.88671875" style="47" customWidth="1"/>
    <col min="290" max="290" width="31" style="47" customWidth="1"/>
    <col min="291" max="291" width="5" style="47" customWidth="1"/>
    <col min="292" max="293" width="11.44140625" style="47" hidden="1" customWidth="1"/>
    <col min="294" max="294" width="5" style="47" customWidth="1"/>
    <col min="295" max="296" width="11.44140625" style="47" hidden="1" customWidth="1"/>
    <col min="297" max="297" width="5" style="47" customWidth="1"/>
    <col min="298" max="299" width="11.44140625" style="47" hidden="1" customWidth="1"/>
    <col min="300" max="300" width="5" style="47" customWidth="1"/>
    <col min="301" max="302" width="11.44140625" style="47" hidden="1" customWidth="1"/>
    <col min="303" max="303" width="5" style="47" customWidth="1"/>
    <col min="304" max="368" width="11.44140625" style="47" hidden="1" customWidth="1"/>
    <col min="369" max="369" width="9.44140625" style="47" customWidth="1"/>
    <col min="370" max="387" width="11.44140625" style="47" hidden="1" customWidth="1"/>
    <col min="388" max="388" width="6.44140625" style="47" customWidth="1"/>
    <col min="389" max="401" width="11.44140625" style="47" hidden="1" customWidth="1"/>
    <col min="402" max="402" width="7.109375" style="47" customWidth="1"/>
    <col min="403" max="412" width="11.44140625" style="47" hidden="1" customWidth="1"/>
    <col min="413" max="413" width="6.44140625" style="47" customWidth="1"/>
    <col min="414" max="434" width="11.44140625" style="47" hidden="1" customWidth="1"/>
    <col min="435" max="435" width="9" style="47" customWidth="1"/>
    <col min="436" max="437" width="11.44140625" style="47" hidden="1" customWidth="1"/>
    <col min="438" max="438" width="8.44140625" style="47" customWidth="1"/>
    <col min="439" max="440" width="11.44140625" style="47" hidden="1" customWidth="1"/>
    <col min="441" max="441" width="6.44140625" style="47" customWidth="1"/>
    <col min="442" max="443" width="11.44140625" style="47" hidden="1" customWidth="1"/>
    <col min="444" max="444" width="7" style="47" customWidth="1"/>
    <col min="445" max="446" width="11.44140625" style="47" hidden="1" customWidth="1"/>
    <col min="447" max="449" width="7" style="47" customWidth="1"/>
    <col min="450" max="451" width="11.44140625" style="47" hidden="1" customWidth="1"/>
    <col min="452" max="452" width="7.44140625" style="47" customWidth="1"/>
    <col min="453" max="454" width="11.44140625" style="47" hidden="1" customWidth="1"/>
    <col min="455" max="455" width="7" style="47" customWidth="1"/>
    <col min="456" max="457" width="11.44140625" style="47" hidden="1" customWidth="1"/>
    <col min="458" max="458" width="7" style="47" customWidth="1"/>
    <col min="459" max="460" width="11.44140625" style="47" hidden="1" customWidth="1"/>
    <col min="461" max="461" width="7" style="47" customWidth="1"/>
    <col min="462" max="462" width="11.44140625" style="47" hidden="1" customWidth="1"/>
    <col min="463" max="463" width="6.44140625" style="47" customWidth="1"/>
    <col min="464" max="473" width="11.44140625" style="47" hidden="1" customWidth="1"/>
    <col min="474" max="508" width="11.44140625" style="47" hidden="1"/>
    <col min="509" max="509" width="41.44140625" style="47" customWidth="1"/>
    <col min="510" max="510" width="6.44140625" style="47" customWidth="1"/>
    <col min="511" max="511" width="14.5546875" style="47" customWidth="1"/>
    <col min="512" max="512" width="11.44140625" style="47" customWidth="1"/>
    <col min="513" max="513" width="13" style="47" customWidth="1"/>
    <col min="514" max="514" width="25.44140625" style="47" customWidth="1"/>
    <col min="515" max="524" width="9.44140625" style="47" customWidth="1"/>
    <col min="525" max="525" width="11.5546875" style="47" customWidth="1"/>
    <col min="526" max="526" width="9.44140625" style="47" customWidth="1"/>
    <col min="527" max="527" width="10.109375" style="47" customWidth="1"/>
    <col min="528" max="539" width="11.44140625" style="47" hidden="1" customWidth="1"/>
    <col min="540" max="541" width="11.44140625" style="47" customWidth="1"/>
    <col min="542" max="542" width="56.88671875" style="47" customWidth="1"/>
    <col min="543" max="543" width="9.109375" style="47" customWidth="1"/>
    <col min="544" max="544" width="32" style="47" customWidth="1"/>
    <col min="545" max="545" width="22.88671875" style="47" customWidth="1"/>
    <col min="546" max="546" width="31" style="47" customWidth="1"/>
    <col min="547" max="547" width="5" style="47" customWidth="1"/>
    <col min="548" max="549" width="11.44140625" style="47" hidden="1" customWidth="1"/>
    <col min="550" max="550" width="5" style="47" customWidth="1"/>
    <col min="551" max="552" width="11.44140625" style="47" hidden="1" customWidth="1"/>
    <col min="553" max="553" width="5" style="47" customWidth="1"/>
    <col min="554" max="555" width="11.44140625" style="47" hidden="1" customWidth="1"/>
    <col min="556" max="556" width="5" style="47" customWidth="1"/>
    <col min="557" max="558" width="11.44140625" style="47" hidden="1" customWidth="1"/>
    <col min="559" max="559" width="5" style="47" customWidth="1"/>
    <col min="560" max="624" width="11.44140625" style="47" hidden="1" customWidth="1"/>
    <col min="625" max="625" width="9.44140625" style="47" customWidth="1"/>
    <col min="626" max="643" width="11.44140625" style="47" hidden="1" customWidth="1"/>
    <col min="644" max="644" width="6.44140625" style="47" customWidth="1"/>
    <col min="645" max="657" width="11.44140625" style="47" hidden="1" customWidth="1"/>
    <col min="658" max="658" width="7.109375" style="47" customWidth="1"/>
    <col min="659" max="668" width="11.44140625" style="47" hidden="1" customWidth="1"/>
    <col min="669" max="669" width="6.44140625" style="47" customWidth="1"/>
    <col min="670" max="690" width="11.44140625" style="47" hidden="1" customWidth="1"/>
    <col min="691" max="691" width="9" style="47" customWidth="1"/>
    <col min="692" max="693" width="11.44140625" style="47" hidden="1" customWidth="1"/>
    <col min="694" max="694" width="8.44140625" style="47" customWidth="1"/>
    <col min="695" max="696" width="11.44140625" style="47" hidden="1" customWidth="1"/>
    <col min="697" max="697" width="6.44140625" style="47" customWidth="1"/>
    <col min="698" max="699" width="11.44140625" style="47" hidden="1" customWidth="1"/>
    <col min="700" max="700" width="7" style="47" customWidth="1"/>
    <col min="701" max="702" width="11.44140625" style="47" hidden="1" customWidth="1"/>
    <col min="703" max="705" width="7" style="47" customWidth="1"/>
    <col min="706" max="707" width="11.44140625" style="47" hidden="1" customWidth="1"/>
    <col min="708" max="708" width="7.44140625" style="47" customWidth="1"/>
    <col min="709" max="710" width="11.44140625" style="47" hidden="1" customWidth="1"/>
    <col min="711" max="711" width="7" style="47" customWidth="1"/>
    <col min="712" max="713" width="11.44140625" style="47" hidden="1" customWidth="1"/>
    <col min="714" max="714" width="7" style="47" customWidth="1"/>
    <col min="715" max="716" width="11.44140625" style="47" hidden="1" customWidth="1"/>
    <col min="717" max="717" width="7" style="47" customWidth="1"/>
    <col min="718" max="718" width="11.44140625" style="47" hidden="1" customWidth="1"/>
    <col min="719" max="719" width="6.44140625" style="47" customWidth="1"/>
    <col min="720" max="729" width="11.44140625" style="47" hidden="1" customWidth="1"/>
    <col min="730" max="764" width="11.44140625" style="47" hidden="1"/>
    <col min="765" max="765" width="41.44140625" style="47" customWidth="1"/>
    <col min="766" max="766" width="6.44140625" style="47" customWidth="1"/>
    <col min="767" max="767" width="14.5546875" style="47" customWidth="1"/>
    <col min="768" max="768" width="11.44140625" style="47" customWidth="1"/>
    <col min="769" max="769" width="13" style="47" customWidth="1"/>
    <col min="770" max="770" width="25.44140625" style="47" customWidth="1"/>
    <col min="771" max="780" width="9.44140625" style="47" customWidth="1"/>
    <col min="781" max="781" width="11.5546875" style="47" customWidth="1"/>
    <col min="782" max="782" width="9.44140625" style="47" customWidth="1"/>
    <col min="783" max="783" width="10.109375" style="47" customWidth="1"/>
    <col min="784" max="795" width="11.44140625" style="47" hidden="1" customWidth="1"/>
    <col min="796" max="797" width="11.44140625" style="47" customWidth="1"/>
    <col min="798" max="798" width="56.88671875" style="47" customWidth="1"/>
    <col min="799" max="799" width="9.109375" style="47" customWidth="1"/>
    <col min="800" max="800" width="32" style="47" customWidth="1"/>
    <col min="801" max="801" width="22.88671875" style="47" customWidth="1"/>
    <col min="802" max="802" width="31" style="47" customWidth="1"/>
    <col min="803" max="803" width="5" style="47" customWidth="1"/>
    <col min="804" max="805" width="11.44140625" style="47" hidden="1" customWidth="1"/>
    <col min="806" max="806" width="5" style="47" customWidth="1"/>
    <col min="807" max="808" width="11.44140625" style="47" hidden="1" customWidth="1"/>
    <col min="809" max="809" width="5" style="47" customWidth="1"/>
    <col min="810" max="811" width="11.44140625" style="47" hidden="1" customWidth="1"/>
    <col min="812" max="812" width="5" style="47" customWidth="1"/>
    <col min="813" max="814" width="11.44140625" style="47" hidden="1" customWidth="1"/>
    <col min="815" max="815" width="5" style="47" customWidth="1"/>
    <col min="816" max="880" width="11.44140625" style="47" hidden="1" customWidth="1"/>
    <col min="881" max="881" width="9.44140625" style="47" customWidth="1"/>
    <col min="882" max="899" width="11.44140625" style="47" hidden="1" customWidth="1"/>
    <col min="900" max="900" width="6.44140625" style="47" customWidth="1"/>
    <col min="901" max="913" width="11.44140625" style="47" hidden="1" customWidth="1"/>
    <col min="914" max="914" width="7.109375" style="47" customWidth="1"/>
    <col min="915" max="924" width="11.44140625" style="47" hidden="1" customWidth="1"/>
    <col min="925" max="925" width="6.44140625" style="47" customWidth="1"/>
    <col min="926" max="946" width="11.44140625" style="47" hidden="1" customWidth="1"/>
    <col min="947" max="947" width="9" style="47" customWidth="1"/>
    <col min="948" max="949" width="11.44140625" style="47" hidden="1" customWidth="1"/>
    <col min="950" max="950" width="8.44140625" style="47" customWidth="1"/>
    <col min="951" max="952" width="11.44140625" style="47" hidden="1" customWidth="1"/>
    <col min="953" max="953" width="6.44140625" style="47" customWidth="1"/>
    <col min="954" max="955" width="11.44140625" style="47" hidden="1" customWidth="1"/>
    <col min="956" max="956" width="7" style="47" customWidth="1"/>
    <col min="957" max="958" width="11.44140625" style="47" hidden="1" customWidth="1"/>
    <col min="959" max="961" width="7" style="47" customWidth="1"/>
    <col min="962" max="963" width="11.44140625" style="47" hidden="1" customWidth="1"/>
    <col min="964" max="964" width="7.44140625" style="47" customWidth="1"/>
    <col min="965" max="966" width="11.44140625" style="47" hidden="1" customWidth="1"/>
    <col min="967" max="967" width="7" style="47" customWidth="1"/>
    <col min="968" max="969" width="11.44140625" style="47" hidden="1" customWidth="1"/>
    <col min="970" max="970" width="7" style="47" customWidth="1"/>
    <col min="971" max="972" width="11.44140625" style="47" hidden="1" customWidth="1"/>
    <col min="973" max="973" width="7" style="47" customWidth="1"/>
    <col min="974" max="974" width="11.44140625" style="47" hidden="1" customWidth="1"/>
    <col min="975" max="975" width="6.44140625" style="47" customWidth="1"/>
    <col min="976" max="985" width="11.44140625" style="47" hidden="1" customWidth="1"/>
    <col min="986" max="1020" width="11.44140625" style="47" hidden="1"/>
    <col min="1021" max="1021" width="41.44140625" style="47" customWidth="1"/>
    <col min="1022" max="1022" width="6.44140625" style="47" customWidth="1"/>
    <col min="1023" max="1023" width="14.5546875" style="47" customWidth="1"/>
    <col min="1024" max="1024" width="11.44140625" style="47" customWidth="1"/>
    <col min="1025" max="1025" width="13" style="47" customWidth="1"/>
    <col min="1026" max="1026" width="25.44140625" style="47" customWidth="1"/>
    <col min="1027" max="1036" width="9.44140625" style="47" customWidth="1"/>
    <col min="1037" max="1037" width="11.5546875" style="47" customWidth="1"/>
    <col min="1038" max="1038" width="9.44140625" style="47" customWidth="1"/>
    <col min="1039" max="1039" width="10.109375" style="47" customWidth="1"/>
    <col min="1040" max="1051" width="11.44140625" style="47" hidden="1" customWidth="1"/>
    <col min="1052" max="1053" width="11.44140625" style="47" customWidth="1"/>
    <col min="1054" max="1054" width="56.88671875" style="47" customWidth="1"/>
    <col min="1055" max="1055" width="9.109375" style="47" customWidth="1"/>
    <col min="1056" max="1056" width="32" style="47" customWidth="1"/>
    <col min="1057" max="1057" width="22.88671875" style="47" customWidth="1"/>
    <col min="1058" max="1058" width="31" style="47" customWidth="1"/>
    <col min="1059" max="1059" width="5" style="47" customWidth="1"/>
    <col min="1060" max="1061" width="11.44140625" style="47" hidden="1" customWidth="1"/>
    <col min="1062" max="1062" width="5" style="47" customWidth="1"/>
    <col min="1063" max="1064" width="11.44140625" style="47" hidden="1" customWidth="1"/>
    <col min="1065" max="1065" width="5" style="47" customWidth="1"/>
    <col min="1066" max="1067" width="11.44140625" style="47" hidden="1" customWidth="1"/>
    <col min="1068" max="1068" width="5" style="47" customWidth="1"/>
    <col min="1069" max="1070" width="11.44140625" style="47" hidden="1" customWidth="1"/>
    <col min="1071" max="1071" width="5" style="47" customWidth="1"/>
    <col min="1072" max="1136" width="11.44140625" style="47" hidden="1" customWidth="1"/>
    <col min="1137" max="1137" width="9.44140625" style="47" customWidth="1"/>
    <col min="1138" max="1155" width="11.44140625" style="47" hidden="1" customWidth="1"/>
    <col min="1156" max="1156" width="6.44140625" style="47" customWidth="1"/>
    <col min="1157" max="1169" width="11.44140625" style="47" hidden="1" customWidth="1"/>
    <col min="1170" max="1170" width="7.109375" style="47" customWidth="1"/>
    <col min="1171" max="1180" width="11.44140625" style="47" hidden="1" customWidth="1"/>
    <col min="1181" max="1181" width="6.44140625" style="47" customWidth="1"/>
    <col min="1182" max="1202" width="11.44140625" style="47" hidden="1" customWidth="1"/>
    <col min="1203" max="1203" width="9" style="47" customWidth="1"/>
    <col min="1204" max="1205" width="11.44140625" style="47" hidden="1" customWidth="1"/>
    <col min="1206" max="1206" width="8.44140625" style="47" customWidth="1"/>
    <col min="1207" max="1208" width="11.44140625" style="47" hidden="1" customWidth="1"/>
    <col min="1209" max="1209" width="6.44140625" style="47" customWidth="1"/>
    <col min="1210" max="1211" width="11.44140625" style="47" hidden="1" customWidth="1"/>
    <col min="1212" max="1212" width="7" style="47" customWidth="1"/>
    <col min="1213" max="1214" width="11.44140625" style="47" hidden="1" customWidth="1"/>
    <col min="1215" max="1217" width="7" style="47" customWidth="1"/>
    <col min="1218" max="1219" width="11.44140625" style="47" hidden="1" customWidth="1"/>
    <col min="1220" max="1220" width="7.44140625" style="47" customWidth="1"/>
    <col min="1221" max="1222" width="11.44140625" style="47" hidden="1" customWidth="1"/>
    <col min="1223" max="1223" width="7" style="47" customWidth="1"/>
    <col min="1224" max="1225" width="11.44140625" style="47" hidden="1" customWidth="1"/>
    <col min="1226" max="1226" width="7" style="47" customWidth="1"/>
    <col min="1227" max="1228" width="11.44140625" style="47" hidden="1" customWidth="1"/>
    <col min="1229" max="1229" width="7" style="47" customWidth="1"/>
    <col min="1230" max="1230" width="11.44140625" style="47" hidden="1" customWidth="1"/>
    <col min="1231" max="1231" width="6.44140625" style="47" customWidth="1"/>
    <col min="1232" max="1241" width="11.44140625" style="47" hidden="1" customWidth="1"/>
    <col min="1242" max="1276" width="11.44140625" style="47" hidden="1"/>
    <col min="1277" max="1277" width="41.44140625" style="47" customWidth="1"/>
    <col min="1278" max="1278" width="6.44140625" style="47" customWidth="1"/>
    <col min="1279" max="1279" width="14.5546875" style="47" customWidth="1"/>
    <col min="1280" max="1280" width="11.44140625" style="47" customWidth="1"/>
    <col min="1281" max="1281" width="13" style="47" customWidth="1"/>
    <col min="1282" max="1282" width="25.44140625" style="47" customWidth="1"/>
    <col min="1283" max="1292" width="9.44140625" style="47" customWidth="1"/>
    <col min="1293" max="1293" width="11.5546875" style="47" customWidth="1"/>
    <col min="1294" max="1294" width="9.44140625" style="47" customWidth="1"/>
    <col min="1295" max="1295" width="10.109375" style="47" customWidth="1"/>
    <col min="1296" max="1307" width="11.44140625" style="47" hidden="1" customWidth="1"/>
    <col min="1308" max="1309" width="11.44140625" style="47" customWidth="1"/>
    <col min="1310" max="1310" width="56.88671875" style="47" customWidth="1"/>
    <col min="1311" max="1311" width="9.109375" style="47" customWidth="1"/>
    <col min="1312" max="1312" width="32" style="47" customWidth="1"/>
    <col min="1313" max="1313" width="22.88671875" style="47" customWidth="1"/>
    <col min="1314" max="1314" width="31" style="47" customWidth="1"/>
    <col min="1315" max="1315" width="5" style="47" customWidth="1"/>
    <col min="1316" max="1317" width="11.44140625" style="47" hidden="1" customWidth="1"/>
    <col min="1318" max="1318" width="5" style="47" customWidth="1"/>
    <col min="1319" max="1320" width="11.44140625" style="47" hidden="1" customWidth="1"/>
    <col min="1321" max="1321" width="5" style="47" customWidth="1"/>
    <col min="1322" max="1323" width="11.44140625" style="47" hidden="1" customWidth="1"/>
    <col min="1324" max="1324" width="5" style="47" customWidth="1"/>
    <col min="1325" max="1326" width="11.44140625" style="47" hidden="1" customWidth="1"/>
    <col min="1327" max="1327" width="5" style="47" customWidth="1"/>
    <col min="1328" max="1392" width="11.44140625" style="47" hidden="1" customWidth="1"/>
    <col min="1393" max="1393" width="9.44140625" style="47" customWidth="1"/>
    <col min="1394" max="1411" width="11.44140625" style="47" hidden="1" customWidth="1"/>
    <col min="1412" max="1412" width="6.44140625" style="47" customWidth="1"/>
    <col min="1413" max="1425" width="11.44140625" style="47" hidden="1" customWidth="1"/>
    <col min="1426" max="1426" width="7.109375" style="47" customWidth="1"/>
    <col min="1427" max="1436" width="11.44140625" style="47" hidden="1" customWidth="1"/>
    <col min="1437" max="1437" width="6.44140625" style="47" customWidth="1"/>
    <col min="1438" max="1458" width="11.44140625" style="47" hidden="1" customWidth="1"/>
    <col min="1459" max="1459" width="9" style="47" customWidth="1"/>
    <col min="1460" max="1461" width="11.44140625" style="47" hidden="1" customWidth="1"/>
    <col min="1462" max="1462" width="8.44140625" style="47" customWidth="1"/>
    <col min="1463" max="1464" width="11.44140625" style="47" hidden="1" customWidth="1"/>
    <col min="1465" max="1465" width="6.44140625" style="47" customWidth="1"/>
    <col min="1466" max="1467" width="11.44140625" style="47" hidden="1" customWidth="1"/>
    <col min="1468" max="1468" width="7" style="47" customWidth="1"/>
    <col min="1469" max="1470" width="11.44140625" style="47" hidden="1" customWidth="1"/>
    <col min="1471" max="1473" width="7" style="47" customWidth="1"/>
    <col min="1474" max="1475" width="11.44140625" style="47" hidden="1" customWidth="1"/>
    <col min="1476" max="1476" width="7.44140625" style="47" customWidth="1"/>
    <col min="1477" max="1478" width="11.44140625" style="47" hidden="1" customWidth="1"/>
    <col min="1479" max="1479" width="7" style="47" customWidth="1"/>
    <col min="1480" max="1481" width="11.44140625" style="47" hidden="1" customWidth="1"/>
    <col min="1482" max="1482" width="7" style="47" customWidth="1"/>
    <col min="1483" max="1484" width="11.44140625" style="47" hidden="1" customWidth="1"/>
    <col min="1485" max="1485" width="7" style="47" customWidth="1"/>
    <col min="1486" max="1486" width="11.44140625" style="47" hidden="1" customWidth="1"/>
    <col min="1487" max="1487" width="6.44140625" style="47" customWidth="1"/>
    <col min="1488" max="1497" width="11.44140625" style="47" hidden="1" customWidth="1"/>
    <col min="1498" max="1532" width="11.44140625" style="47" hidden="1"/>
    <col min="1533" max="1533" width="41.44140625" style="47" customWidth="1"/>
    <col min="1534" max="1534" width="6.44140625" style="47" customWidth="1"/>
    <col min="1535" max="1535" width="14.5546875" style="47" customWidth="1"/>
    <col min="1536" max="1536" width="11.44140625" style="47" customWidth="1"/>
    <col min="1537" max="1537" width="13" style="47" customWidth="1"/>
    <col min="1538" max="1538" width="25.44140625" style="47" customWidth="1"/>
    <col min="1539" max="1548" width="9.44140625" style="47" customWidth="1"/>
    <col min="1549" max="1549" width="11.5546875" style="47" customWidth="1"/>
    <col min="1550" max="1550" width="9.44140625" style="47" customWidth="1"/>
    <col min="1551" max="1551" width="10.109375" style="47" customWidth="1"/>
    <col min="1552" max="1563" width="11.44140625" style="47" hidden="1" customWidth="1"/>
    <col min="1564" max="1565" width="11.44140625" style="47" customWidth="1"/>
    <col min="1566" max="1566" width="56.88671875" style="47" customWidth="1"/>
    <col min="1567" max="1567" width="9.109375" style="47" customWidth="1"/>
    <col min="1568" max="1568" width="32" style="47" customWidth="1"/>
    <col min="1569" max="1569" width="22.88671875" style="47" customWidth="1"/>
    <col min="1570" max="1570" width="31" style="47" customWidth="1"/>
    <col min="1571" max="1571" width="5" style="47" customWidth="1"/>
    <col min="1572" max="1573" width="11.44140625" style="47" hidden="1" customWidth="1"/>
    <col min="1574" max="1574" width="5" style="47" customWidth="1"/>
    <col min="1575" max="1576" width="11.44140625" style="47" hidden="1" customWidth="1"/>
    <col min="1577" max="1577" width="5" style="47" customWidth="1"/>
    <col min="1578" max="1579" width="11.44140625" style="47" hidden="1" customWidth="1"/>
    <col min="1580" max="1580" width="5" style="47" customWidth="1"/>
    <col min="1581" max="1582" width="11.44140625" style="47" hidden="1" customWidth="1"/>
    <col min="1583" max="1583" width="5" style="47" customWidth="1"/>
    <col min="1584" max="1648" width="11.44140625" style="47" hidden="1" customWidth="1"/>
    <col min="1649" max="1649" width="9.44140625" style="47" customWidth="1"/>
    <col min="1650" max="1667" width="11.44140625" style="47" hidden="1" customWidth="1"/>
    <col min="1668" max="1668" width="6.44140625" style="47" customWidth="1"/>
    <col min="1669" max="1681" width="11.44140625" style="47" hidden="1" customWidth="1"/>
    <col min="1682" max="1682" width="7.109375" style="47" customWidth="1"/>
    <col min="1683" max="1692" width="11.44140625" style="47" hidden="1" customWidth="1"/>
    <col min="1693" max="1693" width="6.44140625" style="47" customWidth="1"/>
    <col min="1694" max="1714" width="11.44140625" style="47" hidden="1" customWidth="1"/>
    <col min="1715" max="1715" width="9" style="47" customWidth="1"/>
    <col min="1716" max="1717" width="11.44140625" style="47" hidden="1" customWidth="1"/>
    <col min="1718" max="1718" width="8.44140625" style="47" customWidth="1"/>
    <col min="1719" max="1720" width="11.44140625" style="47" hidden="1" customWidth="1"/>
    <col min="1721" max="1721" width="6.44140625" style="47" customWidth="1"/>
    <col min="1722" max="1723" width="11.44140625" style="47" hidden="1" customWidth="1"/>
    <col min="1724" max="1724" width="7" style="47" customWidth="1"/>
    <col min="1725" max="1726" width="11.44140625" style="47" hidden="1" customWidth="1"/>
    <col min="1727" max="1729" width="7" style="47" customWidth="1"/>
    <col min="1730" max="1731" width="11.44140625" style="47" hidden="1" customWidth="1"/>
    <col min="1732" max="1732" width="7.44140625" style="47" customWidth="1"/>
    <col min="1733" max="1734" width="11.44140625" style="47" hidden="1" customWidth="1"/>
    <col min="1735" max="1735" width="7" style="47" customWidth="1"/>
    <col min="1736" max="1737" width="11.44140625" style="47" hidden="1" customWidth="1"/>
    <col min="1738" max="1738" width="7" style="47" customWidth="1"/>
    <col min="1739" max="1740" width="11.44140625" style="47" hidden="1" customWidth="1"/>
    <col min="1741" max="1741" width="7" style="47" customWidth="1"/>
    <col min="1742" max="1742" width="11.44140625" style="47" hidden="1" customWidth="1"/>
    <col min="1743" max="1743" width="6.44140625" style="47" customWidth="1"/>
    <col min="1744" max="1753" width="11.44140625" style="47" hidden="1" customWidth="1"/>
    <col min="1754" max="1788" width="11.44140625" style="47" hidden="1"/>
    <col min="1789" max="1789" width="41.44140625" style="47" customWidth="1"/>
    <col min="1790" max="1790" width="6.44140625" style="47" customWidth="1"/>
    <col min="1791" max="1791" width="14.5546875" style="47" customWidth="1"/>
    <col min="1792" max="1792" width="11.44140625" style="47" customWidth="1"/>
    <col min="1793" max="1793" width="13" style="47" customWidth="1"/>
    <col min="1794" max="1794" width="25.44140625" style="47" customWidth="1"/>
    <col min="1795" max="1804" width="9.44140625" style="47" customWidth="1"/>
    <col min="1805" max="1805" width="11.5546875" style="47" customWidth="1"/>
    <col min="1806" max="1806" width="9.44140625" style="47" customWidth="1"/>
    <col min="1807" max="1807" width="10.109375" style="47" customWidth="1"/>
    <col min="1808" max="1819" width="11.44140625" style="47" hidden="1" customWidth="1"/>
    <col min="1820" max="1821" width="11.44140625" style="47" customWidth="1"/>
    <col min="1822" max="1822" width="56.88671875" style="47" customWidth="1"/>
    <col min="1823" max="1823" width="9.109375" style="47" customWidth="1"/>
    <col min="1824" max="1824" width="32" style="47" customWidth="1"/>
    <col min="1825" max="1825" width="22.88671875" style="47" customWidth="1"/>
    <col min="1826" max="1826" width="31" style="47" customWidth="1"/>
    <col min="1827" max="1827" width="5" style="47" customWidth="1"/>
    <col min="1828" max="1829" width="11.44140625" style="47" hidden="1" customWidth="1"/>
    <col min="1830" max="1830" width="5" style="47" customWidth="1"/>
    <col min="1831" max="1832" width="11.44140625" style="47" hidden="1" customWidth="1"/>
    <col min="1833" max="1833" width="5" style="47" customWidth="1"/>
    <col min="1834" max="1835" width="11.44140625" style="47" hidden="1" customWidth="1"/>
    <col min="1836" max="1836" width="5" style="47" customWidth="1"/>
    <col min="1837" max="1838" width="11.44140625" style="47" hidden="1" customWidth="1"/>
    <col min="1839" max="1839" width="5" style="47" customWidth="1"/>
    <col min="1840" max="1904" width="11.44140625" style="47" hidden="1" customWidth="1"/>
    <col min="1905" max="1905" width="9.44140625" style="47" customWidth="1"/>
    <col min="1906" max="1923" width="11.44140625" style="47" hidden="1" customWidth="1"/>
    <col min="1924" max="1924" width="6.44140625" style="47" customWidth="1"/>
    <col min="1925" max="1937" width="11.44140625" style="47" hidden="1" customWidth="1"/>
    <col min="1938" max="1938" width="7.109375" style="47" customWidth="1"/>
    <col min="1939" max="1948" width="11.44140625" style="47" hidden="1" customWidth="1"/>
    <col min="1949" max="1949" width="6.44140625" style="47" customWidth="1"/>
    <col min="1950" max="1970" width="11.44140625" style="47" hidden="1" customWidth="1"/>
    <col min="1971" max="1971" width="9" style="47" customWidth="1"/>
    <col min="1972" max="1973" width="11.44140625" style="47" hidden="1" customWidth="1"/>
    <col min="1974" max="1974" width="8.44140625" style="47" customWidth="1"/>
    <col min="1975" max="1976" width="11.44140625" style="47" hidden="1" customWidth="1"/>
    <col min="1977" max="1977" width="6.44140625" style="47" customWidth="1"/>
    <col min="1978" max="1979" width="11.44140625" style="47" hidden="1" customWidth="1"/>
    <col min="1980" max="1980" width="7" style="47" customWidth="1"/>
    <col min="1981" max="1982" width="11.44140625" style="47" hidden="1" customWidth="1"/>
    <col min="1983" max="1985" width="7" style="47" customWidth="1"/>
    <col min="1986" max="1987" width="11.44140625" style="47" hidden="1" customWidth="1"/>
    <col min="1988" max="1988" width="7.44140625" style="47" customWidth="1"/>
    <col min="1989" max="1990" width="11.44140625" style="47" hidden="1" customWidth="1"/>
    <col min="1991" max="1991" width="7" style="47" customWidth="1"/>
    <col min="1992" max="1993" width="11.44140625" style="47" hidden="1" customWidth="1"/>
    <col min="1994" max="1994" width="7" style="47" customWidth="1"/>
    <col min="1995" max="1996" width="11.44140625" style="47" hidden="1" customWidth="1"/>
    <col min="1997" max="1997" width="7" style="47" customWidth="1"/>
    <col min="1998" max="1998" width="11.44140625" style="47" hidden="1" customWidth="1"/>
    <col min="1999" max="1999" width="6.44140625" style="47" customWidth="1"/>
    <col min="2000" max="2009" width="11.44140625" style="47" hidden="1" customWidth="1"/>
    <col min="2010" max="2044" width="11.44140625" style="47" hidden="1"/>
    <col min="2045" max="2045" width="41.44140625" style="47" customWidth="1"/>
    <col min="2046" max="2046" width="6.44140625" style="47" customWidth="1"/>
    <col min="2047" max="2047" width="14.5546875" style="47" customWidth="1"/>
    <col min="2048" max="2048" width="11.44140625" style="47" customWidth="1"/>
    <col min="2049" max="2049" width="13" style="47" customWidth="1"/>
    <col min="2050" max="2050" width="25.44140625" style="47" customWidth="1"/>
    <col min="2051" max="2060" width="9.44140625" style="47" customWidth="1"/>
    <col min="2061" max="2061" width="11.5546875" style="47" customWidth="1"/>
    <col min="2062" max="2062" width="9.44140625" style="47" customWidth="1"/>
    <col min="2063" max="2063" width="10.109375" style="47" customWidth="1"/>
    <col min="2064" max="2075" width="11.44140625" style="47" hidden="1" customWidth="1"/>
    <col min="2076" max="2077" width="11.44140625" style="47" customWidth="1"/>
    <col min="2078" max="2078" width="56.88671875" style="47" customWidth="1"/>
    <col min="2079" max="2079" width="9.109375" style="47" customWidth="1"/>
    <col min="2080" max="2080" width="32" style="47" customWidth="1"/>
    <col min="2081" max="2081" width="22.88671875" style="47" customWidth="1"/>
    <col min="2082" max="2082" width="31" style="47" customWidth="1"/>
    <col min="2083" max="2083" width="5" style="47" customWidth="1"/>
    <col min="2084" max="2085" width="11.44140625" style="47" hidden="1" customWidth="1"/>
    <col min="2086" max="2086" width="5" style="47" customWidth="1"/>
    <col min="2087" max="2088" width="11.44140625" style="47" hidden="1" customWidth="1"/>
    <col min="2089" max="2089" width="5" style="47" customWidth="1"/>
    <col min="2090" max="2091" width="11.44140625" style="47" hidden="1" customWidth="1"/>
    <col min="2092" max="2092" width="5" style="47" customWidth="1"/>
    <col min="2093" max="2094" width="11.44140625" style="47" hidden="1" customWidth="1"/>
    <col min="2095" max="2095" width="5" style="47" customWidth="1"/>
    <col min="2096" max="2160" width="11.44140625" style="47" hidden="1" customWidth="1"/>
    <col min="2161" max="2161" width="9.44140625" style="47" customWidth="1"/>
    <col min="2162" max="2179" width="11.44140625" style="47" hidden="1" customWidth="1"/>
    <col min="2180" max="2180" width="6.44140625" style="47" customWidth="1"/>
    <col min="2181" max="2193" width="11.44140625" style="47" hidden="1" customWidth="1"/>
    <col min="2194" max="2194" width="7.109375" style="47" customWidth="1"/>
    <col min="2195" max="2204" width="11.44140625" style="47" hidden="1" customWidth="1"/>
    <col min="2205" max="2205" width="6.44140625" style="47" customWidth="1"/>
    <col min="2206" max="2226" width="11.44140625" style="47" hidden="1" customWidth="1"/>
    <col min="2227" max="2227" width="9" style="47" customWidth="1"/>
    <col min="2228" max="2229" width="11.44140625" style="47" hidden="1" customWidth="1"/>
    <col min="2230" max="2230" width="8.44140625" style="47" customWidth="1"/>
    <col min="2231" max="2232" width="11.44140625" style="47" hidden="1" customWidth="1"/>
    <col min="2233" max="2233" width="6.44140625" style="47" customWidth="1"/>
    <col min="2234" max="2235" width="11.44140625" style="47" hidden="1" customWidth="1"/>
    <col min="2236" max="2236" width="7" style="47" customWidth="1"/>
    <col min="2237" max="2238" width="11.44140625" style="47" hidden="1" customWidth="1"/>
    <col min="2239" max="2241" width="7" style="47" customWidth="1"/>
    <col min="2242" max="2243" width="11.44140625" style="47" hidden="1" customWidth="1"/>
    <col min="2244" max="2244" width="7.44140625" style="47" customWidth="1"/>
    <col min="2245" max="2246" width="11.44140625" style="47" hidden="1" customWidth="1"/>
    <col min="2247" max="2247" width="7" style="47" customWidth="1"/>
    <col min="2248" max="2249" width="11.44140625" style="47" hidden="1" customWidth="1"/>
    <col min="2250" max="2250" width="7" style="47" customWidth="1"/>
    <col min="2251" max="2252" width="11.44140625" style="47" hidden="1" customWidth="1"/>
    <col min="2253" max="2253" width="7" style="47" customWidth="1"/>
    <col min="2254" max="2254" width="11.44140625" style="47" hidden="1" customWidth="1"/>
    <col min="2255" max="2255" width="6.44140625" style="47" customWidth="1"/>
    <col min="2256" max="2265" width="11.44140625" style="47" hidden="1" customWidth="1"/>
    <col min="2266" max="2300" width="11.44140625" style="47" hidden="1"/>
    <col min="2301" max="2301" width="41.44140625" style="47" customWidth="1"/>
    <col min="2302" max="2302" width="6.44140625" style="47" customWidth="1"/>
    <col min="2303" max="2303" width="14.5546875" style="47" customWidth="1"/>
    <col min="2304" max="2304" width="11.44140625" style="47" customWidth="1"/>
    <col min="2305" max="2305" width="13" style="47" customWidth="1"/>
    <col min="2306" max="2306" width="25.44140625" style="47" customWidth="1"/>
    <col min="2307" max="2316" width="9.44140625" style="47" customWidth="1"/>
    <col min="2317" max="2317" width="11.5546875" style="47" customWidth="1"/>
    <col min="2318" max="2318" width="9.44140625" style="47" customWidth="1"/>
    <col min="2319" max="2319" width="10.109375" style="47" customWidth="1"/>
    <col min="2320" max="2331" width="11.44140625" style="47" hidden="1" customWidth="1"/>
    <col min="2332" max="2333" width="11.44140625" style="47" customWidth="1"/>
    <col min="2334" max="2334" width="56.88671875" style="47" customWidth="1"/>
    <col min="2335" max="2335" width="9.109375" style="47" customWidth="1"/>
    <col min="2336" max="2336" width="32" style="47" customWidth="1"/>
    <col min="2337" max="2337" width="22.88671875" style="47" customWidth="1"/>
    <col min="2338" max="2338" width="31" style="47" customWidth="1"/>
    <col min="2339" max="2339" width="5" style="47" customWidth="1"/>
    <col min="2340" max="2341" width="11.44140625" style="47" hidden="1" customWidth="1"/>
    <col min="2342" max="2342" width="5" style="47" customWidth="1"/>
    <col min="2343" max="2344" width="11.44140625" style="47" hidden="1" customWidth="1"/>
    <col min="2345" max="2345" width="5" style="47" customWidth="1"/>
    <col min="2346" max="2347" width="11.44140625" style="47" hidden="1" customWidth="1"/>
    <col min="2348" max="2348" width="5" style="47" customWidth="1"/>
    <col min="2349" max="2350" width="11.44140625" style="47" hidden="1" customWidth="1"/>
    <col min="2351" max="2351" width="5" style="47" customWidth="1"/>
    <col min="2352" max="2416" width="11.44140625" style="47" hidden="1" customWidth="1"/>
    <col min="2417" max="2417" width="9.44140625" style="47" customWidth="1"/>
    <col min="2418" max="2435" width="11.44140625" style="47" hidden="1" customWidth="1"/>
    <col min="2436" max="2436" width="6.44140625" style="47" customWidth="1"/>
    <col min="2437" max="2449" width="11.44140625" style="47" hidden="1" customWidth="1"/>
    <col min="2450" max="2450" width="7.109375" style="47" customWidth="1"/>
    <col min="2451" max="2460" width="11.44140625" style="47" hidden="1" customWidth="1"/>
    <col min="2461" max="2461" width="6.44140625" style="47" customWidth="1"/>
    <col min="2462" max="2482" width="11.44140625" style="47" hidden="1" customWidth="1"/>
    <col min="2483" max="2483" width="9" style="47" customWidth="1"/>
    <col min="2484" max="2485" width="11.44140625" style="47" hidden="1" customWidth="1"/>
    <col min="2486" max="2486" width="8.44140625" style="47" customWidth="1"/>
    <col min="2487" max="2488" width="11.44140625" style="47" hidden="1" customWidth="1"/>
    <col min="2489" max="2489" width="6.44140625" style="47" customWidth="1"/>
    <col min="2490" max="2491" width="11.44140625" style="47" hidden="1" customWidth="1"/>
    <col min="2492" max="2492" width="7" style="47" customWidth="1"/>
    <col min="2493" max="2494" width="11.44140625" style="47" hidden="1" customWidth="1"/>
    <col min="2495" max="2497" width="7" style="47" customWidth="1"/>
    <col min="2498" max="2499" width="11.44140625" style="47" hidden="1" customWidth="1"/>
    <col min="2500" max="2500" width="7.44140625" style="47" customWidth="1"/>
    <col min="2501" max="2502" width="11.44140625" style="47" hidden="1" customWidth="1"/>
    <col min="2503" max="2503" width="7" style="47" customWidth="1"/>
    <col min="2504" max="2505" width="11.44140625" style="47" hidden="1" customWidth="1"/>
    <col min="2506" max="2506" width="7" style="47" customWidth="1"/>
    <col min="2507" max="2508" width="11.44140625" style="47" hidden="1" customWidth="1"/>
    <col min="2509" max="2509" width="7" style="47" customWidth="1"/>
    <col min="2510" max="2510" width="11.44140625" style="47" hidden="1" customWidth="1"/>
    <col min="2511" max="2511" width="6.44140625" style="47" customWidth="1"/>
    <col min="2512" max="2521" width="11.44140625" style="47" hidden="1" customWidth="1"/>
    <col min="2522" max="2556" width="11.44140625" style="47" hidden="1"/>
    <col min="2557" max="2557" width="41.44140625" style="47" customWidth="1"/>
    <col min="2558" max="2558" width="6.44140625" style="47" customWidth="1"/>
    <col min="2559" max="2559" width="14.5546875" style="47" customWidth="1"/>
    <col min="2560" max="2560" width="11.44140625" style="47" customWidth="1"/>
    <col min="2561" max="2561" width="13" style="47" customWidth="1"/>
    <col min="2562" max="2562" width="25.44140625" style="47" customWidth="1"/>
    <col min="2563" max="2572" width="9.44140625" style="47" customWidth="1"/>
    <col min="2573" max="2573" width="11.5546875" style="47" customWidth="1"/>
    <col min="2574" max="2574" width="9.44140625" style="47" customWidth="1"/>
    <col min="2575" max="2575" width="10.109375" style="47" customWidth="1"/>
    <col min="2576" max="2587" width="11.44140625" style="47" hidden="1" customWidth="1"/>
    <col min="2588" max="2589" width="11.44140625" style="47" customWidth="1"/>
    <col min="2590" max="2590" width="56.88671875" style="47" customWidth="1"/>
    <col min="2591" max="2591" width="9.109375" style="47" customWidth="1"/>
    <col min="2592" max="2592" width="32" style="47" customWidth="1"/>
    <col min="2593" max="2593" width="22.88671875" style="47" customWidth="1"/>
    <col min="2594" max="2594" width="31" style="47" customWidth="1"/>
    <col min="2595" max="2595" width="5" style="47" customWidth="1"/>
    <col min="2596" max="2597" width="11.44140625" style="47" hidden="1" customWidth="1"/>
    <col min="2598" max="2598" width="5" style="47" customWidth="1"/>
    <col min="2599" max="2600" width="11.44140625" style="47" hidden="1" customWidth="1"/>
    <col min="2601" max="2601" width="5" style="47" customWidth="1"/>
    <col min="2602" max="2603" width="11.44140625" style="47" hidden="1" customWidth="1"/>
    <col min="2604" max="2604" width="5" style="47" customWidth="1"/>
    <col min="2605" max="2606" width="11.44140625" style="47" hidden="1" customWidth="1"/>
    <col min="2607" max="2607" width="5" style="47" customWidth="1"/>
    <col min="2608" max="2672" width="11.44140625" style="47" hidden="1" customWidth="1"/>
    <col min="2673" max="2673" width="9.44140625" style="47" customWidth="1"/>
    <col min="2674" max="2691" width="11.44140625" style="47" hidden="1" customWidth="1"/>
    <col min="2692" max="2692" width="6.44140625" style="47" customWidth="1"/>
    <col min="2693" max="2705" width="11.44140625" style="47" hidden="1" customWidth="1"/>
    <col min="2706" max="2706" width="7.109375" style="47" customWidth="1"/>
    <col min="2707" max="2716" width="11.44140625" style="47" hidden="1" customWidth="1"/>
    <col min="2717" max="2717" width="6.44140625" style="47" customWidth="1"/>
    <col min="2718" max="2738" width="11.44140625" style="47" hidden="1" customWidth="1"/>
    <col min="2739" max="2739" width="9" style="47" customWidth="1"/>
    <col min="2740" max="2741" width="11.44140625" style="47" hidden="1" customWidth="1"/>
    <col min="2742" max="2742" width="8.44140625" style="47" customWidth="1"/>
    <col min="2743" max="2744" width="11.44140625" style="47" hidden="1" customWidth="1"/>
    <col min="2745" max="2745" width="6.44140625" style="47" customWidth="1"/>
    <col min="2746" max="2747" width="11.44140625" style="47" hidden="1" customWidth="1"/>
    <col min="2748" max="2748" width="7" style="47" customWidth="1"/>
    <col min="2749" max="2750" width="11.44140625" style="47" hidden="1" customWidth="1"/>
    <col min="2751" max="2753" width="7" style="47" customWidth="1"/>
    <col min="2754" max="2755" width="11.44140625" style="47" hidden="1" customWidth="1"/>
    <col min="2756" max="2756" width="7.44140625" style="47" customWidth="1"/>
    <col min="2757" max="2758" width="11.44140625" style="47" hidden="1" customWidth="1"/>
    <col min="2759" max="2759" width="7" style="47" customWidth="1"/>
    <col min="2760" max="2761" width="11.44140625" style="47" hidden="1" customWidth="1"/>
    <col min="2762" max="2762" width="7" style="47" customWidth="1"/>
    <col min="2763" max="2764" width="11.44140625" style="47" hidden="1" customWidth="1"/>
    <col min="2765" max="2765" width="7" style="47" customWidth="1"/>
    <col min="2766" max="2766" width="11.44140625" style="47" hidden="1" customWidth="1"/>
    <col min="2767" max="2767" width="6.44140625" style="47" customWidth="1"/>
    <col min="2768" max="2777" width="11.44140625" style="47" hidden="1" customWidth="1"/>
    <col min="2778" max="2812" width="11.44140625" style="47" hidden="1"/>
    <col min="2813" max="2813" width="41.44140625" style="47" customWidth="1"/>
    <col min="2814" max="2814" width="6.44140625" style="47" customWidth="1"/>
    <col min="2815" max="2815" width="14.5546875" style="47" customWidth="1"/>
    <col min="2816" max="2816" width="11.44140625" style="47" customWidth="1"/>
    <col min="2817" max="2817" width="13" style="47" customWidth="1"/>
    <col min="2818" max="2818" width="25.44140625" style="47" customWidth="1"/>
    <col min="2819" max="2828" width="9.44140625" style="47" customWidth="1"/>
    <col min="2829" max="2829" width="11.5546875" style="47" customWidth="1"/>
    <col min="2830" max="2830" width="9.44140625" style="47" customWidth="1"/>
    <col min="2831" max="2831" width="10.109375" style="47" customWidth="1"/>
    <col min="2832" max="2843" width="11.44140625" style="47" hidden="1" customWidth="1"/>
    <col min="2844" max="2845" width="11.44140625" style="47" customWidth="1"/>
    <col min="2846" max="2846" width="56.88671875" style="47" customWidth="1"/>
    <col min="2847" max="2847" width="9.109375" style="47" customWidth="1"/>
    <col min="2848" max="2848" width="32" style="47" customWidth="1"/>
    <col min="2849" max="2849" width="22.88671875" style="47" customWidth="1"/>
    <col min="2850" max="2850" width="31" style="47" customWidth="1"/>
    <col min="2851" max="2851" width="5" style="47" customWidth="1"/>
    <col min="2852" max="2853" width="11.44140625" style="47" hidden="1" customWidth="1"/>
    <col min="2854" max="2854" width="5" style="47" customWidth="1"/>
    <col min="2855" max="2856" width="11.44140625" style="47" hidden="1" customWidth="1"/>
    <col min="2857" max="2857" width="5" style="47" customWidth="1"/>
    <col min="2858" max="2859" width="11.44140625" style="47" hidden="1" customWidth="1"/>
    <col min="2860" max="2860" width="5" style="47" customWidth="1"/>
    <col min="2861" max="2862" width="11.44140625" style="47" hidden="1" customWidth="1"/>
    <col min="2863" max="2863" width="5" style="47" customWidth="1"/>
    <col min="2864" max="2928" width="11.44140625" style="47" hidden="1" customWidth="1"/>
    <col min="2929" max="2929" width="9.44140625" style="47" customWidth="1"/>
    <col min="2930" max="2947" width="11.44140625" style="47" hidden="1" customWidth="1"/>
    <col min="2948" max="2948" width="6.44140625" style="47" customWidth="1"/>
    <col min="2949" max="2961" width="11.44140625" style="47" hidden="1" customWidth="1"/>
    <col min="2962" max="2962" width="7.109375" style="47" customWidth="1"/>
    <col min="2963" max="2972" width="11.44140625" style="47" hidden="1" customWidth="1"/>
    <col min="2973" max="2973" width="6.44140625" style="47" customWidth="1"/>
    <col min="2974" max="2994" width="11.44140625" style="47" hidden="1" customWidth="1"/>
    <col min="2995" max="2995" width="9" style="47" customWidth="1"/>
    <col min="2996" max="2997" width="11.44140625" style="47" hidden="1" customWidth="1"/>
    <col min="2998" max="2998" width="8.44140625" style="47" customWidth="1"/>
    <col min="2999" max="3000" width="11.44140625" style="47" hidden="1" customWidth="1"/>
    <col min="3001" max="3001" width="6.44140625" style="47" customWidth="1"/>
    <col min="3002" max="3003" width="11.44140625" style="47" hidden="1" customWidth="1"/>
    <col min="3004" max="3004" width="7" style="47" customWidth="1"/>
    <col min="3005" max="3006" width="11.44140625" style="47" hidden="1" customWidth="1"/>
    <col min="3007" max="3009" width="7" style="47" customWidth="1"/>
    <col min="3010" max="3011" width="11.44140625" style="47" hidden="1" customWidth="1"/>
    <col min="3012" max="3012" width="7.44140625" style="47" customWidth="1"/>
    <col min="3013" max="3014" width="11.44140625" style="47" hidden="1" customWidth="1"/>
    <col min="3015" max="3015" width="7" style="47" customWidth="1"/>
    <col min="3016" max="3017" width="11.44140625" style="47" hidden="1" customWidth="1"/>
    <col min="3018" max="3018" width="7" style="47" customWidth="1"/>
    <col min="3019" max="3020" width="11.44140625" style="47" hidden="1" customWidth="1"/>
    <col min="3021" max="3021" width="7" style="47" customWidth="1"/>
    <col min="3022" max="3022" width="11.44140625" style="47" hidden="1" customWidth="1"/>
    <col min="3023" max="3023" width="6.44140625" style="47" customWidth="1"/>
    <col min="3024" max="3033" width="11.44140625" style="47" hidden="1" customWidth="1"/>
    <col min="3034" max="3068" width="11.44140625" style="47" hidden="1"/>
    <col min="3069" max="3069" width="41.44140625" style="47" customWidth="1"/>
    <col min="3070" max="3070" width="6.44140625" style="47" customWidth="1"/>
    <col min="3071" max="3071" width="14.5546875" style="47" customWidth="1"/>
    <col min="3072" max="3072" width="11.44140625" style="47" customWidth="1"/>
    <col min="3073" max="3073" width="13" style="47" customWidth="1"/>
    <col min="3074" max="3074" width="25.44140625" style="47" customWidth="1"/>
    <col min="3075" max="3084" width="9.44140625" style="47" customWidth="1"/>
    <col min="3085" max="3085" width="11.5546875" style="47" customWidth="1"/>
    <col min="3086" max="3086" width="9.44140625" style="47" customWidth="1"/>
    <col min="3087" max="3087" width="10.109375" style="47" customWidth="1"/>
    <col min="3088" max="3099" width="11.44140625" style="47" hidden="1" customWidth="1"/>
    <col min="3100" max="3101" width="11.44140625" style="47" customWidth="1"/>
    <col min="3102" max="3102" width="56.88671875" style="47" customWidth="1"/>
    <col min="3103" max="3103" width="9.109375" style="47" customWidth="1"/>
    <col min="3104" max="3104" width="32" style="47" customWidth="1"/>
    <col min="3105" max="3105" width="22.88671875" style="47" customWidth="1"/>
    <col min="3106" max="3106" width="31" style="47" customWidth="1"/>
    <col min="3107" max="3107" width="5" style="47" customWidth="1"/>
    <col min="3108" max="3109" width="11.44140625" style="47" hidden="1" customWidth="1"/>
    <col min="3110" max="3110" width="5" style="47" customWidth="1"/>
    <col min="3111" max="3112" width="11.44140625" style="47" hidden="1" customWidth="1"/>
    <col min="3113" max="3113" width="5" style="47" customWidth="1"/>
    <col min="3114" max="3115" width="11.44140625" style="47" hidden="1" customWidth="1"/>
    <col min="3116" max="3116" width="5" style="47" customWidth="1"/>
    <col min="3117" max="3118" width="11.44140625" style="47" hidden="1" customWidth="1"/>
    <col min="3119" max="3119" width="5" style="47" customWidth="1"/>
    <col min="3120" max="3184" width="11.44140625" style="47" hidden="1" customWidth="1"/>
    <col min="3185" max="3185" width="9.44140625" style="47" customWidth="1"/>
    <col min="3186" max="3203" width="11.44140625" style="47" hidden="1" customWidth="1"/>
    <col min="3204" max="3204" width="6.44140625" style="47" customWidth="1"/>
    <col min="3205" max="3217" width="11.44140625" style="47" hidden="1" customWidth="1"/>
    <col min="3218" max="3218" width="7.109375" style="47" customWidth="1"/>
    <col min="3219" max="3228" width="11.44140625" style="47" hidden="1" customWidth="1"/>
    <col min="3229" max="3229" width="6.44140625" style="47" customWidth="1"/>
    <col min="3230" max="3250" width="11.44140625" style="47" hidden="1" customWidth="1"/>
    <col min="3251" max="3251" width="9" style="47" customWidth="1"/>
    <col min="3252" max="3253" width="11.44140625" style="47" hidden="1" customWidth="1"/>
    <col min="3254" max="3254" width="8.44140625" style="47" customWidth="1"/>
    <col min="3255" max="3256" width="11.44140625" style="47" hidden="1" customWidth="1"/>
    <col min="3257" max="3257" width="6.44140625" style="47" customWidth="1"/>
    <col min="3258" max="3259" width="11.44140625" style="47" hidden="1" customWidth="1"/>
    <col min="3260" max="3260" width="7" style="47" customWidth="1"/>
    <col min="3261" max="3262" width="11.44140625" style="47" hidden="1" customWidth="1"/>
    <col min="3263" max="3265" width="7" style="47" customWidth="1"/>
    <col min="3266" max="3267" width="11.44140625" style="47" hidden="1" customWidth="1"/>
    <col min="3268" max="3268" width="7.44140625" style="47" customWidth="1"/>
    <col min="3269" max="3270" width="11.44140625" style="47" hidden="1" customWidth="1"/>
    <col min="3271" max="3271" width="7" style="47" customWidth="1"/>
    <col min="3272" max="3273" width="11.44140625" style="47" hidden="1" customWidth="1"/>
    <col min="3274" max="3274" width="7" style="47" customWidth="1"/>
    <col min="3275" max="3276" width="11.44140625" style="47" hidden="1" customWidth="1"/>
    <col min="3277" max="3277" width="7" style="47" customWidth="1"/>
    <col min="3278" max="3278" width="11.44140625" style="47" hidden="1" customWidth="1"/>
    <col min="3279" max="3279" width="6.44140625" style="47" customWidth="1"/>
    <col min="3280" max="3289" width="11.44140625" style="47" hidden="1" customWidth="1"/>
    <col min="3290" max="3324" width="11.44140625" style="47" hidden="1"/>
    <col min="3325" max="3325" width="41.44140625" style="47" customWidth="1"/>
    <col min="3326" max="3326" width="6.44140625" style="47" customWidth="1"/>
    <col min="3327" max="3327" width="14.5546875" style="47" customWidth="1"/>
    <col min="3328" max="3328" width="11.44140625" style="47" customWidth="1"/>
    <col min="3329" max="3329" width="13" style="47" customWidth="1"/>
    <col min="3330" max="3330" width="25.44140625" style="47" customWidth="1"/>
    <col min="3331" max="3340" width="9.44140625" style="47" customWidth="1"/>
    <col min="3341" max="3341" width="11.5546875" style="47" customWidth="1"/>
    <col min="3342" max="3342" width="9.44140625" style="47" customWidth="1"/>
    <col min="3343" max="3343" width="10.109375" style="47" customWidth="1"/>
    <col min="3344" max="3355" width="11.44140625" style="47" hidden="1" customWidth="1"/>
    <col min="3356" max="3357" width="11.44140625" style="47" customWidth="1"/>
    <col min="3358" max="3358" width="56.88671875" style="47" customWidth="1"/>
    <col min="3359" max="3359" width="9.109375" style="47" customWidth="1"/>
    <col min="3360" max="3360" width="32" style="47" customWidth="1"/>
    <col min="3361" max="3361" width="22.88671875" style="47" customWidth="1"/>
    <col min="3362" max="3362" width="31" style="47" customWidth="1"/>
    <col min="3363" max="3363" width="5" style="47" customWidth="1"/>
    <col min="3364" max="3365" width="11.44140625" style="47" hidden="1" customWidth="1"/>
    <col min="3366" max="3366" width="5" style="47" customWidth="1"/>
    <col min="3367" max="3368" width="11.44140625" style="47" hidden="1" customWidth="1"/>
    <col min="3369" max="3369" width="5" style="47" customWidth="1"/>
    <col min="3370" max="3371" width="11.44140625" style="47" hidden="1" customWidth="1"/>
    <col min="3372" max="3372" width="5" style="47" customWidth="1"/>
    <col min="3373" max="3374" width="11.44140625" style="47" hidden="1" customWidth="1"/>
    <col min="3375" max="3375" width="5" style="47" customWidth="1"/>
    <col min="3376" max="3440" width="11.44140625" style="47" hidden="1" customWidth="1"/>
    <col min="3441" max="3441" width="9.44140625" style="47" customWidth="1"/>
    <col min="3442" max="3459" width="11.44140625" style="47" hidden="1" customWidth="1"/>
    <col min="3460" max="3460" width="6.44140625" style="47" customWidth="1"/>
    <col min="3461" max="3473" width="11.44140625" style="47" hidden="1" customWidth="1"/>
    <col min="3474" max="3474" width="7.109375" style="47" customWidth="1"/>
    <col min="3475" max="3484" width="11.44140625" style="47" hidden="1" customWidth="1"/>
    <col min="3485" max="3485" width="6.44140625" style="47" customWidth="1"/>
    <col min="3486" max="3506" width="11.44140625" style="47" hidden="1" customWidth="1"/>
    <col min="3507" max="3507" width="9" style="47" customWidth="1"/>
    <col min="3508" max="3509" width="11.44140625" style="47" hidden="1" customWidth="1"/>
    <col min="3510" max="3510" width="8.44140625" style="47" customWidth="1"/>
    <col min="3511" max="3512" width="11.44140625" style="47" hidden="1" customWidth="1"/>
    <col min="3513" max="3513" width="6.44140625" style="47" customWidth="1"/>
    <col min="3514" max="3515" width="11.44140625" style="47" hidden="1" customWidth="1"/>
    <col min="3516" max="3516" width="7" style="47" customWidth="1"/>
    <col min="3517" max="3518" width="11.44140625" style="47" hidden="1" customWidth="1"/>
    <col min="3519" max="3521" width="7" style="47" customWidth="1"/>
    <col min="3522" max="3523" width="11.44140625" style="47" hidden="1" customWidth="1"/>
    <col min="3524" max="3524" width="7.44140625" style="47" customWidth="1"/>
    <col min="3525" max="3526" width="11.44140625" style="47" hidden="1" customWidth="1"/>
    <col min="3527" max="3527" width="7" style="47" customWidth="1"/>
    <col min="3528" max="3529" width="11.44140625" style="47" hidden="1" customWidth="1"/>
    <col min="3530" max="3530" width="7" style="47" customWidth="1"/>
    <col min="3531" max="3532" width="11.44140625" style="47" hidden="1" customWidth="1"/>
    <col min="3533" max="3533" width="7" style="47" customWidth="1"/>
    <col min="3534" max="3534" width="11.44140625" style="47" hidden="1" customWidth="1"/>
    <col min="3535" max="3535" width="6.44140625" style="47" customWidth="1"/>
    <col min="3536" max="3545" width="11.44140625" style="47" hidden="1" customWidth="1"/>
    <col min="3546" max="3580" width="11.44140625" style="47" hidden="1"/>
    <col min="3581" max="3581" width="41.44140625" style="47" customWidth="1"/>
    <col min="3582" max="3582" width="6.44140625" style="47" customWidth="1"/>
    <col min="3583" max="3583" width="14.5546875" style="47" customWidth="1"/>
    <col min="3584" max="3584" width="11.44140625" style="47" customWidth="1"/>
    <col min="3585" max="3585" width="13" style="47" customWidth="1"/>
    <col min="3586" max="3586" width="25.44140625" style="47" customWidth="1"/>
    <col min="3587" max="3596" width="9.44140625" style="47" customWidth="1"/>
    <col min="3597" max="3597" width="11.5546875" style="47" customWidth="1"/>
    <col min="3598" max="3598" width="9.44140625" style="47" customWidth="1"/>
    <col min="3599" max="3599" width="10.109375" style="47" customWidth="1"/>
    <col min="3600" max="3611" width="11.44140625" style="47" hidden="1" customWidth="1"/>
    <col min="3612" max="3613" width="11.44140625" style="47" customWidth="1"/>
    <col min="3614" max="3614" width="56.88671875" style="47" customWidth="1"/>
    <col min="3615" max="3615" width="9.109375" style="47" customWidth="1"/>
    <col min="3616" max="3616" width="32" style="47" customWidth="1"/>
    <col min="3617" max="3617" width="22.88671875" style="47" customWidth="1"/>
    <col min="3618" max="3618" width="31" style="47" customWidth="1"/>
    <col min="3619" max="3619" width="5" style="47" customWidth="1"/>
    <col min="3620" max="3621" width="11.44140625" style="47" hidden="1" customWidth="1"/>
    <col min="3622" max="3622" width="5" style="47" customWidth="1"/>
    <col min="3623" max="3624" width="11.44140625" style="47" hidden="1" customWidth="1"/>
    <col min="3625" max="3625" width="5" style="47" customWidth="1"/>
    <col min="3626" max="3627" width="11.44140625" style="47" hidden="1" customWidth="1"/>
    <col min="3628" max="3628" width="5" style="47" customWidth="1"/>
    <col min="3629" max="3630" width="11.44140625" style="47" hidden="1" customWidth="1"/>
    <col min="3631" max="3631" width="5" style="47" customWidth="1"/>
    <col min="3632" max="3696" width="11.44140625" style="47" hidden="1" customWidth="1"/>
    <col min="3697" max="3697" width="9.44140625" style="47" customWidth="1"/>
    <col min="3698" max="3715" width="11.44140625" style="47" hidden="1" customWidth="1"/>
    <col min="3716" max="3716" width="6.44140625" style="47" customWidth="1"/>
    <col min="3717" max="3729" width="11.44140625" style="47" hidden="1" customWidth="1"/>
    <col min="3730" max="3730" width="7.109375" style="47" customWidth="1"/>
    <col min="3731" max="3740" width="11.44140625" style="47" hidden="1" customWidth="1"/>
    <col min="3741" max="3741" width="6.44140625" style="47" customWidth="1"/>
    <col min="3742" max="3762" width="11.44140625" style="47" hidden="1" customWidth="1"/>
    <col min="3763" max="3763" width="9" style="47" customWidth="1"/>
    <col min="3764" max="3765" width="11.44140625" style="47" hidden="1" customWidth="1"/>
    <col min="3766" max="3766" width="8.44140625" style="47" customWidth="1"/>
    <col min="3767" max="3768" width="11.44140625" style="47" hidden="1" customWidth="1"/>
    <col min="3769" max="3769" width="6.44140625" style="47" customWidth="1"/>
    <col min="3770" max="3771" width="11.44140625" style="47" hidden="1" customWidth="1"/>
    <col min="3772" max="3772" width="7" style="47" customWidth="1"/>
    <col min="3773" max="3774" width="11.44140625" style="47" hidden="1" customWidth="1"/>
    <col min="3775" max="3777" width="7" style="47" customWidth="1"/>
    <col min="3778" max="3779" width="11.44140625" style="47" hidden="1" customWidth="1"/>
    <col min="3780" max="3780" width="7.44140625" style="47" customWidth="1"/>
    <col min="3781" max="3782" width="11.44140625" style="47" hidden="1" customWidth="1"/>
    <col min="3783" max="3783" width="7" style="47" customWidth="1"/>
    <col min="3784" max="3785" width="11.44140625" style="47" hidden="1" customWidth="1"/>
    <col min="3786" max="3786" width="7" style="47" customWidth="1"/>
    <col min="3787" max="3788" width="11.44140625" style="47" hidden="1" customWidth="1"/>
    <col min="3789" max="3789" width="7" style="47" customWidth="1"/>
    <col min="3790" max="3790" width="11.44140625" style="47" hidden="1" customWidth="1"/>
    <col min="3791" max="3791" width="6.44140625" style="47" customWidth="1"/>
    <col min="3792" max="3801" width="11.44140625" style="47" hidden="1" customWidth="1"/>
    <col min="3802" max="3836" width="11.44140625" style="47" hidden="1"/>
    <col min="3837" max="3837" width="41.44140625" style="47" customWidth="1"/>
    <col min="3838" max="3838" width="6.44140625" style="47" customWidth="1"/>
    <col min="3839" max="3839" width="14.5546875" style="47" customWidth="1"/>
    <col min="3840" max="3840" width="11.44140625" style="47" customWidth="1"/>
    <col min="3841" max="3841" width="13" style="47" customWidth="1"/>
    <col min="3842" max="3842" width="25.44140625" style="47" customWidth="1"/>
    <col min="3843" max="3852" width="9.44140625" style="47" customWidth="1"/>
    <col min="3853" max="3853" width="11.5546875" style="47" customWidth="1"/>
    <col min="3854" max="3854" width="9.44140625" style="47" customWidth="1"/>
    <col min="3855" max="3855" width="10.109375" style="47" customWidth="1"/>
    <col min="3856" max="3867" width="11.44140625" style="47" hidden="1" customWidth="1"/>
    <col min="3868" max="3869" width="11.44140625" style="47" customWidth="1"/>
    <col min="3870" max="3870" width="56.88671875" style="47" customWidth="1"/>
    <col min="3871" max="3871" width="9.109375" style="47" customWidth="1"/>
    <col min="3872" max="3872" width="32" style="47" customWidth="1"/>
    <col min="3873" max="3873" width="22.88671875" style="47" customWidth="1"/>
    <col min="3874" max="3874" width="31" style="47" customWidth="1"/>
    <col min="3875" max="3875" width="5" style="47" customWidth="1"/>
    <col min="3876" max="3877" width="11.44140625" style="47" hidden="1" customWidth="1"/>
    <col min="3878" max="3878" width="5" style="47" customWidth="1"/>
    <col min="3879" max="3880" width="11.44140625" style="47" hidden="1" customWidth="1"/>
    <col min="3881" max="3881" width="5" style="47" customWidth="1"/>
    <col min="3882" max="3883" width="11.44140625" style="47" hidden="1" customWidth="1"/>
    <col min="3884" max="3884" width="5" style="47" customWidth="1"/>
    <col min="3885" max="3886" width="11.44140625" style="47" hidden="1" customWidth="1"/>
    <col min="3887" max="3887" width="5" style="47" customWidth="1"/>
    <col min="3888" max="3952" width="11.44140625" style="47" hidden="1" customWidth="1"/>
    <col min="3953" max="3953" width="9.44140625" style="47" customWidth="1"/>
    <col min="3954" max="3971" width="11.44140625" style="47" hidden="1" customWidth="1"/>
    <col min="3972" max="3972" width="6.44140625" style="47" customWidth="1"/>
    <col min="3973" max="3985" width="11.44140625" style="47" hidden="1" customWidth="1"/>
    <col min="3986" max="3986" width="7.109375" style="47" customWidth="1"/>
    <col min="3987" max="3996" width="11.44140625" style="47" hidden="1" customWidth="1"/>
    <col min="3997" max="3997" width="6.44140625" style="47" customWidth="1"/>
    <col min="3998" max="4018" width="11.44140625" style="47" hidden="1" customWidth="1"/>
    <col min="4019" max="4019" width="9" style="47" customWidth="1"/>
    <col min="4020" max="4021" width="11.44140625" style="47" hidden="1" customWidth="1"/>
    <col min="4022" max="4022" width="8.44140625" style="47" customWidth="1"/>
    <col min="4023" max="4024" width="11.44140625" style="47" hidden="1" customWidth="1"/>
    <col min="4025" max="4025" width="6.44140625" style="47" customWidth="1"/>
    <col min="4026" max="4027" width="11.44140625" style="47" hidden="1" customWidth="1"/>
    <col min="4028" max="4028" width="7" style="47" customWidth="1"/>
    <col min="4029" max="4030" width="11.44140625" style="47" hidden="1" customWidth="1"/>
    <col min="4031" max="4033" width="7" style="47" customWidth="1"/>
    <col min="4034" max="4035" width="11.44140625" style="47" hidden="1" customWidth="1"/>
    <col min="4036" max="4036" width="7.44140625" style="47" customWidth="1"/>
    <col min="4037" max="4038" width="11.44140625" style="47" hidden="1" customWidth="1"/>
    <col min="4039" max="4039" width="7" style="47" customWidth="1"/>
    <col min="4040" max="4041" width="11.44140625" style="47" hidden="1" customWidth="1"/>
    <col min="4042" max="4042" width="7" style="47" customWidth="1"/>
    <col min="4043" max="4044" width="11.44140625" style="47" hidden="1" customWidth="1"/>
    <col min="4045" max="4045" width="7" style="47" customWidth="1"/>
    <col min="4046" max="4046" width="11.44140625" style="47" hidden="1" customWidth="1"/>
    <col min="4047" max="4047" width="6.44140625" style="47" customWidth="1"/>
    <col min="4048" max="4057" width="11.44140625" style="47" hidden="1" customWidth="1"/>
    <col min="4058" max="4092" width="11.44140625" style="47" hidden="1"/>
    <col min="4093" max="4093" width="41.44140625" style="47" customWidth="1"/>
    <col min="4094" max="4094" width="6.44140625" style="47" customWidth="1"/>
    <col min="4095" max="4095" width="14.5546875" style="47" customWidth="1"/>
    <col min="4096" max="4096" width="11.44140625" style="47" customWidth="1"/>
    <col min="4097" max="4097" width="13" style="47" customWidth="1"/>
    <col min="4098" max="4098" width="25.44140625" style="47" customWidth="1"/>
    <col min="4099" max="4108" width="9.44140625" style="47" customWidth="1"/>
    <col min="4109" max="4109" width="11.5546875" style="47" customWidth="1"/>
    <col min="4110" max="4110" width="9.44140625" style="47" customWidth="1"/>
    <col min="4111" max="4111" width="10.109375" style="47" customWidth="1"/>
    <col min="4112" max="4123" width="11.44140625" style="47" hidden="1" customWidth="1"/>
    <col min="4124" max="4125" width="11.44140625" style="47" customWidth="1"/>
    <col min="4126" max="4126" width="56.88671875" style="47" customWidth="1"/>
    <col min="4127" max="4127" width="9.109375" style="47" customWidth="1"/>
    <col min="4128" max="4128" width="32" style="47" customWidth="1"/>
    <col min="4129" max="4129" width="22.88671875" style="47" customWidth="1"/>
    <col min="4130" max="4130" width="31" style="47" customWidth="1"/>
    <col min="4131" max="4131" width="5" style="47" customWidth="1"/>
    <col min="4132" max="4133" width="11.44140625" style="47" hidden="1" customWidth="1"/>
    <col min="4134" max="4134" width="5" style="47" customWidth="1"/>
    <col min="4135" max="4136" width="11.44140625" style="47" hidden="1" customWidth="1"/>
    <col min="4137" max="4137" width="5" style="47" customWidth="1"/>
    <col min="4138" max="4139" width="11.44140625" style="47" hidden="1" customWidth="1"/>
    <col min="4140" max="4140" width="5" style="47" customWidth="1"/>
    <col min="4141" max="4142" width="11.44140625" style="47" hidden="1" customWidth="1"/>
    <col min="4143" max="4143" width="5" style="47" customWidth="1"/>
    <col min="4144" max="4208" width="11.44140625" style="47" hidden="1" customWidth="1"/>
    <col min="4209" max="4209" width="9.44140625" style="47" customWidth="1"/>
    <col min="4210" max="4227" width="11.44140625" style="47" hidden="1" customWidth="1"/>
    <col min="4228" max="4228" width="6.44140625" style="47" customWidth="1"/>
    <col min="4229" max="4241" width="11.44140625" style="47" hidden="1" customWidth="1"/>
    <col min="4242" max="4242" width="7.109375" style="47" customWidth="1"/>
    <col min="4243" max="4252" width="11.44140625" style="47" hidden="1" customWidth="1"/>
    <col min="4253" max="4253" width="6.44140625" style="47" customWidth="1"/>
    <col min="4254" max="4274" width="11.44140625" style="47" hidden="1" customWidth="1"/>
    <col min="4275" max="4275" width="9" style="47" customWidth="1"/>
    <col min="4276" max="4277" width="11.44140625" style="47" hidden="1" customWidth="1"/>
    <col min="4278" max="4278" width="8.44140625" style="47" customWidth="1"/>
    <col min="4279" max="4280" width="11.44140625" style="47" hidden="1" customWidth="1"/>
    <col min="4281" max="4281" width="6.44140625" style="47" customWidth="1"/>
    <col min="4282" max="4283" width="11.44140625" style="47" hidden="1" customWidth="1"/>
    <col min="4284" max="4284" width="7" style="47" customWidth="1"/>
    <col min="4285" max="4286" width="11.44140625" style="47" hidden="1" customWidth="1"/>
    <col min="4287" max="4289" width="7" style="47" customWidth="1"/>
    <col min="4290" max="4291" width="11.44140625" style="47" hidden="1" customWidth="1"/>
    <col min="4292" max="4292" width="7.44140625" style="47" customWidth="1"/>
    <col min="4293" max="4294" width="11.44140625" style="47" hidden="1" customWidth="1"/>
    <col min="4295" max="4295" width="7" style="47" customWidth="1"/>
    <col min="4296" max="4297" width="11.44140625" style="47" hidden="1" customWidth="1"/>
    <col min="4298" max="4298" width="7" style="47" customWidth="1"/>
    <col min="4299" max="4300" width="11.44140625" style="47" hidden="1" customWidth="1"/>
    <col min="4301" max="4301" width="7" style="47" customWidth="1"/>
    <col min="4302" max="4302" width="11.44140625" style="47" hidden="1" customWidth="1"/>
    <col min="4303" max="4303" width="6.44140625" style="47" customWidth="1"/>
    <col min="4304" max="4313" width="11.44140625" style="47" hidden="1" customWidth="1"/>
    <col min="4314" max="4348" width="11.44140625" style="47" hidden="1"/>
    <col min="4349" max="4349" width="41.44140625" style="47" customWidth="1"/>
    <col min="4350" max="4350" width="6.44140625" style="47" customWidth="1"/>
    <col min="4351" max="4351" width="14.5546875" style="47" customWidth="1"/>
    <col min="4352" max="4352" width="11.44140625" style="47" customWidth="1"/>
    <col min="4353" max="4353" width="13" style="47" customWidth="1"/>
    <col min="4354" max="4354" width="25.44140625" style="47" customWidth="1"/>
    <col min="4355" max="4364" width="9.44140625" style="47" customWidth="1"/>
    <col min="4365" max="4365" width="11.5546875" style="47" customWidth="1"/>
    <col min="4366" max="4366" width="9.44140625" style="47" customWidth="1"/>
    <col min="4367" max="4367" width="10.109375" style="47" customWidth="1"/>
    <col min="4368" max="4379" width="11.44140625" style="47" hidden="1" customWidth="1"/>
    <col min="4380" max="4381" width="11.44140625" style="47" customWidth="1"/>
    <col min="4382" max="4382" width="56.88671875" style="47" customWidth="1"/>
    <col min="4383" max="4383" width="9.109375" style="47" customWidth="1"/>
    <col min="4384" max="4384" width="32" style="47" customWidth="1"/>
    <col min="4385" max="4385" width="22.88671875" style="47" customWidth="1"/>
    <col min="4386" max="4386" width="31" style="47" customWidth="1"/>
    <col min="4387" max="4387" width="5" style="47" customWidth="1"/>
    <col min="4388" max="4389" width="11.44140625" style="47" hidden="1" customWidth="1"/>
    <col min="4390" max="4390" width="5" style="47" customWidth="1"/>
    <col min="4391" max="4392" width="11.44140625" style="47" hidden="1" customWidth="1"/>
    <col min="4393" max="4393" width="5" style="47" customWidth="1"/>
    <col min="4394" max="4395" width="11.44140625" style="47" hidden="1" customWidth="1"/>
    <col min="4396" max="4396" width="5" style="47" customWidth="1"/>
    <col min="4397" max="4398" width="11.44140625" style="47" hidden="1" customWidth="1"/>
    <col min="4399" max="4399" width="5" style="47" customWidth="1"/>
    <col min="4400" max="4464" width="11.44140625" style="47" hidden="1" customWidth="1"/>
    <col min="4465" max="4465" width="9.44140625" style="47" customWidth="1"/>
    <col min="4466" max="4483" width="11.44140625" style="47" hidden="1" customWidth="1"/>
    <col min="4484" max="4484" width="6.44140625" style="47" customWidth="1"/>
    <col min="4485" max="4497" width="11.44140625" style="47" hidden="1" customWidth="1"/>
    <col min="4498" max="4498" width="7.109375" style="47" customWidth="1"/>
    <col min="4499" max="4508" width="11.44140625" style="47" hidden="1" customWidth="1"/>
    <col min="4509" max="4509" width="6.44140625" style="47" customWidth="1"/>
    <col min="4510" max="4530" width="11.44140625" style="47" hidden="1" customWidth="1"/>
    <col min="4531" max="4531" width="9" style="47" customWidth="1"/>
    <col min="4532" max="4533" width="11.44140625" style="47" hidden="1" customWidth="1"/>
    <col min="4534" max="4534" width="8.44140625" style="47" customWidth="1"/>
    <col min="4535" max="4536" width="11.44140625" style="47" hidden="1" customWidth="1"/>
    <col min="4537" max="4537" width="6.44140625" style="47" customWidth="1"/>
    <col min="4538" max="4539" width="11.44140625" style="47" hidden="1" customWidth="1"/>
    <col min="4540" max="4540" width="7" style="47" customWidth="1"/>
    <col min="4541" max="4542" width="11.44140625" style="47" hidden="1" customWidth="1"/>
    <col min="4543" max="4545" width="7" style="47" customWidth="1"/>
    <col min="4546" max="4547" width="11.44140625" style="47" hidden="1" customWidth="1"/>
    <col min="4548" max="4548" width="7.44140625" style="47" customWidth="1"/>
    <col min="4549" max="4550" width="11.44140625" style="47" hidden="1" customWidth="1"/>
    <col min="4551" max="4551" width="7" style="47" customWidth="1"/>
    <col min="4552" max="4553" width="11.44140625" style="47" hidden="1" customWidth="1"/>
    <col min="4554" max="4554" width="7" style="47" customWidth="1"/>
    <col min="4555" max="4556" width="11.44140625" style="47" hidden="1" customWidth="1"/>
    <col min="4557" max="4557" width="7" style="47" customWidth="1"/>
    <col min="4558" max="4558" width="11.44140625" style="47" hidden="1" customWidth="1"/>
    <col min="4559" max="4559" width="6.44140625" style="47" customWidth="1"/>
    <col min="4560" max="4569" width="11.44140625" style="47" hidden="1" customWidth="1"/>
    <col min="4570" max="4604" width="11.44140625" style="47" hidden="1"/>
    <col min="4605" max="4605" width="41.44140625" style="47" customWidth="1"/>
    <col min="4606" max="4606" width="6.44140625" style="47" customWidth="1"/>
    <col min="4607" max="4607" width="14.5546875" style="47" customWidth="1"/>
    <col min="4608" max="4608" width="11.44140625" style="47" customWidth="1"/>
    <col min="4609" max="4609" width="13" style="47" customWidth="1"/>
    <col min="4610" max="4610" width="25.44140625" style="47" customWidth="1"/>
    <col min="4611" max="4620" width="9.44140625" style="47" customWidth="1"/>
    <col min="4621" max="4621" width="11.5546875" style="47" customWidth="1"/>
    <col min="4622" max="4622" width="9.44140625" style="47" customWidth="1"/>
    <col min="4623" max="4623" width="10.109375" style="47" customWidth="1"/>
    <col min="4624" max="4635" width="11.44140625" style="47" hidden="1" customWidth="1"/>
    <col min="4636" max="4637" width="11.44140625" style="47" customWidth="1"/>
    <col min="4638" max="4638" width="56.88671875" style="47" customWidth="1"/>
    <col min="4639" max="4639" width="9.109375" style="47" customWidth="1"/>
    <col min="4640" max="4640" width="32" style="47" customWidth="1"/>
    <col min="4641" max="4641" width="22.88671875" style="47" customWidth="1"/>
    <col min="4642" max="4642" width="31" style="47" customWidth="1"/>
    <col min="4643" max="4643" width="5" style="47" customWidth="1"/>
    <col min="4644" max="4645" width="11.44140625" style="47" hidden="1" customWidth="1"/>
    <col min="4646" max="4646" width="5" style="47" customWidth="1"/>
    <col min="4647" max="4648" width="11.44140625" style="47" hidden="1" customWidth="1"/>
    <col min="4649" max="4649" width="5" style="47" customWidth="1"/>
    <col min="4650" max="4651" width="11.44140625" style="47" hidden="1" customWidth="1"/>
    <col min="4652" max="4652" width="5" style="47" customWidth="1"/>
    <col min="4653" max="4654" width="11.44140625" style="47" hidden="1" customWidth="1"/>
    <col min="4655" max="4655" width="5" style="47" customWidth="1"/>
    <col min="4656" max="4720" width="11.44140625" style="47" hidden="1" customWidth="1"/>
    <col min="4721" max="4721" width="9.44140625" style="47" customWidth="1"/>
    <col min="4722" max="4739" width="11.44140625" style="47" hidden="1" customWidth="1"/>
    <col min="4740" max="4740" width="6.44140625" style="47" customWidth="1"/>
    <col min="4741" max="4753" width="11.44140625" style="47" hidden="1" customWidth="1"/>
    <col min="4754" max="4754" width="7.109375" style="47" customWidth="1"/>
    <col min="4755" max="4764" width="11.44140625" style="47" hidden="1" customWidth="1"/>
    <col min="4765" max="4765" width="6.44140625" style="47" customWidth="1"/>
    <col min="4766" max="4786" width="11.44140625" style="47" hidden="1" customWidth="1"/>
    <col min="4787" max="4787" width="9" style="47" customWidth="1"/>
    <col min="4788" max="4789" width="11.44140625" style="47" hidden="1" customWidth="1"/>
    <col min="4790" max="4790" width="8.44140625" style="47" customWidth="1"/>
    <col min="4791" max="4792" width="11.44140625" style="47" hidden="1" customWidth="1"/>
    <col min="4793" max="4793" width="6.44140625" style="47" customWidth="1"/>
    <col min="4794" max="4795" width="11.44140625" style="47" hidden="1" customWidth="1"/>
    <col min="4796" max="4796" width="7" style="47" customWidth="1"/>
    <col min="4797" max="4798" width="11.44140625" style="47" hidden="1" customWidth="1"/>
    <col min="4799" max="4801" width="7" style="47" customWidth="1"/>
    <col min="4802" max="4803" width="11.44140625" style="47" hidden="1" customWidth="1"/>
    <col min="4804" max="4804" width="7.44140625" style="47" customWidth="1"/>
    <col min="4805" max="4806" width="11.44140625" style="47" hidden="1" customWidth="1"/>
    <col min="4807" max="4807" width="7" style="47" customWidth="1"/>
    <col min="4808" max="4809" width="11.44140625" style="47" hidden="1" customWidth="1"/>
    <col min="4810" max="4810" width="7" style="47" customWidth="1"/>
    <col min="4811" max="4812" width="11.44140625" style="47" hidden="1" customWidth="1"/>
    <col min="4813" max="4813" width="7" style="47" customWidth="1"/>
    <col min="4814" max="4814" width="11.44140625" style="47" hidden="1" customWidth="1"/>
    <col min="4815" max="4815" width="6.44140625" style="47" customWidth="1"/>
    <col min="4816" max="4825" width="11.44140625" style="47" hidden="1" customWidth="1"/>
    <col min="4826" max="4860" width="11.44140625" style="47" hidden="1"/>
    <col min="4861" max="4861" width="41.44140625" style="47" customWidth="1"/>
    <col min="4862" max="4862" width="6.44140625" style="47" customWidth="1"/>
    <col min="4863" max="4863" width="14.5546875" style="47" customWidth="1"/>
    <col min="4864" max="4864" width="11.44140625" style="47" customWidth="1"/>
    <col min="4865" max="4865" width="13" style="47" customWidth="1"/>
    <col min="4866" max="4866" width="25.44140625" style="47" customWidth="1"/>
    <col min="4867" max="4876" width="9.44140625" style="47" customWidth="1"/>
    <col min="4877" max="4877" width="11.5546875" style="47" customWidth="1"/>
    <col min="4878" max="4878" width="9.44140625" style="47" customWidth="1"/>
    <col min="4879" max="4879" width="10.109375" style="47" customWidth="1"/>
    <col min="4880" max="4891" width="11.44140625" style="47" hidden="1" customWidth="1"/>
    <col min="4892" max="4893" width="11.44140625" style="47" customWidth="1"/>
    <col min="4894" max="4894" width="56.88671875" style="47" customWidth="1"/>
    <col min="4895" max="4895" width="9.109375" style="47" customWidth="1"/>
    <col min="4896" max="4896" width="32" style="47" customWidth="1"/>
    <col min="4897" max="4897" width="22.88671875" style="47" customWidth="1"/>
    <col min="4898" max="4898" width="31" style="47" customWidth="1"/>
    <col min="4899" max="4899" width="5" style="47" customWidth="1"/>
    <col min="4900" max="4901" width="11.44140625" style="47" hidden="1" customWidth="1"/>
    <col min="4902" max="4902" width="5" style="47" customWidth="1"/>
    <col min="4903" max="4904" width="11.44140625" style="47" hidden="1" customWidth="1"/>
    <col min="4905" max="4905" width="5" style="47" customWidth="1"/>
    <col min="4906" max="4907" width="11.44140625" style="47" hidden="1" customWidth="1"/>
    <col min="4908" max="4908" width="5" style="47" customWidth="1"/>
    <col min="4909" max="4910" width="11.44140625" style="47" hidden="1" customWidth="1"/>
    <col min="4911" max="4911" width="5" style="47" customWidth="1"/>
    <col min="4912" max="4976" width="11.44140625" style="47" hidden="1" customWidth="1"/>
    <col min="4977" max="4977" width="9.44140625" style="47" customWidth="1"/>
    <col min="4978" max="4995" width="11.44140625" style="47" hidden="1" customWidth="1"/>
    <col min="4996" max="4996" width="6.44140625" style="47" customWidth="1"/>
    <col min="4997" max="5009" width="11.44140625" style="47" hidden="1" customWidth="1"/>
    <col min="5010" max="5010" width="7.109375" style="47" customWidth="1"/>
    <col min="5011" max="5020" width="11.44140625" style="47" hidden="1" customWidth="1"/>
    <col min="5021" max="5021" width="6.44140625" style="47" customWidth="1"/>
    <col min="5022" max="5042" width="11.44140625" style="47" hidden="1" customWidth="1"/>
    <col min="5043" max="5043" width="9" style="47" customWidth="1"/>
    <col min="5044" max="5045" width="11.44140625" style="47" hidden="1" customWidth="1"/>
    <col min="5046" max="5046" width="8.44140625" style="47" customWidth="1"/>
    <col min="5047" max="5048" width="11.44140625" style="47" hidden="1" customWidth="1"/>
    <col min="5049" max="5049" width="6.44140625" style="47" customWidth="1"/>
    <col min="5050" max="5051" width="11.44140625" style="47" hidden="1" customWidth="1"/>
    <col min="5052" max="5052" width="7" style="47" customWidth="1"/>
    <col min="5053" max="5054" width="11.44140625" style="47" hidden="1" customWidth="1"/>
    <col min="5055" max="5057" width="7" style="47" customWidth="1"/>
    <col min="5058" max="5059" width="11.44140625" style="47" hidden="1" customWidth="1"/>
    <col min="5060" max="5060" width="7.44140625" style="47" customWidth="1"/>
    <col min="5061" max="5062" width="11.44140625" style="47" hidden="1" customWidth="1"/>
    <col min="5063" max="5063" width="7" style="47" customWidth="1"/>
    <col min="5064" max="5065" width="11.44140625" style="47" hidden="1" customWidth="1"/>
    <col min="5066" max="5066" width="7" style="47" customWidth="1"/>
    <col min="5067" max="5068" width="11.44140625" style="47" hidden="1" customWidth="1"/>
    <col min="5069" max="5069" width="7" style="47" customWidth="1"/>
    <col min="5070" max="5070" width="11.44140625" style="47" hidden="1" customWidth="1"/>
    <col min="5071" max="5071" width="6.44140625" style="47" customWidth="1"/>
    <col min="5072" max="5081" width="11.44140625" style="47" hidden="1" customWidth="1"/>
    <col min="5082" max="5116" width="11.44140625" style="47" hidden="1"/>
    <col min="5117" max="5117" width="41.44140625" style="47" customWidth="1"/>
    <col min="5118" max="5118" width="6.44140625" style="47" customWidth="1"/>
    <col min="5119" max="5119" width="14.5546875" style="47" customWidth="1"/>
    <col min="5120" max="5120" width="11.44140625" style="47" customWidth="1"/>
    <col min="5121" max="5121" width="13" style="47" customWidth="1"/>
    <col min="5122" max="5122" width="25.44140625" style="47" customWidth="1"/>
    <col min="5123" max="5132" width="9.44140625" style="47" customWidth="1"/>
    <col min="5133" max="5133" width="11.5546875" style="47" customWidth="1"/>
    <col min="5134" max="5134" width="9.44140625" style="47" customWidth="1"/>
    <col min="5135" max="5135" width="10.109375" style="47" customWidth="1"/>
    <col min="5136" max="5147" width="11.44140625" style="47" hidden="1" customWidth="1"/>
    <col min="5148" max="5149" width="11.44140625" style="47" customWidth="1"/>
    <col min="5150" max="5150" width="56.88671875" style="47" customWidth="1"/>
    <col min="5151" max="5151" width="9.109375" style="47" customWidth="1"/>
    <col min="5152" max="5152" width="32" style="47" customWidth="1"/>
    <col min="5153" max="5153" width="22.88671875" style="47" customWidth="1"/>
    <col min="5154" max="5154" width="31" style="47" customWidth="1"/>
    <col min="5155" max="5155" width="5" style="47" customWidth="1"/>
    <col min="5156" max="5157" width="11.44140625" style="47" hidden="1" customWidth="1"/>
    <col min="5158" max="5158" width="5" style="47" customWidth="1"/>
    <col min="5159" max="5160" width="11.44140625" style="47" hidden="1" customWidth="1"/>
    <col min="5161" max="5161" width="5" style="47" customWidth="1"/>
    <col min="5162" max="5163" width="11.44140625" style="47" hidden="1" customWidth="1"/>
    <col min="5164" max="5164" width="5" style="47" customWidth="1"/>
    <col min="5165" max="5166" width="11.44140625" style="47" hidden="1" customWidth="1"/>
    <col min="5167" max="5167" width="5" style="47" customWidth="1"/>
    <col min="5168" max="5232" width="11.44140625" style="47" hidden="1" customWidth="1"/>
    <col min="5233" max="5233" width="9.44140625" style="47" customWidth="1"/>
    <col min="5234" max="5251" width="11.44140625" style="47" hidden="1" customWidth="1"/>
    <col min="5252" max="5252" width="6.44140625" style="47" customWidth="1"/>
    <col min="5253" max="5265" width="11.44140625" style="47" hidden="1" customWidth="1"/>
    <col min="5266" max="5266" width="7.109375" style="47" customWidth="1"/>
    <col min="5267" max="5276" width="11.44140625" style="47" hidden="1" customWidth="1"/>
    <col min="5277" max="5277" width="6.44140625" style="47" customWidth="1"/>
    <col min="5278" max="5298" width="11.44140625" style="47" hidden="1" customWidth="1"/>
    <col min="5299" max="5299" width="9" style="47" customWidth="1"/>
    <col min="5300" max="5301" width="11.44140625" style="47" hidden="1" customWidth="1"/>
    <col min="5302" max="5302" width="8.44140625" style="47" customWidth="1"/>
    <col min="5303" max="5304" width="11.44140625" style="47" hidden="1" customWidth="1"/>
    <col min="5305" max="5305" width="6.44140625" style="47" customWidth="1"/>
    <col min="5306" max="5307" width="11.44140625" style="47" hidden="1" customWidth="1"/>
    <col min="5308" max="5308" width="7" style="47" customWidth="1"/>
    <col min="5309" max="5310" width="11.44140625" style="47" hidden="1" customWidth="1"/>
    <col min="5311" max="5313" width="7" style="47" customWidth="1"/>
    <col min="5314" max="5315" width="11.44140625" style="47" hidden="1" customWidth="1"/>
    <col min="5316" max="5316" width="7.44140625" style="47" customWidth="1"/>
    <col min="5317" max="5318" width="11.44140625" style="47" hidden="1" customWidth="1"/>
    <col min="5319" max="5319" width="7" style="47" customWidth="1"/>
    <col min="5320" max="5321" width="11.44140625" style="47" hidden="1" customWidth="1"/>
    <col min="5322" max="5322" width="7" style="47" customWidth="1"/>
    <col min="5323" max="5324" width="11.44140625" style="47" hidden="1" customWidth="1"/>
    <col min="5325" max="5325" width="7" style="47" customWidth="1"/>
    <col min="5326" max="5326" width="11.44140625" style="47" hidden="1" customWidth="1"/>
    <col min="5327" max="5327" width="6.44140625" style="47" customWidth="1"/>
    <col min="5328" max="5337" width="11.44140625" style="47" hidden="1" customWidth="1"/>
    <col min="5338" max="5372" width="11.44140625" style="47" hidden="1"/>
    <col min="5373" max="5373" width="41.44140625" style="47" customWidth="1"/>
    <col min="5374" max="5374" width="6.44140625" style="47" customWidth="1"/>
    <col min="5375" max="5375" width="14.5546875" style="47" customWidth="1"/>
    <col min="5376" max="5376" width="11.44140625" style="47" customWidth="1"/>
    <col min="5377" max="5377" width="13" style="47" customWidth="1"/>
    <col min="5378" max="5378" width="25.44140625" style="47" customWidth="1"/>
    <col min="5379" max="5388" width="9.44140625" style="47" customWidth="1"/>
    <col min="5389" max="5389" width="11.5546875" style="47" customWidth="1"/>
    <col min="5390" max="5390" width="9.44140625" style="47" customWidth="1"/>
    <col min="5391" max="5391" width="10.109375" style="47" customWidth="1"/>
    <col min="5392" max="5403" width="11.44140625" style="47" hidden="1" customWidth="1"/>
    <col min="5404" max="5405" width="11.44140625" style="47" customWidth="1"/>
    <col min="5406" max="5406" width="56.88671875" style="47" customWidth="1"/>
    <col min="5407" max="5407" width="9.109375" style="47" customWidth="1"/>
    <col min="5408" max="5408" width="32" style="47" customWidth="1"/>
    <col min="5409" max="5409" width="22.88671875" style="47" customWidth="1"/>
    <col min="5410" max="5410" width="31" style="47" customWidth="1"/>
    <col min="5411" max="5411" width="5" style="47" customWidth="1"/>
    <col min="5412" max="5413" width="11.44140625" style="47" hidden="1" customWidth="1"/>
    <col min="5414" max="5414" width="5" style="47" customWidth="1"/>
    <col min="5415" max="5416" width="11.44140625" style="47" hidden="1" customWidth="1"/>
    <col min="5417" max="5417" width="5" style="47" customWidth="1"/>
    <col min="5418" max="5419" width="11.44140625" style="47" hidden="1" customWidth="1"/>
    <col min="5420" max="5420" width="5" style="47" customWidth="1"/>
    <col min="5421" max="5422" width="11.44140625" style="47" hidden="1" customWidth="1"/>
    <col min="5423" max="5423" width="5" style="47" customWidth="1"/>
    <col min="5424" max="5488" width="11.44140625" style="47" hidden="1" customWidth="1"/>
    <col min="5489" max="5489" width="9.44140625" style="47" customWidth="1"/>
    <col min="5490" max="5507" width="11.44140625" style="47" hidden="1" customWidth="1"/>
    <col min="5508" max="5508" width="6.44140625" style="47" customWidth="1"/>
    <col min="5509" max="5521" width="11.44140625" style="47" hidden="1" customWidth="1"/>
    <col min="5522" max="5522" width="7.109375" style="47" customWidth="1"/>
    <col min="5523" max="5532" width="11.44140625" style="47" hidden="1" customWidth="1"/>
    <col min="5533" max="5533" width="6.44140625" style="47" customWidth="1"/>
    <col min="5534" max="5554" width="11.44140625" style="47" hidden="1" customWidth="1"/>
    <col min="5555" max="5555" width="9" style="47" customWidth="1"/>
    <col min="5556" max="5557" width="11.44140625" style="47" hidden="1" customWidth="1"/>
    <col min="5558" max="5558" width="8.44140625" style="47" customWidth="1"/>
    <col min="5559" max="5560" width="11.44140625" style="47" hidden="1" customWidth="1"/>
    <col min="5561" max="5561" width="6.44140625" style="47" customWidth="1"/>
    <col min="5562" max="5563" width="11.44140625" style="47" hidden="1" customWidth="1"/>
    <col min="5564" max="5564" width="7" style="47" customWidth="1"/>
    <col min="5565" max="5566" width="11.44140625" style="47" hidden="1" customWidth="1"/>
    <col min="5567" max="5569" width="7" style="47" customWidth="1"/>
    <col min="5570" max="5571" width="11.44140625" style="47" hidden="1" customWidth="1"/>
    <col min="5572" max="5572" width="7.44140625" style="47" customWidth="1"/>
    <col min="5573" max="5574" width="11.44140625" style="47" hidden="1" customWidth="1"/>
    <col min="5575" max="5575" width="7" style="47" customWidth="1"/>
    <col min="5576" max="5577" width="11.44140625" style="47" hidden="1" customWidth="1"/>
    <col min="5578" max="5578" width="7" style="47" customWidth="1"/>
    <col min="5579" max="5580" width="11.44140625" style="47" hidden="1" customWidth="1"/>
    <col min="5581" max="5581" width="7" style="47" customWidth="1"/>
    <col min="5582" max="5582" width="11.44140625" style="47" hidden="1" customWidth="1"/>
    <col min="5583" max="5583" width="6.44140625" style="47" customWidth="1"/>
    <col min="5584" max="5593" width="11.44140625" style="47" hidden="1" customWidth="1"/>
    <col min="5594" max="5628" width="11.44140625" style="47" hidden="1"/>
    <col min="5629" max="5629" width="41.44140625" style="47" customWidth="1"/>
    <col min="5630" max="5630" width="6.44140625" style="47" customWidth="1"/>
    <col min="5631" max="5631" width="14.5546875" style="47" customWidth="1"/>
    <col min="5632" max="5632" width="11.44140625" style="47" customWidth="1"/>
    <col min="5633" max="5633" width="13" style="47" customWidth="1"/>
    <col min="5634" max="5634" width="25.44140625" style="47" customWidth="1"/>
    <col min="5635" max="5644" width="9.44140625" style="47" customWidth="1"/>
    <col min="5645" max="5645" width="11.5546875" style="47" customWidth="1"/>
    <col min="5646" max="5646" width="9.44140625" style="47" customWidth="1"/>
    <col min="5647" max="5647" width="10.109375" style="47" customWidth="1"/>
    <col min="5648" max="5659" width="11.44140625" style="47" hidden="1" customWidth="1"/>
    <col min="5660" max="5661" width="11.44140625" style="47" customWidth="1"/>
    <col min="5662" max="5662" width="56.88671875" style="47" customWidth="1"/>
    <col min="5663" max="5663" width="9.109375" style="47" customWidth="1"/>
    <col min="5664" max="5664" width="32" style="47" customWidth="1"/>
    <col min="5665" max="5665" width="22.88671875" style="47" customWidth="1"/>
    <col min="5666" max="5666" width="31" style="47" customWidth="1"/>
    <col min="5667" max="5667" width="5" style="47" customWidth="1"/>
    <col min="5668" max="5669" width="11.44140625" style="47" hidden="1" customWidth="1"/>
    <col min="5670" max="5670" width="5" style="47" customWidth="1"/>
    <col min="5671" max="5672" width="11.44140625" style="47" hidden="1" customWidth="1"/>
    <col min="5673" max="5673" width="5" style="47" customWidth="1"/>
    <col min="5674" max="5675" width="11.44140625" style="47" hidden="1" customWidth="1"/>
    <col min="5676" max="5676" width="5" style="47" customWidth="1"/>
    <col min="5677" max="5678" width="11.44140625" style="47" hidden="1" customWidth="1"/>
    <col min="5679" max="5679" width="5" style="47" customWidth="1"/>
    <col min="5680" max="5744" width="11.44140625" style="47" hidden="1" customWidth="1"/>
    <col min="5745" max="5745" width="9.44140625" style="47" customWidth="1"/>
    <col min="5746" max="5763" width="11.44140625" style="47" hidden="1" customWidth="1"/>
    <col min="5764" max="5764" width="6.44140625" style="47" customWidth="1"/>
    <col min="5765" max="5777" width="11.44140625" style="47" hidden="1" customWidth="1"/>
    <col min="5778" max="5778" width="7.109375" style="47" customWidth="1"/>
    <col min="5779" max="5788" width="11.44140625" style="47" hidden="1" customWidth="1"/>
    <col min="5789" max="5789" width="6.44140625" style="47" customWidth="1"/>
    <col min="5790" max="5810" width="11.44140625" style="47" hidden="1" customWidth="1"/>
    <col min="5811" max="5811" width="9" style="47" customWidth="1"/>
    <col min="5812" max="5813" width="11.44140625" style="47" hidden="1" customWidth="1"/>
    <col min="5814" max="5814" width="8.44140625" style="47" customWidth="1"/>
    <col min="5815" max="5816" width="11.44140625" style="47" hidden="1" customWidth="1"/>
    <col min="5817" max="5817" width="6.44140625" style="47" customWidth="1"/>
    <col min="5818" max="5819" width="11.44140625" style="47" hidden="1" customWidth="1"/>
    <col min="5820" max="5820" width="7" style="47" customWidth="1"/>
    <col min="5821" max="5822" width="11.44140625" style="47" hidden="1" customWidth="1"/>
    <col min="5823" max="5825" width="7" style="47" customWidth="1"/>
    <col min="5826" max="5827" width="11.44140625" style="47" hidden="1" customWidth="1"/>
    <col min="5828" max="5828" width="7.44140625" style="47" customWidth="1"/>
    <col min="5829" max="5830" width="11.44140625" style="47" hidden="1" customWidth="1"/>
    <col min="5831" max="5831" width="7" style="47" customWidth="1"/>
    <col min="5832" max="5833" width="11.44140625" style="47" hidden="1" customWidth="1"/>
    <col min="5834" max="5834" width="7" style="47" customWidth="1"/>
    <col min="5835" max="5836" width="11.44140625" style="47" hidden="1" customWidth="1"/>
    <col min="5837" max="5837" width="7" style="47" customWidth="1"/>
    <col min="5838" max="5838" width="11.44140625" style="47" hidden="1" customWidth="1"/>
    <col min="5839" max="5839" width="6.44140625" style="47" customWidth="1"/>
    <col min="5840" max="5849" width="11.44140625" style="47" hidden="1" customWidth="1"/>
    <col min="5850" max="5884" width="11.44140625" style="47" hidden="1"/>
    <col min="5885" max="5885" width="41.44140625" style="47" customWidth="1"/>
    <col min="5886" max="5886" width="6.44140625" style="47" customWidth="1"/>
    <col min="5887" max="5887" width="14.5546875" style="47" customWidth="1"/>
    <col min="5888" max="5888" width="11.44140625" style="47" customWidth="1"/>
    <col min="5889" max="5889" width="13" style="47" customWidth="1"/>
    <col min="5890" max="5890" width="25.44140625" style="47" customWidth="1"/>
    <col min="5891" max="5900" width="9.44140625" style="47" customWidth="1"/>
    <col min="5901" max="5901" width="11.5546875" style="47" customWidth="1"/>
    <col min="5902" max="5902" width="9.44140625" style="47" customWidth="1"/>
    <col min="5903" max="5903" width="10.109375" style="47" customWidth="1"/>
    <col min="5904" max="5915" width="11.44140625" style="47" hidden="1" customWidth="1"/>
    <col min="5916" max="5917" width="11.44140625" style="47" customWidth="1"/>
    <col min="5918" max="5918" width="56.88671875" style="47" customWidth="1"/>
    <col min="5919" max="5919" width="9.109375" style="47" customWidth="1"/>
    <col min="5920" max="5920" width="32" style="47" customWidth="1"/>
    <col min="5921" max="5921" width="22.88671875" style="47" customWidth="1"/>
    <col min="5922" max="5922" width="31" style="47" customWidth="1"/>
    <col min="5923" max="5923" width="5" style="47" customWidth="1"/>
    <col min="5924" max="5925" width="11.44140625" style="47" hidden="1" customWidth="1"/>
    <col min="5926" max="5926" width="5" style="47" customWidth="1"/>
    <col min="5927" max="5928" width="11.44140625" style="47" hidden="1" customWidth="1"/>
    <col min="5929" max="5929" width="5" style="47" customWidth="1"/>
    <col min="5930" max="5931" width="11.44140625" style="47" hidden="1" customWidth="1"/>
    <col min="5932" max="5932" width="5" style="47" customWidth="1"/>
    <col min="5933" max="5934" width="11.44140625" style="47" hidden="1" customWidth="1"/>
    <col min="5935" max="5935" width="5" style="47" customWidth="1"/>
    <col min="5936" max="6000" width="11.44140625" style="47" hidden="1" customWidth="1"/>
    <col min="6001" max="6001" width="9.44140625" style="47" customWidth="1"/>
    <col min="6002" max="6019" width="11.44140625" style="47" hidden="1" customWidth="1"/>
    <col min="6020" max="6020" width="6.44140625" style="47" customWidth="1"/>
    <col min="6021" max="6033" width="11.44140625" style="47" hidden="1" customWidth="1"/>
    <col min="6034" max="6034" width="7.109375" style="47" customWidth="1"/>
    <col min="6035" max="6044" width="11.44140625" style="47" hidden="1" customWidth="1"/>
    <col min="6045" max="6045" width="6.44140625" style="47" customWidth="1"/>
    <col min="6046" max="6066" width="11.44140625" style="47" hidden="1" customWidth="1"/>
    <col min="6067" max="6067" width="9" style="47" customWidth="1"/>
    <col min="6068" max="6069" width="11.44140625" style="47" hidden="1" customWidth="1"/>
    <col min="6070" max="6070" width="8.44140625" style="47" customWidth="1"/>
    <col min="6071" max="6072" width="11.44140625" style="47" hidden="1" customWidth="1"/>
    <col min="6073" max="6073" width="6.44140625" style="47" customWidth="1"/>
    <col min="6074" max="6075" width="11.44140625" style="47" hidden="1" customWidth="1"/>
    <col min="6076" max="6076" width="7" style="47" customWidth="1"/>
    <col min="6077" max="6078" width="11.44140625" style="47" hidden="1" customWidth="1"/>
    <col min="6079" max="6081" width="7" style="47" customWidth="1"/>
    <col min="6082" max="6083" width="11.44140625" style="47" hidden="1" customWidth="1"/>
    <col min="6084" max="6084" width="7.44140625" style="47" customWidth="1"/>
    <col min="6085" max="6086" width="11.44140625" style="47" hidden="1" customWidth="1"/>
    <col min="6087" max="6087" width="7" style="47" customWidth="1"/>
    <col min="6088" max="6089" width="11.44140625" style="47" hidden="1" customWidth="1"/>
    <col min="6090" max="6090" width="7" style="47" customWidth="1"/>
    <col min="6091" max="6092" width="11.44140625" style="47" hidden="1" customWidth="1"/>
    <col min="6093" max="6093" width="7" style="47" customWidth="1"/>
    <col min="6094" max="6094" width="11.44140625" style="47" hidden="1" customWidth="1"/>
    <col min="6095" max="6095" width="6.44140625" style="47" customWidth="1"/>
    <col min="6096" max="6105" width="11.44140625" style="47" hidden="1" customWidth="1"/>
    <col min="6106" max="6140" width="11.44140625" style="47" hidden="1"/>
    <col min="6141" max="6141" width="41.44140625" style="47" customWidth="1"/>
    <col min="6142" max="6142" width="6.44140625" style="47" customWidth="1"/>
    <col min="6143" max="6143" width="14.5546875" style="47" customWidth="1"/>
    <col min="6144" max="6144" width="11.44140625" style="47" customWidth="1"/>
    <col min="6145" max="6145" width="13" style="47" customWidth="1"/>
    <col min="6146" max="6146" width="25.44140625" style="47" customWidth="1"/>
    <col min="6147" max="6156" width="9.44140625" style="47" customWidth="1"/>
    <col min="6157" max="6157" width="11.5546875" style="47" customWidth="1"/>
    <col min="6158" max="6158" width="9.44140625" style="47" customWidth="1"/>
    <col min="6159" max="6159" width="10.109375" style="47" customWidth="1"/>
    <col min="6160" max="6171" width="11.44140625" style="47" hidden="1" customWidth="1"/>
    <col min="6172" max="6173" width="11.44140625" style="47" customWidth="1"/>
    <col min="6174" max="6174" width="56.88671875" style="47" customWidth="1"/>
    <col min="6175" max="6175" width="9.109375" style="47" customWidth="1"/>
    <col min="6176" max="6176" width="32" style="47" customWidth="1"/>
    <col min="6177" max="6177" width="22.88671875" style="47" customWidth="1"/>
    <col min="6178" max="6178" width="31" style="47" customWidth="1"/>
    <col min="6179" max="6179" width="5" style="47" customWidth="1"/>
    <col min="6180" max="6181" width="11.44140625" style="47" hidden="1" customWidth="1"/>
    <col min="6182" max="6182" width="5" style="47" customWidth="1"/>
    <col min="6183" max="6184" width="11.44140625" style="47" hidden="1" customWidth="1"/>
    <col min="6185" max="6185" width="5" style="47" customWidth="1"/>
    <col min="6186" max="6187" width="11.44140625" style="47" hidden="1" customWidth="1"/>
    <col min="6188" max="6188" width="5" style="47" customWidth="1"/>
    <col min="6189" max="6190" width="11.44140625" style="47" hidden="1" customWidth="1"/>
    <col min="6191" max="6191" width="5" style="47" customWidth="1"/>
    <col min="6192" max="6256" width="11.44140625" style="47" hidden="1" customWidth="1"/>
    <col min="6257" max="6257" width="9.44140625" style="47" customWidth="1"/>
    <col min="6258" max="6275" width="11.44140625" style="47" hidden="1" customWidth="1"/>
    <col min="6276" max="6276" width="6.44140625" style="47" customWidth="1"/>
    <col min="6277" max="6289" width="11.44140625" style="47" hidden="1" customWidth="1"/>
    <col min="6290" max="6290" width="7.109375" style="47" customWidth="1"/>
    <col min="6291" max="6300" width="11.44140625" style="47" hidden="1" customWidth="1"/>
    <col min="6301" max="6301" width="6.44140625" style="47" customWidth="1"/>
    <col min="6302" max="6322" width="11.44140625" style="47" hidden="1" customWidth="1"/>
    <col min="6323" max="6323" width="9" style="47" customWidth="1"/>
    <col min="6324" max="6325" width="11.44140625" style="47" hidden="1" customWidth="1"/>
    <col min="6326" max="6326" width="8.44140625" style="47" customWidth="1"/>
    <col min="6327" max="6328" width="11.44140625" style="47" hidden="1" customWidth="1"/>
    <col min="6329" max="6329" width="6.44140625" style="47" customWidth="1"/>
    <col min="6330" max="6331" width="11.44140625" style="47" hidden="1" customWidth="1"/>
    <col min="6332" max="6332" width="7" style="47" customWidth="1"/>
    <col min="6333" max="6334" width="11.44140625" style="47" hidden="1" customWidth="1"/>
    <col min="6335" max="6337" width="7" style="47" customWidth="1"/>
    <col min="6338" max="6339" width="11.44140625" style="47" hidden="1" customWidth="1"/>
    <col min="6340" max="6340" width="7.44140625" style="47" customWidth="1"/>
    <col min="6341" max="6342" width="11.44140625" style="47" hidden="1" customWidth="1"/>
    <col min="6343" max="6343" width="7" style="47" customWidth="1"/>
    <col min="6344" max="6345" width="11.44140625" style="47" hidden="1" customWidth="1"/>
    <col min="6346" max="6346" width="7" style="47" customWidth="1"/>
    <col min="6347" max="6348" width="11.44140625" style="47" hidden="1" customWidth="1"/>
    <col min="6349" max="6349" width="7" style="47" customWidth="1"/>
    <col min="6350" max="6350" width="11.44140625" style="47" hidden="1" customWidth="1"/>
    <col min="6351" max="6351" width="6.44140625" style="47" customWidth="1"/>
    <col min="6352" max="6361" width="11.44140625" style="47" hidden="1" customWidth="1"/>
    <col min="6362" max="6396" width="11.44140625" style="47" hidden="1"/>
    <col min="6397" max="6397" width="41.44140625" style="47" customWidth="1"/>
    <col min="6398" max="6398" width="6.44140625" style="47" customWidth="1"/>
    <col min="6399" max="6399" width="14.5546875" style="47" customWidth="1"/>
    <col min="6400" max="6400" width="11.44140625" style="47" customWidth="1"/>
    <col min="6401" max="6401" width="13" style="47" customWidth="1"/>
    <col min="6402" max="6402" width="25.44140625" style="47" customWidth="1"/>
    <col min="6403" max="6412" width="9.44140625" style="47" customWidth="1"/>
    <col min="6413" max="6413" width="11.5546875" style="47" customWidth="1"/>
    <col min="6414" max="6414" width="9.44140625" style="47" customWidth="1"/>
    <col min="6415" max="6415" width="10.109375" style="47" customWidth="1"/>
    <col min="6416" max="6427" width="11.44140625" style="47" hidden="1" customWidth="1"/>
    <col min="6428" max="6429" width="11.44140625" style="47" customWidth="1"/>
    <col min="6430" max="6430" width="56.88671875" style="47" customWidth="1"/>
    <col min="6431" max="6431" width="9.109375" style="47" customWidth="1"/>
    <col min="6432" max="6432" width="32" style="47" customWidth="1"/>
    <col min="6433" max="6433" width="22.88671875" style="47" customWidth="1"/>
    <col min="6434" max="6434" width="31" style="47" customWidth="1"/>
    <col min="6435" max="6435" width="5" style="47" customWidth="1"/>
    <col min="6436" max="6437" width="11.44140625" style="47" hidden="1" customWidth="1"/>
    <col min="6438" max="6438" width="5" style="47" customWidth="1"/>
    <col min="6439" max="6440" width="11.44140625" style="47" hidden="1" customWidth="1"/>
    <col min="6441" max="6441" width="5" style="47" customWidth="1"/>
    <col min="6442" max="6443" width="11.44140625" style="47" hidden="1" customWidth="1"/>
    <col min="6444" max="6444" width="5" style="47" customWidth="1"/>
    <col min="6445" max="6446" width="11.44140625" style="47" hidden="1" customWidth="1"/>
    <col min="6447" max="6447" width="5" style="47" customWidth="1"/>
    <col min="6448" max="6512" width="11.44140625" style="47" hidden="1" customWidth="1"/>
    <col min="6513" max="6513" width="9.44140625" style="47" customWidth="1"/>
    <col min="6514" max="6531" width="11.44140625" style="47" hidden="1" customWidth="1"/>
    <col min="6532" max="6532" width="6.44140625" style="47" customWidth="1"/>
    <col min="6533" max="6545" width="11.44140625" style="47" hidden="1" customWidth="1"/>
    <col min="6546" max="6546" width="7.109375" style="47" customWidth="1"/>
    <col min="6547" max="6556" width="11.44140625" style="47" hidden="1" customWidth="1"/>
    <col min="6557" max="6557" width="6.44140625" style="47" customWidth="1"/>
    <col min="6558" max="6578" width="11.44140625" style="47" hidden="1" customWidth="1"/>
    <col min="6579" max="6579" width="9" style="47" customWidth="1"/>
    <col min="6580" max="6581" width="11.44140625" style="47" hidden="1" customWidth="1"/>
    <col min="6582" max="6582" width="8.44140625" style="47" customWidth="1"/>
    <col min="6583" max="6584" width="11.44140625" style="47" hidden="1" customWidth="1"/>
    <col min="6585" max="6585" width="6.44140625" style="47" customWidth="1"/>
    <col min="6586" max="6587" width="11.44140625" style="47" hidden="1" customWidth="1"/>
    <col min="6588" max="6588" width="7" style="47" customWidth="1"/>
    <col min="6589" max="6590" width="11.44140625" style="47" hidden="1" customWidth="1"/>
    <col min="6591" max="6593" width="7" style="47" customWidth="1"/>
    <col min="6594" max="6595" width="11.44140625" style="47" hidden="1" customWidth="1"/>
    <col min="6596" max="6596" width="7.44140625" style="47" customWidth="1"/>
    <col min="6597" max="6598" width="11.44140625" style="47" hidden="1" customWidth="1"/>
    <col min="6599" max="6599" width="7" style="47" customWidth="1"/>
    <col min="6600" max="6601" width="11.44140625" style="47" hidden="1" customWidth="1"/>
    <col min="6602" max="6602" width="7" style="47" customWidth="1"/>
    <col min="6603" max="6604" width="11.44140625" style="47" hidden="1" customWidth="1"/>
    <col min="6605" max="6605" width="7" style="47" customWidth="1"/>
    <col min="6606" max="6606" width="11.44140625" style="47" hidden="1" customWidth="1"/>
    <col min="6607" max="6607" width="6.44140625" style="47" customWidth="1"/>
    <col min="6608" max="6617" width="11.44140625" style="47" hidden="1" customWidth="1"/>
    <col min="6618" max="6652" width="11.44140625" style="47" hidden="1"/>
    <col min="6653" max="6653" width="41.44140625" style="47" customWidth="1"/>
    <col min="6654" max="6654" width="6.44140625" style="47" customWidth="1"/>
    <col min="6655" max="6655" width="14.5546875" style="47" customWidth="1"/>
    <col min="6656" max="6656" width="11.44140625" style="47" customWidth="1"/>
    <col min="6657" max="6657" width="13" style="47" customWidth="1"/>
    <col min="6658" max="6658" width="25.44140625" style="47" customWidth="1"/>
    <col min="6659" max="6668" width="9.44140625" style="47" customWidth="1"/>
    <col min="6669" max="6669" width="11.5546875" style="47" customWidth="1"/>
    <col min="6670" max="6670" width="9.44140625" style="47" customWidth="1"/>
    <col min="6671" max="6671" width="10.109375" style="47" customWidth="1"/>
    <col min="6672" max="6683" width="11.44140625" style="47" hidden="1" customWidth="1"/>
    <col min="6684" max="6685" width="11.44140625" style="47" customWidth="1"/>
    <col min="6686" max="6686" width="56.88671875" style="47" customWidth="1"/>
    <col min="6687" max="6687" width="9.109375" style="47" customWidth="1"/>
    <col min="6688" max="6688" width="32" style="47" customWidth="1"/>
    <col min="6689" max="6689" width="22.88671875" style="47" customWidth="1"/>
    <col min="6690" max="6690" width="31" style="47" customWidth="1"/>
    <col min="6691" max="6691" width="5" style="47" customWidth="1"/>
    <col min="6692" max="6693" width="11.44140625" style="47" hidden="1" customWidth="1"/>
    <col min="6694" max="6694" width="5" style="47" customWidth="1"/>
    <col min="6695" max="6696" width="11.44140625" style="47" hidden="1" customWidth="1"/>
    <col min="6697" max="6697" width="5" style="47" customWidth="1"/>
    <col min="6698" max="6699" width="11.44140625" style="47" hidden="1" customWidth="1"/>
    <col min="6700" max="6700" width="5" style="47" customWidth="1"/>
    <col min="6701" max="6702" width="11.44140625" style="47" hidden="1" customWidth="1"/>
    <col min="6703" max="6703" width="5" style="47" customWidth="1"/>
    <col min="6704" max="6768" width="11.44140625" style="47" hidden="1" customWidth="1"/>
    <col min="6769" max="6769" width="9.44140625" style="47" customWidth="1"/>
    <col min="6770" max="6787" width="11.44140625" style="47" hidden="1" customWidth="1"/>
    <col min="6788" max="6788" width="6.44140625" style="47" customWidth="1"/>
    <col min="6789" max="6801" width="11.44140625" style="47" hidden="1" customWidth="1"/>
    <col min="6802" max="6802" width="7.109375" style="47" customWidth="1"/>
    <col min="6803" max="6812" width="11.44140625" style="47" hidden="1" customWidth="1"/>
    <col min="6813" max="6813" width="6.44140625" style="47" customWidth="1"/>
    <col min="6814" max="6834" width="11.44140625" style="47" hidden="1" customWidth="1"/>
    <col min="6835" max="6835" width="9" style="47" customWidth="1"/>
    <col min="6836" max="6837" width="11.44140625" style="47" hidden="1" customWidth="1"/>
    <col min="6838" max="6838" width="8.44140625" style="47" customWidth="1"/>
    <col min="6839" max="6840" width="11.44140625" style="47" hidden="1" customWidth="1"/>
    <col min="6841" max="6841" width="6.44140625" style="47" customWidth="1"/>
    <col min="6842" max="6843" width="11.44140625" style="47" hidden="1" customWidth="1"/>
    <col min="6844" max="6844" width="7" style="47" customWidth="1"/>
    <col min="6845" max="6846" width="11.44140625" style="47" hidden="1" customWidth="1"/>
    <col min="6847" max="6849" width="7" style="47" customWidth="1"/>
    <col min="6850" max="6851" width="11.44140625" style="47" hidden="1" customWidth="1"/>
    <col min="6852" max="6852" width="7.44140625" style="47" customWidth="1"/>
    <col min="6853" max="6854" width="11.44140625" style="47" hidden="1" customWidth="1"/>
    <col min="6855" max="6855" width="7" style="47" customWidth="1"/>
    <col min="6856" max="6857" width="11.44140625" style="47" hidden="1" customWidth="1"/>
    <col min="6858" max="6858" width="7" style="47" customWidth="1"/>
    <col min="6859" max="6860" width="11.44140625" style="47" hidden="1" customWidth="1"/>
    <col min="6861" max="6861" width="7" style="47" customWidth="1"/>
    <col min="6862" max="6862" width="11.44140625" style="47" hidden="1" customWidth="1"/>
    <col min="6863" max="6863" width="6.44140625" style="47" customWidth="1"/>
    <col min="6864" max="6873" width="11.44140625" style="47" hidden="1" customWidth="1"/>
    <col min="6874" max="6908" width="11.44140625" style="47" hidden="1"/>
    <col min="6909" max="6909" width="41.44140625" style="47" customWidth="1"/>
    <col min="6910" max="6910" width="6.44140625" style="47" customWidth="1"/>
    <col min="6911" max="6911" width="14.5546875" style="47" customWidth="1"/>
    <col min="6912" max="6912" width="11.44140625" style="47" customWidth="1"/>
    <col min="6913" max="6913" width="13" style="47" customWidth="1"/>
    <col min="6914" max="6914" width="25.44140625" style="47" customWidth="1"/>
    <col min="6915" max="6924" width="9.44140625" style="47" customWidth="1"/>
    <col min="6925" max="6925" width="11.5546875" style="47" customWidth="1"/>
    <col min="6926" max="6926" width="9.44140625" style="47" customWidth="1"/>
    <col min="6927" max="6927" width="10.109375" style="47" customWidth="1"/>
    <col min="6928" max="6939" width="11.44140625" style="47" hidden="1" customWidth="1"/>
    <col min="6940" max="6941" width="11.44140625" style="47" customWidth="1"/>
    <col min="6942" max="6942" width="56.88671875" style="47" customWidth="1"/>
    <col min="6943" max="6943" width="9.109375" style="47" customWidth="1"/>
    <col min="6944" max="6944" width="32" style="47" customWidth="1"/>
    <col min="6945" max="6945" width="22.88671875" style="47" customWidth="1"/>
    <col min="6946" max="6946" width="31" style="47" customWidth="1"/>
    <col min="6947" max="6947" width="5" style="47" customWidth="1"/>
    <col min="6948" max="6949" width="11.44140625" style="47" hidden="1" customWidth="1"/>
    <col min="6950" max="6950" width="5" style="47" customWidth="1"/>
    <col min="6951" max="6952" width="11.44140625" style="47" hidden="1" customWidth="1"/>
    <col min="6953" max="6953" width="5" style="47" customWidth="1"/>
    <col min="6954" max="6955" width="11.44140625" style="47" hidden="1" customWidth="1"/>
    <col min="6956" max="6956" width="5" style="47" customWidth="1"/>
    <col min="6957" max="6958" width="11.44140625" style="47" hidden="1" customWidth="1"/>
    <col min="6959" max="6959" width="5" style="47" customWidth="1"/>
    <col min="6960" max="7024" width="11.44140625" style="47" hidden="1" customWidth="1"/>
    <col min="7025" max="7025" width="9.44140625" style="47" customWidth="1"/>
    <col min="7026" max="7043" width="11.44140625" style="47" hidden="1" customWidth="1"/>
    <col min="7044" max="7044" width="6.44140625" style="47" customWidth="1"/>
    <col min="7045" max="7057" width="11.44140625" style="47" hidden="1" customWidth="1"/>
    <col min="7058" max="7058" width="7.109375" style="47" customWidth="1"/>
    <col min="7059" max="7068" width="11.44140625" style="47" hidden="1" customWidth="1"/>
    <col min="7069" max="7069" width="6.44140625" style="47" customWidth="1"/>
    <col min="7070" max="7090" width="11.44140625" style="47" hidden="1" customWidth="1"/>
    <col min="7091" max="7091" width="9" style="47" customWidth="1"/>
    <col min="7092" max="7093" width="11.44140625" style="47" hidden="1" customWidth="1"/>
    <col min="7094" max="7094" width="8.44140625" style="47" customWidth="1"/>
    <col min="7095" max="7096" width="11.44140625" style="47" hidden="1" customWidth="1"/>
    <col min="7097" max="7097" width="6.44140625" style="47" customWidth="1"/>
    <col min="7098" max="7099" width="11.44140625" style="47" hidden="1" customWidth="1"/>
    <col min="7100" max="7100" width="7" style="47" customWidth="1"/>
    <col min="7101" max="7102" width="11.44140625" style="47" hidden="1" customWidth="1"/>
    <col min="7103" max="7105" width="7" style="47" customWidth="1"/>
    <col min="7106" max="7107" width="11.44140625" style="47" hidden="1" customWidth="1"/>
    <col min="7108" max="7108" width="7.44140625" style="47" customWidth="1"/>
    <col min="7109" max="7110" width="11.44140625" style="47" hidden="1" customWidth="1"/>
    <col min="7111" max="7111" width="7" style="47" customWidth="1"/>
    <col min="7112" max="7113" width="11.44140625" style="47" hidden="1" customWidth="1"/>
    <col min="7114" max="7114" width="7" style="47" customWidth="1"/>
    <col min="7115" max="7116" width="11.44140625" style="47" hidden="1" customWidth="1"/>
    <col min="7117" max="7117" width="7" style="47" customWidth="1"/>
    <col min="7118" max="7118" width="11.44140625" style="47" hidden="1" customWidth="1"/>
    <col min="7119" max="7119" width="6.44140625" style="47" customWidth="1"/>
    <col min="7120" max="7129" width="11.44140625" style="47" hidden="1" customWidth="1"/>
    <col min="7130" max="7164" width="11.44140625" style="47" hidden="1"/>
    <col min="7165" max="7165" width="41.44140625" style="47" customWidth="1"/>
    <col min="7166" max="7166" width="6.44140625" style="47" customWidth="1"/>
    <col min="7167" max="7167" width="14.5546875" style="47" customWidth="1"/>
    <col min="7168" max="7168" width="11.44140625" style="47" customWidth="1"/>
    <col min="7169" max="7169" width="13" style="47" customWidth="1"/>
    <col min="7170" max="7170" width="25.44140625" style="47" customWidth="1"/>
    <col min="7171" max="7180" width="9.44140625" style="47" customWidth="1"/>
    <col min="7181" max="7181" width="11.5546875" style="47" customWidth="1"/>
    <col min="7182" max="7182" width="9.44140625" style="47" customWidth="1"/>
    <col min="7183" max="7183" width="10.109375" style="47" customWidth="1"/>
    <col min="7184" max="7195" width="11.44140625" style="47" hidden="1" customWidth="1"/>
    <col min="7196" max="7197" width="11.44140625" style="47" customWidth="1"/>
    <col min="7198" max="7198" width="56.88671875" style="47" customWidth="1"/>
    <col min="7199" max="7199" width="9.109375" style="47" customWidth="1"/>
    <col min="7200" max="7200" width="32" style="47" customWidth="1"/>
    <col min="7201" max="7201" width="22.88671875" style="47" customWidth="1"/>
    <col min="7202" max="7202" width="31" style="47" customWidth="1"/>
    <col min="7203" max="7203" width="5" style="47" customWidth="1"/>
    <col min="7204" max="7205" width="11.44140625" style="47" hidden="1" customWidth="1"/>
    <col min="7206" max="7206" width="5" style="47" customWidth="1"/>
    <col min="7207" max="7208" width="11.44140625" style="47" hidden="1" customWidth="1"/>
    <col min="7209" max="7209" width="5" style="47" customWidth="1"/>
    <col min="7210" max="7211" width="11.44140625" style="47" hidden="1" customWidth="1"/>
    <col min="7212" max="7212" width="5" style="47" customWidth="1"/>
    <col min="7213" max="7214" width="11.44140625" style="47" hidden="1" customWidth="1"/>
    <col min="7215" max="7215" width="5" style="47" customWidth="1"/>
    <col min="7216" max="7280" width="11.44140625" style="47" hidden="1" customWidth="1"/>
    <col min="7281" max="7281" width="9.44140625" style="47" customWidth="1"/>
    <col min="7282" max="7299" width="11.44140625" style="47" hidden="1" customWidth="1"/>
    <col min="7300" max="7300" width="6.44140625" style="47" customWidth="1"/>
    <col min="7301" max="7313" width="11.44140625" style="47" hidden="1" customWidth="1"/>
    <col min="7314" max="7314" width="7.109375" style="47" customWidth="1"/>
    <col min="7315" max="7324" width="11.44140625" style="47" hidden="1" customWidth="1"/>
    <col min="7325" max="7325" width="6.44140625" style="47" customWidth="1"/>
    <col min="7326" max="7346" width="11.44140625" style="47" hidden="1" customWidth="1"/>
    <col min="7347" max="7347" width="9" style="47" customWidth="1"/>
    <col min="7348" max="7349" width="11.44140625" style="47" hidden="1" customWidth="1"/>
    <col min="7350" max="7350" width="8.44140625" style="47" customWidth="1"/>
    <col min="7351" max="7352" width="11.44140625" style="47" hidden="1" customWidth="1"/>
    <col min="7353" max="7353" width="6.44140625" style="47" customWidth="1"/>
    <col min="7354" max="7355" width="11.44140625" style="47" hidden="1" customWidth="1"/>
    <col min="7356" max="7356" width="7" style="47" customWidth="1"/>
    <col min="7357" max="7358" width="11.44140625" style="47" hidden="1" customWidth="1"/>
    <col min="7359" max="7361" width="7" style="47" customWidth="1"/>
    <col min="7362" max="7363" width="11.44140625" style="47" hidden="1" customWidth="1"/>
    <col min="7364" max="7364" width="7.44140625" style="47" customWidth="1"/>
    <col min="7365" max="7366" width="11.44140625" style="47" hidden="1" customWidth="1"/>
    <col min="7367" max="7367" width="7" style="47" customWidth="1"/>
    <col min="7368" max="7369" width="11.44140625" style="47" hidden="1" customWidth="1"/>
    <col min="7370" max="7370" width="7" style="47" customWidth="1"/>
    <col min="7371" max="7372" width="11.44140625" style="47" hidden="1" customWidth="1"/>
    <col min="7373" max="7373" width="7" style="47" customWidth="1"/>
    <col min="7374" max="7374" width="11.44140625" style="47" hidden="1" customWidth="1"/>
    <col min="7375" max="7375" width="6.44140625" style="47" customWidth="1"/>
    <col min="7376" max="7385" width="11.44140625" style="47" hidden="1" customWidth="1"/>
    <col min="7386" max="7420" width="11.44140625" style="47" hidden="1"/>
    <col min="7421" max="7421" width="41.44140625" style="47" customWidth="1"/>
    <col min="7422" max="7422" width="6.44140625" style="47" customWidth="1"/>
    <col min="7423" max="7423" width="14.5546875" style="47" customWidth="1"/>
    <col min="7424" max="7424" width="11.44140625" style="47" customWidth="1"/>
    <col min="7425" max="7425" width="13" style="47" customWidth="1"/>
    <col min="7426" max="7426" width="25.44140625" style="47" customWidth="1"/>
    <col min="7427" max="7436" width="9.44140625" style="47" customWidth="1"/>
    <col min="7437" max="7437" width="11.5546875" style="47" customWidth="1"/>
    <col min="7438" max="7438" width="9.44140625" style="47" customWidth="1"/>
    <col min="7439" max="7439" width="10.109375" style="47" customWidth="1"/>
    <col min="7440" max="7451" width="11.44140625" style="47" hidden="1" customWidth="1"/>
    <col min="7452" max="7453" width="11.44140625" style="47" customWidth="1"/>
    <col min="7454" max="7454" width="56.88671875" style="47" customWidth="1"/>
    <col min="7455" max="7455" width="9.109375" style="47" customWidth="1"/>
    <col min="7456" max="7456" width="32" style="47" customWidth="1"/>
    <col min="7457" max="7457" width="22.88671875" style="47" customWidth="1"/>
    <col min="7458" max="7458" width="31" style="47" customWidth="1"/>
    <col min="7459" max="7459" width="5" style="47" customWidth="1"/>
    <col min="7460" max="7461" width="11.44140625" style="47" hidden="1" customWidth="1"/>
    <col min="7462" max="7462" width="5" style="47" customWidth="1"/>
    <col min="7463" max="7464" width="11.44140625" style="47" hidden="1" customWidth="1"/>
    <col min="7465" max="7465" width="5" style="47" customWidth="1"/>
    <col min="7466" max="7467" width="11.44140625" style="47" hidden="1" customWidth="1"/>
    <col min="7468" max="7468" width="5" style="47" customWidth="1"/>
    <col min="7469" max="7470" width="11.44140625" style="47" hidden="1" customWidth="1"/>
    <col min="7471" max="7471" width="5" style="47" customWidth="1"/>
    <col min="7472" max="7536" width="11.44140625" style="47" hidden="1" customWidth="1"/>
    <col min="7537" max="7537" width="9.44140625" style="47" customWidth="1"/>
    <col min="7538" max="7555" width="11.44140625" style="47" hidden="1" customWidth="1"/>
    <col min="7556" max="7556" width="6.44140625" style="47" customWidth="1"/>
    <col min="7557" max="7569" width="11.44140625" style="47" hidden="1" customWidth="1"/>
    <col min="7570" max="7570" width="7.109375" style="47" customWidth="1"/>
    <col min="7571" max="7580" width="11.44140625" style="47" hidden="1" customWidth="1"/>
    <col min="7581" max="7581" width="6.44140625" style="47" customWidth="1"/>
    <col min="7582" max="7602" width="11.44140625" style="47" hidden="1" customWidth="1"/>
    <col min="7603" max="7603" width="9" style="47" customWidth="1"/>
    <col min="7604" max="7605" width="11.44140625" style="47" hidden="1" customWidth="1"/>
    <col min="7606" max="7606" width="8.44140625" style="47" customWidth="1"/>
    <col min="7607" max="7608" width="11.44140625" style="47" hidden="1" customWidth="1"/>
    <col min="7609" max="7609" width="6.44140625" style="47" customWidth="1"/>
    <col min="7610" max="7611" width="11.44140625" style="47" hidden="1" customWidth="1"/>
    <col min="7612" max="7612" width="7" style="47" customWidth="1"/>
    <col min="7613" max="7614" width="11.44140625" style="47" hidden="1" customWidth="1"/>
    <col min="7615" max="7617" width="7" style="47" customWidth="1"/>
    <col min="7618" max="7619" width="11.44140625" style="47" hidden="1" customWidth="1"/>
    <col min="7620" max="7620" width="7.44140625" style="47" customWidth="1"/>
    <col min="7621" max="7622" width="11.44140625" style="47" hidden="1" customWidth="1"/>
    <col min="7623" max="7623" width="7" style="47" customWidth="1"/>
    <col min="7624" max="7625" width="11.44140625" style="47" hidden="1" customWidth="1"/>
    <col min="7626" max="7626" width="7" style="47" customWidth="1"/>
    <col min="7627" max="7628" width="11.44140625" style="47" hidden="1" customWidth="1"/>
    <col min="7629" max="7629" width="7" style="47" customWidth="1"/>
    <col min="7630" max="7630" width="11.44140625" style="47" hidden="1" customWidth="1"/>
    <col min="7631" max="7631" width="6.44140625" style="47" customWidth="1"/>
    <col min="7632" max="7641" width="11.44140625" style="47" hidden="1" customWidth="1"/>
    <col min="7642" max="7676" width="11.44140625" style="47" hidden="1"/>
    <col min="7677" max="7677" width="41.44140625" style="47" customWidth="1"/>
    <col min="7678" max="7678" width="6.44140625" style="47" customWidth="1"/>
    <col min="7679" max="7679" width="14.5546875" style="47" customWidth="1"/>
    <col min="7680" max="7680" width="11.44140625" style="47" customWidth="1"/>
    <col min="7681" max="7681" width="13" style="47" customWidth="1"/>
    <col min="7682" max="7682" width="25.44140625" style="47" customWidth="1"/>
    <col min="7683" max="7692" width="9.44140625" style="47" customWidth="1"/>
    <col min="7693" max="7693" width="11.5546875" style="47" customWidth="1"/>
    <col min="7694" max="7694" width="9.44140625" style="47" customWidth="1"/>
    <col min="7695" max="7695" width="10.109375" style="47" customWidth="1"/>
    <col min="7696" max="7707" width="11.44140625" style="47" hidden="1" customWidth="1"/>
    <col min="7708" max="7709" width="11.44140625" style="47" customWidth="1"/>
    <col min="7710" max="7710" width="56.88671875" style="47" customWidth="1"/>
    <col min="7711" max="7711" width="9.109375" style="47" customWidth="1"/>
    <col min="7712" max="7712" width="32" style="47" customWidth="1"/>
    <col min="7713" max="7713" width="22.88671875" style="47" customWidth="1"/>
    <col min="7714" max="7714" width="31" style="47" customWidth="1"/>
    <col min="7715" max="7715" width="5" style="47" customWidth="1"/>
    <col min="7716" max="7717" width="11.44140625" style="47" hidden="1" customWidth="1"/>
    <col min="7718" max="7718" width="5" style="47" customWidth="1"/>
    <col min="7719" max="7720" width="11.44140625" style="47" hidden="1" customWidth="1"/>
    <col min="7721" max="7721" width="5" style="47" customWidth="1"/>
    <col min="7722" max="7723" width="11.44140625" style="47" hidden="1" customWidth="1"/>
    <col min="7724" max="7724" width="5" style="47" customWidth="1"/>
    <col min="7725" max="7726" width="11.44140625" style="47" hidden="1" customWidth="1"/>
    <col min="7727" max="7727" width="5" style="47" customWidth="1"/>
    <col min="7728" max="7792" width="11.44140625" style="47" hidden="1" customWidth="1"/>
    <col min="7793" max="7793" width="9.44140625" style="47" customWidth="1"/>
    <col min="7794" max="7811" width="11.44140625" style="47" hidden="1" customWidth="1"/>
    <col min="7812" max="7812" width="6.44140625" style="47" customWidth="1"/>
    <col min="7813" max="7825" width="11.44140625" style="47" hidden="1" customWidth="1"/>
    <col min="7826" max="7826" width="7.109375" style="47" customWidth="1"/>
    <col min="7827" max="7836" width="11.44140625" style="47" hidden="1" customWidth="1"/>
    <col min="7837" max="7837" width="6.44140625" style="47" customWidth="1"/>
    <col min="7838" max="7858" width="11.44140625" style="47" hidden="1" customWidth="1"/>
    <col min="7859" max="7859" width="9" style="47" customWidth="1"/>
    <col min="7860" max="7861" width="11.44140625" style="47" hidden="1" customWidth="1"/>
    <col min="7862" max="7862" width="8.44140625" style="47" customWidth="1"/>
    <col min="7863" max="7864" width="11.44140625" style="47" hidden="1" customWidth="1"/>
    <col min="7865" max="7865" width="6.44140625" style="47" customWidth="1"/>
    <col min="7866" max="7867" width="11.44140625" style="47" hidden="1" customWidth="1"/>
    <col min="7868" max="7868" width="7" style="47" customWidth="1"/>
    <col min="7869" max="7870" width="11.44140625" style="47" hidden="1" customWidth="1"/>
    <col min="7871" max="7873" width="7" style="47" customWidth="1"/>
    <col min="7874" max="7875" width="11.44140625" style="47" hidden="1" customWidth="1"/>
    <col min="7876" max="7876" width="7.44140625" style="47" customWidth="1"/>
    <col min="7877" max="7878" width="11.44140625" style="47" hidden="1" customWidth="1"/>
    <col min="7879" max="7879" width="7" style="47" customWidth="1"/>
    <col min="7880" max="7881" width="11.44140625" style="47" hidden="1" customWidth="1"/>
    <col min="7882" max="7882" width="7" style="47" customWidth="1"/>
    <col min="7883" max="7884" width="11.44140625" style="47" hidden="1" customWidth="1"/>
    <col min="7885" max="7885" width="7" style="47" customWidth="1"/>
    <col min="7886" max="7886" width="11.44140625" style="47" hidden="1" customWidth="1"/>
    <col min="7887" max="7887" width="6.44140625" style="47" customWidth="1"/>
    <col min="7888" max="7897" width="11.44140625" style="47" hidden="1" customWidth="1"/>
    <col min="7898" max="7932" width="11.44140625" style="47" hidden="1"/>
    <col min="7933" max="7933" width="41.44140625" style="47" customWidth="1"/>
    <col min="7934" max="7934" width="6.44140625" style="47" customWidth="1"/>
    <col min="7935" max="7935" width="14.5546875" style="47" customWidth="1"/>
    <col min="7936" max="7936" width="11.44140625" style="47" customWidth="1"/>
    <col min="7937" max="7937" width="13" style="47" customWidth="1"/>
    <col min="7938" max="7938" width="25.44140625" style="47" customWidth="1"/>
    <col min="7939" max="7948" width="9.44140625" style="47" customWidth="1"/>
    <col min="7949" max="7949" width="11.5546875" style="47" customWidth="1"/>
    <col min="7950" max="7950" width="9.44140625" style="47" customWidth="1"/>
    <col min="7951" max="7951" width="10.109375" style="47" customWidth="1"/>
    <col min="7952" max="7963" width="11.44140625" style="47" hidden="1" customWidth="1"/>
    <col min="7964" max="7965" width="11.44140625" style="47" customWidth="1"/>
    <col min="7966" max="7966" width="56.88671875" style="47" customWidth="1"/>
    <col min="7967" max="7967" width="9.109375" style="47" customWidth="1"/>
    <col min="7968" max="7968" width="32" style="47" customWidth="1"/>
    <col min="7969" max="7969" width="22.88671875" style="47" customWidth="1"/>
    <col min="7970" max="7970" width="31" style="47" customWidth="1"/>
    <col min="7971" max="7971" width="5" style="47" customWidth="1"/>
    <col min="7972" max="7973" width="11.44140625" style="47" hidden="1" customWidth="1"/>
    <col min="7974" max="7974" width="5" style="47" customWidth="1"/>
    <col min="7975" max="7976" width="11.44140625" style="47" hidden="1" customWidth="1"/>
    <col min="7977" max="7977" width="5" style="47" customWidth="1"/>
    <col min="7978" max="7979" width="11.44140625" style="47" hidden="1" customWidth="1"/>
    <col min="7980" max="7980" width="5" style="47" customWidth="1"/>
    <col min="7981" max="7982" width="11.44140625" style="47" hidden="1" customWidth="1"/>
    <col min="7983" max="7983" width="5" style="47" customWidth="1"/>
    <col min="7984" max="8048" width="11.44140625" style="47" hidden="1" customWidth="1"/>
    <col min="8049" max="8049" width="9.44140625" style="47" customWidth="1"/>
    <col min="8050" max="8067" width="11.44140625" style="47" hidden="1" customWidth="1"/>
    <col min="8068" max="8068" width="6.44140625" style="47" customWidth="1"/>
    <col min="8069" max="8081" width="11.44140625" style="47" hidden="1" customWidth="1"/>
    <col min="8082" max="8082" width="7.109375" style="47" customWidth="1"/>
    <col min="8083" max="8092" width="11.44140625" style="47" hidden="1" customWidth="1"/>
    <col min="8093" max="8093" width="6.44140625" style="47" customWidth="1"/>
    <col min="8094" max="8114" width="11.44140625" style="47" hidden="1" customWidth="1"/>
    <col min="8115" max="8115" width="9" style="47" customWidth="1"/>
    <col min="8116" max="8117" width="11.44140625" style="47" hidden="1" customWidth="1"/>
    <col min="8118" max="8118" width="8.44140625" style="47" customWidth="1"/>
    <col min="8119" max="8120" width="11.44140625" style="47" hidden="1" customWidth="1"/>
    <col min="8121" max="8121" width="6.44140625" style="47" customWidth="1"/>
    <col min="8122" max="8123" width="11.44140625" style="47" hidden="1" customWidth="1"/>
    <col min="8124" max="8124" width="7" style="47" customWidth="1"/>
    <col min="8125" max="8126" width="11.44140625" style="47" hidden="1" customWidth="1"/>
    <col min="8127" max="8129" width="7" style="47" customWidth="1"/>
    <col min="8130" max="8131" width="11.44140625" style="47" hidden="1" customWidth="1"/>
    <col min="8132" max="8132" width="7.44140625" style="47" customWidth="1"/>
    <col min="8133" max="8134" width="11.44140625" style="47" hidden="1" customWidth="1"/>
    <col min="8135" max="8135" width="7" style="47" customWidth="1"/>
    <col min="8136" max="8137" width="11.44140625" style="47" hidden="1" customWidth="1"/>
    <col min="8138" max="8138" width="7" style="47" customWidth="1"/>
    <col min="8139" max="8140" width="11.44140625" style="47" hidden="1" customWidth="1"/>
    <col min="8141" max="8141" width="7" style="47" customWidth="1"/>
    <col min="8142" max="8142" width="11.44140625" style="47" hidden="1" customWidth="1"/>
    <col min="8143" max="8143" width="6.44140625" style="47" customWidth="1"/>
    <col min="8144" max="8153" width="11.44140625" style="47" hidden="1" customWidth="1"/>
    <col min="8154" max="8188" width="11.44140625" style="47" hidden="1"/>
    <col min="8189" max="8189" width="41.44140625" style="47" customWidth="1"/>
    <col min="8190" max="8190" width="6.44140625" style="47" customWidth="1"/>
    <col min="8191" max="8191" width="14.5546875" style="47" customWidth="1"/>
    <col min="8192" max="8192" width="11.44140625" style="47" customWidth="1"/>
    <col min="8193" max="8193" width="13" style="47" customWidth="1"/>
    <col min="8194" max="8194" width="25.44140625" style="47" customWidth="1"/>
    <col min="8195" max="8204" width="9.44140625" style="47" customWidth="1"/>
    <col min="8205" max="8205" width="11.5546875" style="47" customWidth="1"/>
    <col min="8206" max="8206" width="9.44140625" style="47" customWidth="1"/>
    <col min="8207" max="8207" width="10.109375" style="47" customWidth="1"/>
    <col min="8208" max="8219" width="11.44140625" style="47" hidden="1" customWidth="1"/>
    <col min="8220" max="8221" width="11.44140625" style="47" customWidth="1"/>
    <col min="8222" max="8222" width="56.88671875" style="47" customWidth="1"/>
    <col min="8223" max="8223" width="9.109375" style="47" customWidth="1"/>
    <col min="8224" max="8224" width="32" style="47" customWidth="1"/>
    <col min="8225" max="8225" width="22.88671875" style="47" customWidth="1"/>
    <col min="8226" max="8226" width="31" style="47" customWidth="1"/>
    <col min="8227" max="8227" width="5" style="47" customWidth="1"/>
    <col min="8228" max="8229" width="11.44140625" style="47" hidden="1" customWidth="1"/>
    <col min="8230" max="8230" width="5" style="47" customWidth="1"/>
    <col min="8231" max="8232" width="11.44140625" style="47" hidden="1" customWidth="1"/>
    <col min="8233" max="8233" width="5" style="47" customWidth="1"/>
    <col min="8234" max="8235" width="11.44140625" style="47" hidden="1" customWidth="1"/>
    <col min="8236" max="8236" width="5" style="47" customWidth="1"/>
    <col min="8237" max="8238" width="11.44140625" style="47" hidden="1" customWidth="1"/>
    <col min="8239" max="8239" width="5" style="47" customWidth="1"/>
    <col min="8240" max="8304" width="11.44140625" style="47" hidden="1" customWidth="1"/>
    <col min="8305" max="8305" width="9.44140625" style="47" customWidth="1"/>
    <col min="8306" max="8323" width="11.44140625" style="47" hidden="1" customWidth="1"/>
    <col min="8324" max="8324" width="6.44140625" style="47" customWidth="1"/>
    <col min="8325" max="8337" width="11.44140625" style="47" hidden="1" customWidth="1"/>
    <col min="8338" max="8338" width="7.109375" style="47" customWidth="1"/>
    <col min="8339" max="8348" width="11.44140625" style="47" hidden="1" customWidth="1"/>
    <col min="8349" max="8349" width="6.44140625" style="47" customWidth="1"/>
    <col min="8350" max="8370" width="11.44140625" style="47" hidden="1" customWidth="1"/>
    <col min="8371" max="8371" width="9" style="47" customWidth="1"/>
    <col min="8372" max="8373" width="11.44140625" style="47" hidden="1" customWidth="1"/>
    <col min="8374" max="8374" width="8.44140625" style="47" customWidth="1"/>
    <col min="8375" max="8376" width="11.44140625" style="47" hidden="1" customWidth="1"/>
    <col min="8377" max="8377" width="6.44140625" style="47" customWidth="1"/>
    <col min="8378" max="8379" width="11.44140625" style="47" hidden="1" customWidth="1"/>
    <col min="8380" max="8380" width="7" style="47" customWidth="1"/>
    <col min="8381" max="8382" width="11.44140625" style="47" hidden="1" customWidth="1"/>
    <col min="8383" max="8385" width="7" style="47" customWidth="1"/>
    <col min="8386" max="8387" width="11.44140625" style="47" hidden="1" customWidth="1"/>
    <col min="8388" max="8388" width="7.44140625" style="47" customWidth="1"/>
    <col min="8389" max="8390" width="11.44140625" style="47" hidden="1" customWidth="1"/>
    <col min="8391" max="8391" width="7" style="47" customWidth="1"/>
    <col min="8392" max="8393" width="11.44140625" style="47" hidden="1" customWidth="1"/>
    <col min="8394" max="8394" width="7" style="47" customWidth="1"/>
    <col min="8395" max="8396" width="11.44140625" style="47" hidden="1" customWidth="1"/>
    <col min="8397" max="8397" width="7" style="47" customWidth="1"/>
    <col min="8398" max="8398" width="11.44140625" style="47" hidden="1" customWidth="1"/>
    <col min="8399" max="8399" width="6.44140625" style="47" customWidth="1"/>
    <col min="8400" max="8409" width="11.44140625" style="47" hidden="1" customWidth="1"/>
    <col min="8410" max="8444" width="11.44140625" style="47" hidden="1"/>
    <col min="8445" max="8445" width="41.44140625" style="47" customWidth="1"/>
    <col min="8446" max="8446" width="6.44140625" style="47" customWidth="1"/>
    <col min="8447" max="8447" width="14.5546875" style="47" customWidth="1"/>
    <col min="8448" max="8448" width="11.44140625" style="47" customWidth="1"/>
    <col min="8449" max="8449" width="13" style="47" customWidth="1"/>
    <col min="8450" max="8450" width="25.44140625" style="47" customWidth="1"/>
    <col min="8451" max="8460" width="9.44140625" style="47" customWidth="1"/>
    <col min="8461" max="8461" width="11.5546875" style="47" customWidth="1"/>
    <col min="8462" max="8462" width="9.44140625" style="47" customWidth="1"/>
    <col min="8463" max="8463" width="10.109375" style="47" customWidth="1"/>
    <col min="8464" max="8475" width="11.44140625" style="47" hidden="1" customWidth="1"/>
    <col min="8476" max="8477" width="11.44140625" style="47" customWidth="1"/>
    <col min="8478" max="8478" width="56.88671875" style="47" customWidth="1"/>
    <col min="8479" max="8479" width="9.109375" style="47" customWidth="1"/>
    <col min="8480" max="8480" width="32" style="47" customWidth="1"/>
    <col min="8481" max="8481" width="22.88671875" style="47" customWidth="1"/>
    <col min="8482" max="8482" width="31" style="47" customWidth="1"/>
    <col min="8483" max="8483" width="5" style="47" customWidth="1"/>
    <col min="8484" max="8485" width="11.44140625" style="47" hidden="1" customWidth="1"/>
    <col min="8486" max="8486" width="5" style="47" customWidth="1"/>
    <col min="8487" max="8488" width="11.44140625" style="47" hidden="1" customWidth="1"/>
    <col min="8489" max="8489" width="5" style="47" customWidth="1"/>
    <col min="8490" max="8491" width="11.44140625" style="47" hidden="1" customWidth="1"/>
    <col min="8492" max="8492" width="5" style="47" customWidth="1"/>
    <col min="8493" max="8494" width="11.44140625" style="47" hidden="1" customWidth="1"/>
    <col min="8495" max="8495" width="5" style="47" customWidth="1"/>
    <col min="8496" max="8560" width="11.44140625" style="47" hidden="1" customWidth="1"/>
    <col min="8561" max="8561" width="9.44140625" style="47" customWidth="1"/>
    <col min="8562" max="8579" width="11.44140625" style="47" hidden="1" customWidth="1"/>
    <col min="8580" max="8580" width="6.44140625" style="47" customWidth="1"/>
    <col min="8581" max="8593" width="11.44140625" style="47" hidden="1" customWidth="1"/>
    <col min="8594" max="8594" width="7.109375" style="47" customWidth="1"/>
    <col min="8595" max="8604" width="11.44140625" style="47" hidden="1" customWidth="1"/>
    <col min="8605" max="8605" width="6.44140625" style="47" customWidth="1"/>
    <col min="8606" max="8626" width="11.44140625" style="47" hidden="1" customWidth="1"/>
    <col min="8627" max="8627" width="9" style="47" customWidth="1"/>
    <col min="8628" max="8629" width="11.44140625" style="47" hidden="1" customWidth="1"/>
    <col min="8630" max="8630" width="8.44140625" style="47" customWidth="1"/>
    <col min="8631" max="8632" width="11.44140625" style="47" hidden="1" customWidth="1"/>
    <col min="8633" max="8633" width="6.44140625" style="47" customWidth="1"/>
    <col min="8634" max="8635" width="11.44140625" style="47" hidden="1" customWidth="1"/>
    <col min="8636" max="8636" width="7" style="47" customWidth="1"/>
    <col min="8637" max="8638" width="11.44140625" style="47" hidden="1" customWidth="1"/>
    <col min="8639" max="8641" width="7" style="47" customWidth="1"/>
    <col min="8642" max="8643" width="11.44140625" style="47" hidden="1" customWidth="1"/>
    <col min="8644" max="8644" width="7.44140625" style="47" customWidth="1"/>
    <col min="8645" max="8646" width="11.44140625" style="47" hidden="1" customWidth="1"/>
    <col min="8647" max="8647" width="7" style="47" customWidth="1"/>
    <col min="8648" max="8649" width="11.44140625" style="47" hidden="1" customWidth="1"/>
    <col min="8650" max="8650" width="7" style="47" customWidth="1"/>
    <col min="8651" max="8652" width="11.44140625" style="47" hidden="1" customWidth="1"/>
    <col min="8653" max="8653" width="7" style="47" customWidth="1"/>
    <col min="8654" max="8654" width="11.44140625" style="47" hidden="1" customWidth="1"/>
    <col min="8655" max="8655" width="6.44140625" style="47" customWidth="1"/>
    <col min="8656" max="8665" width="11.44140625" style="47" hidden="1" customWidth="1"/>
    <col min="8666" max="8700" width="11.44140625" style="47" hidden="1"/>
    <col min="8701" max="8701" width="41.44140625" style="47" customWidth="1"/>
    <col min="8702" max="8702" width="6.44140625" style="47" customWidth="1"/>
    <col min="8703" max="8703" width="14.5546875" style="47" customWidth="1"/>
    <col min="8704" max="8704" width="11.44140625" style="47" customWidth="1"/>
    <col min="8705" max="8705" width="13" style="47" customWidth="1"/>
    <col min="8706" max="8706" width="25.44140625" style="47" customWidth="1"/>
    <col min="8707" max="8716" width="9.44140625" style="47" customWidth="1"/>
    <col min="8717" max="8717" width="11.5546875" style="47" customWidth="1"/>
    <col min="8718" max="8718" width="9.44140625" style="47" customWidth="1"/>
    <col min="8719" max="8719" width="10.109375" style="47" customWidth="1"/>
    <col min="8720" max="8731" width="11.44140625" style="47" hidden="1" customWidth="1"/>
    <col min="8732" max="8733" width="11.44140625" style="47" customWidth="1"/>
    <col min="8734" max="8734" width="56.88671875" style="47" customWidth="1"/>
    <col min="8735" max="8735" width="9.109375" style="47" customWidth="1"/>
    <col min="8736" max="8736" width="32" style="47" customWidth="1"/>
    <col min="8737" max="8737" width="22.88671875" style="47" customWidth="1"/>
    <col min="8738" max="8738" width="31" style="47" customWidth="1"/>
    <col min="8739" max="8739" width="5" style="47" customWidth="1"/>
    <col min="8740" max="8741" width="11.44140625" style="47" hidden="1" customWidth="1"/>
    <col min="8742" max="8742" width="5" style="47" customWidth="1"/>
    <col min="8743" max="8744" width="11.44140625" style="47" hidden="1" customWidth="1"/>
    <col min="8745" max="8745" width="5" style="47" customWidth="1"/>
    <col min="8746" max="8747" width="11.44140625" style="47" hidden="1" customWidth="1"/>
    <col min="8748" max="8748" width="5" style="47" customWidth="1"/>
    <col min="8749" max="8750" width="11.44140625" style="47" hidden="1" customWidth="1"/>
    <col min="8751" max="8751" width="5" style="47" customWidth="1"/>
    <col min="8752" max="8816" width="11.44140625" style="47" hidden="1" customWidth="1"/>
    <col min="8817" max="8817" width="9.44140625" style="47" customWidth="1"/>
    <col min="8818" max="8835" width="11.44140625" style="47" hidden="1" customWidth="1"/>
    <col min="8836" max="8836" width="6.44140625" style="47" customWidth="1"/>
    <col min="8837" max="8849" width="11.44140625" style="47" hidden="1" customWidth="1"/>
    <col min="8850" max="8850" width="7.109375" style="47" customWidth="1"/>
    <col min="8851" max="8860" width="11.44140625" style="47" hidden="1" customWidth="1"/>
    <col min="8861" max="8861" width="6.44140625" style="47" customWidth="1"/>
    <col min="8862" max="8882" width="11.44140625" style="47" hidden="1" customWidth="1"/>
    <col min="8883" max="8883" width="9" style="47" customWidth="1"/>
    <col min="8884" max="8885" width="11.44140625" style="47" hidden="1" customWidth="1"/>
    <col min="8886" max="8886" width="8.44140625" style="47" customWidth="1"/>
    <col min="8887" max="8888" width="11.44140625" style="47" hidden="1" customWidth="1"/>
    <col min="8889" max="8889" width="6.44140625" style="47" customWidth="1"/>
    <col min="8890" max="8891" width="11.44140625" style="47" hidden="1" customWidth="1"/>
    <col min="8892" max="8892" width="7" style="47" customWidth="1"/>
    <col min="8893" max="8894" width="11.44140625" style="47" hidden="1" customWidth="1"/>
    <col min="8895" max="8897" width="7" style="47" customWidth="1"/>
    <col min="8898" max="8899" width="11.44140625" style="47" hidden="1" customWidth="1"/>
    <col min="8900" max="8900" width="7.44140625" style="47" customWidth="1"/>
    <col min="8901" max="8902" width="11.44140625" style="47" hidden="1" customWidth="1"/>
    <col min="8903" max="8903" width="7" style="47" customWidth="1"/>
    <col min="8904" max="8905" width="11.44140625" style="47" hidden="1" customWidth="1"/>
    <col min="8906" max="8906" width="7" style="47" customWidth="1"/>
    <col min="8907" max="8908" width="11.44140625" style="47" hidden="1" customWidth="1"/>
    <col min="8909" max="8909" width="7" style="47" customWidth="1"/>
    <col min="8910" max="8910" width="11.44140625" style="47" hidden="1" customWidth="1"/>
    <col min="8911" max="8911" width="6.44140625" style="47" customWidth="1"/>
    <col min="8912" max="8921" width="11.44140625" style="47" hidden="1" customWidth="1"/>
    <col min="8922" max="8956" width="11.44140625" style="47" hidden="1"/>
    <col min="8957" max="8957" width="41.44140625" style="47" customWidth="1"/>
    <col min="8958" max="8958" width="6.44140625" style="47" customWidth="1"/>
    <col min="8959" max="8959" width="14.5546875" style="47" customWidth="1"/>
    <col min="8960" max="8960" width="11.44140625" style="47" customWidth="1"/>
    <col min="8961" max="8961" width="13" style="47" customWidth="1"/>
    <col min="8962" max="8962" width="25.44140625" style="47" customWidth="1"/>
    <col min="8963" max="8972" width="9.44140625" style="47" customWidth="1"/>
    <col min="8973" max="8973" width="11.5546875" style="47" customWidth="1"/>
    <col min="8974" max="8974" width="9.44140625" style="47" customWidth="1"/>
    <col min="8975" max="8975" width="10.109375" style="47" customWidth="1"/>
    <col min="8976" max="8987" width="11.44140625" style="47" hidden="1" customWidth="1"/>
    <col min="8988" max="8989" width="11.44140625" style="47" customWidth="1"/>
    <col min="8990" max="8990" width="56.88671875" style="47" customWidth="1"/>
    <col min="8991" max="8991" width="9.109375" style="47" customWidth="1"/>
    <col min="8992" max="8992" width="32" style="47" customWidth="1"/>
    <col min="8993" max="8993" width="22.88671875" style="47" customWidth="1"/>
    <col min="8994" max="8994" width="31" style="47" customWidth="1"/>
    <col min="8995" max="8995" width="5" style="47" customWidth="1"/>
    <col min="8996" max="8997" width="11.44140625" style="47" hidden="1" customWidth="1"/>
    <col min="8998" max="8998" width="5" style="47" customWidth="1"/>
    <col min="8999" max="9000" width="11.44140625" style="47" hidden="1" customWidth="1"/>
    <col min="9001" max="9001" width="5" style="47" customWidth="1"/>
    <col min="9002" max="9003" width="11.44140625" style="47" hidden="1" customWidth="1"/>
    <col min="9004" max="9004" width="5" style="47" customWidth="1"/>
    <col min="9005" max="9006" width="11.44140625" style="47" hidden="1" customWidth="1"/>
    <col min="9007" max="9007" width="5" style="47" customWidth="1"/>
    <col min="9008" max="9072" width="11.44140625" style="47" hidden="1" customWidth="1"/>
    <col min="9073" max="9073" width="9.44140625" style="47" customWidth="1"/>
    <col min="9074" max="9091" width="11.44140625" style="47" hidden="1" customWidth="1"/>
    <col min="9092" max="9092" width="6.44140625" style="47" customWidth="1"/>
    <col min="9093" max="9105" width="11.44140625" style="47" hidden="1" customWidth="1"/>
    <col min="9106" max="9106" width="7.109375" style="47" customWidth="1"/>
    <col min="9107" max="9116" width="11.44140625" style="47" hidden="1" customWidth="1"/>
    <col min="9117" max="9117" width="6.44140625" style="47" customWidth="1"/>
    <col min="9118" max="9138" width="11.44140625" style="47" hidden="1" customWidth="1"/>
    <col min="9139" max="9139" width="9" style="47" customWidth="1"/>
    <col min="9140" max="9141" width="11.44140625" style="47" hidden="1" customWidth="1"/>
    <col min="9142" max="9142" width="8.44140625" style="47" customWidth="1"/>
    <col min="9143" max="9144" width="11.44140625" style="47" hidden="1" customWidth="1"/>
    <col min="9145" max="9145" width="6.44140625" style="47" customWidth="1"/>
    <col min="9146" max="9147" width="11.44140625" style="47" hidden="1" customWidth="1"/>
    <col min="9148" max="9148" width="7" style="47" customWidth="1"/>
    <col min="9149" max="9150" width="11.44140625" style="47" hidden="1" customWidth="1"/>
    <col min="9151" max="9153" width="7" style="47" customWidth="1"/>
    <col min="9154" max="9155" width="11.44140625" style="47" hidden="1" customWidth="1"/>
    <col min="9156" max="9156" width="7.44140625" style="47" customWidth="1"/>
    <col min="9157" max="9158" width="11.44140625" style="47" hidden="1" customWidth="1"/>
    <col min="9159" max="9159" width="7" style="47" customWidth="1"/>
    <col min="9160" max="9161" width="11.44140625" style="47" hidden="1" customWidth="1"/>
    <col min="9162" max="9162" width="7" style="47" customWidth="1"/>
    <col min="9163" max="9164" width="11.44140625" style="47" hidden="1" customWidth="1"/>
    <col min="9165" max="9165" width="7" style="47" customWidth="1"/>
    <col min="9166" max="9166" width="11.44140625" style="47" hidden="1" customWidth="1"/>
    <col min="9167" max="9167" width="6.44140625" style="47" customWidth="1"/>
    <col min="9168" max="9177" width="11.44140625" style="47" hidden="1" customWidth="1"/>
    <col min="9178" max="9212" width="11.44140625" style="47" hidden="1"/>
    <col min="9213" max="9213" width="41.44140625" style="47" customWidth="1"/>
    <col min="9214" max="9214" width="6.44140625" style="47" customWidth="1"/>
    <col min="9215" max="9215" width="14.5546875" style="47" customWidth="1"/>
    <col min="9216" max="9216" width="11.44140625" style="47" customWidth="1"/>
    <col min="9217" max="9217" width="13" style="47" customWidth="1"/>
    <col min="9218" max="9218" width="25.44140625" style="47" customWidth="1"/>
    <col min="9219" max="9228" width="9.44140625" style="47" customWidth="1"/>
    <col min="9229" max="9229" width="11.5546875" style="47" customWidth="1"/>
    <col min="9230" max="9230" width="9.44140625" style="47" customWidth="1"/>
    <col min="9231" max="9231" width="10.109375" style="47" customWidth="1"/>
    <col min="9232" max="9243" width="11.44140625" style="47" hidden="1" customWidth="1"/>
    <col min="9244" max="9245" width="11.44140625" style="47" customWidth="1"/>
    <col min="9246" max="9246" width="56.88671875" style="47" customWidth="1"/>
    <col min="9247" max="9247" width="9.109375" style="47" customWidth="1"/>
    <col min="9248" max="9248" width="32" style="47" customWidth="1"/>
    <col min="9249" max="9249" width="22.88671875" style="47" customWidth="1"/>
    <col min="9250" max="9250" width="31" style="47" customWidth="1"/>
    <col min="9251" max="9251" width="5" style="47" customWidth="1"/>
    <col min="9252" max="9253" width="11.44140625" style="47" hidden="1" customWidth="1"/>
    <col min="9254" max="9254" width="5" style="47" customWidth="1"/>
    <col min="9255" max="9256" width="11.44140625" style="47" hidden="1" customWidth="1"/>
    <col min="9257" max="9257" width="5" style="47" customWidth="1"/>
    <col min="9258" max="9259" width="11.44140625" style="47" hidden="1" customWidth="1"/>
    <col min="9260" max="9260" width="5" style="47" customWidth="1"/>
    <col min="9261" max="9262" width="11.44140625" style="47" hidden="1" customWidth="1"/>
    <col min="9263" max="9263" width="5" style="47" customWidth="1"/>
    <col min="9264" max="9328" width="11.44140625" style="47" hidden="1" customWidth="1"/>
    <col min="9329" max="9329" width="9.44140625" style="47" customWidth="1"/>
    <col min="9330" max="9347" width="11.44140625" style="47" hidden="1" customWidth="1"/>
    <col min="9348" max="9348" width="6.44140625" style="47" customWidth="1"/>
    <col min="9349" max="9361" width="11.44140625" style="47" hidden="1" customWidth="1"/>
    <col min="9362" max="9362" width="7.109375" style="47" customWidth="1"/>
    <col min="9363" max="9372" width="11.44140625" style="47" hidden="1" customWidth="1"/>
    <col min="9373" max="9373" width="6.44140625" style="47" customWidth="1"/>
    <col min="9374" max="9394" width="11.44140625" style="47" hidden="1" customWidth="1"/>
    <col min="9395" max="9395" width="9" style="47" customWidth="1"/>
    <col min="9396" max="9397" width="11.44140625" style="47" hidden="1" customWidth="1"/>
    <col min="9398" max="9398" width="8.44140625" style="47" customWidth="1"/>
    <col min="9399" max="9400" width="11.44140625" style="47" hidden="1" customWidth="1"/>
    <col min="9401" max="9401" width="6.44140625" style="47" customWidth="1"/>
    <col min="9402" max="9403" width="11.44140625" style="47" hidden="1" customWidth="1"/>
    <col min="9404" max="9404" width="7" style="47" customWidth="1"/>
    <col min="9405" max="9406" width="11.44140625" style="47" hidden="1" customWidth="1"/>
    <col min="9407" max="9409" width="7" style="47" customWidth="1"/>
    <col min="9410" max="9411" width="11.44140625" style="47" hidden="1" customWidth="1"/>
    <col min="9412" max="9412" width="7.44140625" style="47" customWidth="1"/>
    <col min="9413" max="9414" width="11.44140625" style="47" hidden="1" customWidth="1"/>
    <col min="9415" max="9415" width="7" style="47" customWidth="1"/>
    <col min="9416" max="9417" width="11.44140625" style="47" hidden="1" customWidth="1"/>
    <col min="9418" max="9418" width="7" style="47" customWidth="1"/>
    <col min="9419" max="9420" width="11.44140625" style="47" hidden="1" customWidth="1"/>
    <col min="9421" max="9421" width="7" style="47" customWidth="1"/>
    <col min="9422" max="9422" width="11.44140625" style="47" hidden="1" customWidth="1"/>
    <col min="9423" max="9423" width="6.44140625" style="47" customWidth="1"/>
    <col min="9424" max="9433" width="11.44140625" style="47" hidden="1" customWidth="1"/>
    <col min="9434" max="9468" width="11.44140625" style="47" hidden="1"/>
    <col min="9469" max="9469" width="41.44140625" style="47" customWidth="1"/>
    <col min="9470" max="9470" width="6.44140625" style="47" customWidth="1"/>
    <col min="9471" max="9471" width="14.5546875" style="47" customWidth="1"/>
    <col min="9472" max="9472" width="11.44140625" style="47" customWidth="1"/>
    <col min="9473" max="9473" width="13" style="47" customWidth="1"/>
    <col min="9474" max="9474" width="25.44140625" style="47" customWidth="1"/>
    <col min="9475" max="9484" width="9.44140625" style="47" customWidth="1"/>
    <col min="9485" max="9485" width="11.5546875" style="47" customWidth="1"/>
    <col min="9486" max="9486" width="9.44140625" style="47" customWidth="1"/>
    <col min="9487" max="9487" width="10.109375" style="47" customWidth="1"/>
    <col min="9488" max="9499" width="11.44140625" style="47" hidden="1" customWidth="1"/>
    <col min="9500" max="9501" width="11.44140625" style="47" customWidth="1"/>
    <col min="9502" max="9502" width="56.88671875" style="47" customWidth="1"/>
    <col min="9503" max="9503" width="9.109375" style="47" customWidth="1"/>
    <col min="9504" max="9504" width="32" style="47" customWidth="1"/>
    <col min="9505" max="9505" width="22.88671875" style="47" customWidth="1"/>
    <col min="9506" max="9506" width="31" style="47" customWidth="1"/>
    <col min="9507" max="9507" width="5" style="47" customWidth="1"/>
    <col min="9508" max="9509" width="11.44140625" style="47" hidden="1" customWidth="1"/>
    <col min="9510" max="9510" width="5" style="47" customWidth="1"/>
    <col min="9511" max="9512" width="11.44140625" style="47" hidden="1" customWidth="1"/>
    <col min="9513" max="9513" width="5" style="47" customWidth="1"/>
    <col min="9514" max="9515" width="11.44140625" style="47" hidden="1" customWidth="1"/>
    <col min="9516" max="9516" width="5" style="47" customWidth="1"/>
    <col min="9517" max="9518" width="11.44140625" style="47" hidden="1" customWidth="1"/>
    <col min="9519" max="9519" width="5" style="47" customWidth="1"/>
    <col min="9520" max="9584" width="11.44140625" style="47" hidden="1" customWidth="1"/>
    <col min="9585" max="9585" width="9.44140625" style="47" customWidth="1"/>
    <col min="9586" max="9603" width="11.44140625" style="47" hidden="1" customWidth="1"/>
    <col min="9604" max="9604" width="6.44140625" style="47" customWidth="1"/>
    <col min="9605" max="9617" width="11.44140625" style="47" hidden="1" customWidth="1"/>
    <col min="9618" max="9618" width="7.109375" style="47" customWidth="1"/>
    <col min="9619" max="9628" width="11.44140625" style="47" hidden="1" customWidth="1"/>
    <col min="9629" max="9629" width="6.44140625" style="47" customWidth="1"/>
    <col min="9630" max="9650" width="11.44140625" style="47" hidden="1" customWidth="1"/>
    <col min="9651" max="9651" width="9" style="47" customWidth="1"/>
    <col min="9652" max="9653" width="11.44140625" style="47" hidden="1" customWidth="1"/>
    <col min="9654" max="9654" width="8.44140625" style="47" customWidth="1"/>
    <col min="9655" max="9656" width="11.44140625" style="47" hidden="1" customWidth="1"/>
    <col min="9657" max="9657" width="6.44140625" style="47" customWidth="1"/>
    <col min="9658" max="9659" width="11.44140625" style="47" hidden="1" customWidth="1"/>
    <col min="9660" max="9660" width="7" style="47" customWidth="1"/>
    <col min="9661" max="9662" width="11.44140625" style="47" hidden="1" customWidth="1"/>
    <col min="9663" max="9665" width="7" style="47" customWidth="1"/>
    <col min="9666" max="9667" width="11.44140625" style="47" hidden="1" customWidth="1"/>
    <col min="9668" max="9668" width="7.44140625" style="47" customWidth="1"/>
    <col min="9669" max="9670" width="11.44140625" style="47" hidden="1" customWidth="1"/>
    <col min="9671" max="9671" width="7" style="47" customWidth="1"/>
    <col min="9672" max="9673" width="11.44140625" style="47" hidden="1" customWidth="1"/>
    <col min="9674" max="9674" width="7" style="47" customWidth="1"/>
    <col min="9675" max="9676" width="11.44140625" style="47" hidden="1" customWidth="1"/>
    <col min="9677" max="9677" width="7" style="47" customWidth="1"/>
    <col min="9678" max="9678" width="11.44140625" style="47" hidden="1" customWidth="1"/>
    <col min="9679" max="9679" width="6.44140625" style="47" customWidth="1"/>
    <col min="9680" max="9689" width="11.44140625" style="47" hidden="1" customWidth="1"/>
    <col min="9690" max="9724" width="11.44140625" style="47" hidden="1"/>
    <col min="9725" max="9725" width="41.44140625" style="47" customWidth="1"/>
    <col min="9726" max="9726" width="6.44140625" style="47" customWidth="1"/>
    <col min="9727" max="9727" width="14.5546875" style="47" customWidth="1"/>
    <col min="9728" max="9728" width="11.44140625" style="47" customWidth="1"/>
    <col min="9729" max="9729" width="13" style="47" customWidth="1"/>
    <col min="9730" max="9730" width="25.44140625" style="47" customWidth="1"/>
    <col min="9731" max="9740" width="9.44140625" style="47" customWidth="1"/>
    <col min="9741" max="9741" width="11.5546875" style="47" customWidth="1"/>
    <col min="9742" max="9742" width="9.44140625" style="47" customWidth="1"/>
    <col min="9743" max="9743" width="10.109375" style="47" customWidth="1"/>
    <col min="9744" max="9755" width="11.44140625" style="47" hidden="1" customWidth="1"/>
    <col min="9756" max="9757" width="11.44140625" style="47" customWidth="1"/>
    <col min="9758" max="9758" width="56.88671875" style="47" customWidth="1"/>
    <col min="9759" max="9759" width="9.109375" style="47" customWidth="1"/>
    <col min="9760" max="9760" width="32" style="47" customWidth="1"/>
    <col min="9761" max="9761" width="22.88671875" style="47" customWidth="1"/>
    <col min="9762" max="9762" width="31" style="47" customWidth="1"/>
    <col min="9763" max="9763" width="5" style="47" customWidth="1"/>
    <col min="9764" max="9765" width="11.44140625" style="47" hidden="1" customWidth="1"/>
    <col min="9766" max="9766" width="5" style="47" customWidth="1"/>
    <col min="9767" max="9768" width="11.44140625" style="47" hidden="1" customWidth="1"/>
    <col min="9769" max="9769" width="5" style="47" customWidth="1"/>
    <col min="9770" max="9771" width="11.44140625" style="47" hidden="1" customWidth="1"/>
    <col min="9772" max="9772" width="5" style="47" customWidth="1"/>
    <col min="9773" max="9774" width="11.44140625" style="47" hidden="1" customWidth="1"/>
    <col min="9775" max="9775" width="5" style="47" customWidth="1"/>
    <col min="9776" max="9840" width="11.44140625" style="47" hidden="1" customWidth="1"/>
    <col min="9841" max="9841" width="9.44140625" style="47" customWidth="1"/>
    <col min="9842" max="9859" width="11.44140625" style="47" hidden="1" customWidth="1"/>
    <col min="9860" max="9860" width="6.44140625" style="47" customWidth="1"/>
    <col min="9861" max="9873" width="11.44140625" style="47" hidden="1" customWidth="1"/>
    <col min="9874" max="9874" width="7.109375" style="47" customWidth="1"/>
    <col min="9875" max="9884" width="11.44140625" style="47" hidden="1" customWidth="1"/>
    <col min="9885" max="9885" width="6.44140625" style="47" customWidth="1"/>
    <col min="9886" max="9906" width="11.44140625" style="47" hidden="1" customWidth="1"/>
    <col min="9907" max="9907" width="9" style="47" customWidth="1"/>
    <col min="9908" max="9909" width="11.44140625" style="47" hidden="1" customWidth="1"/>
    <col min="9910" max="9910" width="8.44140625" style="47" customWidth="1"/>
    <col min="9911" max="9912" width="11.44140625" style="47" hidden="1" customWidth="1"/>
    <col min="9913" max="9913" width="6.44140625" style="47" customWidth="1"/>
    <col min="9914" max="9915" width="11.44140625" style="47" hidden="1" customWidth="1"/>
    <col min="9916" max="9916" width="7" style="47" customWidth="1"/>
    <col min="9917" max="9918" width="11.44140625" style="47" hidden="1" customWidth="1"/>
    <col min="9919" max="9921" width="7" style="47" customWidth="1"/>
    <col min="9922" max="9923" width="11.44140625" style="47" hidden="1" customWidth="1"/>
    <col min="9924" max="9924" width="7.44140625" style="47" customWidth="1"/>
    <col min="9925" max="9926" width="11.44140625" style="47" hidden="1" customWidth="1"/>
    <col min="9927" max="9927" width="7" style="47" customWidth="1"/>
    <col min="9928" max="9929" width="11.44140625" style="47" hidden="1" customWidth="1"/>
    <col min="9930" max="9930" width="7" style="47" customWidth="1"/>
    <col min="9931" max="9932" width="11.44140625" style="47" hidden="1" customWidth="1"/>
    <col min="9933" max="9933" width="7" style="47" customWidth="1"/>
    <col min="9934" max="9934" width="11.44140625" style="47" hidden="1" customWidth="1"/>
    <col min="9935" max="9935" width="6.44140625" style="47" customWidth="1"/>
    <col min="9936" max="9945" width="11.44140625" style="47" hidden="1" customWidth="1"/>
    <col min="9946" max="9980" width="11.44140625" style="47" hidden="1"/>
    <col min="9981" max="9981" width="41.44140625" style="47" customWidth="1"/>
    <col min="9982" max="9982" width="6.44140625" style="47" customWidth="1"/>
    <col min="9983" max="9983" width="14.5546875" style="47" customWidth="1"/>
    <col min="9984" max="9984" width="11.44140625" style="47" customWidth="1"/>
    <col min="9985" max="9985" width="13" style="47" customWidth="1"/>
    <col min="9986" max="9986" width="25.44140625" style="47" customWidth="1"/>
    <col min="9987" max="9996" width="9.44140625" style="47" customWidth="1"/>
    <col min="9997" max="9997" width="11.5546875" style="47" customWidth="1"/>
    <col min="9998" max="9998" width="9.44140625" style="47" customWidth="1"/>
    <col min="9999" max="9999" width="10.109375" style="47" customWidth="1"/>
    <col min="10000" max="10011" width="11.44140625" style="47" hidden="1" customWidth="1"/>
    <col min="10012" max="10013" width="11.44140625" style="47" customWidth="1"/>
    <col min="10014" max="10014" width="56.88671875" style="47" customWidth="1"/>
    <col min="10015" max="10015" width="9.109375" style="47" customWidth="1"/>
    <col min="10016" max="10016" width="32" style="47" customWidth="1"/>
    <col min="10017" max="10017" width="22.88671875" style="47" customWidth="1"/>
    <col min="10018" max="10018" width="31" style="47" customWidth="1"/>
    <col min="10019" max="10019" width="5" style="47" customWidth="1"/>
    <col min="10020" max="10021" width="11.44140625" style="47" hidden="1" customWidth="1"/>
    <col min="10022" max="10022" width="5" style="47" customWidth="1"/>
    <col min="10023" max="10024" width="11.44140625" style="47" hidden="1" customWidth="1"/>
    <col min="10025" max="10025" width="5" style="47" customWidth="1"/>
    <col min="10026" max="10027" width="11.44140625" style="47" hidden="1" customWidth="1"/>
    <col min="10028" max="10028" width="5" style="47" customWidth="1"/>
    <col min="10029" max="10030" width="11.44140625" style="47" hidden="1" customWidth="1"/>
    <col min="10031" max="10031" width="5" style="47" customWidth="1"/>
    <col min="10032" max="10096" width="11.44140625" style="47" hidden="1" customWidth="1"/>
    <col min="10097" max="10097" width="9.44140625" style="47" customWidth="1"/>
    <col min="10098" max="10115" width="11.44140625" style="47" hidden="1" customWidth="1"/>
    <col min="10116" max="10116" width="6.44140625" style="47" customWidth="1"/>
    <col min="10117" max="10129" width="11.44140625" style="47" hidden="1" customWidth="1"/>
    <col min="10130" max="10130" width="7.109375" style="47" customWidth="1"/>
    <col min="10131" max="10140" width="11.44140625" style="47" hidden="1" customWidth="1"/>
    <col min="10141" max="10141" width="6.44140625" style="47" customWidth="1"/>
    <col min="10142" max="10162" width="11.44140625" style="47" hidden="1" customWidth="1"/>
    <col min="10163" max="10163" width="9" style="47" customWidth="1"/>
    <col min="10164" max="10165" width="11.44140625" style="47" hidden="1" customWidth="1"/>
    <col min="10166" max="10166" width="8.44140625" style="47" customWidth="1"/>
    <col min="10167" max="10168" width="11.44140625" style="47" hidden="1" customWidth="1"/>
    <col min="10169" max="10169" width="6.44140625" style="47" customWidth="1"/>
    <col min="10170" max="10171" width="11.44140625" style="47" hidden="1" customWidth="1"/>
    <col min="10172" max="10172" width="7" style="47" customWidth="1"/>
    <col min="10173" max="10174" width="11.44140625" style="47" hidden="1" customWidth="1"/>
    <col min="10175" max="10177" width="7" style="47" customWidth="1"/>
    <col min="10178" max="10179" width="11.44140625" style="47" hidden="1" customWidth="1"/>
    <col min="10180" max="10180" width="7.44140625" style="47" customWidth="1"/>
    <col min="10181" max="10182" width="11.44140625" style="47" hidden="1" customWidth="1"/>
    <col min="10183" max="10183" width="7" style="47" customWidth="1"/>
    <col min="10184" max="10185" width="11.44140625" style="47" hidden="1" customWidth="1"/>
    <col min="10186" max="10186" width="7" style="47" customWidth="1"/>
    <col min="10187" max="10188" width="11.44140625" style="47" hidden="1" customWidth="1"/>
    <col min="10189" max="10189" width="7" style="47" customWidth="1"/>
    <col min="10190" max="10190" width="11.44140625" style="47" hidden="1" customWidth="1"/>
    <col min="10191" max="10191" width="6.44140625" style="47" customWidth="1"/>
    <col min="10192" max="10201" width="11.44140625" style="47" hidden="1" customWidth="1"/>
    <col min="10202" max="10236" width="11.44140625" style="47" hidden="1"/>
    <col min="10237" max="10237" width="41.44140625" style="47" customWidth="1"/>
    <col min="10238" max="10238" width="6.44140625" style="47" customWidth="1"/>
    <col min="10239" max="10239" width="14.5546875" style="47" customWidth="1"/>
    <col min="10240" max="10240" width="11.44140625" style="47" customWidth="1"/>
    <col min="10241" max="10241" width="13" style="47" customWidth="1"/>
    <col min="10242" max="10242" width="25.44140625" style="47" customWidth="1"/>
    <col min="10243" max="10252" width="9.44140625" style="47" customWidth="1"/>
    <col min="10253" max="10253" width="11.5546875" style="47" customWidth="1"/>
    <col min="10254" max="10254" width="9.44140625" style="47" customWidth="1"/>
    <col min="10255" max="10255" width="10.109375" style="47" customWidth="1"/>
    <col min="10256" max="10267" width="11.44140625" style="47" hidden="1" customWidth="1"/>
    <col min="10268" max="10269" width="11.44140625" style="47" customWidth="1"/>
    <col min="10270" max="10270" width="56.88671875" style="47" customWidth="1"/>
    <col min="10271" max="10271" width="9.109375" style="47" customWidth="1"/>
    <col min="10272" max="10272" width="32" style="47" customWidth="1"/>
    <col min="10273" max="10273" width="22.88671875" style="47" customWidth="1"/>
    <col min="10274" max="10274" width="31" style="47" customWidth="1"/>
    <col min="10275" max="10275" width="5" style="47" customWidth="1"/>
    <col min="10276" max="10277" width="11.44140625" style="47" hidden="1" customWidth="1"/>
    <col min="10278" max="10278" width="5" style="47" customWidth="1"/>
    <col min="10279" max="10280" width="11.44140625" style="47" hidden="1" customWidth="1"/>
    <col min="10281" max="10281" width="5" style="47" customWidth="1"/>
    <col min="10282" max="10283" width="11.44140625" style="47" hidden="1" customWidth="1"/>
    <col min="10284" max="10284" width="5" style="47" customWidth="1"/>
    <col min="10285" max="10286" width="11.44140625" style="47" hidden="1" customWidth="1"/>
    <col min="10287" max="10287" width="5" style="47" customWidth="1"/>
    <col min="10288" max="10352" width="11.44140625" style="47" hidden="1" customWidth="1"/>
    <col min="10353" max="10353" width="9.44140625" style="47" customWidth="1"/>
    <col min="10354" max="10371" width="11.44140625" style="47" hidden="1" customWidth="1"/>
    <col min="10372" max="10372" width="6.44140625" style="47" customWidth="1"/>
    <col min="10373" max="10385" width="11.44140625" style="47" hidden="1" customWidth="1"/>
    <col min="10386" max="10386" width="7.109375" style="47" customWidth="1"/>
    <col min="10387" max="10396" width="11.44140625" style="47" hidden="1" customWidth="1"/>
    <col min="10397" max="10397" width="6.44140625" style="47" customWidth="1"/>
    <col min="10398" max="10418" width="11.44140625" style="47" hidden="1" customWidth="1"/>
    <col min="10419" max="10419" width="9" style="47" customWidth="1"/>
    <col min="10420" max="10421" width="11.44140625" style="47" hidden="1" customWidth="1"/>
    <col min="10422" max="10422" width="8.44140625" style="47" customWidth="1"/>
    <col min="10423" max="10424" width="11.44140625" style="47" hidden="1" customWidth="1"/>
    <col min="10425" max="10425" width="6.44140625" style="47" customWidth="1"/>
    <col min="10426" max="10427" width="11.44140625" style="47" hidden="1" customWidth="1"/>
    <col min="10428" max="10428" width="7" style="47" customWidth="1"/>
    <col min="10429" max="10430" width="11.44140625" style="47" hidden="1" customWidth="1"/>
    <col min="10431" max="10433" width="7" style="47" customWidth="1"/>
    <col min="10434" max="10435" width="11.44140625" style="47" hidden="1" customWidth="1"/>
    <col min="10436" max="10436" width="7.44140625" style="47" customWidth="1"/>
    <col min="10437" max="10438" width="11.44140625" style="47" hidden="1" customWidth="1"/>
    <col min="10439" max="10439" width="7" style="47" customWidth="1"/>
    <col min="10440" max="10441" width="11.44140625" style="47" hidden="1" customWidth="1"/>
    <col min="10442" max="10442" width="7" style="47" customWidth="1"/>
    <col min="10443" max="10444" width="11.44140625" style="47" hidden="1" customWidth="1"/>
    <col min="10445" max="10445" width="7" style="47" customWidth="1"/>
    <col min="10446" max="10446" width="11.44140625" style="47" hidden="1" customWidth="1"/>
    <col min="10447" max="10447" width="6.44140625" style="47" customWidth="1"/>
    <col min="10448" max="10457" width="11.44140625" style="47" hidden="1" customWidth="1"/>
    <col min="10458" max="10492" width="11.44140625" style="47" hidden="1"/>
    <col min="10493" max="10493" width="41.44140625" style="47" customWidth="1"/>
    <col min="10494" max="10494" width="6.44140625" style="47" customWidth="1"/>
    <col min="10495" max="10495" width="14.5546875" style="47" customWidth="1"/>
    <col min="10496" max="10496" width="11.44140625" style="47" customWidth="1"/>
    <col min="10497" max="10497" width="13" style="47" customWidth="1"/>
    <col min="10498" max="10498" width="25.44140625" style="47" customWidth="1"/>
    <col min="10499" max="10508" width="9.44140625" style="47" customWidth="1"/>
    <col min="10509" max="10509" width="11.5546875" style="47" customWidth="1"/>
    <col min="10510" max="10510" width="9.44140625" style="47" customWidth="1"/>
    <col min="10511" max="10511" width="10.109375" style="47" customWidth="1"/>
    <col min="10512" max="10523" width="11.44140625" style="47" hidden="1" customWidth="1"/>
    <col min="10524" max="10525" width="11.44140625" style="47" customWidth="1"/>
    <col min="10526" max="10526" width="56.88671875" style="47" customWidth="1"/>
    <col min="10527" max="10527" width="9.109375" style="47" customWidth="1"/>
    <col min="10528" max="10528" width="32" style="47" customWidth="1"/>
    <col min="10529" max="10529" width="22.88671875" style="47" customWidth="1"/>
    <col min="10530" max="10530" width="31" style="47" customWidth="1"/>
    <col min="10531" max="10531" width="5" style="47" customWidth="1"/>
    <col min="10532" max="10533" width="11.44140625" style="47" hidden="1" customWidth="1"/>
    <col min="10534" max="10534" width="5" style="47" customWidth="1"/>
    <col min="10535" max="10536" width="11.44140625" style="47" hidden="1" customWidth="1"/>
    <col min="10537" max="10537" width="5" style="47" customWidth="1"/>
    <col min="10538" max="10539" width="11.44140625" style="47" hidden="1" customWidth="1"/>
    <col min="10540" max="10540" width="5" style="47" customWidth="1"/>
    <col min="10541" max="10542" width="11.44140625" style="47" hidden="1" customWidth="1"/>
    <col min="10543" max="10543" width="5" style="47" customWidth="1"/>
    <col min="10544" max="10608" width="11.44140625" style="47" hidden="1" customWidth="1"/>
    <col min="10609" max="10609" width="9.44140625" style="47" customWidth="1"/>
    <col min="10610" max="10627" width="11.44140625" style="47" hidden="1" customWidth="1"/>
    <col min="10628" max="10628" width="6.44140625" style="47" customWidth="1"/>
    <col min="10629" max="10641" width="11.44140625" style="47" hidden="1" customWidth="1"/>
    <col min="10642" max="10642" width="7.109375" style="47" customWidth="1"/>
    <col min="10643" max="10652" width="11.44140625" style="47" hidden="1" customWidth="1"/>
    <col min="10653" max="10653" width="6.44140625" style="47" customWidth="1"/>
    <col min="10654" max="10674" width="11.44140625" style="47" hidden="1" customWidth="1"/>
    <col min="10675" max="10675" width="9" style="47" customWidth="1"/>
    <col min="10676" max="10677" width="11.44140625" style="47" hidden="1" customWidth="1"/>
    <col min="10678" max="10678" width="8.44140625" style="47" customWidth="1"/>
    <col min="10679" max="10680" width="11.44140625" style="47" hidden="1" customWidth="1"/>
    <col min="10681" max="10681" width="6.44140625" style="47" customWidth="1"/>
    <col min="10682" max="10683" width="11.44140625" style="47" hidden="1" customWidth="1"/>
    <col min="10684" max="10684" width="7" style="47" customWidth="1"/>
    <col min="10685" max="10686" width="11.44140625" style="47" hidden="1" customWidth="1"/>
    <col min="10687" max="10689" width="7" style="47" customWidth="1"/>
    <col min="10690" max="10691" width="11.44140625" style="47" hidden="1" customWidth="1"/>
    <col min="10692" max="10692" width="7.44140625" style="47" customWidth="1"/>
    <col min="10693" max="10694" width="11.44140625" style="47" hidden="1" customWidth="1"/>
    <col min="10695" max="10695" width="7" style="47" customWidth="1"/>
    <col min="10696" max="10697" width="11.44140625" style="47" hidden="1" customWidth="1"/>
    <col min="10698" max="10698" width="7" style="47" customWidth="1"/>
    <col min="10699" max="10700" width="11.44140625" style="47" hidden="1" customWidth="1"/>
    <col min="10701" max="10701" width="7" style="47" customWidth="1"/>
    <col min="10702" max="10702" width="11.44140625" style="47" hidden="1" customWidth="1"/>
    <col min="10703" max="10703" width="6.44140625" style="47" customWidth="1"/>
    <col min="10704" max="10713" width="11.44140625" style="47" hidden="1" customWidth="1"/>
    <col min="10714" max="10748" width="11.44140625" style="47" hidden="1"/>
    <col min="10749" max="10749" width="41.44140625" style="47" customWidth="1"/>
    <col min="10750" max="10750" width="6.44140625" style="47" customWidth="1"/>
    <col min="10751" max="10751" width="14.5546875" style="47" customWidth="1"/>
    <col min="10752" max="10752" width="11.44140625" style="47" customWidth="1"/>
    <col min="10753" max="10753" width="13" style="47" customWidth="1"/>
    <col min="10754" max="10754" width="25.44140625" style="47" customWidth="1"/>
    <col min="10755" max="10764" width="9.44140625" style="47" customWidth="1"/>
    <col min="10765" max="10765" width="11.5546875" style="47" customWidth="1"/>
    <col min="10766" max="10766" width="9.44140625" style="47" customWidth="1"/>
    <col min="10767" max="10767" width="10.109375" style="47" customWidth="1"/>
    <col min="10768" max="10779" width="11.44140625" style="47" hidden="1" customWidth="1"/>
    <col min="10780" max="10781" width="11.44140625" style="47" customWidth="1"/>
    <col min="10782" max="10782" width="56.88671875" style="47" customWidth="1"/>
    <col min="10783" max="10783" width="9.109375" style="47" customWidth="1"/>
    <col min="10784" max="10784" width="32" style="47" customWidth="1"/>
    <col min="10785" max="10785" width="22.88671875" style="47" customWidth="1"/>
    <col min="10786" max="10786" width="31" style="47" customWidth="1"/>
    <col min="10787" max="10787" width="5" style="47" customWidth="1"/>
    <col min="10788" max="10789" width="11.44140625" style="47" hidden="1" customWidth="1"/>
    <col min="10790" max="10790" width="5" style="47" customWidth="1"/>
    <col min="10791" max="10792" width="11.44140625" style="47" hidden="1" customWidth="1"/>
    <col min="10793" max="10793" width="5" style="47" customWidth="1"/>
    <col min="10794" max="10795" width="11.44140625" style="47" hidden="1" customWidth="1"/>
    <col min="10796" max="10796" width="5" style="47" customWidth="1"/>
    <col min="10797" max="10798" width="11.44140625" style="47" hidden="1" customWidth="1"/>
    <col min="10799" max="10799" width="5" style="47" customWidth="1"/>
    <col min="10800" max="10864" width="11.44140625" style="47" hidden="1" customWidth="1"/>
    <col min="10865" max="10865" width="9.44140625" style="47" customWidth="1"/>
    <col min="10866" max="10883" width="11.44140625" style="47" hidden="1" customWidth="1"/>
    <col min="10884" max="10884" width="6.44140625" style="47" customWidth="1"/>
    <col min="10885" max="10897" width="11.44140625" style="47" hidden="1" customWidth="1"/>
    <col min="10898" max="10898" width="7.109375" style="47" customWidth="1"/>
    <col min="10899" max="10908" width="11.44140625" style="47" hidden="1" customWidth="1"/>
    <col min="10909" max="10909" width="6.44140625" style="47" customWidth="1"/>
    <col min="10910" max="10930" width="11.44140625" style="47" hidden="1" customWidth="1"/>
    <col min="10931" max="10931" width="9" style="47" customWidth="1"/>
    <col min="10932" max="10933" width="11.44140625" style="47" hidden="1" customWidth="1"/>
    <col min="10934" max="10934" width="8.44140625" style="47" customWidth="1"/>
    <col min="10935" max="10936" width="11.44140625" style="47" hidden="1" customWidth="1"/>
    <col min="10937" max="10937" width="6.44140625" style="47" customWidth="1"/>
    <col min="10938" max="10939" width="11.44140625" style="47" hidden="1" customWidth="1"/>
    <col min="10940" max="10940" width="7" style="47" customWidth="1"/>
    <col min="10941" max="10942" width="11.44140625" style="47" hidden="1" customWidth="1"/>
    <col min="10943" max="10945" width="7" style="47" customWidth="1"/>
    <col min="10946" max="10947" width="11.44140625" style="47" hidden="1" customWidth="1"/>
    <col min="10948" max="10948" width="7.44140625" style="47" customWidth="1"/>
    <col min="10949" max="10950" width="11.44140625" style="47" hidden="1" customWidth="1"/>
    <col min="10951" max="10951" width="7" style="47" customWidth="1"/>
    <col min="10952" max="10953" width="11.44140625" style="47" hidden="1" customWidth="1"/>
    <col min="10954" max="10954" width="7" style="47" customWidth="1"/>
    <col min="10955" max="10956" width="11.44140625" style="47" hidden="1" customWidth="1"/>
    <col min="10957" max="10957" width="7" style="47" customWidth="1"/>
    <col min="10958" max="10958" width="11.44140625" style="47" hidden="1" customWidth="1"/>
    <col min="10959" max="10959" width="6.44140625" style="47" customWidth="1"/>
    <col min="10960" max="10969" width="11.44140625" style="47" hidden="1" customWidth="1"/>
    <col min="10970" max="11004" width="11.44140625" style="47" hidden="1"/>
    <col min="11005" max="11005" width="41.44140625" style="47" customWidth="1"/>
    <col min="11006" max="11006" width="6.44140625" style="47" customWidth="1"/>
    <col min="11007" max="11007" width="14.5546875" style="47" customWidth="1"/>
    <col min="11008" max="11008" width="11.44140625" style="47" customWidth="1"/>
    <col min="11009" max="11009" width="13" style="47" customWidth="1"/>
    <col min="11010" max="11010" width="25.44140625" style="47" customWidth="1"/>
    <col min="11011" max="11020" width="9.44140625" style="47" customWidth="1"/>
    <col min="11021" max="11021" width="11.5546875" style="47" customWidth="1"/>
    <col min="11022" max="11022" width="9.44140625" style="47" customWidth="1"/>
    <col min="11023" max="11023" width="10.109375" style="47" customWidth="1"/>
    <col min="11024" max="11035" width="11.44140625" style="47" hidden="1" customWidth="1"/>
    <col min="11036" max="11037" width="11.44140625" style="47" customWidth="1"/>
    <col min="11038" max="11038" width="56.88671875" style="47" customWidth="1"/>
    <col min="11039" max="11039" width="9.109375" style="47" customWidth="1"/>
    <col min="11040" max="11040" width="32" style="47" customWidth="1"/>
    <col min="11041" max="11041" width="22.88671875" style="47" customWidth="1"/>
    <col min="11042" max="11042" width="31" style="47" customWidth="1"/>
    <col min="11043" max="11043" width="5" style="47" customWidth="1"/>
    <col min="11044" max="11045" width="11.44140625" style="47" hidden="1" customWidth="1"/>
    <col min="11046" max="11046" width="5" style="47" customWidth="1"/>
    <col min="11047" max="11048" width="11.44140625" style="47" hidden="1" customWidth="1"/>
    <col min="11049" max="11049" width="5" style="47" customWidth="1"/>
    <col min="11050" max="11051" width="11.44140625" style="47" hidden="1" customWidth="1"/>
    <col min="11052" max="11052" width="5" style="47" customWidth="1"/>
    <col min="11053" max="11054" width="11.44140625" style="47" hidden="1" customWidth="1"/>
    <col min="11055" max="11055" width="5" style="47" customWidth="1"/>
    <col min="11056" max="11120" width="11.44140625" style="47" hidden="1" customWidth="1"/>
    <col min="11121" max="11121" width="9.44140625" style="47" customWidth="1"/>
    <col min="11122" max="11139" width="11.44140625" style="47" hidden="1" customWidth="1"/>
    <col min="11140" max="11140" width="6.44140625" style="47" customWidth="1"/>
    <col min="11141" max="11153" width="11.44140625" style="47" hidden="1" customWidth="1"/>
    <col min="11154" max="11154" width="7.109375" style="47" customWidth="1"/>
    <col min="11155" max="11164" width="11.44140625" style="47" hidden="1" customWidth="1"/>
    <col min="11165" max="11165" width="6.44140625" style="47" customWidth="1"/>
    <col min="11166" max="11186" width="11.44140625" style="47" hidden="1" customWidth="1"/>
    <col min="11187" max="11187" width="9" style="47" customWidth="1"/>
    <col min="11188" max="11189" width="11.44140625" style="47" hidden="1" customWidth="1"/>
    <col min="11190" max="11190" width="8.44140625" style="47" customWidth="1"/>
    <col min="11191" max="11192" width="11.44140625" style="47" hidden="1" customWidth="1"/>
    <col min="11193" max="11193" width="6.44140625" style="47" customWidth="1"/>
    <col min="11194" max="11195" width="11.44140625" style="47" hidden="1" customWidth="1"/>
    <col min="11196" max="11196" width="7" style="47" customWidth="1"/>
    <col min="11197" max="11198" width="11.44140625" style="47" hidden="1" customWidth="1"/>
    <col min="11199" max="11201" width="7" style="47" customWidth="1"/>
    <col min="11202" max="11203" width="11.44140625" style="47" hidden="1" customWidth="1"/>
    <col min="11204" max="11204" width="7.44140625" style="47" customWidth="1"/>
    <col min="11205" max="11206" width="11.44140625" style="47" hidden="1" customWidth="1"/>
    <col min="11207" max="11207" width="7" style="47" customWidth="1"/>
    <col min="11208" max="11209" width="11.44140625" style="47" hidden="1" customWidth="1"/>
    <col min="11210" max="11210" width="7" style="47" customWidth="1"/>
    <col min="11211" max="11212" width="11.44140625" style="47" hidden="1" customWidth="1"/>
    <col min="11213" max="11213" width="7" style="47" customWidth="1"/>
    <col min="11214" max="11214" width="11.44140625" style="47" hidden="1" customWidth="1"/>
    <col min="11215" max="11215" width="6.44140625" style="47" customWidth="1"/>
    <col min="11216" max="11225" width="11.44140625" style="47" hidden="1" customWidth="1"/>
    <col min="11226" max="11260" width="11.44140625" style="47" hidden="1"/>
    <col min="11261" max="11261" width="41.44140625" style="47" customWidth="1"/>
    <col min="11262" max="11262" width="6.44140625" style="47" customWidth="1"/>
    <col min="11263" max="11263" width="14.5546875" style="47" customWidth="1"/>
    <col min="11264" max="11264" width="11.44140625" style="47" customWidth="1"/>
    <col min="11265" max="11265" width="13" style="47" customWidth="1"/>
    <col min="11266" max="11266" width="25.44140625" style="47" customWidth="1"/>
    <col min="11267" max="11276" width="9.44140625" style="47" customWidth="1"/>
    <col min="11277" max="11277" width="11.5546875" style="47" customWidth="1"/>
    <col min="11278" max="11278" width="9.44140625" style="47" customWidth="1"/>
    <col min="11279" max="11279" width="10.109375" style="47" customWidth="1"/>
    <col min="11280" max="11291" width="11.44140625" style="47" hidden="1" customWidth="1"/>
    <col min="11292" max="11293" width="11.44140625" style="47" customWidth="1"/>
    <col min="11294" max="11294" width="56.88671875" style="47" customWidth="1"/>
    <col min="11295" max="11295" width="9.109375" style="47" customWidth="1"/>
    <col min="11296" max="11296" width="32" style="47" customWidth="1"/>
    <col min="11297" max="11297" width="22.88671875" style="47" customWidth="1"/>
    <col min="11298" max="11298" width="31" style="47" customWidth="1"/>
    <col min="11299" max="11299" width="5" style="47" customWidth="1"/>
    <col min="11300" max="11301" width="11.44140625" style="47" hidden="1" customWidth="1"/>
    <col min="11302" max="11302" width="5" style="47" customWidth="1"/>
    <col min="11303" max="11304" width="11.44140625" style="47" hidden="1" customWidth="1"/>
    <col min="11305" max="11305" width="5" style="47" customWidth="1"/>
    <col min="11306" max="11307" width="11.44140625" style="47" hidden="1" customWidth="1"/>
    <col min="11308" max="11308" width="5" style="47" customWidth="1"/>
    <col min="11309" max="11310" width="11.44140625" style="47" hidden="1" customWidth="1"/>
    <col min="11311" max="11311" width="5" style="47" customWidth="1"/>
    <col min="11312" max="11376" width="11.44140625" style="47" hidden="1" customWidth="1"/>
    <col min="11377" max="11377" width="9.44140625" style="47" customWidth="1"/>
    <col min="11378" max="11395" width="11.44140625" style="47" hidden="1" customWidth="1"/>
    <col min="11396" max="11396" width="6.44140625" style="47" customWidth="1"/>
    <col min="11397" max="11409" width="11.44140625" style="47" hidden="1" customWidth="1"/>
    <col min="11410" max="11410" width="7.109375" style="47" customWidth="1"/>
    <col min="11411" max="11420" width="11.44140625" style="47" hidden="1" customWidth="1"/>
    <col min="11421" max="11421" width="6.44140625" style="47" customWidth="1"/>
    <col min="11422" max="11442" width="11.44140625" style="47" hidden="1" customWidth="1"/>
    <col min="11443" max="11443" width="9" style="47" customWidth="1"/>
    <col min="11444" max="11445" width="11.44140625" style="47" hidden="1" customWidth="1"/>
    <col min="11446" max="11446" width="8.44140625" style="47" customWidth="1"/>
    <col min="11447" max="11448" width="11.44140625" style="47" hidden="1" customWidth="1"/>
    <col min="11449" max="11449" width="6.44140625" style="47" customWidth="1"/>
    <col min="11450" max="11451" width="11.44140625" style="47" hidden="1" customWidth="1"/>
    <col min="11452" max="11452" width="7" style="47" customWidth="1"/>
    <col min="11453" max="11454" width="11.44140625" style="47" hidden="1" customWidth="1"/>
    <col min="11455" max="11457" width="7" style="47" customWidth="1"/>
    <col min="11458" max="11459" width="11.44140625" style="47" hidden="1" customWidth="1"/>
    <col min="11460" max="11460" width="7.44140625" style="47" customWidth="1"/>
    <col min="11461" max="11462" width="11.44140625" style="47" hidden="1" customWidth="1"/>
    <col min="11463" max="11463" width="7" style="47" customWidth="1"/>
    <col min="11464" max="11465" width="11.44140625" style="47" hidden="1" customWidth="1"/>
    <col min="11466" max="11466" width="7" style="47" customWidth="1"/>
    <col min="11467" max="11468" width="11.44140625" style="47" hidden="1" customWidth="1"/>
    <col min="11469" max="11469" width="7" style="47" customWidth="1"/>
    <col min="11470" max="11470" width="11.44140625" style="47" hidden="1" customWidth="1"/>
    <col min="11471" max="11471" width="6.44140625" style="47" customWidth="1"/>
    <col min="11472" max="11481" width="11.44140625" style="47" hidden="1" customWidth="1"/>
    <col min="11482" max="11516" width="11.44140625" style="47" hidden="1"/>
    <col min="11517" max="11517" width="41.44140625" style="47" customWidth="1"/>
    <col min="11518" max="11518" width="6.44140625" style="47" customWidth="1"/>
    <col min="11519" max="11519" width="14.5546875" style="47" customWidth="1"/>
    <col min="11520" max="11520" width="11.44140625" style="47" customWidth="1"/>
    <col min="11521" max="11521" width="13" style="47" customWidth="1"/>
    <col min="11522" max="11522" width="25.44140625" style="47" customWidth="1"/>
    <col min="11523" max="11532" width="9.44140625" style="47" customWidth="1"/>
    <col min="11533" max="11533" width="11.5546875" style="47" customWidth="1"/>
    <col min="11534" max="11534" width="9.44140625" style="47" customWidth="1"/>
    <col min="11535" max="11535" width="10.109375" style="47" customWidth="1"/>
    <col min="11536" max="11547" width="11.44140625" style="47" hidden="1" customWidth="1"/>
    <col min="11548" max="11549" width="11.44140625" style="47" customWidth="1"/>
    <col min="11550" max="11550" width="56.88671875" style="47" customWidth="1"/>
    <col min="11551" max="11551" width="9.109375" style="47" customWidth="1"/>
    <col min="11552" max="11552" width="32" style="47" customWidth="1"/>
    <col min="11553" max="11553" width="22.88671875" style="47" customWidth="1"/>
    <col min="11554" max="11554" width="31" style="47" customWidth="1"/>
    <col min="11555" max="11555" width="5" style="47" customWidth="1"/>
    <col min="11556" max="11557" width="11.44140625" style="47" hidden="1" customWidth="1"/>
    <col min="11558" max="11558" width="5" style="47" customWidth="1"/>
    <col min="11559" max="11560" width="11.44140625" style="47" hidden="1" customWidth="1"/>
    <col min="11561" max="11561" width="5" style="47" customWidth="1"/>
    <col min="11562" max="11563" width="11.44140625" style="47" hidden="1" customWidth="1"/>
    <col min="11564" max="11564" width="5" style="47" customWidth="1"/>
    <col min="11565" max="11566" width="11.44140625" style="47" hidden="1" customWidth="1"/>
    <col min="11567" max="11567" width="5" style="47" customWidth="1"/>
    <col min="11568" max="11632" width="11.44140625" style="47" hidden="1" customWidth="1"/>
    <col min="11633" max="11633" width="9.44140625" style="47" customWidth="1"/>
    <col min="11634" max="11651" width="11.44140625" style="47" hidden="1" customWidth="1"/>
    <col min="11652" max="11652" width="6.44140625" style="47" customWidth="1"/>
    <col min="11653" max="11665" width="11.44140625" style="47" hidden="1" customWidth="1"/>
    <col min="11666" max="11666" width="7.109375" style="47" customWidth="1"/>
    <col min="11667" max="11676" width="11.44140625" style="47" hidden="1" customWidth="1"/>
    <col min="11677" max="11677" width="6.44140625" style="47" customWidth="1"/>
    <col min="11678" max="11698" width="11.44140625" style="47" hidden="1" customWidth="1"/>
    <col min="11699" max="11699" width="9" style="47" customWidth="1"/>
    <col min="11700" max="11701" width="11.44140625" style="47" hidden="1" customWidth="1"/>
    <col min="11702" max="11702" width="8.44140625" style="47" customWidth="1"/>
    <col min="11703" max="11704" width="11.44140625" style="47" hidden="1" customWidth="1"/>
    <col min="11705" max="11705" width="6.44140625" style="47" customWidth="1"/>
    <col min="11706" max="11707" width="11.44140625" style="47" hidden="1" customWidth="1"/>
    <col min="11708" max="11708" width="7" style="47" customWidth="1"/>
    <col min="11709" max="11710" width="11.44140625" style="47" hidden="1" customWidth="1"/>
    <col min="11711" max="11713" width="7" style="47" customWidth="1"/>
    <col min="11714" max="11715" width="11.44140625" style="47" hidden="1" customWidth="1"/>
    <col min="11716" max="11716" width="7.44140625" style="47" customWidth="1"/>
    <col min="11717" max="11718" width="11.44140625" style="47" hidden="1" customWidth="1"/>
    <col min="11719" max="11719" width="7" style="47" customWidth="1"/>
    <col min="11720" max="11721" width="11.44140625" style="47" hidden="1" customWidth="1"/>
    <col min="11722" max="11722" width="7" style="47" customWidth="1"/>
    <col min="11723" max="11724" width="11.44140625" style="47" hidden="1" customWidth="1"/>
    <col min="11725" max="11725" width="7" style="47" customWidth="1"/>
    <col min="11726" max="11726" width="11.44140625" style="47" hidden="1" customWidth="1"/>
    <col min="11727" max="11727" width="6.44140625" style="47" customWidth="1"/>
    <col min="11728" max="11737" width="11.44140625" style="47" hidden="1" customWidth="1"/>
    <col min="11738" max="11772" width="11.44140625" style="47" hidden="1"/>
    <col min="11773" max="11773" width="41.44140625" style="47" customWidth="1"/>
    <col min="11774" max="11774" width="6.44140625" style="47" customWidth="1"/>
    <col min="11775" max="11775" width="14.5546875" style="47" customWidth="1"/>
    <col min="11776" max="11776" width="11.44140625" style="47" customWidth="1"/>
    <col min="11777" max="11777" width="13" style="47" customWidth="1"/>
    <col min="11778" max="11778" width="25.44140625" style="47" customWidth="1"/>
    <col min="11779" max="11788" width="9.44140625" style="47" customWidth="1"/>
    <col min="11789" max="11789" width="11.5546875" style="47" customWidth="1"/>
    <col min="11790" max="11790" width="9.44140625" style="47" customWidth="1"/>
    <col min="11791" max="11791" width="10.109375" style="47" customWidth="1"/>
    <col min="11792" max="11803" width="11.44140625" style="47" hidden="1" customWidth="1"/>
    <col min="11804" max="11805" width="11.44140625" style="47" customWidth="1"/>
    <col min="11806" max="11806" width="56.88671875" style="47" customWidth="1"/>
    <col min="11807" max="11807" width="9.109375" style="47" customWidth="1"/>
    <col min="11808" max="11808" width="32" style="47" customWidth="1"/>
    <col min="11809" max="11809" width="22.88671875" style="47" customWidth="1"/>
    <col min="11810" max="11810" width="31" style="47" customWidth="1"/>
    <col min="11811" max="11811" width="5" style="47" customWidth="1"/>
    <col min="11812" max="11813" width="11.44140625" style="47" hidden="1" customWidth="1"/>
    <col min="11814" max="11814" width="5" style="47" customWidth="1"/>
    <col min="11815" max="11816" width="11.44140625" style="47" hidden="1" customWidth="1"/>
    <col min="11817" max="11817" width="5" style="47" customWidth="1"/>
    <col min="11818" max="11819" width="11.44140625" style="47" hidden="1" customWidth="1"/>
    <col min="11820" max="11820" width="5" style="47" customWidth="1"/>
    <col min="11821" max="11822" width="11.44140625" style="47" hidden="1" customWidth="1"/>
    <col min="11823" max="11823" width="5" style="47" customWidth="1"/>
    <col min="11824" max="11888" width="11.44140625" style="47" hidden="1" customWidth="1"/>
    <col min="11889" max="11889" width="9.44140625" style="47" customWidth="1"/>
    <col min="11890" max="11907" width="11.44140625" style="47" hidden="1" customWidth="1"/>
    <col min="11908" max="11908" width="6.44140625" style="47" customWidth="1"/>
    <col min="11909" max="11921" width="11.44140625" style="47" hidden="1" customWidth="1"/>
    <col min="11922" max="11922" width="7.109375" style="47" customWidth="1"/>
    <col min="11923" max="11932" width="11.44140625" style="47" hidden="1" customWidth="1"/>
    <col min="11933" max="11933" width="6.44140625" style="47" customWidth="1"/>
    <col min="11934" max="11954" width="11.44140625" style="47" hidden="1" customWidth="1"/>
    <col min="11955" max="11955" width="9" style="47" customWidth="1"/>
    <col min="11956" max="11957" width="11.44140625" style="47" hidden="1" customWidth="1"/>
    <col min="11958" max="11958" width="8.44140625" style="47" customWidth="1"/>
    <col min="11959" max="11960" width="11.44140625" style="47" hidden="1" customWidth="1"/>
    <col min="11961" max="11961" width="6.44140625" style="47" customWidth="1"/>
    <col min="11962" max="11963" width="11.44140625" style="47" hidden="1" customWidth="1"/>
    <col min="11964" max="11964" width="7" style="47" customWidth="1"/>
    <col min="11965" max="11966" width="11.44140625" style="47" hidden="1" customWidth="1"/>
    <col min="11967" max="11969" width="7" style="47" customWidth="1"/>
    <col min="11970" max="11971" width="11.44140625" style="47" hidden="1" customWidth="1"/>
    <col min="11972" max="11972" width="7.44140625" style="47" customWidth="1"/>
    <col min="11973" max="11974" width="11.44140625" style="47" hidden="1" customWidth="1"/>
    <col min="11975" max="11975" width="7" style="47" customWidth="1"/>
    <col min="11976" max="11977" width="11.44140625" style="47" hidden="1" customWidth="1"/>
    <col min="11978" max="11978" width="7" style="47" customWidth="1"/>
    <col min="11979" max="11980" width="11.44140625" style="47" hidden="1" customWidth="1"/>
    <col min="11981" max="11981" width="7" style="47" customWidth="1"/>
    <col min="11982" max="11982" width="11.44140625" style="47" hidden="1" customWidth="1"/>
    <col min="11983" max="11983" width="6.44140625" style="47" customWidth="1"/>
    <col min="11984" max="11993" width="11.44140625" style="47" hidden="1" customWidth="1"/>
    <col min="11994" max="12028" width="11.44140625" style="47" hidden="1"/>
    <col min="12029" max="12029" width="41.44140625" style="47" customWidth="1"/>
    <col min="12030" max="12030" width="6.44140625" style="47" customWidth="1"/>
    <col min="12031" max="12031" width="14.5546875" style="47" customWidth="1"/>
    <col min="12032" max="12032" width="11.44140625" style="47" customWidth="1"/>
    <col min="12033" max="12033" width="13" style="47" customWidth="1"/>
    <col min="12034" max="12034" width="25.44140625" style="47" customWidth="1"/>
    <col min="12035" max="12044" width="9.44140625" style="47" customWidth="1"/>
    <col min="12045" max="12045" width="11.5546875" style="47" customWidth="1"/>
    <col min="12046" max="12046" width="9.44140625" style="47" customWidth="1"/>
    <col min="12047" max="12047" width="10.109375" style="47" customWidth="1"/>
    <col min="12048" max="12059" width="11.44140625" style="47" hidden="1" customWidth="1"/>
    <col min="12060" max="12061" width="11.44140625" style="47" customWidth="1"/>
    <col min="12062" max="12062" width="56.88671875" style="47" customWidth="1"/>
    <col min="12063" max="12063" width="9.109375" style="47" customWidth="1"/>
    <col min="12064" max="12064" width="32" style="47" customWidth="1"/>
    <col min="12065" max="12065" width="22.88671875" style="47" customWidth="1"/>
    <col min="12066" max="12066" width="31" style="47" customWidth="1"/>
    <col min="12067" max="12067" width="5" style="47" customWidth="1"/>
    <col min="12068" max="12069" width="11.44140625" style="47" hidden="1" customWidth="1"/>
    <col min="12070" max="12070" width="5" style="47" customWidth="1"/>
    <col min="12071" max="12072" width="11.44140625" style="47" hidden="1" customWidth="1"/>
    <col min="12073" max="12073" width="5" style="47" customWidth="1"/>
    <col min="12074" max="12075" width="11.44140625" style="47" hidden="1" customWidth="1"/>
    <col min="12076" max="12076" width="5" style="47" customWidth="1"/>
    <col min="12077" max="12078" width="11.44140625" style="47" hidden="1" customWidth="1"/>
    <col min="12079" max="12079" width="5" style="47" customWidth="1"/>
    <col min="12080" max="12144" width="11.44140625" style="47" hidden="1" customWidth="1"/>
    <col min="12145" max="12145" width="9.44140625" style="47" customWidth="1"/>
    <col min="12146" max="12163" width="11.44140625" style="47" hidden="1" customWidth="1"/>
    <col min="12164" max="12164" width="6.44140625" style="47" customWidth="1"/>
    <col min="12165" max="12177" width="11.44140625" style="47" hidden="1" customWidth="1"/>
    <col min="12178" max="12178" width="7.109375" style="47" customWidth="1"/>
    <col min="12179" max="12188" width="11.44140625" style="47" hidden="1" customWidth="1"/>
    <col min="12189" max="12189" width="6.44140625" style="47" customWidth="1"/>
    <col min="12190" max="12210" width="11.44140625" style="47" hidden="1" customWidth="1"/>
    <col min="12211" max="12211" width="9" style="47" customWidth="1"/>
    <col min="12212" max="12213" width="11.44140625" style="47" hidden="1" customWidth="1"/>
    <col min="12214" max="12214" width="8.44140625" style="47" customWidth="1"/>
    <col min="12215" max="12216" width="11.44140625" style="47" hidden="1" customWidth="1"/>
    <col min="12217" max="12217" width="6.44140625" style="47" customWidth="1"/>
    <col min="12218" max="12219" width="11.44140625" style="47" hidden="1" customWidth="1"/>
    <col min="12220" max="12220" width="7" style="47" customWidth="1"/>
    <col min="12221" max="12222" width="11.44140625" style="47" hidden="1" customWidth="1"/>
    <col min="12223" max="12225" width="7" style="47" customWidth="1"/>
    <col min="12226" max="12227" width="11.44140625" style="47" hidden="1" customWidth="1"/>
    <col min="12228" max="12228" width="7.44140625" style="47" customWidth="1"/>
    <col min="12229" max="12230" width="11.44140625" style="47" hidden="1" customWidth="1"/>
    <col min="12231" max="12231" width="7" style="47" customWidth="1"/>
    <col min="12232" max="12233" width="11.44140625" style="47" hidden="1" customWidth="1"/>
    <col min="12234" max="12234" width="7" style="47" customWidth="1"/>
    <col min="12235" max="12236" width="11.44140625" style="47" hidden="1" customWidth="1"/>
    <col min="12237" max="12237" width="7" style="47" customWidth="1"/>
    <col min="12238" max="12238" width="11.44140625" style="47" hidden="1" customWidth="1"/>
    <col min="12239" max="12239" width="6.44140625" style="47" customWidth="1"/>
    <col min="12240" max="12249" width="11.44140625" style="47" hidden="1" customWidth="1"/>
    <col min="12250" max="12284" width="11.44140625" style="47" hidden="1"/>
    <col min="12285" max="12285" width="41.44140625" style="47" customWidth="1"/>
    <col min="12286" max="12286" width="6.44140625" style="47" customWidth="1"/>
    <col min="12287" max="12287" width="14.5546875" style="47" customWidth="1"/>
    <col min="12288" max="12288" width="11.44140625" style="47" customWidth="1"/>
    <col min="12289" max="12289" width="13" style="47" customWidth="1"/>
    <col min="12290" max="12290" width="25.44140625" style="47" customWidth="1"/>
    <col min="12291" max="12300" width="9.44140625" style="47" customWidth="1"/>
    <col min="12301" max="12301" width="11.5546875" style="47" customWidth="1"/>
    <col min="12302" max="12302" width="9.44140625" style="47" customWidth="1"/>
    <col min="12303" max="12303" width="10.109375" style="47" customWidth="1"/>
    <col min="12304" max="12315" width="11.44140625" style="47" hidden="1" customWidth="1"/>
    <col min="12316" max="12317" width="11.44140625" style="47" customWidth="1"/>
    <col min="12318" max="12318" width="56.88671875" style="47" customWidth="1"/>
    <col min="12319" max="12319" width="9.109375" style="47" customWidth="1"/>
    <col min="12320" max="12320" width="32" style="47" customWidth="1"/>
    <col min="12321" max="12321" width="22.88671875" style="47" customWidth="1"/>
    <col min="12322" max="12322" width="31" style="47" customWidth="1"/>
    <col min="12323" max="12323" width="5" style="47" customWidth="1"/>
    <col min="12324" max="12325" width="11.44140625" style="47" hidden="1" customWidth="1"/>
    <col min="12326" max="12326" width="5" style="47" customWidth="1"/>
    <col min="12327" max="12328" width="11.44140625" style="47" hidden="1" customWidth="1"/>
    <col min="12329" max="12329" width="5" style="47" customWidth="1"/>
    <col min="12330" max="12331" width="11.44140625" style="47" hidden="1" customWidth="1"/>
    <col min="12332" max="12332" width="5" style="47" customWidth="1"/>
    <col min="12333" max="12334" width="11.44140625" style="47" hidden="1" customWidth="1"/>
    <col min="12335" max="12335" width="5" style="47" customWidth="1"/>
    <col min="12336" max="12400" width="11.44140625" style="47" hidden="1" customWidth="1"/>
    <col min="12401" max="12401" width="9.44140625" style="47" customWidth="1"/>
    <col min="12402" max="12419" width="11.44140625" style="47" hidden="1" customWidth="1"/>
    <col min="12420" max="12420" width="6.44140625" style="47" customWidth="1"/>
    <col min="12421" max="12433" width="11.44140625" style="47" hidden="1" customWidth="1"/>
    <col min="12434" max="12434" width="7.109375" style="47" customWidth="1"/>
    <col min="12435" max="12444" width="11.44140625" style="47" hidden="1" customWidth="1"/>
    <col min="12445" max="12445" width="6.44140625" style="47" customWidth="1"/>
    <col min="12446" max="12466" width="11.44140625" style="47" hidden="1" customWidth="1"/>
    <col min="12467" max="12467" width="9" style="47" customWidth="1"/>
    <col min="12468" max="12469" width="11.44140625" style="47" hidden="1" customWidth="1"/>
    <col min="12470" max="12470" width="8.44140625" style="47" customWidth="1"/>
    <col min="12471" max="12472" width="11.44140625" style="47" hidden="1" customWidth="1"/>
    <col min="12473" max="12473" width="6.44140625" style="47" customWidth="1"/>
    <col min="12474" max="12475" width="11.44140625" style="47" hidden="1" customWidth="1"/>
    <col min="12476" max="12476" width="7" style="47" customWidth="1"/>
    <col min="12477" max="12478" width="11.44140625" style="47" hidden="1" customWidth="1"/>
    <col min="12479" max="12481" width="7" style="47" customWidth="1"/>
    <col min="12482" max="12483" width="11.44140625" style="47" hidden="1" customWidth="1"/>
    <col min="12484" max="12484" width="7.44140625" style="47" customWidth="1"/>
    <col min="12485" max="12486" width="11.44140625" style="47" hidden="1" customWidth="1"/>
    <col min="12487" max="12487" width="7" style="47" customWidth="1"/>
    <col min="12488" max="12489" width="11.44140625" style="47" hidden="1" customWidth="1"/>
    <col min="12490" max="12490" width="7" style="47" customWidth="1"/>
    <col min="12491" max="12492" width="11.44140625" style="47" hidden="1" customWidth="1"/>
    <col min="12493" max="12493" width="7" style="47" customWidth="1"/>
    <col min="12494" max="12494" width="11.44140625" style="47" hidden="1" customWidth="1"/>
    <col min="12495" max="12495" width="6.44140625" style="47" customWidth="1"/>
    <col min="12496" max="12505" width="11.44140625" style="47" hidden="1" customWidth="1"/>
    <col min="12506" max="12540" width="11.44140625" style="47" hidden="1"/>
    <col min="12541" max="12541" width="41.44140625" style="47" customWidth="1"/>
    <col min="12542" max="12542" width="6.44140625" style="47" customWidth="1"/>
    <col min="12543" max="12543" width="14.5546875" style="47" customWidth="1"/>
    <col min="12544" max="12544" width="11.44140625" style="47" customWidth="1"/>
    <col min="12545" max="12545" width="13" style="47" customWidth="1"/>
    <col min="12546" max="12546" width="25.44140625" style="47" customWidth="1"/>
    <col min="12547" max="12556" width="9.44140625" style="47" customWidth="1"/>
    <col min="12557" max="12557" width="11.5546875" style="47" customWidth="1"/>
    <col min="12558" max="12558" width="9.44140625" style="47" customWidth="1"/>
    <col min="12559" max="12559" width="10.109375" style="47" customWidth="1"/>
    <col min="12560" max="12571" width="11.44140625" style="47" hidden="1" customWidth="1"/>
    <col min="12572" max="12573" width="11.44140625" style="47" customWidth="1"/>
    <col min="12574" max="12574" width="56.88671875" style="47" customWidth="1"/>
    <col min="12575" max="12575" width="9.109375" style="47" customWidth="1"/>
    <col min="12576" max="12576" width="32" style="47" customWidth="1"/>
    <col min="12577" max="12577" width="22.88671875" style="47" customWidth="1"/>
    <col min="12578" max="12578" width="31" style="47" customWidth="1"/>
    <col min="12579" max="12579" width="5" style="47" customWidth="1"/>
    <col min="12580" max="12581" width="11.44140625" style="47" hidden="1" customWidth="1"/>
    <col min="12582" max="12582" width="5" style="47" customWidth="1"/>
    <col min="12583" max="12584" width="11.44140625" style="47" hidden="1" customWidth="1"/>
    <col min="12585" max="12585" width="5" style="47" customWidth="1"/>
    <col min="12586" max="12587" width="11.44140625" style="47" hidden="1" customWidth="1"/>
    <col min="12588" max="12588" width="5" style="47" customWidth="1"/>
    <col min="12589" max="12590" width="11.44140625" style="47" hidden="1" customWidth="1"/>
    <col min="12591" max="12591" width="5" style="47" customWidth="1"/>
    <col min="12592" max="12656" width="11.44140625" style="47" hidden="1" customWidth="1"/>
    <col min="12657" max="12657" width="9.44140625" style="47" customWidth="1"/>
    <col min="12658" max="12675" width="11.44140625" style="47" hidden="1" customWidth="1"/>
    <col min="12676" max="12676" width="6.44140625" style="47" customWidth="1"/>
    <col min="12677" max="12689" width="11.44140625" style="47" hidden="1" customWidth="1"/>
    <col min="12690" max="12690" width="7.109375" style="47" customWidth="1"/>
    <col min="12691" max="12700" width="11.44140625" style="47" hidden="1" customWidth="1"/>
    <col min="12701" max="12701" width="6.44140625" style="47" customWidth="1"/>
    <col min="12702" max="12722" width="11.44140625" style="47" hidden="1" customWidth="1"/>
    <col min="12723" max="12723" width="9" style="47" customWidth="1"/>
    <col min="12724" max="12725" width="11.44140625" style="47" hidden="1" customWidth="1"/>
    <col min="12726" max="12726" width="8.44140625" style="47" customWidth="1"/>
    <col min="12727" max="12728" width="11.44140625" style="47" hidden="1" customWidth="1"/>
    <col min="12729" max="12729" width="6.44140625" style="47" customWidth="1"/>
    <col min="12730" max="12731" width="11.44140625" style="47" hidden="1" customWidth="1"/>
    <col min="12732" max="12732" width="7" style="47" customWidth="1"/>
    <col min="12733" max="12734" width="11.44140625" style="47" hidden="1" customWidth="1"/>
    <col min="12735" max="12737" width="7" style="47" customWidth="1"/>
    <col min="12738" max="12739" width="11.44140625" style="47" hidden="1" customWidth="1"/>
    <col min="12740" max="12740" width="7.44140625" style="47" customWidth="1"/>
    <col min="12741" max="12742" width="11.44140625" style="47" hidden="1" customWidth="1"/>
    <col min="12743" max="12743" width="7" style="47" customWidth="1"/>
    <col min="12744" max="12745" width="11.44140625" style="47" hidden="1" customWidth="1"/>
    <col min="12746" max="12746" width="7" style="47" customWidth="1"/>
    <col min="12747" max="12748" width="11.44140625" style="47" hidden="1" customWidth="1"/>
    <col min="12749" max="12749" width="7" style="47" customWidth="1"/>
    <col min="12750" max="12750" width="11.44140625" style="47" hidden="1" customWidth="1"/>
    <col min="12751" max="12751" width="6.44140625" style="47" customWidth="1"/>
    <col min="12752" max="12761" width="11.44140625" style="47" hidden="1" customWidth="1"/>
    <col min="12762" max="12796" width="11.44140625" style="47" hidden="1"/>
    <col min="12797" max="12797" width="41.44140625" style="47" customWidth="1"/>
    <col min="12798" max="12798" width="6.44140625" style="47" customWidth="1"/>
    <col min="12799" max="12799" width="14.5546875" style="47" customWidth="1"/>
    <col min="12800" max="12800" width="11.44140625" style="47" customWidth="1"/>
    <col min="12801" max="12801" width="13" style="47" customWidth="1"/>
    <col min="12802" max="12802" width="25.44140625" style="47" customWidth="1"/>
    <col min="12803" max="12812" width="9.44140625" style="47" customWidth="1"/>
    <col min="12813" max="12813" width="11.5546875" style="47" customWidth="1"/>
    <col min="12814" max="12814" width="9.44140625" style="47" customWidth="1"/>
    <col min="12815" max="12815" width="10.109375" style="47" customWidth="1"/>
    <col min="12816" max="12827" width="11.44140625" style="47" hidden="1" customWidth="1"/>
    <col min="12828" max="12829" width="11.44140625" style="47" customWidth="1"/>
    <col min="12830" max="12830" width="56.88671875" style="47" customWidth="1"/>
    <col min="12831" max="12831" width="9.109375" style="47" customWidth="1"/>
    <col min="12832" max="12832" width="32" style="47" customWidth="1"/>
    <col min="12833" max="12833" width="22.88671875" style="47" customWidth="1"/>
    <col min="12834" max="12834" width="31" style="47" customWidth="1"/>
    <col min="12835" max="12835" width="5" style="47" customWidth="1"/>
    <col min="12836" max="12837" width="11.44140625" style="47" hidden="1" customWidth="1"/>
    <col min="12838" max="12838" width="5" style="47" customWidth="1"/>
    <col min="12839" max="12840" width="11.44140625" style="47" hidden="1" customWidth="1"/>
    <col min="12841" max="12841" width="5" style="47" customWidth="1"/>
    <col min="12842" max="12843" width="11.44140625" style="47" hidden="1" customWidth="1"/>
    <col min="12844" max="12844" width="5" style="47" customWidth="1"/>
    <col min="12845" max="12846" width="11.44140625" style="47" hidden="1" customWidth="1"/>
    <col min="12847" max="12847" width="5" style="47" customWidth="1"/>
    <col min="12848" max="12912" width="11.44140625" style="47" hidden="1" customWidth="1"/>
    <col min="12913" max="12913" width="9.44140625" style="47" customWidth="1"/>
    <col min="12914" max="12931" width="11.44140625" style="47" hidden="1" customWidth="1"/>
    <col min="12932" max="12932" width="6.44140625" style="47" customWidth="1"/>
    <col min="12933" max="12945" width="11.44140625" style="47" hidden="1" customWidth="1"/>
    <col min="12946" max="12946" width="7.109375" style="47" customWidth="1"/>
    <col min="12947" max="12956" width="11.44140625" style="47" hidden="1" customWidth="1"/>
    <col min="12957" max="12957" width="6.44140625" style="47" customWidth="1"/>
    <col min="12958" max="12978" width="11.44140625" style="47" hidden="1" customWidth="1"/>
    <col min="12979" max="12979" width="9" style="47" customWidth="1"/>
    <col min="12980" max="12981" width="11.44140625" style="47" hidden="1" customWidth="1"/>
    <col min="12982" max="12982" width="8.44140625" style="47" customWidth="1"/>
    <col min="12983" max="12984" width="11.44140625" style="47" hidden="1" customWidth="1"/>
    <col min="12985" max="12985" width="6.44140625" style="47" customWidth="1"/>
    <col min="12986" max="12987" width="11.44140625" style="47" hidden="1" customWidth="1"/>
    <col min="12988" max="12988" width="7" style="47" customWidth="1"/>
    <col min="12989" max="12990" width="11.44140625" style="47" hidden="1" customWidth="1"/>
    <col min="12991" max="12993" width="7" style="47" customWidth="1"/>
    <col min="12994" max="12995" width="11.44140625" style="47" hidden="1" customWidth="1"/>
    <col min="12996" max="12996" width="7.44140625" style="47" customWidth="1"/>
    <col min="12997" max="12998" width="11.44140625" style="47" hidden="1" customWidth="1"/>
    <col min="12999" max="12999" width="7" style="47" customWidth="1"/>
    <col min="13000" max="13001" width="11.44140625" style="47" hidden="1" customWidth="1"/>
    <col min="13002" max="13002" width="7" style="47" customWidth="1"/>
    <col min="13003" max="13004" width="11.44140625" style="47" hidden="1" customWidth="1"/>
    <col min="13005" max="13005" width="7" style="47" customWidth="1"/>
    <col min="13006" max="13006" width="11.44140625" style="47" hidden="1" customWidth="1"/>
    <col min="13007" max="13007" width="6.44140625" style="47" customWidth="1"/>
    <col min="13008" max="13017" width="11.44140625" style="47" hidden="1" customWidth="1"/>
    <col min="13018" max="13052" width="11.44140625" style="47" hidden="1"/>
    <col min="13053" max="13053" width="41.44140625" style="47" customWidth="1"/>
    <col min="13054" max="13054" width="6.44140625" style="47" customWidth="1"/>
    <col min="13055" max="13055" width="14.5546875" style="47" customWidth="1"/>
    <col min="13056" max="13056" width="11.44140625" style="47" customWidth="1"/>
    <col min="13057" max="13057" width="13" style="47" customWidth="1"/>
    <col min="13058" max="13058" width="25.44140625" style="47" customWidth="1"/>
    <col min="13059" max="13068" width="9.44140625" style="47" customWidth="1"/>
    <col min="13069" max="13069" width="11.5546875" style="47" customWidth="1"/>
    <col min="13070" max="13070" width="9.44140625" style="47" customWidth="1"/>
    <col min="13071" max="13071" width="10.109375" style="47" customWidth="1"/>
    <col min="13072" max="13083" width="11.44140625" style="47" hidden="1" customWidth="1"/>
    <col min="13084" max="13085" width="11.44140625" style="47" customWidth="1"/>
    <col min="13086" max="13086" width="56.88671875" style="47" customWidth="1"/>
    <col min="13087" max="13087" width="9.109375" style="47" customWidth="1"/>
    <col min="13088" max="13088" width="32" style="47" customWidth="1"/>
    <col min="13089" max="13089" width="22.88671875" style="47" customWidth="1"/>
    <col min="13090" max="13090" width="31" style="47" customWidth="1"/>
    <col min="13091" max="13091" width="5" style="47" customWidth="1"/>
    <col min="13092" max="13093" width="11.44140625" style="47" hidden="1" customWidth="1"/>
    <col min="13094" max="13094" width="5" style="47" customWidth="1"/>
    <col min="13095" max="13096" width="11.44140625" style="47" hidden="1" customWidth="1"/>
    <col min="13097" max="13097" width="5" style="47" customWidth="1"/>
    <col min="13098" max="13099" width="11.44140625" style="47" hidden="1" customWidth="1"/>
    <col min="13100" max="13100" width="5" style="47" customWidth="1"/>
    <col min="13101" max="13102" width="11.44140625" style="47" hidden="1" customWidth="1"/>
    <col min="13103" max="13103" width="5" style="47" customWidth="1"/>
    <col min="13104" max="13168" width="11.44140625" style="47" hidden="1" customWidth="1"/>
    <col min="13169" max="13169" width="9.44140625" style="47" customWidth="1"/>
    <col min="13170" max="13187" width="11.44140625" style="47" hidden="1" customWidth="1"/>
    <col min="13188" max="13188" width="6.44140625" style="47" customWidth="1"/>
    <col min="13189" max="13201" width="11.44140625" style="47" hidden="1" customWidth="1"/>
    <col min="13202" max="13202" width="7.109375" style="47" customWidth="1"/>
    <col min="13203" max="13212" width="11.44140625" style="47" hidden="1" customWidth="1"/>
    <col min="13213" max="13213" width="6.44140625" style="47" customWidth="1"/>
    <col min="13214" max="13234" width="11.44140625" style="47" hidden="1" customWidth="1"/>
    <col min="13235" max="13235" width="9" style="47" customWidth="1"/>
    <col min="13236" max="13237" width="11.44140625" style="47" hidden="1" customWidth="1"/>
    <col min="13238" max="13238" width="8.44140625" style="47" customWidth="1"/>
    <col min="13239" max="13240" width="11.44140625" style="47" hidden="1" customWidth="1"/>
    <col min="13241" max="13241" width="6.44140625" style="47" customWidth="1"/>
    <col min="13242" max="13243" width="11.44140625" style="47" hidden="1" customWidth="1"/>
    <col min="13244" max="13244" width="7" style="47" customWidth="1"/>
    <col min="13245" max="13246" width="11.44140625" style="47" hidden="1" customWidth="1"/>
    <col min="13247" max="13249" width="7" style="47" customWidth="1"/>
    <col min="13250" max="13251" width="11.44140625" style="47" hidden="1" customWidth="1"/>
    <col min="13252" max="13252" width="7.44140625" style="47" customWidth="1"/>
    <col min="13253" max="13254" width="11.44140625" style="47" hidden="1" customWidth="1"/>
    <col min="13255" max="13255" width="7" style="47" customWidth="1"/>
    <col min="13256" max="13257" width="11.44140625" style="47" hidden="1" customWidth="1"/>
    <col min="13258" max="13258" width="7" style="47" customWidth="1"/>
    <col min="13259" max="13260" width="11.44140625" style="47" hidden="1" customWidth="1"/>
    <col min="13261" max="13261" width="7" style="47" customWidth="1"/>
    <col min="13262" max="13262" width="11.44140625" style="47" hidden="1" customWidth="1"/>
    <col min="13263" max="13263" width="6.44140625" style="47" customWidth="1"/>
    <col min="13264" max="13273" width="11.44140625" style="47" hidden="1" customWidth="1"/>
    <col min="13274" max="13308" width="11.44140625" style="47" hidden="1"/>
    <col min="13309" max="13309" width="41.44140625" style="47" customWidth="1"/>
    <col min="13310" max="13310" width="6.44140625" style="47" customWidth="1"/>
    <col min="13311" max="13311" width="14.5546875" style="47" customWidth="1"/>
    <col min="13312" max="13312" width="11.44140625" style="47" customWidth="1"/>
    <col min="13313" max="13313" width="13" style="47" customWidth="1"/>
    <col min="13314" max="13314" width="25.44140625" style="47" customWidth="1"/>
    <col min="13315" max="13324" width="9.44140625" style="47" customWidth="1"/>
    <col min="13325" max="13325" width="11.5546875" style="47" customWidth="1"/>
    <col min="13326" max="13326" width="9.44140625" style="47" customWidth="1"/>
    <col min="13327" max="13327" width="10.109375" style="47" customWidth="1"/>
    <col min="13328" max="13339" width="11.44140625" style="47" hidden="1" customWidth="1"/>
    <col min="13340" max="13341" width="11.44140625" style="47" customWidth="1"/>
    <col min="13342" max="13342" width="56.88671875" style="47" customWidth="1"/>
    <col min="13343" max="13343" width="9.109375" style="47" customWidth="1"/>
    <col min="13344" max="13344" width="32" style="47" customWidth="1"/>
    <col min="13345" max="13345" width="22.88671875" style="47" customWidth="1"/>
    <col min="13346" max="13346" width="31" style="47" customWidth="1"/>
    <col min="13347" max="13347" width="5" style="47" customWidth="1"/>
    <col min="13348" max="13349" width="11.44140625" style="47" hidden="1" customWidth="1"/>
    <col min="13350" max="13350" width="5" style="47" customWidth="1"/>
    <col min="13351" max="13352" width="11.44140625" style="47" hidden="1" customWidth="1"/>
    <col min="13353" max="13353" width="5" style="47" customWidth="1"/>
    <col min="13354" max="13355" width="11.44140625" style="47" hidden="1" customWidth="1"/>
    <col min="13356" max="13356" width="5" style="47" customWidth="1"/>
    <col min="13357" max="13358" width="11.44140625" style="47" hidden="1" customWidth="1"/>
    <col min="13359" max="13359" width="5" style="47" customWidth="1"/>
    <col min="13360" max="13424" width="11.44140625" style="47" hidden="1" customWidth="1"/>
    <col min="13425" max="13425" width="9.44140625" style="47" customWidth="1"/>
    <col min="13426" max="13443" width="11.44140625" style="47" hidden="1" customWidth="1"/>
    <col min="13444" max="13444" width="6.44140625" style="47" customWidth="1"/>
    <col min="13445" max="13457" width="11.44140625" style="47" hidden="1" customWidth="1"/>
    <col min="13458" max="13458" width="7.109375" style="47" customWidth="1"/>
    <col min="13459" max="13468" width="11.44140625" style="47" hidden="1" customWidth="1"/>
    <col min="13469" max="13469" width="6.44140625" style="47" customWidth="1"/>
    <col min="13470" max="13490" width="11.44140625" style="47" hidden="1" customWidth="1"/>
    <col min="13491" max="13491" width="9" style="47" customWidth="1"/>
    <col min="13492" max="13493" width="11.44140625" style="47" hidden="1" customWidth="1"/>
    <col min="13494" max="13494" width="8.44140625" style="47" customWidth="1"/>
    <col min="13495" max="13496" width="11.44140625" style="47" hidden="1" customWidth="1"/>
    <col min="13497" max="13497" width="6.44140625" style="47" customWidth="1"/>
    <col min="13498" max="13499" width="11.44140625" style="47" hidden="1" customWidth="1"/>
    <col min="13500" max="13500" width="7" style="47" customWidth="1"/>
    <col min="13501" max="13502" width="11.44140625" style="47" hidden="1" customWidth="1"/>
    <col min="13503" max="13505" width="7" style="47" customWidth="1"/>
    <col min="13506" max="13507" width="11.44140625" style="47" hidden="1" customWidth="1"/>
    <col min="13508" max="13508" width="7.44140625" style="47" customWidth="1"/>
    <col min="13509" max="13510" width="11.44140625" style="47" hidden="1" customWidth="1"/>
    <col min="13511" max="13511" width="7" style="47" customWidth="1"/>
    <col min="13512" max="13513" width="11.44140625" style="47" hidden="1" customWidth="1"/>
    <col min="13514" max="13514" width="7" style="47" customWidth="1"/>
    <col min="13515" max="13516" width="11.44140625" style="47" hidden="1" customWidth="1"/>
    <col min="13517" max="13517" width="7" style="47" customWidth="1"/>
    <col min="13518" max="13518" width="11.44140625" style="47" hidden="1" customWidth="1"/>
    <col min="13519" max="13519" width="6.44140625" style="47" customWidth="1"/>
    <col min="13520" max="13529" width="11.44140625" style="47" hidden="1" customWidth="1"/>
    <col min="13530" max="13564" width="11.44140625" style="47" hidden="1"/>
    <col min="13565" max="13565" width="41.44140625" style="47" customWidth="1"/>
    <col min="13566" max="13566" width="6.44140625" style="47" customWidth="1"/>
    <col min="13567" max="13567" width="14.5546875" style="47" customWidth="1"/>
    <col min="13568" max="13568" width="11.44140625" style="47" customWidth="1"/>
    <col min="13569" max="13569" width="13" style="47" customWidth="1"/>
    <col min="13570" max="13570" width="25.44140625" style="47" customWidth="1"/>
    <col min="13571" max="13580" width="9.44140625" style="47" customWidth="1"/>
    <col min="13581" max="13581" width="11.5546875" style="47" customWidth="1"/>
    <col min="13582" max="13582" width="9.44140625" style="47" customWidth="1"/>
    <col min="13583" max="13583" width="10.109375" style="47" customWidth="1"/>
    <col min="13584" max="13595" width="11.44140625" style="47" hidden="1" customWidth="1"/>
    <col min="13596" max="13597" width="11.44140625" style="47" customWidth="1"/>
    <col min="13598" max="13598" width="56.88671875" style="47" customWidth="1"/>
    <col min="13599" max="13599" width="9.109375" style="47" customWidth="1"/>
    <col min="13600" max="13600" width="32" style="47" customWidth="1"/>
    <col min="13601" max="13601" width="22.88671875" style="47" customWidth="1"/>
    <col min="13602" max="13602" width="31" style="47" customWidth="1"/>
    <col min="13603" max="13603" width="5" style="47" customWidth="1"/>
    <col min="13604" max="13605" width="11.44140625" style="47" hidden="1" customWidth="1"/>
    <col min="13606" max="13606" width="5" style="47" customWidth="1"/>
    <col min="13607" max="13608" width="11.44140625" style="47" hidden="1" customWidth="1"/>
    <col min="13609" max="13609" width="5" style="47" customWidth="1"/>
    <col min="13610" max="13611" width="11.44140625" style="47" hidden="1" customWidth="1"/>
    <col min="13612" max="13612" width="5" style="47" customWidth="1"/>
    <col min="13613" max="13614" width="11.44140625" style="47" hidden="1" customWidth="1"/>
    <col min="13615" max="13615" width="5" style="47" customWidth="1"/>
    <col min="13616" max="13680" width="11.44140625" style="47" hidden="1" customWidth="1"/>
    <col min="13681" max="13681" width="9.44140625" style="47" customWidth="1"/>
    <col min="13682" max="13699" width="11.44140625" style="47" hidden="1" customWidth="1"/>
    <col min="13700" max="13700" width="6.44140625" style="47" customWidth="1"/>
    <col min="13701" max="13713" width="11.44140625" style="47" hidden="1" customWidth="1"/>
    <col min="13714" max="13714" width="7.109375" style="47" customWidth="1"/>
    <col min="13715" max="13724" width="11.44140625" style="47" hidden="1" customWidth="1"/>
    <col min="13725" max="13725" width="6.44140625" style="47" customWidth="1"/>
    <col min="13726" max="13746" width="11.44140625" style="47" hidden="1" customWidth="1"/>
    <col min="13747" max="13747" width="9" style="47" customWidth="1"/>
    <col min="13748" max="13749" width="11.44140625" style="47" hidden="1" customWidth="1"/>
    <col min="13750" max="13750" width="8.44140625" style="47" customWidth="1"/>
    <col min="13751" max="13752" width="11.44140625" style="47" hidden="1" customWidth="1"/>
    <col min="13753" max="13753" width="6.44140625" style="47" customWidth="1"/>
    <col min="13754" max="13755" width="11.44140625" style="47" hidden="1" customWidth="1"/>
    <col min="13756" max="13756" width="7" style="47" customWidth="1"/>
    <col min="13757" max="13758" width="11.44140625" style="47" hidden="1" customWidth="1"/>
    <col min="13759" max="13761" width="7" style="47" customWidth="1"/>
    <col min="13762" max="13763" width="11.44140625" style="47" hidden="1" customWidth="1"/>
    <col min="13764" max="13764" width="7.44140625" style="47" customWidth="1"/>
    <col min="13765" max="13766" width="11.44140625" style="47" hidden="1" customWidth="1"/>
    <col min="13767" max="13767" width="7" style="47" customWidth="1"/>
    <col min="13768" max="13769" width="11.44140625" style="47" hidden="1" customWidth="1"/>
    <col min="13770" max="13770" width="7" style="47" customWidth="1"/>
    <col min="13771" max="13772" width="11.44140625" style="47" hidden="1" customWidth="1"/>
    <col min="13773" max="13773" width="7" style="47" customWidth="1"/>
    <col min="13774" max="13774" width="11.44140625" style="47" hidden="1" customWidth="1"/>
    <col min="13775" max="13775" width="6.44140625" style="47" customWidth="1"/>
    <col min="13776" max="13785" width="11.44140625" style="47" hidden="1" customWidth="1"/>
    <col min="13786" max="13820" width="11.44140625" style="47" hidden="1"/>
    <col min="13821" max="13821" width="41.44140625" style="47" customWidth="1"/>
    <col min="13822" max="13822" width="6.44140625" style="47" customWidth="1"/>
    <col min="13823" max="13823" width="14.5546875" style="47" customWidth="1"/>
    <col min="13824" max="13824" width="11.44140625" style="47" customWidth="1"/>
    <col min="13825" max="13825" width="13" style="47" customWidth="1"/>
    <col min="13826" max="13826" width="25.44140625" style="47" customWidth="1"/>
    <col min="13827" max="13836" width="9.44140625" style="47" customWidth="1"/>
    <col min="13837" max="13837" width="11.5546875" style="47" customWidth="1"/>
    <col min="13838" max="13838" width="9.44140625" style="47" customWidth="1"/>
    <col min="13839" max="13839" width="10.109375" style="47" customWidth="1"/>
    <col min="13840" max="13851" width="11.44140625" style="47" hidden="1" customWidth="1"/>
    <col min="13852" max="13853" width="11.44140625" style="47" customWidth="1"/>
    <col min="13854" max="13854" width="56.88671875" style="47" customWidth="1"/>
    <col min="13855" max="13855" width="9.109375" style="47" customWidth="1"/>
    <col min="13856" max="13856" width="32" style="47" customWidth="1"/>
    <col min="13857" max="13857" width="22.88671875" style="47" customWidth="1"/>
    <col min="13858" max="13858" width="31" style="47" customWidth="1"/>
    <col min="13859" max="13859" width="5" style="47" customWidth="1"/>
    <col min="13860" max="13861" width="11.44140625" style="47" hidden="1" customWidth="1"/>
    <col min="13862" max="13862" width="5" style="47" customWidth="1"/>
    <col min="13863" max="13864" width="11.44140625" style="47" hidden="1" customWidth="1"/>
    <col min="13865" max="13865" width="5" style="47" customWidth="1"/>
    <col min="13866" max="13867" width="11.44140625" style="47" hidden="1" customWidth="1"/>
    <col min="13868" max="13868" width="5" style="47" customWidth="1"/>
    <col min="13869" max="13870" width="11.44140625" style="47" hidden="1" customWidth="1"/>
    <col min="13871" max="13871" width="5" style="47" customWidth="1"/>
    <col min="13872" max="13936" width="11.44140625" style="47" hidden="1" customWidth="1"/>
    <col min="13937" max="13937" width="9.44140625" style="47" customWidth="1"/>
    <col min="13938" max="13955" width="11.44140625" style="47" hidden="1" customWidth="1"/>
    <col min="13956" max="13956" width="6.44140625" style="47" customWidth="1"/>
    <col min="13957" max="13969" width="11.44140625" style="47" hidden="1" customWidth="1"/>
    <col min="13970" max="13970" width="7.109375" style="47" customWidth="1"/>
    <col min="13971" max="13980" width="11.44140625" style="47" hidden="1" customWidth="1"/>
    <col min="13981" max="13981" width="6.44140625" style="47" customWidth="1"/>
    <col min="13982" max="14002" width="11.44140625" style="47" hidden="1" customWidth="1"/>
    <col min="14003" max="14003" width="9" style="47" customWidth="1"/>
    <col min="14004" max="14005" width="11.44140625" style="47" hidden="1" customWidth="1"/>
    <col min="14006" max="14006" width="8.44140625" style="47" customWidth="1"/>
    <col min="14007" max="14008" width="11.44140625" style="47" hidden="1" customWidth="1"/>
    <col min="14009" max="14009" width="6.44140625" style="47" customWidth="1"/>
    <col min="14010" max="14011" width="11.44140625" style="47" hidden="1" customWidth="1"/>
    <col min="14012" max="14012" width="7" style="47" customWidth="1"/>
    <col min="14013" max="14014" width="11.44140625" style="47" hidden="1" customWidth="1"/>
    <col min="14015" max="14017" width="7" style="47" customWidth="1"/>
    <col min="14018" max="14019" width="11.44140625" style="47" hidden="1" customWidth="1"/>
    <col min="14020" max="14020" width="7.44140625" style="47" customWidth="1"/>
    <col min="14021" max="14022" width="11.44140625" style="47" hidden="1" customWidth="1"/>
    <col min="14023" max="14023" width="7" style="47" customWidth="1"/>
    <col min="14024" max="14025" width="11.44140625" style="47" hidden="1" customWidth="1"/>
    <col min="14026" max="14026" width="7" style="47" customWidth="1"/>
    <col min="14027" max="14028" width="11.44140625" style="47" hidden="1" customWidth="1"/>
    <col min="14029" max="14029" width="7" style="47" customWidth="1"/>
    <col min="14030" max="14030" width="11.44140625" style="47" hidden="1" customWidth="1"/>
    <col min="14031" max="14031" width="6.44140625" style="47" customWidth="1"/>
    <col min="14032" max="14041" width="11.44140625" style="47" hidden="1" customWidth="1"/>
    <col min="14042" max="14076" width="11.44140625" style="47" hidden="1"/>
    <col min="14077" max="14077" width="41.44140625" style="47" customWidth="1"/>
    <col min="14078" max="14078" width="6.44140625" style="47" customWidth="1"/>
    <col min="14079" max="14079" width="14.5546875" style="47" customWidth="1"/>
    <col min="14080" max="14080" width="11.44140625" style="47" customWidth="1"/>
    <col min="14081" max="14081" width="13" style="47" customWidth="1"/>
    <col min="14082" max="14082" width="25.44140625" style="47" customWidth="1"/>
    <col min="14083" max="14092" width="9.44140625" style="47" customWidth="1"/>
    <col min="14093" max="14093" width="11.5546875" style="47" customWidth="1"/>
    <col min="14094" max="14094" width="9.44140625" style="47" customWidth="1"/>
    <col min="14095" max="14095" width="10.109375" style="47" customWidth="1"/>
    <col min="14096" max="14107" width="11.44140625" style="47" hidden="1" customWidth="1"/>
    <col min="14108" max="14109" width="11.44140625" style="47" customWidth="1"/>
    <col min="14110" max="14110" width="56.88671875" style="47" customWidth="1"/>
    <col min="14111" max="14111" width="9.109375" style="47" customWidth="1"/>
    <col min="14112" max="14112" width="32" style="47" customWidth="1"/>
    <col min="14113" max="14113" width="22.88671875" style="47" customWidth="1"/>
    <col min="14114" max="14114" width="31" style="47" customWidth="1"/>
    <col min="14115" max="14115" width="5" style="47" customWidth="1"/>
    <col min="14116" max="14117" width="11.44140625" style="47" hidden="1" customWidth="1"/>
    <col min="14118" max="14118" width="5" style="47" customWidth="1"/>
    <col min="14119" max="14120" width="11.44140625" style="47" hidden="1" customWidth="1"/>
    <col min="14121" max="14121" width="5" style="47" customWidth="1"/>
    <col min="14122" max="14123" width="11.44140625" style="47" hidden="1" customWidth="1"/>
    <col min="14124" max="14124" width="5" style="47" customWidth="1"/>
    <col min="14125" max="14126" width="11.44140625" style="47" hidden="1" customWidth="1"/>
    <col min="14127" max="14127" width="5" style="47" customWidth="1"/>
    <col min="14128" max="14192" width="11.44140625" style="47" hidden="1" customWidth="1"/>
    <col min="14193" max="14193" width="9.44140625" style="47" customWidth="1"/>
    <col min="14194" max="14211" width="11.44140625" style="47" hidden="1" customWidth="1"/>
    <col min="14212" max="14212" width="6.44140625" style="47" customWidth="1"/>
    <col min="14213" max="14225" width="11.44140625" style="47" hidden="1" customWidth="1"/>
    <col min="14226" max="14226" width="7.109375" style="47" customWidth="1"/>
    <col min="14227" max="14236" width="11.44140625" style="47" hidden="1" customWidth="1"/>
    <col min="14237" max="14237" width="6.44140625" style="47" customWidth="1"/>
    <col min="14238" max="14258" width="11.44140625" style="47" hidden="1" customWidth="1"/>
    <col min="14259" max="14259" width="9" style="47" customWidth="1"/>
    <col min="14260" max="14261" width="11.44140625" style="47" hidden="1" customWidth="1"/>
    <col min="14262" max="14262" width="8.44140625" style="47" customWidth="1"/>
    <col min="14263" max="14264" width="11.44140625" style="47" hidden="1" customWidth="1"/>
    <col min="14265" max="14265" width="6.44140625" style="47" customWidth="1"/>
    <col min="14266" max="14267" width="11.44140625" style="47" hidden="1" customWidth="1"/>
    <col min="14268" max="14268" width="7" style="47" customWidth="1"/>
    <col min="14269" max="14270" width="11.44140625" style="47" hidden="1" customWidth="1"/>
    <col min="14271" max="14273" width="7" style="47" customWidth="1"/>
    <col min="14274" max="14275" width="11.44140625" style="47" hidden="1" customWidth="1"/>
    <col min="14276" max="14276" width="7.44140625" style="47" customWidth="1"/>
    <col min="14277" max="14278" width="11.44140625" style="47" hidden="1" customWidth="1"/>
    <col min="14279" max="14279" width="7" style="47" customWidth="1"/>
    <col min="14280" max="14281" width="11.44140625" style="47" hidden="1" customWidth="1"/>
    <col min="14282" max="14282" width="7" style="47" customWidth="1"/>
    <col min="14283" max="14284" width="11.44140625" style="47" hidden="1" customWidth="1"/>
    <col min="14285" max="14285" width="7" style="47" customWidth="1"/>
    <col min="14286" max="14286" width="11.44140625" style="47" hidden="1" customWidth="1"/>
    <col min="14287" max="14287" width="6.44140625" style="47" customWidth="1"/>
    <col min="14288" max="14297" width="11.44140625" style="47" hidden="1" customWidth="1"/>
    <col min="14298" max="14332" width="11.44140625" style="47" hidden="1"/>
    <col min="14333" max="14333" width="41.44140625" style="47" customWidth="1"/>
    <col min="14334" max="14334" width="6.44140625" style="47" customWidth="1"/>
    <col min="14335" max="14335" width="14.5546875" style="47" customWidth="1"/>
    <col min="14336" max="14336" width="11.44140625" style="47" customWidth="1"/>
    <col min="14337" max="14337" width="13" style="47" customWidth="1"/>
    <col min="14338" max="14338" width="25.44140625" style="47" customWidth="1"/>
    <col min="14339" max="14348" width="9.44140625" style="47" customWidth="1"/>
    <col min="14349" max="14349" width="11.5546875" style="47" customWidth="1"/>
    <col min="14350" max="14350" width="9.44140625" style="47" customWidth="1"/>
    <col min="14351" max="14351" width="10.109375" style="47" customWidth="1"/>
    <col min="14352" max="14363" width="11.44140625" style="47" hidden="1" customWidth="1"/>
    <col min="14364" max="14365" width="11.44140625" style="47" customWidth="1"/>
    <col min="14366" max="14366" width="56.88671875" style="47" customWidth="1"/>
    <col min="14367" max="14367" width="9.109375" style="47" customWidth="1"/>
    <col min="14368" max="14368" width="32" style="47" customWidth="1"/>
    <col min="14369" max="14369" width="22.88671875" style="47" customWidth="1"/>
    <col min="14370" max="14370" width="31" style="47" customWidth="1"/>
    <col min="14371" max="14371" width="5" style="47" customWidth="1"/>
    <col min="14372" max="14373" width="11.44140625" style="47" hidden="1" customWidth="1"/>
    <col min="14374" max="14374" width="5" style="47" customWidth="1"/>
    <col min="14375" max="14376" width="11.44140625" style="47" hidden="1" customWidth="1"/>
    <col min="14377" max="14377" width="5" style="47" customWidth="1"/>
    <col min="14378" max="14379" width="11.44140625" style="47" hidden="1" customWidth="1"/>
    <col min="14380" max="14380" width="5" style="47" customWidth="1"/>
    <col min="14381" max="14382" width="11.44140625" style="47" hidden="1" customWidth="1"/>
    <col min="14383" max="14383" width="5" style="47" customWidth="1"/>
    <col min="14384" max="14448" width="11.44140625" style="47" hidden="1" customWidth="1"/>
    <col min="14449" max="14449" width="9.44140625" style="47" customWidth="1"/>
    <col min="14450" max="14467" width="11.44140625" style="47" hidden="1" customWidth="1"/>
    <col min="14468" max="14468" width="6.44140625" style="47" customWidth="1"/>
    <col min="14469" max="14481" width="11.44140625" style="47" hidden="1" customWidth="1"/>
    <col min="14482" max="14482" width="7.109375" style="47" customWidth="1"/>
    <col min="14483" max="14492" width="11.44140625" style="47" hidden="1" customWidth="1"/>
    <col min="14493" max="14493" width="6.44140625" style="47" customWidth="1"/>
    <col min="14494" max="14514" width="11.44140625" style="47" hidden="1" customWidth="1"/>
    <col min="14515" max="14515" width="9" style="47" customWidth="1"/>
    <col min="14516" max="14517" width="11.44140625" style="47" hidden="1" customWidth="1"/>
    <col min="14518" max="14518" width="8.44140625" style="47" customWidth="1"/>
    <col min="14519" max="14520" width="11.44140625" style="47" hidden="1" customWidth="1"/>
    <col min="14521" max="14521" width="6.44140625" style="47" customWidth="1"/>
    <col min="14522" max="14523" width="11.44140625" style="47" hidden="1" customWidth="1"/>
    <col min="14524" max="14524" width="7" style="47" customWidth="1"/>
    <col min="14525" max="14526" width="11.44140625" style="47" hidden="1" customWidth="1"/>
    <col min="14527" max="14529" width="7" style="47" customWidth="1"/>
    <col min="14530" max="14531" width="11.44140625" style="47" hidden="1" customWidth="1"/>
    <col min="14532" max="14532" width="7.44140625" style="47" customWidth="1"/>
    <col min="14533" max="14534" width="11.44140625" style="47" hidden="1" customWidth="1"/>
    <col min="14535" max="14535" width="7" style="47" customWidth="1"/>
    <col min="14536" max="14537" width="11.44140625" style="47" hidden="1" customWidth="1"/>
    <col min="14538" max="14538" width="7" style="47" customWidth="1"/>
    <col min="14539" max="14540" width="11.44140625" style="47" hidden="1" customWidth="1"/>
    <col min="14541" max="14541" width="7" style="47" customWidth="1"/>
    <col min="14542" max="14542" width="11.44140625" style="47" hidden="1" customWidth="1"/>
    <col min="14543" max="14543" width="6.44140625" style="47" customWidth="1"/>
    <col min="14544" max="14553" width="11.44140625" style="47" hidden="1" customWidth="1"/>
    <col min="14554" max="14588" width="11.44140625" style="47" hidden="1"/>
    <col min="14589" max="14589" width="41.44140625" style="47" customWidth="1"/>
    <col min="14590" max="14590" width="6.44140625" style="47" customWidth="1"/>
    <col min="14591" max="14591" width="14.5546875" style="47" customWidth="1"/>
    <col min="14592" max="14592" width="11.44140625" style="47" customWidth="1"/>
    <col min="14593" max="14593" width="13" style="47" customWidth="1"/>
    <col min="14594" max="14594" width="25.44140625" style="47" customWidth="1"/>
    <col min="14595" max="14604" width="9.44140625" style="47" customWidth="1"/>
    <col min="14605" max="14605" width="11.5546875" style="47" customWidth="1"/>
    <col min="14606" max="14606" width="9.44140625" style="47" customWidth="1"/>
    <col min="14607" max="14607" width="10.109375" style="47" customWidth="1"/>
    <col min="14608" max="14619" width="11.44140625" style="47" hidden="1" customWidth="1"/>
    <col min="14620" max="14621" width="11.44140625" style="47" customWidth="1"/>
    <col min="14622" max="14622" width="56.88671875" style="47" customWidth="1"/>
    <col min="14623" max="14623" width="9.109375" style="47" customWidth="1"/>
    <col min="14624" max="14624" width="32" style="47" customWidth="1"/>
    <col min="14625" max="14625" width="22.88671875" style="47" customWidth="1"/>
    <col min="14626" max="14626" width="31" style="47" customWidth="1"/>
    <col min="14627" max="14627" width="5" style="47" customWidth="1"/>
    <col min="14628" max="14629" width="11.44140625" style="47" hidden="1" customWidth="1"/>
    <col min="14630" max="14630" width="5" style="47" customWidth="1"/>
    <col min="14631" max="14632" width="11.44140625" style="47" hidden="1" customWidth="1"/>
    <col min="14633" max="14633" width="5" style="47" customWidth="1"/>
    <col min="14634" max="14635" width="11.44140625" style="47" hidden="1" customWidth="1"/>
    <col min="14636" max="14636" width="5" style="47" customWidth="1"/>
    <col min="14637" max="14638" width="11.44140625" style="47" hidden="1" customWidth="1"/>
    <col min="14639" max="14639" width="5" style="47" customWidth="1"/>
    <col min="14640" max="14704" width="11.44140625" style="47" hidden="1" customWidth="1"/>
    <col min="14705" max="14705" width="9.44140625" style="47" customWidth="1"/>
    <col min="14706" max="14723" width="11.44140625" style="47" hidden="1" customWidth="1"/>
    <col min="14724" max="14724" width="6.44140625" style="47" customWidth="1"/>
    <col min="14725" max="14737" width="11.44140625" style="47" hidden="1" customWidth="1"/>
    <col min="14738" max="14738" width="7.109375" style="47" customWidth="1"/>
    <col min="14739" max="14748" width="11.44140625" style="47" hidden="1" customWidth="1"/>
    <col min="14749" max="14749" width="6.44140625" style="47" customWidth="1"/>
    <col min="14750" max="14770" width="11.44140625" style="47" hidden="1" customWidth="1"/>
    <col min="14771" max="14771" width="9" style="47" customWidth="1"/>
    <col min="14772" max="14773" width="11.44140625" style="47" hidden="1" customWidth="1"/>
    <col min="14774" max="14774" width="8.44140625" style="47" customWidth="1"/>
    <col min="14775" max="14776" width="11.44140625" style="47" hidden="1" customWidth="1"/>
    <col min="14777" max="14777" width="6.44140625" style="47" customWidth="1"/>
    <col min="14778" max="14779" width="11.44140625" style="47" hidden="1" customWidth="1"/>
    <col min="14780" max="14780" width="7" style="47" customWidth="1"/>
    <col min="14781" max="14782" width="11.44140625" style="47" hidden="1" customWidth="1"/>
    <col min="14783" max="14785" width="7" style="47" customWidth="1"/>
    <col min="14786" max="14787" width="11.44140625" style="47" hidden="1" customWidth="1"/>
    <col min="14788" max="14788" width="7.44140625" style="47" customWidth="1"/>
    <col min="14789" max="14790" width="11.44140625" style="47" hidden="1" customWidth="1"/>
    <col min="14791" max="14791" width="7" style="47" customWidth="1"/>
    <col min="14792" max="14793" width="11.44140625" style="47" hidden="1" customWidth="1"/>
    <col min="14794" max="14794" width="7" style="47" customWidth="1"/>
    <col min="14795" max="14796" width="11.44140625" style="47" hidden="1" customWidth="1"/>
    <col min="14797" max="14797" width="7" style="47" customWidth="1"/>
    <col min="14798" max="14798" width="11.44140625" style="47" hidden="1" customWidth="1"/>
    <col min="14799" max="14799" width="6.44140625" style="47" customWidth="1"/>
    <col min="14800" max="14809" width="11.44140625" style="47" hidden="1" customWidth="1"/>
    <col min="14810" max="14844" width="11.44140625" style="47" hidden="1"/>
    <col min="14845" max="14845" width="41.44140625" style="47" customWidth="1"/>
    <col min="14846" max="14846" width="6.44140625" style="47" customWidth="1"/>
    <col min="14847" max="14847" width="14.5546875" style="47" customWidth="1"/>
    <col min="14848" max="14848" width="11.44140625" style="47" customWidth="1"/>
    <col min="14849" max="14849" width="13" style="47" customWidth="1"/>
    <col min="14850" max="14850" width="25.44140625" style="47" customWidth="1"/>
    <col min="14851" max="14860" width="9.44140625" style="47" customWidth="1"/>
    <col min="14861" max="14861" width="11.5546875" style="47" customWidth="1"/>
    <col min="14862" max="14862" width="9.44140625" style="47" customWidth="1"/>
    <col min="14863" max="14863" width="10.109375" style="47" customWidth="1"/>
    <col min="14864" max="14875" width="11.44140625" style="47" hidden="1" customWidth="1"/>
    <col min="14876" max="14877" width="11.44140625" style="47" customWidth="1"/>
    <col min="14878" max="14878" width="56.88671875" style="47" customWidth="1"/>
    <col min="14879" max="14879" width="9.109375" style="47" customWidth="1"/>
    <col min="14880" max="14880" width="32" style="47" customWidth="1"/>
    <col min="14881" max="14881" width="22.88671875" style="47" customWidth="1"/>
    <col min="14882" max="14882" width="31" style="47" customWidth="1"/>
    <col min="14883" max="14883" width="5" style="47" customWidth="1"/>
    <col min="14884" max="14885" width="11.44140625" style="47" hidden="1" customWidth="1"/>
    <col min="14886" max="14886" width="5" style="47" customWidth="1"/>
    <col min="14887" max="14888" width="11.44140625" style="47" hidden="1" customWidth="1"/>
    <col min="14889" max="14889" width="5" style="47" customWidth="1"/>
    <col min="14890" max="14891" width="11.44140625" style="47" hidden="1" customWidth="1"/>
    <col min="14892" max="14892" width="5" style="47" customWidth="1"/>
    <col min="14893" max="14894" width="11.44140625" style="47" hidden="1" customWidth="1"/>
    <col min="14895" max="14895" width="5" style="47" customWidth="1"/>
    <col min="14896" max="14960" width="11.44140625" style="47" hidden="1" customWidth="1"/>
    <col min="14961" max="14961" width="9.44140625" style="47" customWidth="1"/>
    <col min="14962" max="14979" width="11.44140625" style="47" hidden="1" customWidth="1"/>
    <col min="14980" max="14980" width="6.44140625" style="47" customWidth="1"/>
    <col min="14981" max="14993" width="11.44140625" style="47" hidden="1" customWidth="1"/>
    <col min="14994" max="14994" width="7.109375" style="47" customWidth="1"/>
    <col min="14995" max="15004" width="11.44140625" style="47" hidden="1" customWidth="1"/>
    <col min="15005" max="15005" width="6.44140625" style="47" customWidth="1"/>
    <col min="15006" max="15026" width="11.44140625" style="47" hidden="1" customWidth="1"/>
    <col min="15027" max="15027" width="9" style="47" customWidth="1"/>
    <col min="15028" max="15029" width="11.44140625" style="47" hidden="1" customWidth="1"/>
    <col min="15030" max="15030" width="8.44140625" style="47" customWidth="1"/>
    <col min="15031" max="15032" width="11.44140625" style="47" hidden="1" customWidth="1"/>
    <col min="15033" max="15033" width="6.44140625" style="47" customWidth="1"/>
    <col min="15034" max="15035" width="11.44140625" style="47" hidden="1" customWidth="1"/>
    <col min="15036" max="15036" width="7" style="47" customWidth="1"/>
    <col min="15037" max="15038" width="11.44140625" style="47" hidden="1" customWidth="1"/>
    <col min="15039" max="15041" width="7" style="47" customWidth="1"/>
    <col min="15042" max="15043" width="11.44140625" style="47" hidden="1" customWidth="1"/>
    <col min="15044" max="15044" width="7.44140625" style="47" customWidth="1"/>
    <col min="15045" max="15046" width="11.44140625" style="47" hidden="1" customWidth="1"/>
    <col min="15047" max="15047" width="7" style="47" customWidth="1"/>
    <col min="15048" max="15049" width="11.44140625" style="47" hidden="1" customWidth="1"/>
    <col min="15050" max="15050" width="7" style="47" customWidth="1"/>
    <col min="15051" max="15052" width="11.44140625" style="47" hidden="1" customWidth="1"/>
    <col min="15053" max="15053" width="7" style="47" customWidth="1"/>
    <col min="15054" max="15054" width="11.44140625" style="47" hidden="1" customWidth="1"/>
    <col min="15055" max="15055" width="6.44140625" style="47" customWidth="1"/>
    <col min="15056" max="15065" width="11.44140625" style="47" hidden="1" customWidth="1"/>
    <col min="15066" max="15100" width="11.44140625" style="47" hidden="1"/>
    <col min="15101" max="15101" width="41.44140625" style="47" customWidth="1"/>
    <col min="15102" max="15102" width="6.44140625" style="47" customWidth="1"/>
    <col min="15103" max="15103" width="14.5546875" style="47" customWidth="1"/>
    <col min="15104" max="15104" width="11.44140625" style="47" customWidth="1"/>
    <col min="15105" max="15105" width="13" style="47" customWidth="1"/>
    <col min="15106" max="15106" width="25.44140625" style="47" customWidth="1"/>
    <col min="15107" max="15116" width="9.44140625" style="47" customWidth="1"/>
    <col min="15117" max="15117" width="11.5546875" style="47" customWidth="1"/>
    <col min="15118" max="15118" width="9.44140625" style="47" customWidth="1"/>
    <col min="15119" max="15119" width="10.109375" style="47" customWidth="1"/>
    <col min="15120" max="15131" width="11.44140625" style="47" hidden="1" customWidth="1"/>
    <col min="15132" max="15133" width="11.44140625" style="47" customWidth="1"/>
    <col min="15134" max="15134" width="56.88671875" style="47" customWidth="1"/>
    <col min="15135" max="15135" width="9.109375" style="47" customWidth="1"/>
    <col min="15136" max="15136" width="32" style="47" customWidth="1"/>
    <col min="15137" max="15137" width="22.88671875" style="47" customWidth="1"/>
    <col min="15138" max="15138" width="31" style="47" customWidth="1"/>
    <col min="15139" max="15139" width="5" style="47" customWidth="1"/>
    <col min="15140" max="15141" width="11.44140625" style="47" hidden="1" customWidth="1"/>
    <col min="15142" max="15142" width="5" style="47" customWidth="1"/>
    <col min="15143" max="15144" width="11.44140625" style="47" hidden="1" customWidth="1"/>
    <col min="15145" max="15145" width="5" style="47" customWidth="1"/>
    <col min="15146" max="15147" width="11.44140625" style="47" hidden="1" customWidth="1"/>
    <col min="15148" max="15148" width="5" style="47" customWidth="1"/>
    <col min="15149" max="15150" width="11.44140625" style="47" hidden="1" customWidth="1"/>
    <col min="15151" max="15151" width="5" style="47" customWidth="1"/>
    <col min="15152" max="15216" width="11.44140625" style="47" hidden="1" customWidth="1"/>
    <col min="15217" max="15217" width="9.44140625" style="47" customWidth="1"/>
    <col min="15218" max="15235" width="11.44140625" style="47" hidden="1" customWidth="1"/>
    <col min="15236" max="15236" width="6.44140625" style="47" customWidth="1"/>
    <col min="15237" max="15249" width="11.44140625" style="47" hidden="1" customWidth="1"/>
    <col min="15250" max="15250" width="7.109375" style="47" customWidth="1"/>
    <col min="15251" max="15260" width="11.44140625" style="47" hidden="1" customWidth="1"/>
    <col min="15261" max="15261" width="6.44140625" style="47" customWidth="1"/>
    <col min="15262" max="15282" width="11.44140625" style="47" hidden="1" customWidth="1"/>
    <col min="15283" max="15283" width="9" style="47" customWidth="1"/>
    <col min="15284" max="15285" width="11.44140625" style="47" hidden="1" customWidth="1"/>
    <col min="15286" max="15286" width="8.44140625" style="47" customWidth="1"/>
    <col min="15287" max="15288" width="11.44140625" style="47" hidden="1" customWidth="1"/>
    <col min="15289" max="15289" width="6.44140625" style="47" customWidth="1"/>
    <col min="15290" max="15291" width="11.44140625" style="47" hidden="1" customWidth="1"/>
    <col min="15292" max="15292" width="7" style="47" customWidth="1"/>
    <col min="15293" max="15294" width="11.44140625" style="47" hidden="1" customWidth="1"/>
    <col min="15295" max="15297" width="7" style="47" customWidth="1"/>
    <col min="15298" max="15299" width="11.44140625" style="47" hidden="1" customWidth="1"/>
    <col min="15300" max="15300" width="7.44140625" style="47" customWidth="1"/>
    <col min="15301" max="15302" width="11.44140625" style="47" hidden="1" customWidth="1"/>
    <col min="15303" max="15303" width="7" style="47" customWidth="1"/>
    <col min="15304" max="15305" width="11.44140625" style="47" hidden="1" customWidth="1"/>
    <col min="15306" max="15306" width="7" style="47" customWidth="1"/>
    <col min="15307" max="15308" width="11.44140625" style="47" hidden="1" customWidth="1"/>
    <col min="15309" max="15309" width="7" style="47" customWidth="1"/>
    <col min="15310" max="15310" width="11.44140625" style="47" hidden="1" customWidth="1"/>
    <col min="15311" max="15311" width="6.44140625" style="47" customWidth="1"/>
    <col min="15312" max="15321" width="11.44140625" style="47" hidden="1" customWidth="1"/>
    <col min="15322" max="15356" width="11.44140625" style="47" hidden="1"/>
    <col min="15357" max="15357" width="41.44140625" style="47" customWidth="1"/>
    <col min="15358" max="15358" width="6.44140625" style="47" customWidth="1"/>
    <col min="15359" max="15359" width="14.5546875" style="47" customWidth="1"/>
    <col min="15360" max="15360" width="11.44140625" style="47" customWidth="1"/>
    <col min="15361" max="15361" width="13" style="47" customWidth="1"/>
    <col min="15362" max="15362" width="25.44140625" style="47" customWidth="1"/>
    <col min="15363" max="15372" width="9.44140625" style="47" customWidth="1"/>
    <col min="15373" max="15373" width="11.5546875" style="47" customWidth="1"/>
    <col min="15374" max="15374" width="9.44140625" style="47" customWidth="1"/>
    <col min="15375" max="15375" width="10.109375" style="47" customWidth="1"/>
    <col min="15376" max="15387" width="11.44140625" style="47" hidden="1" customWidth="1"/>
    <col min="15388" max="15389" width="11.44140625" style="47" customWidth="1"/>
    <col min="15390" max="15390" width="56.88671875" style="47" customWidth="1"/>
    <col min="15391" max="15391" width="9.109375" style="47" customWidth="1"/>
    <col min="15392" max="15392" width="32" style="47" customWidth="1"/>
    <col min="15393" max="15393" width="22.88671875" style="47" customWidth="1"/>
    <col min="15394" max="15394" width="31" style="47" customWidth="1"/>
    <col min="15395" max="15395" width="5" style="47" customWidth="1"/>
    <col min="15396" max="15397" width="11.44140625" style="47" hidden="1" customWidth="1"/>
    <col min="15398" max="15398" width="5" style="47" customWidth="1"/>
    <col min="15399" max="15400" width="11.44140625" style="47" hidden="1" customWidth="1"/>
    <col min="15401" max="15401" width="5" style="47" customWidth="1"/>
    <col min="15402" max="15403" width="11.44140625" style="47" hidden="1" customWidth="1"/>
    <col min="15404" max="15404" width="5" style="47" customWidth="1"/>
    <col min="15405" max="15406" width="11.44140625" style="47" hidden="1" customWidth="1"/>
    <col min="15407" max="15407" width="5" style="47" customWidth="1"/>
    <col min="15408" max="15472" width="11.44140625" style="47" hidden="1" customWidth="1"/>
    <col min="15473" max="15473" width="9.44140625" style="47" customWidth="1"/>
    <col min="15474" max="15491" width="11.44140625" style="47" hidden="1" customWidth="1"/>
    <col min="15492" max="15492" width="6.44140625" style="47" customWidth="1"/>
    <col min="15493" max="15505" width="11.44140625" style="47" hidden="1" customWidth="1"/>
    <col min="15506" max="15506" width="7.109375" style="47" customWidth="1"/>
    <col min="15507" max="15516" width="11.44140625" style="47" hidden="1" customWidth="1"/>
    <col min="15517" max="15517" width="6.44140625" style="47" customWidth="1"/>
    <col min="15518" max="15538" width="11.44140625" style="47" hidden="1" customWidth="1"/>
    <col min="15539" max="15539" width="9" style="47" customWidth="1"/>
    <col min="15540" max="15541" width="11.44140625" style="47" hidden="1" customWidth="1"/>
    <col min="15542" max="15542" width="8.44140625" style="47" customWidth="1"/>
    <col min="15543" max="15544" width="11.44140625" style="47" hidden="1" customWidth="1"/>
    <col min="15545" max="15545" width="6.44140625" style="47" customWidth="1"/>
    <col min="15546" max="15547" width="11.44140625" style="47" hidden="1" customWidth="1"/>
    <col min="15548" max="15548" width="7" style="47" customWidth="1"/>
    <col min="15549" max="15550" width="11.44140625" style="47" hidden="1" customWidth="1"/>
    <col min="15551" max="15553" width="7" style="47" customWidth="1"/>
    <col min="15554" max="15555" width="11.44140625" style="47" hidden="1" customWidth="1"/>
    <col min="15556" max="15556" width="7.44140625" style="47" customWidth="1"/>
    <col min="15557" max="15558" width="11.44140625" style="47" hidden="1" customWidth="1"/>
    <col min="15559" max="15559" width="7" style="47" customWidth="1"/>
    <col min="15560" max="15561" width="11.44140625" style="47" hidden="1" customWidth="1"/>
    <col min="15562" max="15562" width="7" style="47" customWidth="1"/>
    <col min="15563" max="15564" width="11.44140625" style="47" hidden="1" customWidth="1"/>
    <col min="15565" max="15565" width="7" style="47" customWidth="1"/>
    <col min="15566" max="15566" width="11.44140625" style="47" hidden="1" customWidth="1"/>
    <col min="15567" max="15567" width="6.44140625" style="47" customWidth="1"/>
    <col min="15568" max="15577" width="11.44140625" style="47" hidden="1" customWidth="1"/>
    <col min="15578" max="15612" width="11.44140625" style="47" hidden="1"/>
    <col min="15613" max="15613" width="41.44140625" style="47" customWidth="1"/>
    <col min="15614" max="15614" width="6.44140625" style="47" customWidth="1"/>
    <col min="15615" max="15615" width="14.5546875" style="47" customWidth="1"/>
    <col min="15616" max="15616" width="11.44140625" style="47" customWidth="1"/>
    <col min="15617" max="15617" width="13" style="47" customWidth="1"/>
    <col min="15618" max="15618" width="25.44140625" style="47" customWidth="1"/>
    <col min="15619" max="15628" width="9.44140625" style="47" customWidth="1"/>
    <col min="15629" max="15629" width="11.5546875" style="47" customWidth="1"/>
    <col min="15630" max="15630" width="9.44140625" style="47" customWidth="1"/>
    <col min="15631" max="15631" width="10.109375" style="47" customWidth="1"/>
    <col min="15632" max="15643" width="11.44140625" style="47" hidden="1" customWidth="1"/>
    <col min="15644" max="15645" width="11.44140625" style="47" customWidth="1"/>
    <col min="15646" max="15646" width="56.88671875" style="47" customWidth="1"/>
    <col min="15647" max="15647" width="9.109375" style="47" customWidth="1"/>
    <col min="15648" max="15648" width="32" style="47" customWidth="1"/>
    <col min="15649" max="15649" width="22.88671875" style="47" customWidth="1"/>
    <col min="15650" max="15650" width="31" style="47" customWidth="1"/>
    <col min="15651" max="15651" width="5" style="47" customWidth="1"/>
    <col min="15652" max="15653" width="11.44140625" style="47" hidden="1" customWidth="1"/>
    <col min="15654" max="15654" width="5" style="47" customWidth="1"/>
    <col min="15655" max="15656" width="11.44140625" style="47" hidden="1" customWidth="1"/>
    <col min="15657" max="15657" width="5" style="47" customWidth="1"/>
    <col min="15658" max="15659" width="11.44140625" style="47" hidden="1" customWidth="1"/>
    <col min="15660" max="15660" width="5" style="47" customWidth="1"/>
    <col min="15661" max="15662" width="11.44140625" style="47" hidden="1" customWidth="1"/>
    <col min="15663" max="15663" width="5" style="47" customWidth="1"/>
    <col min="15664" max="15728" width="11.44140625" style="47" hidden="1" customWidth="1"/>
    <col min="15729" max="15729" width="9.44140625" style="47" customWidth="1"/>
    <col min="15730" max="15747" width="11.44140625" style="47" hidden="1" customWidth="1"/>
    <col min="15748" max="15748" width="6.44140625" style="47" customWidth="1"/>
    <col min="15749" max="15761" width="11.44140625" style="47" hidden="1" customWidth="1"/>
    <col min="15762" max="15762" width="7.109375" style="47" customWidth="1"/>
    <col min="15763" max="15772" width="11.44140625" style="47" hidden="1" customWidth="1"/>
    <col min="15773" max="15773" width="6.44140625" style="47" customWidth="1"/>
    <col min="15774" max="15794" width="11.44140625" style="47" hidden="1" customWidth="1"/>
    <col min="15795" max="15795" width="9" style="47" customWidth="1"/>
    <col min="15796" max="15797" width="11.44140625" style="47" hidden="1" customWidth="1"/>
    <col min="15798" max="15798" width="8.44140625" style="47" customWidth="1"/>
    <col min="15799" max="15800" width="11.44140625" style="47" hidden="1" customWidth="1"/>
    <col min="15801" max="15801" width="6.44140625" style="47" customWidth="1"/>
    <col min="15802" max="15803" width="11.44140625" style="47" hidden="1" customWidth="1"/>
    <col min="15804" max="15804" width="7" style="47" customWidth="1"/>
    <col min="15805" max="15806" width="11.44140625" style="47" hidden="1" customWidth="1"/>
    <col min="15807" max="15809" width="7" style="47" customWidth="1"/>
    <col min="15810" max="15811" width="11.44140625" style="47" hidden="1" customWidth="1"/>
    <col min="15812" max="15812" width="7.44140625" style="47" customWidth="1"/>
    <col min="15813" max="15814" width="11.44140625" style="47" hidden="1" customWidth="1"/>
    <col min="15815" max="15815" width="7" style="47" customWidth="1"/>
    <col min="15816" max="15817" width="11.44140625" style="47" hidden="1" customWidth="1"/>
    <col min="15818" max="15818" width="7" style="47" customWidth="1"/>
    <col min="15819" max="15820" width="11.44140625" style="47" hidden="1" customWidth="1"/>
    <col min="15821" max="15821" width="7" style="47" customWidth="1"/>
    <col min="15822" max="15822" width="11.44140625" style="47" hidden="1" customWidth="1"/>
    <col min="15823" max="15823" width="6.44140625" style="47" customWidth="1"/>
    <col min="15824" max="15833" width="11.44140625" style="47" hidden="1" customWidth="1"/>
    <col min="15834" max="15868" width="11.44140625" style="47" hidden="1"/>
    <col min="15869" max="15869" width="41.44140625" style="47" customWidth="1"/>
    <col min="15870" max="15870" width="6.44140625" style="47" customWidth="1"/>
    <col min="15871" max="15871" width="14.5546875" style="47" customWidth="1"/>
    <col min="15872" max="15872" width="11.44140625" style="47" customWidth="1"/>
    <col min="15873" max="15873" width="13" style="47" customWidth="1"/>
    <col min="15874" max="15874" width="25.44140625" style="47" customWidth="1"/>
    <col min="15875" max="15884" width="9.44140625" style="47" customWidth="1"/>
    <col min="15885" max="15885" width="11.5546875" style="47" customWidth="1"/>
    <col min="15886" max="15886" width="9.44140625" style="47" customWidth="1"/>
    <col min="15887" max="15887" width="10.109375" style="47" customWidth="1"/>
    <col min="15888" max="15899" width="11.44140625" style="47" hidden="1" customWidth="1"/>
    <col min="15900" max="15901" width="11.44140625" style="47" customWidth="1"/>
    <col min="15902" max="15902" width="56.88671875" style="47" customWidth="1"/>
    <col min="15903" max="15903" width="9.109375" style="47" customWidth="1"/>
    <col min="15904" max="15904" width="32" style="47" customWidth="1"/>
    <col min="15905" max="15905" width="22.88671875" style="47" customWidth="1"/>
    <col min="15906" max="15906" width="31" style="47" customWidth="1"/>
    <col min="15907" max="15907" width="5" style="47" customWidth="1"/>
    <col min="15908" max="15909" width="11.44140625" style="47" hidden="1" customWidth="1"/>
    <col min="15910" max="15910" width="5" style="47" customWidth="1"/>
    <col min="15911" max="15912" width="11.44140625" style="47" hidden="1" customWidth="1"/>
    <col min="15913" max="15913" width="5" style="47" customWidth="1"/>
    <col min="15914" max="15915" width="11.44140625" style="47" hidden="1" customWidth="1"/>
    <col min="15916" max="15916" width="5" style="47" customWidth="1"/>
    <col min="15917" max="15918" width="11.44140625" style="47" hidden="1" customWidth="1"/>
    <col min="15919" max="15919" width="5" style="47" customWidth="1"/>
    <col min="15920" max="15984" width="11.44140625" style="47" hidden="1" customWidth="1"/>
    <col min="15985" max="15985" width="9.44140625" style="47" customWidth="1"/>
    <col min="15986" max="16003" width="11.44140625" style="47" hidden="1" customWidth="1"/>
    <col min="16004" max="16004" width="6.44140625" style="47" customWidth="1"/>
    <col min="16005" max="16017" width="11.44140625" style="47" hidden="1" customWidth="1"/>
    <col min="16018" max="16018" width="7.109375" style="47" customWidth="1"/>
    <col min="16019" max="16028" width="11.44140625" style="47" hidden="1" customWidth="1"/>
    <col min="16029" max="16029" width="6.44140625" style="47" customWidth="1"/>
    <col min="16030" max="16050" width="11.44140625" style="47" hidden="1" customWidth="1"/>
    <col min="16051" max="16051" width="9" style="47" customWidth="1"/>
    <col min="16052" max="16053" width="11.44140625" style="47" hidden="1" customWidth="1"/>
    <col min="16054" max="16054" width="8.44140625" style="47" customWidth="1"/>
    <col min="16055" max="16056" width="11.44140625" style="47" hidden="1" customWidth="1"/>
    <col min="16057" max="16057" width="6.44140625" style="47" customWidth="1"/>
    <col min="16058" max="16059" width="11.44140625" style="47" hidden="1" customWidth="1"/>
    <col min="16060" max="16060" width="7" style="47" customWidth="1"/>
    <col min="16061" max="16062" width="11.44140625" style="47" hidden="1" customWidth="1"/>
    <col min="16063" max="16065" width="7" style="47" customWidth="1"/>
    <col min="16066" max="16067" width="11.44140625" style="47" hidden="1" customWidth="1"/>
    <col min="16068" max="16068" width="7.44140625" style="47" customWidth="1"/>
    <col min="16069" max="16070" width="11.44140625" style="47" hidden="1" customWidth="1"/>
    <col min="16071" max="16071" width="7" style="47" customWidth="1"/>
    <col min="16072" max="16073" width="11.44140625" style="47" hidden="1" customWidth="1"/>
    <col min="16074" max="16074" width="7" style="47" customWidth="1"/>
    <col min="16075" max="16076" width="11.44140625" style="47" hidden="1" customWidth="1"/>
    <col min="16077" max="16077" width="7" style="47" customWidth="1"/>
    <col min="16078" max="16078" width="11.44140625" style="47" hidden="1" customWidth="1"/>
    <col min="16079" max="16079" width="6.44140625" style="47" customWidth="1"/>
    <col min="16080" max="16089" width="11.44140625" style="47" hidden="1" customWidth="1"/>
    <col min="16090" max="16384" width="11.44140625" style="47" hidden="1"/>
  </cols>
  <sheetData>
    <row r="1" spans="1:5" s="41" customFormat="1" ht="18.75" customHeight="1">
      <c r="A1" s="51">
        <v>45474</v>
      </c>
      <c r="B1" s="107"/>
      <c r="C1" s="2" t="s">
        <v>0</v>
      </c>
      <c r="D1" s="53"/>
      <c r="E1" s="53"/>
    </row>
    <row r="2" spans="1:5" s="42" customFormat="1" ht="47.4" customHeight="1">
      <c r="A2" s="205" t="s">
        <v>1</v>
      </c>
      <c r="B2" s="54" t="s">
        <v>2</v>
      </c>
      <c r="C2" s="55" t="s">
        <v>3</v>
      </c>
      <c r="D2" s="56" t="s">
        <v>4</v>
      </c>
      <c r="E2" s="57" t="s">
        <v>5</v>
      </c>
    </row>
    <row r="3" spans="1:5" s="43" customFormat="1" hidden="1">
      <c r="A3" s="206"/>
      <c r="B3" s="58"/>
      <c r="C3" s="37"/>
      <c r="D3" s="108"/>
      <c r="E3" s="109"/>
    </row>
    <row r="4" spans="1:5" s="44" customFormat="1" ht="19.2" hidden="1" customHeight="1">
      <c r="A4" s="5" t="s">
        <v>6</v>
      </c>
      <c r="B4" s="61" t="s">
        <v>7</v>
      </c>
      <c r="C4" s="110"/>
      <c r="D4" s="111"/>
      <c r="E4" s="112"/>
    </row>
    <row r="5" spans="1:5" s="44" customFormat="1" ht="19.2" hidden="1" customHeight="1">
      <c r="A5" s="7" t="s">
        <v>8</v>
      </c>
      <c r="B5" s="61" t="s">
        <v>9</v>
      </c>
      <c r="C5" s="110"/>
      <c r="D5" s="111"/>
      <c r="E5" s="112"/>
    </row>
    <row r="6" spans="1:5" s="44" customFormat="1" ht="19.2" hidden="1" customHeight="1">
      <c r="A6" s="5" t="s">
        <v>10</v>
      </c>
      <c r="B6" s="61" t="s">
        <v>7</v>
      </c>
      <c r="C6" s="110"/>
      <c r="D6" s="111"/>
      <c r="E6" s="112"/>
    </row>
    <row r="7" spans="1:5" s="44" customFormat="1" ht="19.2" hidden="1" customHeight="1">
      <c r="A7" s="5" t="s">
        <v>11</v>
      </c>
      <c r="B7" s="61" t="s">
        <v>7</v>
      </c>
      <c r="C7" s="110"/>
      <c r="D7" s="111"/>
      <c r="E7" s="112"/>
    </row>
    <row r="8" spans="1:5" s="44" customFormat="1" ht="19.2" hidden="1" customHeight="1">
      <c r="A8" s="8" t="s">
        <v>12</v>
      </c>
      <c r="B8" s="61" t="s">
        <v>9</v>
      </c>
      <c r="C8" s="110"/>
      <c r="D8" s="111"/>
      <c r="E8" s="112"/>
    </row>
    <row r="9" spans="1:5" s="44" customFormat="1" ht="19.2" hidden="1" customHeight="1">
      <c r="A9" s="9" t="s">
        <v>13</v>
      </c>
      <c r="B9" s="61" t="s">
        <v>7</v>
      </c>
      <c r="C9" s="110"/>
      <c r="D9" s="113"/>
      <c r="E9" s="112"/>
    </row>
    <row r="10" spans="1:5" s="44" customFormat="1" ht="19.2" hidden="1" customHeight="1">
      <c r="A10" s="5" t="s">
        <v>14</v>
      </c>
      <c r="B10" s="61" t="s">
        <v>7</v>
      </c>
      <c r="C10" s="110"/>
      <c r="D10" s="111"/>
      <c r="E10" s="112"/>
    </row>
    <row r="11" spans="1:5" s="44" customFormat="1" ht="19.2" hidden="1" customHeight="1">
      <c r="A11" s="5" t="s">
        <v>15</v>
      </c>
      <c r="B11" s="61" t="s">
        <v>7</v>
      </c>
      <c r="C11" s="110"/>
      <c r="D11" s="111"/>
      <c r="E11" s="112"/>
    </row>
    <row r="12" spans="1:5" s="44" customFormat="1" ht="19.2" hidden="1" customHeight="1">
      <c r="A12" s="10" t="s">
        <v>16</v>
      </c>
      <c r="B12" s="61" t="s">
        <v>17</v>
      </c>
      <c r="C12" s="110"/>
      <c r="D12" s="111"/>
      <c r="E12" s="112"/>
    </row>
    <row r="13" spans="1:5" s="44" customFormat="1" ht="19.2" hidden="1" customHeight="1">
      <c r="A13" s="8" t="s">
        <v>18</v>
      </c>
      <c r="B13" s="61" t="s">
        <v>7</v>
      </c>
      <c r="C13" s="110"/>
      <c r="D13" s="111"/>
      <c r="E13" s="112"/>
    </row>
    <row r="14" spans="1:5" s="44" customFormat="1" ht="19.2" hidden="1" customHeight="1">
      <c r="A14" s="8" t="s">
        <v>19</v>
      </c>
      <c r="B14" s="61" t="s">
        <v>7</v>
      </c>
      <c r="C14" s="110"/>
      <c r="D14" s="111"/>
      <c r="E14" s="112"/>
    </row>
    <row r="15" spans="1:5" s="44" customFormat="1" ht="19.2" hidden="1" customHeight="1">
      <c r="A15" s="11" t="s">
        <v>20</v>
      </c>
      <c r="B15" s="61" t="s">
        <v>21</v>
      </c>
      <c r="C15" s="110"/>
      <c r="D15" s="111"/>
      <c r="E15" s="112"/>
    </row>
    <row r="16" spans="1:5" s="44" customFormat="1" ht="19.2" customHeight="1">
      <c r="A16" s="10" t="s">
        <v>22</v>
      </c>
      <c r="B16" s="64" t="s">
        <v>7</v>
      </c>
      <c r="C16" s="114">
        <v>7</v>
      </c>
      <c r="D16" s="115">
        <v>18000</v>
      </c>
      <c r="E16" s="116">
        <f>+D16*C16</f>
        <v>126000</v>
      </c>
    </row>
    <row r="17" spans="1:5" s="44" customFormat="1" ht="19.2" hidden="1" customHeight="1">
      <c r="A17" s="8" t="s">
        <v>23</v>
      </c>
      <c r="B17" s="61" t="s">
        <v>7</v>
      </c>
      <c r="C17" s="110"/>
      <c r="D17" s="111"/>
      <c r="E17" s="112"/>
    </row>
    <row r="18" spans="1:5" s="44" customFormat="1" ht="19.2" hidden="1" customHeight="1">
      <c r="A18" s="8" t="s">
        <v>24</v>
      </c>
      <c r="B18" s="61" t="s">
        <v>7</v>
      </c>
      <c r="C18" s="110"/>
      <c r="D18" s="111"/>
      <c r="E18" s="117"/>
    </row>
    <row r="19" spans="1:5" s="44" customFormat="1" ht="19.2" hidden="1" customHeight="1">
      <c r="A19" s="12" t="s">
        <v>25</v>
      </c>
      <c r="B19" s="61" t="s">
        <v>21</v>
      </c>
      <c r="C19" s="110"/>
      <c r="D19" s="111"/>
      <c r="E19" s="118"/>
    </row>
    <row r="20" spans="1:5" s="44" customFormat="1" ht="19.2" hidden="1" customHeight="1">
      <c r="A20" s="10" t="s">
        <v>26</v>
      </c>
      <c r="B20" s="61" t="s">
        <v>7</v>
      </c>
      <c r="C20" s="110"/>
      <c r="D20" s="111"/>
      <c r="E20" s="112"/>
    </row>
    <row r="21" spans="1:5" s="44" customFormat="1" ht="19.2" customHeight="1">
      <c r="A21" s="19" t="s">
        <v>27</v>
      </c>
      <c r="B21" s="64" t="s">
        <v>7</v>
      </c>
      <c r="C21" s="114">
        <v>140</v>
      </c>
      <c r="D21" s="115">
        <v>13000</v>
      </c>
      <c r="E21" s="116">
        <f>+D21*C21</f>
        <v>1820000</v>
      </c>
    </row>
    <row r="22" spans="1:5" s="44" customFormat="1" ht="19.2" hidden="1" customHeight="1">
      <c r="A22" s="11" t="s">
        <v>28</v>
      </c>
      <c r="B22" s="61" t="s">
        <v>21</v>
      </c>
      <c r="C22" s="110"/>
      <c r="D22" s="111"/>
      <c r="E22" s="112"/>
    </row>
    <row r="23" spans="1:5" s="44" customFormat="1" ht="19.2" hidden="1" customHeight="1">
      <c r="A23" s="11" t="s">
        <v>29</v>
      </c>
      <c r="B23" s="61" t="s">
        <v>7</v>
      </c>
      <c r="C23" s="110"/>
      <c r="D23" s="111"/>
      <c r="E23" s="112"/>
    </row>
    <row r="24" spans="1:5" s="44" customFormat="1" ht="19.2" hidden="1" customHeight="1">
      <c r="A24" s="8" t="s">
        <v>30</v>
      </c>
      <c r="B24" s="61" t="s">
        <v>7</v>
      </c>
      <c r="C24" s="110"/>
      <c r="D24" s="111"/>
      <c r="E24" s="112"/>
    </row>
    <row r="25" spans="1:5" s="44" customFormat="1" ht="19.2" hidden="1" customHeight="1">
      <c r="A25" s="8" t="s">
        <v>31</v>
      </c>
      <c r="B25" s="61" t="s">
        <v>21</v>
      </c>
      <c r="C25" s="110"/>
      <c r="D25" s="111"/>
      <c r="E25" s="112"/>
    </row>
    <row r="26" spans="1:5" s="44" customFormat="1" ht="19.2" customHeight="1">
      <c r="A26" s="19" t="s">
        <v>32</v>
      </c>
      <c r="B26" s="64" t="s">
        <v>7</v>
      </c>
      <c r="C26" s="114">
        <v>70</v>
      </c>
      <c r="D26" s="115">
        <v>13000</v>
      </c>
      <c r="E26" s="116">
        <f t="shared" ref="E26:E27" si="0">+D26*C26</f>
        <v>910000</v>
      </c>
    </row>
    <row r="27" spans="1:5" s="44" customFormat="1" ht="19.2" customHeight="1">
      <c r="A27" s="19" t="s">
        <v>33</v>
      </c>
      <c r="B27" s="64" t="s">
        <v>21</v>
      </c>
      <c r="C27" s="114">
        <v>235</v>
      </c>
      <c r="D27" s="115">
        <v>3900</v>
      </c>
      <c r="E27" s="116">
        <f t="shared" si="0"/>
        <v>916500</v>
      </c>
    </row>
    <row r="28" spans="1:5" s="44" customFormat="1" ht="19.2" hidden="1" customHeight="1">
      <c r="A28" s="8" t="s">
        <v>34</v>
      </c>
      <c r="B28" s="61" t="s">
        <v>7</v>
      </c>
      <c r="C28" s="110"/>
      <c r="D28" s="111"/>
      <c r="E28" s="112"/>
    </row>
    <row r="29" spans="1:5" s="44" customFormat="1" ht="19.2" customHeight="1">
      <c r="A29" s="19" t="s">
        <v>35</v>
      </c>
      <c r="B29" s="64" t="s">
        <v>7</v>
      </c>
      <c r="C29" s="114">
        <v>89</v>
      </c>
      <c r="D29" s="115">
        <v>12500</v>
      </c>
      <c r="E29" s="116">
        <f>+D29*C29</f>
        <v>1112500</v>
      </c>
    </row>
    <row r="30" spans="1:5" s="44" customFormat="1" ht="19.2" hidden="1" customHeight="1">
      <c r="A30" s="10" t="s">
        <v>36</v>
      </c>
      <c r="B30" s="61" t="s">
        <v>7</v>
      </c>
      <c r="C30" s="119"/>
      <c r="D30" s="111"/>
      <c r="E30" s="112"/>
    </row>
    <row r="31" spans="1:5" s="44" customFormat="1" ht="19.2" hidden="1" customHeight="1">
      <c r="A31" s="11" t="s">
        <v>37</v>
      </c>
      <c r="B31" s="61" t="s">
        <v>7</v>
      </c>
      <c r="C31" s="110"/>
      <c r="D31" s="111"/>
      <c r="E31" s="112"/>
    </row>
    <row r="32" spans="1:5" s="44" customFormat="1" ht="19.2" hidden="1" customHeight="1">
      <c r="A32" s="10" t="s">
        <v>38</v>
      </c>
      <c r="B32" s="61" t="s">
        <v>39</v>
      </c>
      <c r="C32" s="110"/>
      <c r="D32" s="111"/>
      <c r="E32" s="112"/>
    </row>
    <row r="33" spans="1:5" s="44" customFormat="1" ht="19.2" hidden="1" customHeight="1">
      <c r="A33" s="10" t="s">
        <v>40</v>
      </c>
      <c r="B33" s="61" t="s">
        <v>39</v>
      </c>
      <c r="C33" s="110"/>
      <c r="D33" s="111"/>
      <c r="E33" s="112"/>
    </row>
    <row r="34" spans="1:5" s="44" customFormat="1" ht="19.2" hidden="1" customHeight="1">
      <c r="A34" s="10" t="s">
        <v>41</v>
      </c>
      <c r="B34" s="61" t="s">
        <v>39</v>
      </c>
      <c r="C34" s="110"/>
      <c r="D34" s="111"/>
      <c r="E34" s="112"/>
    </row>
    <row r="35" spans="1:5" s="44" customFormat="1" ht="19.2" hidden="1" customHeight="1">
      <c r="A35" s="11" t="s">
        <v>42</v>
      </c>
      <c r="B35" s="61" t="s">
        <v>39</v>
      </c>
      <c r="C35" s="110"/>
      <c r="D35" s="111"/>
      <c r="E35" s="112"/>
    </row>
    <row r="36" spans="1:5" s="44" customFormat="1" ht="19.2" hidden="1" customHeight="1">
      <c r="A36" s="10" t="s">
        <v>43</v>
      </c>
      <c r="B36" s="61" t="s">
        <v>39</v>
      </c>
      <c r="C36" s="110"/>
      <c r="D36" s="111"/>
      <c r="E36" s="112"/>
    </row>
    <row r="37" spans="1:5" s="44" customFormat="1" ht="19.2" hidden="1" customHeight="1">
      <c r="A37" s="10" t="s">
        <v>44</v>
      </c>
      <c r="B37" s="61" t="s">
        <v>39</v>
      </c>
      <c r="C37" s="110"/>
      <c r="D37" s="111"/>
      <c r="E37" s="112"/>
    </row>
    <row r="38" spans="1:5" s="44" customFormat="1" ht="19.2" hidden="1" customHeight="1">
      <c r="A38" s="10" t="s">
        <v>45</v>
      </c>
      <c r="B38" s="61" t="s">
        <v>39</v>
      </c>
      <c r="C38" s="110"/>
      <c r="D38" s="111"/>
      <c r="E38" s="112"/>
    </row>
    <row r="39" spans="1:5" s="44" customFormat="1" ht="19.2" customHeight="1">
      <c r="A39" s="10" t="s">
        <v>46</v>
      </c>
      <c r="B39" s="64" t="s">
        <v>7</v>
      </c>
      <c r="C39" s="114">
        <v>30</v>
      </c>
      <c r="D39" s="115">
        <v>11000</v>
      </c>
      <c r="E39" s="116">
        <f>+D39*C39</f>
        <v>330000</v>
      </c>
    </row>
    <row r="40" spans="1:5" s="44" customFormat="1" ht="19.2" hidden="1" customHeight="1">
      <c r="A40" s="8" t="s">
        <v>47</v>
      </c>
      <c r="B40" s="61" t="s">
        <v>7</v>
      </c>
      <c r="C40" s="110"/>
      <c r="D40" s="111"/>
      <c r="E40" s="112"/>
    </row>
    <row r="41" spans="1:5" s="44" customFormat="1" ht="19.2" hidden="1" customHeight="1">
      <c r="A41" s="8" t="s">
        <v>48</v>
      </c>
      <c r="B41" s="61" t="s">
        <v>49</v>
      </c>
      <c r="C41" s="110"/>
      <c r="D41" s="111"/>
      <c r="E41" s="118"/>
    </row>
    <row r="42" spans="1:5" s="44" customFormat="1" ht="19.2" hidden="1" customHeight="1">
      <c r="A42" s="10" t="s">
        <v>50</v>
      </c>
      <c r="B42" s="61" t="s">
        <v>7</v>
      </c>
      <c r="C42" s="119"/>
      <c r="D42" s="111"/>
      <c r="E42" s="112"/>
    </row>
    <row r="43" spans="1:5" s="44" customFormat="1" ht="19.2" hidden="1" customHeight="1">
      <c r="A43" s="8" t="s">
        <v>51</v>
      </c>
      <c r="B43" s="61" t="s">
        <v>7</v>
      </c>
      <c r="C43" s="110"/>
      <c r="D43" s="111"/>
      <c r="E43" s="112"/>
    </row>
    <row r="44" spans="1:5" s="44" customFormat="1" ht="19.2" hidden="1" customHeight="1">
      <c r="A44" s="8" t="s">
        <v>52</v>
      </c>
      <c r="B44" s="61" t="s">
        <v>7</v>
      </c>
      <c r="C44" s="110"/>
      <c r="D44" s="111"/>
      <c r="E44" s="112"/>
    </row>
    <row r="45" spans="1:5" s="44" customFormat="1" ht="19.2" hidden="1" customHeight="1">
      <c r="A45" s="15" t="s">
        <v>53</v>
      </c>
      <c r="B45" s="61" t="s">
        <v>54</v>
      </c>
      <c r="C45" s="110"/>
      <c r="D45" s="111"/>
      <c r="E45" s="112"/>
    </row>
    <row r="46" spans="1:5" s="44" customFormat="1" ht="19.2" hidden="1" customHeight="1">
      <c r="A46" s="8" t="s">
        <v>55</v>
      </c>
      <c r="B46" s="61" t="s">
        <v>7</v>
      </c>
      <c r="C46" s="110"/>
      <c r="D46" s="111"/>
      <c r="E46" s="112"/>
    </row>
    <row r="47" spans="1:5" s="44" customFormat="1" ht="19.2" hidden="1" customHeight="1">
      <c r="A47" s="8" t="s">
        <v>56</v>
      </c>
      <c r="B47" s="61" t="s">
        <v>57</v>
      </c>
      <c r="C47" s="110"/>
      <c r="D47" s="111"/>
      <c r="E47" s="112"/>
    </row>
    <row r="48" spans="1:5" s="44" customFormat="1" ht="19.2" hidden="1" customHeight="1">
      <c r="A48" s="8" t="s">
        <v>58</v>
      </c>
      <c r="B48" s="61" t="s">
        <v>7</v>
      </c>
      <c r="C48" s="110"/>
      <c r="D48" s="111"/>
      <c r="E48" s="112"/>
    </row>
    <row r="49" spans="1:5" s="44" customFormat="1" ht="19.2" hidden="1" customHeight="1">
      <c r="A49" s="16" t="s">
        <v>59</v>
      </c>
      <c r="B49" s="61" t="s">
        <v>7</v>
      </c>
      <c r="C49" s="110"/>
      <c r="D49" s="111"/>
      <c r="E49" s="112"/>
    </row>
    <row r="50" spans="1:5" s="44" customFormat="1" ht="19.2" hidden="1" customHeight="1">
      <c r="A50" s="12" t="s">
        <v>60</v>
      </c>
      <c r="B50" s="61" t="s">
        <v>57</v>
      </c>
      <c r="C50" s="110"/>
      <c r="D50" s="111"/>
      <c r="E50" s="112"/>
    </row>
    <row r="51" spans="1:5" s="44" customFormat="1" ht="19.2" hidden="1" customHeight="1">
      <c r="A51" s="10" t="s">
        <v>61</v>
      </c>
      <c r="B51" s="61" t="s">
        <v>7</v>
      </c>
      <c r="C51" s="110"/>
      <c r="D51" s="111"/>
      <c r="E51" s="112"/>
    </row>
    <row r="52" spans="1:5" s="44" customFormat="1" ht="19.2" hidden="1" customHeight="1">
      <c r="A52" s="12" t="s">
        <v>62</v>
      </c>
      <c r="B52" s="61" t="s">
        <v>54</v>
      </c>
      <c r="C52" s="110"/>
      <c r="D52" s="111"/>
      <c r="E52" s="112"/>
    </row>
    <row r="53" spans="1:5" s="44" customFormat="1" ht="19.2" hidden="1" customHeight="1">
      <c r="A53" s="8" t="s">
        <v>63</v>
      </c>
      <c r="B53" s="61" t="s">
        <v>7</v>
      </c>
      <c r="C53" s="110"/>
      <c r="D53" s="111"/>
      <c r="E53" s="112"/>
    </row>
    <row r="54" spans="1:5" s="44" customFormat="1" ht="19.2" hidden="1" customHeight="1">
      <c r="A54" s="8" t="s">
        <v>64</v>
      </c>
      <c r="B54" s="61" t="s">
        <v>7</v>
      </c>
      <c r="C54" s="110"/>
      <c r="D54" s="111"/>
      <c r="E54" s="112"/>
    </row>
    <row r="55" spans="1:5" s="44" customFormat="1" ht="19.2" hidden="1" customHeight="1">
      <c r="A55" s="11" t="s">
        <v>65</v>
      </c>
      <c r="B55" s="61" t="s">
        <v>7</v>
      </c>
      <c r="C55" s="110"/>
      <c r="D55" s="120"/>
      <c r="E55" s="112"/>
    </row>
    <row r="56" spans="1:5" s="44" customFormat="1" ht="19.2" hidden="1" customHeight="1">
      <c r="A56" s="8" t="s">
        <v>66</v>
      </c>
      <c r="B56" s="61" t="s">
        <v>7</v>
      </c>
      <c r="C56" s="110"/>
      <c r="D56" s="120"/>
      <c r="E56" s="112"/>
    </row>
    <row r="57" spans="1:5" s="44" customFormat="1" ht="19.2" hidden="1" customHeight="1">
      <c r="A57" s="15" t="s">
        <v>67</v>
      </c>
      <c r="B57" s="61" t="s">
        <v>68</v>
      </c>
      <c r="C57" s="110"/>
      <c r="D57" s="111"/>
      <c r="E57" s="112"/>
    </row>
    <row r="58" spans="1:5" s="44" customFormat="1" ht="19.2" customHeight="1">
      <c r="A58" s="15" t="s">
        <v>69</v>
      </c>
      <c r="B58" s="64" t="s">
        <v>68</v>
      </c>
      <c r="C58" s="114">
        <v>45</v>
      </c>
      <c r="D58" s="115">
        <v>9000</v>
      </c>
      <c r="E58" s="116">
        <f>+D58*C58</f>
        <v>405000</v>
      </c>
    </row>
    <row r="59" spans="1:5" s="44" customFormat="1" ht="19.2" hidden="1" customHeight="1">
      <c r="A59" s="15" t="s">
        <v>70</v>
      </c>
      <c r="B59" s="61" t="s">
        <v>7</v>
      </c>
      <c r="C59" s="110"/>
      <c r="D59" s="120"/>
      <c r="E59" s="112"/>
    </row>
    <row r="60" spans="1:5" s="44" customFormat="1" ht="19.2" hidden="1" customHeight="1">
      <c r="A60" s="8" t="s">
        <v>71</v>
      </c>
      <c r="B60" s="61" t="s">
        <v>7</v>
      </c>
      <c r="C60" s="110"/>
      <c r="D60" s="120"/>
      <c r="E60" s="112"/>
    </row>
    <row r="61" spans="1:5" s="44" customFormat="1" ht="19.2" hidden="1" customHeight="1">
      <c r="A61" s="10" t="s">
        <v>72</v>
      </c>
      <c r="B61" s="61" t="s">
        <v>7</v>
      </c>
      <c r="C61" s="110"/>
      <c r="D61" s="111"/>
      <c r="E61" s="112"/>
    </row>
    <row r="62" spans="1:5" s="44" customFormat="1" ht="19.2" customHeight="1">
      <c r="A62" s="19" t="s">
        <v>73</v>
      </c>
      <c r="B62" s="64" t="s">
        <v>7</v>
      </c>
      <c r="C62" s="121">
        <v>2.5</v>
      </c>
      <c r="D62" s="115">
        <v>28000</v>
      </c>
      <c r="E62" s="116">
        <f>+D62*C62</f>
        <v>70000</v>
      </c>
    </row>
    <row r="63" spans="1:5" s="44" customFormat="1" ht="19.2" hidden="1" customHeight="1">
      <c r="A63" s="16" t="s">
        <v>74</v>
      </c>
      <c r="B63" s="61" t="s">
        <v>7</v>
      </c>
      <c r="C63" s="110"/>
      <c r="D63" s="111"/>
      <c r="E63" s="112"/>
    </row>
    <row r="64" spans="1:5" s="44" customFormat="1" ht="19.2" hidden="1" customHeight="1">
      <c r="A64" s="15" t="s">
        <v>75</v>
      </c>
      <c r="B64" s="61" t="s">
        <v>68</v>
      </c>
      <c r="C64" s="110"/>
      <c r="D64" s="111"/>
      <c r="E64" s="112"/>
    </row>
    <row r="65" spans="1:5" s="44" customFormat="1" ht="19.2" hidden="1" customHeight="1">
      <c r="A65" s="8" t="s">
        <v>76</v>
      </c>
      <c r="B65" s="61" t="s">
        <v>49</v>
      </c>
      <c r="C65" s="110"/>
      <c r="D65" s="120"/>
      <c r="E65" s="112"/>
    </row>
    <row r="66" spans="1:5" s="44" customFormat="1" ht="19.2" hidden="1" customHeight="1">
      <c r="A66" s="17" t="s">
        <v>77</v>
      </c>
      <c r="B66" s="61" t="s">
        <v>7</v>
      </c>
      <c r="C66" s="110"/>
      <c r="D66" s="111"/>
      <c r="E66" s="112"/>
    </row>
    <row r="67" spans="1:5" s="44" customFormat="1" ht="19.2" hidden="1" customHeight="1">
      <c r="A67" s="8" t="s">
        <v>78</v>
      </c>
      <c r="B67" s="61" t="s">
        <v>7</v>
      </c>
      <c r="C67" s="110"/>
      <c r="D67" s="120"/>
      <c r="E67" s="112"/>
    </row>
    <row r="68" spans="1:5" s="44" customFormat="1" ht="19.2" hidden="1" customHeight="1">
      <c r="A68" s="8" t="s">
        <v>79</v>
      </c>
      <c r="B68" s="61" t="s">
        <v>7</v>
      </c>
      <c r="C68" s="110"/>
      <c r="D68" s="120"/>
      <c r="E68" s="112"/>
    </row>
    <row r="69" spans="1:5" s="44" customFormat="1" ht="19.2" hidden="1" customHeight="1">
      <c r="A69" s="18" t="s">
        <v>80</v>
      </c>
      <c r="B69" s="61" t="s">
        <v>7</v>
      </c>
      <c r="C69" s="110"/>
      <c r="D69" s="120"/>
      <c r="E69" s="112"/>
    </row>
    <row r="70" spans="1:5" s="44" customFormat="1" ht="19.2" hidden="1" customHeight="1">
      <c r="A70" s="11" t="s">
        <v>81</v>
      </c>
      <c r="B70" s="61" t="s">
        <v>7</v>
      </c>
      <c r="C70" s="110"/>
      <c r="D70" s="111"/>
      <c r="E70" s="112"/>
    </row>
    <row r="71" spans="1:5" s="44" customFormat="1" ht="19.2" hidden="1" customHeight="1">
      <c r="A71" s="11" t="s">
        <v>82</v>
      </c>
      <c r="B71" s="61" t="s">
        <v>68</v>
      </c>
      <c r="C71" s="110"/>
      <c r="D71" s="111"/>
      <c r="E71" s="112"/>
    </row>
    <row r="72" spans="1:5" s="44" customFormat="1" ht="19.2" hidden="1" customHeight="1">
      <c r="A72" s="10" t="s">
        <v>83</v>
      </c>
      <c r="B72" s="61" t="s">
        <v>7</v>
      </c>
      <c r="C72" s="110"/>
      <c r="D72" s="111"/>
      <c r="E72" s="112"/>
    </row>
    <row r="73" spans="1:5" s="44" customFormat="1" ht="19.2" hidden="1" customHeight="1">
      <c r="A73" s="11" t="s">
        <v>84</v>
      </c>
      <c r="B73" s="61" t="s">
        <v>7</v>
      </c>
      <c r="C73" s="110"/>
      <c r="D73" s="111"/>
      <c r="E73" s="112"/>
    </row>
    <row r="74" spans="1:5" s="44" customFormat="1" ht="19.2" hidden="1" customHeight="1">
      <c r="A74" s="11" t="s">
        <v>85</v>
      </c>
      <c r="B74" s="61" t="s">
        <v>7</v>
      </c>
      <c r="C74" s="110"/>
      <c r="D74" s="111"/>
      <c r="E74" s="112"/>
    </row>
    <row r="75" spans="1:5" s="44" customFormat="1" ht="19.2" hidden="1" customHeight="1">
      <c r="A75" s="11" t="s">
        <v>86</v>
      </c>
      <c r="B75" s="61" t="s">
        <v>68</v>
      </c>
      <c r="C75" s="110"/>
      <c r="D75" s="111"/>
      <c r="E75" s="112"/>
    </row>
    <row r="76" spans="1:5" s="44" customFormat="1" ht="19.2" hidden="1" customHeight="1">
      <c r="A76" s="18" t="s">
        <v>87</v>
      </c>
      <c r="B76" s="61" t="s">
        <v>7</v>
      </c>
      <c r="C76" s="110"/>
      <c r="D76" s="111"/>
      <c r="E76" s="112"/>
    </row>
    <row r="77" spans="1:5" s="44" customFormat="1" ht="19.2" hidden="1" customHeight="1">
      <c r="A77" s="8" t="s">
        <v>88</v>
      </c>
      <c r="B77" s="61" t="s">
        <v>68</v>
      </c>
      <c r="C77" s="110"/>
      <c r="D77" s="111"/>
      <c r="E77" s="112"/>
    </row>
    <row r="78" spans="1:5" s="44" customFormat="1" ht="19.2" hidden="1" customHeight="1">
      <c r="A78" s="8" t="s">
        <v>89</v>
      </c>
      <c r="B78" s="61" t="s">
        <v>54</v>
      </c>
      <c r="C78" s="110"/>
      <c r="D78" s="111"/>
      <c r="E78" s="112"/>
    </row>
    <row r="79" spans="1:5" s="44" customFormat="1" ht="19.2" hidden="1" customHeight="1">
      <c r="A79" s="8" t="s">
        <v>90</v>
      </c>
      <c r="B79" s="61" t="s">
        <v>7</v>
      </c>
      <c r="C79" s="110"/>
      <c r="D79" s="111"/>
      <c r="E79" s="112"/>
    </row>
    <row r="80" spans="1:5" s="44" customFormat="1" ht="19.2" hidden="1" customHeight="1">
      <c r="A80" s="12" t="s">
        <v>91</v>
      </c>
      <c r="B80" s="61" t="s">
        <v>54</v>
      </c>
      <c r="C80" s="110"/>
      <c r="D80" s="111"/>
      <c r="E80" s="112"/>
    </row>
    <row r="81" spans="1:5" s="44" customFormat="1" ht="19.2" customHeight="1">
      <c r="A81" s="19" t="s">
        <v>92</v>
      </c>
      <c r="B81" s="64" t="s">
        <v>93</v>
      </c>
      <c r="C81" s="114">
        <v>60</v>
      </c>
      <c r="D81" s="115">
        <v>30000</v>
      </c>
      <c r="E81" s="116">
        <f t="shared" ref="E81:E82" si="1">+D81*C81</f>
        <v>1800000</v>
      </c>
    </row>
    <row r="82" spans="1:5" s="44" customFormat="1" ht="19.2" customHeight="1">
      <c r="A82" s="19" t="s">
        <v>94</v>
      </c>
      <c r="B82" s="64" t="s">
        <v>7</v>
      </c>
      <c r="C82" s="114">
        <v>36</v>
      </c>
      <c r="D82" s="115">
        <v>23000</v>
      </c>
      <c r="E82" s="116">
        <f t="shared" si="1"/>
        <v>828000</v>
      </c>
    </row>
    <row r="83" spans="1:5" s="44" customFormat="1" ht="19.2" hidden="1" customHeight="1">
      <c r="A83" s="8" t="s">
        <v>95</v>
      </c>
      <c r="B83" s="61" t="s">
        <v>7</v>
      </c>
      <c r="C83" s="110"/>
      <c r="D83" s="111"/>
      <c r="E83" s="112"/>
    </row>
    <row r="84" spans="1:5" s="44" customFormat="1" ht="19.2" hidden="1" customHeight="1">
      <c r="A84" s="11" t="s">
        <v>96</v>
      </c>
      <c r="B84" s="61" t="s">
        <v>7</v>
      </c>
      <c r="C84" s="119"/>
      <c r="D84" s="111"/>
      <c r="E84" s="112"/>
    </row>
    <row r="85" spans="1:5" s="44" customFormat="1" ht="19.2" hidden="1" customHeight="1">
      <c r="A85" s="11" t="s">
        <v>97</v>
      </c>
      <c r="B85" s="61" t="s">
        <v>7</v>
      </c>
      <c r="C85" s="119"/>
      <c r="D85" s="111"/>
      <c r="E85" s="112"/>
    </row>
    <row r="86" spans="1:5" s="44" customFormat="1" ht="19.2" customHeight="1">
      <c r="A86" s="10" t="s">
        <v>98</v>
      </c>
      <c r="B86" s="64" t="s">
        <v>54</v>
      </c>
      <c r="C86" s="121">
        <v>2</v>
      </c>
      <c r="D86" s="115">
        <v>3600</v>
      </c>
      <c r="E86" s="116">
        <f>+D86*C86</f>
        <v>7200</v>
      </c>
    </row>
    <row r="87" spans="1:5" s="44" customFormat="1" ht="19.2" hidden="1" customHeight="1">
      <c r="A87" s="8" t="s">
        <v>99</v>
      </c>
      <c r="B87" s="61" t="s">
        <v>7</v>
      </c>
      <c r="C87" s="110"/>
      <c r="D87" s="111"/>
      <c r="E87" s="112"/>
    </row>
    <row r="88" spans="1:5" s="44" customFormat="1" ht="19.2" hidden="1" customHeight="1">
      <c r="A88" s="8" t="s">
        <v>100</v>
      </c>
      <c r="B88" s="61" t="s">
        <v>7</v>
      </c>
      <c r="C88" s="110"/>
      <c r="D88" s="111"/>
      <c r="E88" s="112"/>
    </row>
    <row r="89" spans="1:5" s="45" customFormat="1" ht="19.2" hidden="1" customHeight="1">
      <c r="A89" s="8" t="s">
        <v>101</v>
      </c>
      <c r="B89" s="61" t="s">
        <v>49</v>
      </c>
      <c r="C89" s="110"/>
      <c r="D89" s="111"/>
      <c r="E89" s="112"/>
    </row>
    <row r="90" spans="1:5" s="45" customFormat="1" ht="19.2" hidden="1" customHeight="1">
      <c r="A90" s="8" t="s">
        <v>102</v>
      </c>
      <c r="B90" s="61" t="s">
        <v>7</v>
      </c>
      <c r="C90" s="110"/>
      <c r="D90" s="111"/>
      <c r="E90" s="112"/>
    </row>
    <row r="91" spans="1:5" s="44" customFormat="1" ht="19.2" hidden="1" customHeight="1">
      <c r="A91" s="8" t="s">
        <v>103</v>
      </c>
      <c r="B91" s="61" t="s">
        <v>49</v>
      </c>
      <c r="C91" s="110"/>
      <c r="D91" s="111"/>
      <c r="E91" s="112"/>
    </row>
    <row r="92" spans="1:5" s="44" customFormat="1" ht="19.2" customHeight="1">
      <c r="A92" s="19" t="s">
        <v>104</v>
      </c>
      <c r="B92" s="64" t="s">
        <v>7</v>
      </c>
      <c r="C92" s="114">
        <v>50</v>
      </c>
      <c r="D92" s="115">
        <v>10000</v>
      </c>
      <c r="E92" s="116">
        <f>+D92*C92</f>
        <v>500000</v>
      </c>
    </row>
    <row r="93" spans="1:5" s="44" customFormat="1" ht="19.2" hidden="1" customHeight="1">
      <c r="A93" s="19" t="s">
        <v>105</v>
      </c>
      <c r="B93" s="61" t="s">
        <v>17</v>
      </c>
      <c r="C93" s="110"/>
      <c r="D93" s="111"/>
      <c r="E93" s="112"/>
    </row>
    <row r="94" spans="1:5" s="44" customFormat="1" ht="19.2" hidden="1" customHeight="1">
      <c r="A94" s="19" t="s">
        <v>106</v>
      </c>
      <c r="B94" s="61" t="s">
        <v>68</v>
      </c>
      <c r="C94" s="110"/>
      <c r="D94" s="111"/>
      <c r="E94" s="112"/>
    </row>
    <row r="95" spans="1:5" s="44" customFormat="1" ht="19.2" hidden="1" customHeight="1">
      <c r="A95" s="19" t="s">
        <v>107</v>
      </c>
      <c r="B95" s="61" t="s">
        <v>68</v>
      </c>
      <c r="C95" s="110"/>
      <c r="D95" s="111"/>
      <c r="E95" s="112"/>
    </row>
    <row r="96" spans="1:5" s="44" customFormat="1" ht="19.2" hidden="1" customHeight="1">
      <c r="A96" s="10" t="s">
        <v>108</v>
      </c>
      <c r="B96" s="61" t="s">
        <v>7</v>
      </c>
      <c r="C96" s="110"/>
      <c r="D96" s="111"/>
      <c r="E96" s="112"/>
    </row>
    <row r="97" spans="1:5" s="44" customFormat="1" ht="19.2" hidden="1" customHeight="1">
      <c r="A97" s="12" t="s">
        <v>109</v>
      </c>
      <c r="B97" s="61" t="s">
        <v>54</v>
      </c>
      <c r="C97" s="110"/>
      <c r="D97" s="111"/>
      <c r="E97" s="112"/>
    </row>
    <row r="98" spans="1:5" s="44" customFormat="1" ht="19.2" hidden="1" customHeight="1">
      <c r="A98" s="8" t="s">
        <v>110</v>
      </c>
      <c r="B98" s="61" t="s">
        <v>7</v>
      </c>
      <c r="C98" s="110"/>
      <c r="D98" s="111"/>
      <c r="E98" s="112"/>
    </row>
    <row r="99" spans="1:5" s="44" customFormat="1" ht="19.2" hidden="1" customHeight="1">
      <c r="A99" s="8" t="s">
        <v>111</v>
      </c>
      <c r="B99" s="61" t="s">
        <v>49</v>
      </c>
      <c r="C99" s="110"/>
      <c r="D99" s="111"/>
      <c r="E99" s="112"/>
    </row>
    <row r="100" spans="1:5" s="44" customFormat="1" ht="19.2" hidden="1" customHeight="1">
      <c r="A100" s="10" t="s">
        <v>112</v>
      </c>
      <c r="B100" s="61" t="s">
        <v>49</v>
      </c>
      <c r="C100" s="110"/>
      <c r="D100" s="111"/>
      <c r="E100" s="112"/>
    </row>
    <row r="101" spans="1:5" s="44" customFormat="1" ht="19.2" hidden="1" customHeight="1">
      <c r="A101" s="8" t="s">
        <v>113</v>
      </c>
      <c r="B101" s="61" t="s">
        <v>7</v>
      </c>
      <c r="C101" s="119"/>
      <c r="D101" s="111"/>
      <c r="E101" s="112"/>
    </row>
    <row r="102" spans="1:5" s="44" customFormat="1" ht="19.2" hidden="1" customHeight="1">
      <c r="A102" s="10" t="s">
        <v>114</v>
      </c>
      <c r="B102" s="61" t="s">
        <v>49</v>
      </c>
      <c r="C102" s="110"/>
      <c r="D102" s="111"/>
      <c r="E102" s="112"/>
    </row>
    <row r="103" spans="1:5" s="44" customFormat="1" ht="19.2" hidden="1" customHeight="1">
      <c r="A103" s="20" t="s">
        <v>115</v>
      </c>
      <c r="B103" s="61" t="s">
        <v>49</v>
      </c>
      <c r="C103" s="110"/>
      <c r="D103" s="111"/>
      <c r="E103" s="118"/>
    </row>
    <row r="104" spans="1:5" s="44" customFormat="1" ht="19.2" hidden="1" customHeight="1">
      <c r="A104" s="21" t="s">
        <v>116</v>
      </c>
      <c r="B104" s="61" t="s">
        <v>7</v>
      </c>
      <c r="C104" s="110"/>
      <c r="D104" s="111"/>
      <c r="E104" s="112"/>
    </row>
    <row r="105" spans="1:5" s="44" customFormat="1" ht="19.2" hidden="1" customHeight="1">
      <c r="A105" s="22" t="s">
        <v>117</v>
      </c>
      <c r="B105" s="61" t="s">
        <v>7</v>
      </c>
      <c r="C105" s="110"/>
      <c r="D105" s="111"/>
      <c r="E105" s="112"/>
    </row>
    <row r="106" spans="1:5" s="44" customFormat="1" ht="19.2" hidden="1" customHeight="1">
      <c r="A106" s="15" t="s">
        <v>118</v>
      </c>
      <c r="B106" s="61" t="s">
        <v>9</v>
      </c>
      <c r="C106" s="110"/>
      <c r="D106" s="111"/>
      <c r="E106" s="112"/>
    </row>
    <row r="107" spans="1:5" s="44" customFormat="1" ht="19.2" hidden="1" customHeight="1">
      <c r="A107" s="8" t="s">
        <v>119</v>
      </c>
      <c r="B107" s="61" t="s">
        <v>7</v>
      </c>
      <c r="C107" s="110"/>
      <c r="D107" s="111"/>
      <c r="E107" s="112"/>
    </row>
    <row r="108" spans="1:5" s="44" customFormat="1" ht="19.2" hidden="1" customHeight="1">
      <c r="A108" s="8" t="s">
        <v>120</v>
      </c>
      <c r="B108" s="61" t="s">
        <v>9</v>
      </c>
      <c r="C108" s="110"/>
      <c r="D108" s="111"/>
      <c r="E108" s="112"/>
    </row>
    <row r="109" spans="1:5" s="44" customFormat="1" ht="19.2" hidden="1" customHeight="1">
      <c r="A109" s="10" t="s">
        <v>121</v>
      </c>
      <c r="B109" s="61" t="s">
        <v>7</v>
      </c>
      <c r="C109" s="110"/>
      <c r="D109" s="111"/>
      <c r="E109" s="112"/>
    </row>
    <row r="110" spans="1:5" s="44" customFormat="1" ht="19.2" hidden="1" customHeight="1">
      <c r="A110" s="23" t="s">
        <v>122</v>
      </c>
      <c r="B110" s="61" t="s">
        <v>39</v>
      </c>
      <c r="C110" s="110"/>
      <c r="D110" s="111"/>
      <c r="E110" s="112"/>
    </row>
    <row r="111" spans="1:5" s="44" customFormat="1" ht="19.2" hidden="1" customHeight="1">
      <c r="A111" s="8" t="s">
        <v>123</v>
      </c>
      <c r="B111" s="61" t="s">
        <v>7</v>
      </c>
      <c r="C111" s="110"/>
      <c r="D111" s="111"/>
      <c r="E111" s="112"/>
    </row>
    <row r="112" spans="1:5" s="44" customFormat="1" ht="19.2" customHeight="1">
      <c r="A112" s="19" t="s">
        <v>124</v>
      </c>
      <c r="B112" s="64" t="s">
        <v>7</v>
      </c>
      <c r="C112" s="114">
        <v>60</v>
      </c>
      <c r="D112" s="115">
        <v>17000</v>
      </c>
      <c r="E112" s="116">
        <f>+D112*C112</f>
        <v>1020000</v>
      </c>
    </row>
    <row r="113" spans="1:5" s="44" customFormat="1" ht="19.2" hidden="1" customHeight="1">
      <c r="A113" s="8" t="s">
        <v>125</v>
      </c>
      <c r="B113" s="61" t="s">
        <v>7</v>
      </c>
      <c r="C113" s="110"/>
      <c r="D113" s="111"/>
      <c r="E113" s="112"/>
    </row>
    <row r="114" spans="1:5" s="44" customFormat="1" ht="19.2" hidden="1" customHeight="1">
      <c r="A114" s="8" t="s">
        <v>126</v>
      </c>
      <c r="B114" s="61" t="s">
        <v>57</v>
      </c>
      <c r="C114" s="110"/>
      <c r="D114" s="111"/>
      <c r="E114" s="112"/>
    </row>
    <row r="115" spans="1:5" s="44" customFormat="1" ht="19.2" hidden="1" customHeight="1">
      <c r="A115" s="8" t="s">
        <v>127</v>
      </c>
      <c r="B115" s="61" t="s">
        <v>7</v>
      </c>
      <c r="C115" s="110"/>
      <c r="D115" s="111"/>
      <c r="E115" s="112"/>
    </row>
    <row r="116" spans="1:5" s="44" customFormat="1" ht="19.2" hidden="1" customHeight="1">
      <c r="A116" s="8" t="s">
        <v>128</v>
      </c>
      <c r="B116" s="61" t="s">
        <v>7</v>
      </c>
      <c r="C116" s="110"/>
      <c r="D116" s="111"/>
      <c r="E116" s="112"/>
    </row>
    <row r="117" spans="1:5" s="44" customFormat="1" ht="19.2" hidden="1" customHeight="1">
      <c r="A117" s="8" t="s">
        <v>129</v>
      </c>
      <c r="B117" s="61" t="s">
        <v>54</v>
      </c>
      <c r="C117" s="110"/>
      <c r="D117" s="111"/>
      <c r="E117" s="112"/>
    </row>
    <row r="118" spans="1:5" s="44" customFormat="1" ht="19.2" hidden="1" customHeight="1">
      <c r="A118" s="8" t="s">
        <v>130</v>
      </c>
      <c r="B118" s="61" t="s">
        <v>7</v>
      </c>
      <c r="C118" s="110"/>
      <c r="D118" s="111"/>
      <c r="E118" s="112"/>
    </row>
    <row r="119" spans="1:5" s="44" customFormat="1" ht="19.2" hidden="1" customHeight="1">
      <c r="A119" s="10" t="s">
        <v>131</v>
      </c>
      <c r="B119" s="61" t="s">
        <v>7</v>
      </c>
      <c r="C119" s="110"/>
      <c r="D119" s="111"/>
      <c r="E119" s="112"/>
    </row>
    <row r="120" spans="1:5" s="44" customFormat="1" ht="19.2" hidden="1" customHeight="1">
      <c r="A120" s="19" t="s">
        <v>132</v>
      </c>
      <c r="B120" s="61" t="s">
        <v>21</v>
      </c>
      <c r="C120" s="110"/>
      <c r="D120" s="111"/>
      <c r="E120" s="118"/>
    </row>
    <row r="121" spans="1:5" s="44" customFormat="1" ht="19.2" hidden="1" customHeight="1">
      <c r="A121" s="8" t="s">
        <v>133</v>
      </c>
      <c r="B121" s="61" t="s">
        <v>134</v>
      </c>
      <c r="C121" s="110"/>
      <c r="D121" s="111"/>
      <c r="E121" s="112"/>
    </row>
    <row r="122" spans="1:5" s="44" customFormat="1" ht="19.2" hidden="1" customHeight="1">
      <c r="A122" s="10" t="s">
        <v>135</v>
      </c>
      <c r="B122" s="61" t="s">
        <v>134</v>
      </c>
      <c r="C122" s="110"/>
      <c r="D122" s="111"/>
      <c r="E122" s="112"/>
    </row>
    <row r="123" spans="1:5" s="44" customFormat="1" ht="19.2" hidden="1" customHeight="1">
      <c r="A123" s="10" t="s">
        <v>136</v>
      </c>
      <c r="B123" s="61" t="s">
        <v>134</v>
      </c>
      <c r="C123" s="110"/>
      <c r="D123" s="111"/>
      <c r="E123" s="112"/>
    </row>
    <row r="124" spans="1:5" s="44" customFormat="1" ht="19.2" hidden="1" customHeight="1">
      <c r="A124" s="8" t="s">
        <v>137</v>
      </c>
      <c r="B124" s="61" t="s">
        <v>7</v>
      </c>
      <c r="C124" s="110"/>
      <c r="D124" s="111"/>
      <c r="E124" s="112"/>
    </row>
    <row r="125" spans="1:5" s="44" customFormat="1" ht="19.2" hidden="1" customHeight="1">
      <c r="A125" s="8" t="s">
        <v>138</v>
      </c>
      <c r="B125" s="61" t="s">
        <v>54</v>
      </c>
      <c r="C125" s="110"/>
      <c r="D125" s="111"/>
      <c r="E125" s="112"/>
    </row>
    <row r="126" spans="1:5" s="44" customFormat="1" ht="19.2" hidden="1" customHeight="1">
      <c r="A126" s="9" t="s">
        <v>139</v>
      </c>
      <c r="B126" s="61" t="s">
        <v>7</v>
      </c>
      <c r="C126" s="110"/>
      <c r="D126" s="111"/>
      <c r="E126" s="112"/>
    </row>
    <row r="127" spans="1:5" s="44" customFormat="1" ht="19.2" hidden="1" customHeight="1">
      <c r="A127" s="12" t="s">
        <v>140</v>
      </c>
      <c r="B127" s="61" t="s">
        <v>68</v>
      </c>
      <c r="C127" s="110"/>
      <c r="D127" s="111"/>
      <c r="E127" s="112"/>
    </row>
    <row r="128" spans="1:5" s="44" customFormat="1" ht="19.2" hidden="1" customHeight="1">
      <c r="A128" s="11" t="s">
        <v>141</v>
      </c>
      <c r="B128" s="61" t="s">
        <v>68</v>
      </c>
      <c r="C128" s="119"/>
      <c r="D128" s="111"/>
      <c r="E128" s="112"/>
    </row>
    <row r="129" spans="1:5" s="44" customFormat="1" ht="19.2" hidden="1" customHeight="1">
      <c r="A129" s="11" t="s">
        <v>142</v>
      </c>
      <c r="B129" s="61" t="s">
        <v>7</v>
      </c>
      <c r="C129" s="119"/>
      <c r="D129" s="111"/>
      <c r="E129" s="112"/>
    </row>
    <row r="130" spans="1:5" s="44" customFormat="1" ht="19.2" hidden="1" customHeight="1">
      <c r="A130" s="11" t="s">
        <v>143</v>
      </c>
      <c r="B130" s="61" t="s">
        <v>7</v>
      </c>
      <c r="C130" s="119"/>
      <c r="D130" s="111"/>
      <c r="E130" s="112"/>
    </row>
    <row r="131" spans="1:5" s="44" customFormat="1" ht="19.2" hidden="1" customHeight="1">
      <c r="A131" s="11" t="s">
        <v>144</v>
      </c>
      <c r="B131" s="61" t="s">
        <v>7</v>
      </c>
      <c r="C131" s="122"/>
      <c r="D131" s="111"/>
      <c r="E131" s="112"/>
    </row>
    <row r="132" spans="1:5" s="44" customFormat="1" ht="19.2" hidden="1" customHeight="1">
      <c r="A132" s="25" t="s">
        <v>145</v>
      </c>
      <c r="B132" s="61" t="s">
        <v>54</v>
      </c>
      <c r="C132" s="110"/>
      <c r="D132" s="111"/>
      <c r="E132" s="112"/>
    </row>
    <row r="133" spans="1:5" s="44" customFormat="1" ht="19.2" hidden="1" customHeight="1">
      <c r="A133" s="11" t="s">
        <v>146</v>
      </c>
      <c r="B133" s="61" t="s">
        <v>7</v>
      </c>
      <c r="C133" s="119"/>
      <c r="D133" s="111"/>
      <c r="E133" s="112"/>
    </row>
    <row r="134" spans="1:5" s="44" customFormat="1" ht="19.2" hidden="1" customHeight="1">
      <c r="A134" s="8" t="s">
        <v>147</v>
      </c>
      <c r="B134" s="61" t="s">
        <v>7</v>
      </c>
      <c r="C134" s="110"/>
      <c r="D134" s="111"/>
      <c r="E134" s="112"/>
    </row>
    <row r="135" spans="1:5" s="44" customFormat="1" ht="19.2" hidden="1" customHeight="1">
      <c r="A135" s="8" t="s">
        <v>148</v>
      </c>
      <c r="B135" s="61" t="s">
        <v>17</v>
      </c>
      <c r="C135" s="110"/>
      <c r="D135" s="111"/>
      <c r="E135" s="112"/>
    </row>
    <row r="136" spans="1:5" s="44" customFormat="1" ht="19.2" hidden="1" customHeight="1">
      <c r="A136" s="8" t="s">
        <v>149</v>
      </c>
      <c r="B136" s="61" t="s">
        <v>54</v>
      </c>
      <c r="C136" s="110"/>
      <c r="D136" s="111"/>
      <c r="E136" s="112"/>
    </row>
    <row r="137" spans="1:5" s="44" customFormat="1" ht="19.2" hidden="1" customHeight="1">
      <c r="A137" s="8" t="s">
        <v>150</v>
      </c>
      <c r="B137" s="61" t="s">
        <v>7</v>
      </c>
      <c r="C137" s="110"/>
      <c r="D137" s="111"/>
      <c r="E137" s="112"/>
    </row>
    <row r="138" spans="1:5" s="44" customFormat="1" ht="19.2" hidden="1" customHeight="1">
      <c r="A138" s="15" t="s">
        <v>151</v>
      </c>
      <c r="B138" s="61" t="s">
        <v>49</v>
      </c>
      <c r="C138" s="110"/>
      <c r="D138" s="111"/>
      <c r="E138" s="112"/>
    </row>
    <row r="139" spans="1:5" s="44" customFormat="1" ht="19.2" customHeight="1">
      <c r="A139" s="10" t="s">
        <v>152</v>
      </c>
      <c r="B139" s="64" t="s">
        <v>7</v>
      </c>
      <c r="C139" s="121">
        <v>3.2</v>
      </c>
      <c r="D139" s="115">
        <v>42000</v>
      </c>
      <c r="E139" s="116">
        <f>+D139*C139</f>
        <v>134400</v>
      </c>
    </row>
    <row r="140" spans="1:5" s="44" customFormat="1" ht="19.2" hidden="1" customHeight="1">
      <c r="A140" s="11" t="s">
        <v>153</v>
      </c>
      <c r="B140" s="61" t="s">
        <v>49</v>
      </c>
      <c r="C140" s="110"/>
      <c r="D140" s="111"/>
      <c r="E140" s="112"/>
    </row>
    <row r="141" spans="1:5" s="44" customFormat="1" ht="19.2" hidden="1" customHeight="1">
      <c r="A141" s="8" t="s">
        <v>154</v>
      </c>
      <c r="B141" s="61" t="s">
        <v>7</v>
      </c>
      <c r="C141" s="110"/>
      <c r="D141" s="111"/>
      <c r="E141" s="112"/>
    </row>
    <row r="142" spans="1:5" s="44" customFormat="1" ht="19.2" hidden="1" customHeight="1">
      <c r="A142" s="8" t="s">
        <v>155</v>
      </c>
      <c r="B142" s="61" t="s">
        <v>7</v>
      </c>
      <c r="C142" s="110"/>
      <c r="D142" s="111"/>
      <c r="E142" s="112"/>
    </row>
    <row r="143" spans="1:5" s="44" customFormat="1" ht="19.2" hidden="1" customHeight="1">
      <c r="A143" s="8" t="s">
        <v>156</v>
      </c>
      <c r="B143" s="61" t="s">
        <v>7</v>
      </c>
      <c r="C143" s="119"/>
      <c r="D143" s="111"/>
      <c r="E143" s="112"/>
    </row>
    <row r="144" spans="1:5" s="44" customFormat="1" ht="19.2" hidden="1" customHeight="1">
      <c r="A144" s="8" t="s">
        <v>157</v>
      </c>
      <c r="B144" s="61" t="s">
        <v>54</v>
      </c>
      <c r="C144" s="119"/>
      <c r="D144" s="111"/>
      <c r="E144" s="112"/>
    </row>
    <row r="145" spans="1:5" s="44" customFormat="1" ht="19.2" hidden="1" customHeight="1">
      <c r="A145" s="8" t="s">
        <v>158</v>
      </c>
      <c r="B145" s="61"/>
      <c r="C145" s="110"/>
      <c r="D145" s="111"/>
      <c r="E145" s="112"/>
    </row>
    <row r="146" spans="1:5" s="44" customFormat="1" ht="19.2" hidden="1" customHeight="1">
      <c r="A146" s="8" t="s">
        <v>159</v>
      </c>
      <c r="B146" s="61" t="s">
        <v>7</v>
      </c>
      <c r="C146" s="119"/>
      <c r="D146" s="111"/>
      <c r="E146" s="112"/>
    </row>
    <row r="147" spans="1:5" s="44" customFormat="1" ht="19.2" hidden="1" customHeight="1">
      <c r="A147" s="8" t="s">
        <v>160</v>
      </c>
      <c r="B147" s="61" t="s">
        <v>54</v>
      </c>
      <c r="C147" s="119"/>
      <c r="D147" s="111"/>
      <c r="E147" s="112"/>
    </row>
    <row r="148" spans="1:5" s="44" customFormat="1" ht="19.2" hidden="1" customHeight="1">
      <c r="A148" s="8" t="s">
        <v>161</v>
      </c>
      <c r="B148" s="61" t="s">
        <v>7</v>
      </c>
      <c r="C148" s="119"/>
      <c r="D148" s="111"/>
      <c r="E148" s="112"/>
    </row>
    <row r="149" spans="1:5" s="44" customFormat="1" ht="19.2" hidden="1" customHeight="1">
      <c r="A149" s="8" t="s">
        <v>162</v>
      </c>
      <c r="B149" s="61" t="s">
        <v>54</v>
      </c>
      <c r="C149" s="119"/>
      <c r="D149" s="111"/>
      <c r="E149" s="112"/>
    </row>
    <row r="150" spans="1:5" s="44" customFormat="1" ht="19.2" hidden="1" customHeight="1">
      <c r="A150" s="8" t="s">
        <v>163</v>
      </c>
      <c r="B150" s="61" t="s">
        <v>7</v>
      </c>
      <c r="C150" s="119"/>
      <c r="D150" s="111"/>
      <c r="E150" s="112"/>
    </row>
    <row r="151" spans="1:5" s="44" customFormat="1" ht="19.2" hidden="1" customHeight="1">
      <c r="A151" s="8" t="s">
        <v>164</v>
      </c>
      <c r="B151" s="61" t="s">
        <v>7</v>
      </c>
      <c r="C151" s="119"/>
      <c r="D151" s="111"/>
      <c r="E151" s="112"/>
    </row>
    <row r="152" spans="1:5" s="44" customFormat="1" ht="19.2" hidden="1" customHeight="1">
      <c r="A152" s="8" t="s">
        <v>165</v>
      </c>
      <c r="B152" s="61" t="s">
        <v>7</v>
      </c>
      <c r="C152" s="119"/>
      <c r="D152" s="111"/>
      <c r="E152" s="112"/>
    </row>
    <row r="153" spans="1:5" s="44" customFormat="1" ht="19.2" hidden="1" customHeight="1">
      <c r="A153" s="8" t="s">
        <v>166</v>
      </c>
      <c r="B153" s="61" t="s">
        <v>54</v>
      </c>
      <c r="C153" s="119"/>
      <c r="D153" s="111"/>
      <c r="E153" s="112"/>
    </row>
    <row r="154" spans="1:5" s="44" customFormat="1" ht="19.2" hidden="1" customHeight="1">
      <c r="A154" s="8" t="s">
        <v>167</v>
      </c>
      <c r="B154" s="61" t="s">
        <v>7</v>
      </c>
      <c r="C154" s="110"/>
      <c r="D154" s="111"/>
      <c r="E154" s="112"/>
    </row>
    <row r="155" spans="1:5" s="44" customFormat="1" ht="19.2" hidden="1" customHeight="1">
      <c r="A155" s="8" t="s">
        <v>168</v>
      </c>
      <c r="B155" s="61" t="s">
        <v>7</v>
      </c>
      <c r="C155" s="110"/>
      <c r="D155" s="111"/>
      <c r="E155" s="112"/>
    </row>
    <row r="156" spans="1:5" s="44" customFormat="1" ht="19.2" hidden="1" customHeight="1">
      <c r="A156" s="8" t="s">
        <v>169</v>
      </c>
      <c r="B156" s="61" t="s">
        <v>49</v>
      </c>
      <c r="C156" s="110"/>
      <c r="D156" s="111"/>
      <c r="E156" s="112"/>
    </row>
    <row r="157" spans="1:5" s="44" customFormat="1" ht="19.2" hidden="1" customHeight="1">
      <c r="A157" s="8" t="s">
        <v>170</v>
      </c>
      <c r="B157" s="61" t="s">
        <v>49</v>
      </c>
      <c r="C157" s="110"/>
      <c r="D157" s="111"/>
      <c r="E157" s="112"/>
    </row>
    <row r="158" spans="1:5" s="44" customFormat="1" ht="19.2" hidden="1" customHeight="1">
      <c r="A158" s="15" t="s">
        <v>171</v>
      </c>
      <c r="B158" s="61" t="s">
        <v>49</v>
      </c>
      <c r="C158" s="110"/>
      <c r="D158" s="111"/>
      <c r="E158" s="112"/>
    </row>
    <row r="159" spans="1:5" s="44" customFormat="1" ht="19.2" hidden="1" customHeight="1">
      <c r="A159" s="16" t="s">
        <v>172</v>
      </c>
      <c r="B159" s="61" t="s">
        <v>7</v>
      </c>
      <c r="C159" s="110"/>
      <c r="D159" s="111"/>
      <c r="E159" s="112"/>
    </row>
    <row r="160" spans="1:5" s="44" customFormat="1" ht="19.2" hidden="1" customHeight="1">
      <c r="A160" s="8" t="s">
        <v>173</v>
      </c>
      <c r="B160" s="61" t="s">
        <v>7</v>
      </c>
      <c r="C160" s="110"/>
      <c r="D160" s="111"/>
      <c r="E160" s="112"/>
    </row>
    <row r="161" spans="1:5" s="44" customFormat="1" ht="19.2" hidden="1" customHeight="1">
      <c r="A161" s="8" t="s">
        <v>174</v>
      </c>
      <c r="B161" s="61" t="s">
        <v>49</v>
      </c>
      <c r="C161" s="110"/>
      <c r="D161" s="111"/>
      <c r="E161" s="117"/>
    </row>
    <row r="162" spans="1:5" s="44" customFormat="1" ht="19.2" hidden="1" customHeight="1">
      <c r="A162" s="8" t="s">
        <v>175</v>
      </c>
      <c r="B162" s="61" t="s">
        <v>49</v>
      </c>
      <c r="C162" s="110"/>
      <c r="D162" s="111"/>
      <c r="E162" s="117"/>
    </row>
    <row r="163" spans="1:5" s="44" customFormat="1" ht="19.2" hidden="1" customHeight="1">
      <c r="A163" s="8" t="s">
        <v>176</v>
      </c>
      <c r="B163" s="61" t="s">
        <v>49</v>
      </c>
      <c r="C163" s="119"/>
      <c r="D163" s="111"/>
      <c r="E163" s="112"/>
    </row>
    <row r="164" spans="1:5" s="44" customFormat="1" ht="19.2" hidden="1" customHeight="1">
      <c r="A164" s="8" t="s">
        <v>177</v>
      </c>
      <c r="B164" s="61" t="s">
        <v>7</v>
      </c>
      <c r="C164" s="119"/>
      <c r="D164" s="111"/>
      <c r="E164" s="112"/>
    </row>
    <row r="165" spans="1:5" s="46" customFormat="1" ht="19.2" hidden="1" customHeight="1">
      <c r="A165" s="8" t="s">
        <v>178</v>
      </c>
      <c r="B165" s="61" t="s">
        <v>54</v>
      </c>
      <c r="C165" s="119"/>
      <c r="D165" s="111"/>
      <c r="E165" s="112"/>
    </row>
    <row r="166" spans="1:5" s="44" customFormat="1" ht="19.2" hidden="1" customHeight="1">
      <c r="A166" s="8" t="s">
        <v>179</v>
      </c>
      <c r="B166" s="61" t="s">
        <v>54</v>
      </c>
      <c r="C166" s="110"/>
      <c r="D166" s="111"/>
      <c r="E166" s="112"/>
    </row>
    <row r="167" spans="1:5" s="44" customFormat="1" ht="19.2" customHeight="1">
      <c r="A167" s="19" t="s">
        <v>180</v>
      </c>
      <c r="B167" s="64" t="s">
        <v>7</v>
      </c>
      <c r="C167" s="114">
        <v>3</v>
      </c>
      <c r="D167" s="115">
        <v>10000</v>
      </c>
      <c r="E167" s="116">
        <f>+D167*C167</f>
        <v>30000</v>
      </c>
    </row>
    <row r="168" spans="1:5" s="44" customFormat="1" ht="19.2" hidden="1" customHeight="1">
      <c r="A168" s="15" t="s">
        <v>181</v>
      </c>
      <c r="B168" s="61" t="s">
        <v>54</v>
      </c>
      <c r="C168" s="110"/>
      <c r="D168" s="111"/>
      <c r="E168" s="112"/>
    </row>
    <row r="169" spans="1:5" s="44" customFormat="1" ht="19.2" hidden="1" customHeight="1">
      <c r="A169" s="11" t="s">
        <v>182</v>
      </c>
      <c r="B169" s="61" t="s">
        <v>7</v>
      </c>
      <c r="C169" s="110"/>
      <c r="D169" s="111"/>
      <c r="E169" s="112"/>
    </row>
    <row r="170" spans="1:5" s="44" customFormat="1" ht="19.2" customHeight="1">
      <c r="A170" s="19" t="s">
        <v>183</v>
      </c>
      <c r="B170" s="64" t="s">
        <v>54</v>
      </c>
      <c r="C170" s="114">
        <v>184</v>
      </c>
      <c r="D170" s="115">
        <v>9000</v>
      </c>
      <c r="E170" s="116">
        <f>+D170*C170</f>
        <v>1656000</v>
      </c>
    </row>
    <row r="171" spans="1:5" s="44" customFormat="1" ht="19.2" hidden="1" customHeight="1">
      <c r="A171" s="27" t="s">
        <v>184</v>
      </c>
      <c r="B171" s="61" t="s">
        <v>54</v>
      </c>
      <c r="C171" s="110"/>
      <c r="D171" s="111"/>
      <c r="E171" s="117"/>
    </row>
    <row r="172" spans="1:5" s="44" customFormat="1" ht="19.2" hidden="1" customHeight="1">
      <c r="A172" s="8" t="s">
        <v>185</v>
      </c>
      <c r="B172" s="61" t="s">
        <v>7</v>
      </c>
      <c r="C172" s="110"/>
      <c r="D172" s="111"/>
      <c r="E172" s="123"/>
    </row>
    <row r="173" spans="1:5" s="44" customFormat="1" ht="19.2" hidden="1" customHeight="1">
      <c r="A173" s="8" t="s">
        <v>186</v>
      </c>
      <c r="B173" s="61" t="s">
        <v>7</v>
      </c>
      <c r="C173" s="110"/>
      <c r="D173" s="111"/>
      <c r="E173" s="112"/>
    </row>
    <row r="174" spans="1:5" s="44" customFormat="1" ht="19.2" hidden="1" customHeight="1">
      <c r="A174" s="18" t="s">
        <v>187</v>
      </c>
      <c r="B174" s="61" t="s">
        <v>7</v>
      </c>
      <c r="C174" s="110"/>
      <c r="D174" s="111"/>
      <c r="E174" s="112"/>
    </row>
    <row r="175" spans="1:5" s="44" customFormat="1" ht="19.2" hidden="1" customHeight="1">
      <c r="A175" s="8" t="s">
        <v>188</v>
      </c>
      <c r="B175" s="61" t="s">
        <v>49</v>
      </c>
      <c r="C175" s="110"/>
      <c r="D175" s="111"/>
      <c r="E175" s="112"/>
    </row>
    <row r="176" spans="1:5" s="44" customFormat="1" ht="19.2" customHeight="1">
      <c r="A176" s="12" t="s">
        <v>189</v>
      </c>
      <c r="B176" s="90" t="s">
        <v>7</v>
      </c>
      <c r="C176" s="124">
        <v>12</v>
      </c>
      <c r="D176" s="115">
        <v>17000</v>
      </c>
      <c r="E176" s="116">
        <f>+D176*C176</f>
        <v>204000</v>
      </c>
    </row>
    <row r="177" spans="1:5" s="44" customFormat="1" ht="19.2" hidden="1" customHeight="1">
      <c r="A177" s="10" t="s">
        <v>190</v>
      </c>
      <c r="B177" s="61" t="s">
        <v>7</v>
      </c>
      <c r="C177" s="110"/>
      <c r="D177" s="111"/>
      <c r="E177" s="112"/>
    </row>
    <row r="178" spans="1:5" s="44" customFormat="1" ht="19.2" hidden="1" customHeight="1">
      <c r="A178" s="8" t="s">
        <v>191</v>
      </c>
      <c r="B178" s="61" t="s">
        <v>7</v>
      </c>
      <c r="C178" s="110"/>
      <c r="D178" s="111"/>
      <c r="E178" s="112"/>
    </row>
    <row r="179" spans="1:5" s="44" customFormat="1" ht="19.2" hidden="1" customHeight="1">
      <c r="A179" s="8" t="s">
        <v>192</v>
      </c>
      <c r="B179" s="61" t="s">
        <v>7</v>
      </c>
      <c r="C179" s="110"/>
      <c r="D179" s="111"/>
      <c r="E179" s="112"/>
    </row>
    <row r="180" spans="1:5" s="44" customFormat="1" ht="19.2" hidden="1" customHeight="1">
      <c r="A180" s="11" t="s">
        <v>193</v>
      </c>
      <c r="B180" s="61" t="s">
        <v>7</v>
      </c>
      <c r="C180" s="110"/>
      <c r="D180" s="111"/>
      <c r="E180" s="112"/>
    </row>
    <row r="181" spans="1:5" s="44" customFormat="1" ht="19.2" hidden="1" customHeight="1">
      <c r="A181" s="8" t="s">
        <v>194</v>
      </c>
      <c r="B181" s="61" t="s">
        <v>7</v>
      </c>
      <c r="C181" s="110"/>
      <c r="D181" s="111"/>
      <c r="E181" s="112"/>
    </row>
    <row r="182" spans="1:5" s="44" customFormat="1" ht="19.2" hidden="1" customHeight="1">
      <c r="A182" s="8" t="s">
        <v>195</v>
      </c>
      <c r="B182" s="61" t="s">
        <v>7</v>
      </c>
      <c r="C182" s="110"/>
      <c r="D182" s="111"/>
      <c r="E182" s="112"/>
    </row>
    <row r="183" spans="1:5" s="44" customFormat="1" ht="19.2" hidden="1" customHeight="1">
      <c r="A183" s="11" t="s">
        <v>196</v>
      </c>
      <c r="B183" s="61" t="s">
        <v>7</v>
      </c>
      <c r="C183" s="110"/>
      <c r="D183" s="111"/>
      <c r="E183" s="112"/>
    </row>
    <row r="184" spans="1:5" s="44" customFormat="1" ht="19.2" hidden="1" customHeight="1">
      <c r="A184" s="11" t="s">
        <v>197</v>
      </c>
      <c r="B184" s="61" t="s">
        <v>7</v>
      </c>
      <c r="C184" s="110"/>
      <c r="D184" s="111"/>
      <c r="E184" s="112"/>
    </row>
    <row r="185" spans="1:5" s="44" customFormat="1" ht="19.2" hidden="1" customHeight="1">
      <c r="A185" s="11" t="s">
        <v>198</v>
      </c>
      <c r="B185" s="61" t="s">
        <v>7</v>
      </c>
      <c r="C185" s="110"/>
      <c r="D185" s="111"/>
      <c r="E185" s="112"/>
    </row>
    <row r="186" spans="1:5" s="44" customFormat="1" ht="19.2" customHeight="1">
      <c r="A186" s="19" t="s">
        <v>199</v>
      </c>
      <c r="B186" s="64" t="s">
        <v>49</v>
      </c>
      <c r="C186" s="114">
        <v>200</v>
      </c>
      <c r="D186" s="115">
        <v>1800</v>
      </c>
      <c r="E186" s="116">
        <f>+D186*C186</f>
        <v>360000</v>
      </c>
    </row>
    <row r="187" spans="1:5" s="44" customFormat="1" ht="19.2" hidden="1" customHeight="1">
      <c r="A187" s="11" t="s">
        <v>200</v>
      </c>
      <c r="B187" s="61" t="s">
        <v>7</v>
      </c>
      <c r="C187" s="110"/>
      <c r="D187" s="111"/>
      <c r="E187" s="112"/>
    </row>
    <row r="188" spans="1:5" s="44" customFormat="1" ht="19.2" customHeight="1">
      <c r="A188" s="10" t="s">
        <v>201</v>
      </c>
      <c r="B188" s="64" t="s">
        <v>7</v>
      </c>
      <c r="C188" s="114">
        <v>6</v>
      </c>
      <c r="D188" s="115">
        <v>20000</v>
      </c>
      <c r="E188" s="116">
        <f>+D188*C188</f>
        <v>120000</v>
      </c>
    </row>
    <row r="189" spans="1:5" s="44" customFormat="1" ht="19.2" hidden="1" customHeight="1">
      <c r="A189" s="11" t="s">
        <v>202</v>
      </c>
      <c r="B189" s="61" t="s">
        <v>49</v>
      </c>
      <c r="C189" s="110"/>
      <c r="D189" s="111"/>
      <c r="E189" s="112"/>
    </row>
    <row r="190" spans="1:5" s="44" customFormat="1" ht="19.2" hidden="1" customHeight="1">
      <c r="A190" s="8" t="s">
        <v>203</v>
      </c>
      <c r="B190" s="61" t="s">
        <v>49</v>
      </c>
      <c r="C190" s="110"/>
      <c r="D190" s="111"/>
      <c r="E190" s="112"/>
    </row>
    <row r="191" spans="1:5" s="44" customFormat="1" ht="19.2" hidden="1" customHeight="1">
      <c r="A191" s="15" t="s">
        <v>204</v>
      </c>
      <c r="B191" s="61" t="s">
        <v>7</v>
      </c>
      <c r="C191" s="110"/>
      <c r="D191" s="111"/>
      <c r="E191" s="112"/>
    </row>
    <row r="192" spans="1:5" s="44" customFormat="1" ht="19.2" hidden="1" customHeight="1">
      <c r="A192" s="15" t="s">
        <v>205</v>
      </c>
      <c r="B192" s="61" t="s">
        <v>7</v>
      </c>
      <c r="C192" s="110"/>
      <c r="D192" s="111"/>
      <c r="E192" s="112"/>
    </row>
    <row r="193" spans="1:5" s="44" customFormat="1" ht="19.2" hidden="1" customHeight="1">
      <c r="A193" s="15" t="s">
        <v>206</v>
      </c>
      <c r="B193" s="61" t="s">
        <v>7</v>
      </c>
      <c r="C193" s="110"/>
      <c r="D193" s="111"/>
      <c r="E193" s="112"/>
    </row>
    <row r="194" spans="1:5" s="44" customFormat="1" ht="19.2" hidden="1" customHeight="1">
      <c r="A194" s="15" t="s">
        <v>207</v>
      </c>
      <c r="B194" s="61" t="s">
        <v>49</v>
      </c>
      <c r="C194" s="110"/>
      <c r="D194" s="111"/>
      <c r="E194" s="112"/>
    </row>
    <row r="195" spans="1:5" s="44" customFormat="1" ht="19.2" hidden="1" customHeight="1">
      <c r="A195" s="11" t="s">
        <v>208</v>
      </c>
      <c r="B195" s="61" t="s">
        <v>7</v>
      </c>
      <c r="C195" s="110"/>
      <c r="D195" s="111"/>
      <c r="E195" s="112"/>
    </row>
    <row r="196" spans="1:5" s="44" customFormat="1" ht="19.2" hidden="1" customHeight="1">
      <c r="A196" s="8" t="s">
        <v>209</v>
      </c>
      <c r="B196" s="61" t="s">
        <v>49</v>
      </c>
      <c r="C196" s="110"/>
      <c r="D196" s="111"/>
      <c r="E196" s="112"/>
    </row>
    <row r="197" spans="1:5" s="44" customFormat="1" ht="19.2" hidden="1" customHeight="1">
      <c r="A197" s="30" t="s">
        <v>210</v>
      </c>
      <c r="B197" s="61" t="s">
        <v>49</v>
      </c>
      <c r="C197" s="110"/>
      <c r="D197" s="111"/>
      <c r="E197" s="112"/>
    </row>
    <row r="198" spans="1:5" s="44" customFormat="1" ht="19.2" hidden="1" customHeight="1">
      <c r="A198" s="30" t="s">
        <v>211</v>
      </c>
      <c r="B198" s="61" t="s">
        <v>49</v>
      </c>
      <c r="C198" s="110"/>
      <c r="D198" s="111"/>
      <c r="E198" s="112"/>
    </row>
    <row r="199" spans="1:5" s="44" customFormat="1" ht="19.2" hidden="1" customHeight="1">
      <c r="A199" s="30" t="s">
        <v>212</v>
      </c>
      <c r="B199" s="61" t="s">
        <v>49</v>
      </c>
      <c r="C199" s="110"/>
      <c r="D199" s="111"/>
      <c r="E199" s="112"/>
    </row>
    <row r="200" spans="1:5" s="44" customFormat="1" ht="19.2" hidden="1" customHeight="1">
      <c r="A200" s="30" t="s">
        <v>213</v>
      </c>
      <c r="B200" s="61" t="s">
        <v>49</v>
      </c>
      <c r="C200" s="110"/>
      <c r="D200" s="111"/>
      <c r="E200" s="112"/>
    </row>
    <row r="201" spans="1:5" s="44" customFormat="1" ht="19.2" hidden="1" customHeight="1">
      <c r="A201" s="8" t="s">
        <v>214</v>
      </c>
      <c r="B201" s="61" t="s">
        <v>7</v>
      </c>
      <c r="C201" s="110"/>
      <c r="D201" s="111"/>
      <c r="E201" s="112"/>
    </row>
    <row r="202" spans="1:5" s="44" customFormat="1" ht="19.2" hidden="1" customHeight="1">
      <c r="A202" s="31" t="s">
        <v>215</v>
      </c>
      <c r="B202" s="61" t="s">
        <v>54</v>
      </c>
      <c r="C202" s="110"/>
      <c r="D202" s="111"/>
      <c r="E202" s="112"/>
    </row>
    <row r="203" spans="1:5" s="44" customFormat="1" ht="19.2" customHeight="1">
      <c r="A203" s="19" t="s">
        <v>216</v>
      </c>
      <c r="B203" s="64" t="s">
        <v>7</v>
      </c>
      <c r="C203" s="114">
        <v>150</v>
      </c>
      <c r="D203" s="115">
        <v>19000</v>
      </c>
      <c r="E203" s="116">
        <f t="shared" ref="E203:E204" si="2">+D203*C203</f>
        <v>2850000</v>
      </c>
    </row>
    <row r="204" spans="1:5" s="44" customFormat="1" ht="19.2" customHeight="1">
      <c r="A204" s="10" t="s">
        <v>217</v>
      </c>
      <c r="B204" s="64" t="s">
        <v>7</v>
      </c>
      <c r="C204" s="114">
        <v>380</v>
      </c>
      <c r="D204" s="115">
        <v>19000</v>
      </c>
      <c r="E204" s="116">
        <f t="shared" si="2"/>
        <v>7220000</v>
      </c>
    </row>
    <row r="205" spans="1:5" s="44" customFormat="1" ht="19.2" hidden="1" customHeight="1">
      <c r="A205" s="8" t="s">
        <v>218</v>
      </c>
      <c r="B205" s="61" t="s">
        <v>49</v>
      </c>
      <c r="C205" s="110"/>
      <c r="D205" s="125"/>
      <c r="E205" s="126"/>
    </row>
    <row r="206" spans="1:5" s="44" customFormat="1" ht="19.2" hidden="1" customHeight="1">
      <c r="A206" s="8" t="s">
        <v>219</v>
      </c>
      <c r="B206" s="61" t="s">
        <v>7</v>
      </c>
      <c r="C206" s="110"/>
      <c r="D206" s="127"/>
      <c r="E206" s="112"/>
    </row>
    <row r="207" spans="1:5" s="44" customFormat="1" ht="19.2" hidden="1" customHeight="1">
      <c r="A207" s="32" t="s">
        <v>220</v>
      </c>
      <c r="B207" s="61" t="s">
        <v>49</v>
      </c>
      <c r="C207" s="110"/>
      <c r="D207" s="125"/>
      <c r="E207" s="126"/>
    </row>
    <row r="208" spans="1:5" s="44" customFormat="1" ht="19.2" hidden="1" customHeight="1">
      <c r="A208" s="32" t="s">
        <v>221</v>
      </c>
      <c r="B208" s="61" t="s">
        <v>49</v>
      </c>
      <c r="C208" s="110"/>
      <c r="D208" s="125"/>
      <c r="E208" s="126"/>
    </row>
    <row r="209" spans="1:5" s="44" customFormat="1" ht="19.2" hidden="1" customHeight="1">
      <c r="A209" s="8" t="s">
        <v>222</v>
      </c>
      <c r="B209" s="61" t="s">
        <v>7</v>
      </c>
      <c r="C209" s="110"/>
      <c r="D209" s="111"/>
      <c r="E209" s="112"/>
    </row>
    <row r="210" spans="1:5" s="44" customFormat="1" ht="19.2" hidden="1" customHeight="1">
      <c r="A210" s="10" t="s">
        <v>223</v>
      </c>
      <c r="B210" s="61" t="s">
        <v>7</v>
      </c>
      <c r="C210" s="110"/>
      <c r="D210" s="111"/>
      <c r="E210" s="112"/>
    </row>
    <row r="211" spans="1:5" s="44" customFormat="1" ht="19.2" hidden="1" customHeight="1">
      <c r="A211" s="8" t="s">
        <v>224</v>
      </c>
      <c r="B211" s="61" t="s">
        <v>7</v>
      </c>
      <c r="C211" s="110"/>
      <c r="D211" s="111"/>
      <c r="E211" s="112"/>
    </row>
    <row r="212" spans="1:5" s="44" customFormat="1" ht="19.2" hidden="1" customHeight="1">
      <c r="A212" s="8" t="s">
        <v>225</v>
      </c>
      <c r="B212" s="61" t="s">
        <v>7</v>
      </c>
      <c r="C212" s="110"/>
      <c r="D212" s="111"/>
      <c r="E212" s="112"/>
    </row>
    <row r="213" spans="1:5" s="44" customFormat="1" ht="19.2" customHeight="1">
      <c r="A213" s="19" t="s">
        <v>226</v>
      </c>
      <c r="B213" s="64" t="s">
        <v>49</v>
      </c>
      <c r="C213" s="114">
        <v>72</v>
      </c>
      <c r="D213" s="115">
        <v>6000</v>
      </c>
      <c r="E213" s="116">
        <f>+D213*C213</f>
        <v>432000</v>
      </c>
    </row>
    <row r="214" spans="1:5" s="44" customFormat="1" ht="19.2" hidden="1" customHeight="1">
      <c r="A214" s="8" t="s">
        <v>227</v>
      </c>
      <c r="B214" s="61" t="s">
        <v>7</v>
      </c>
      <c r="C214" s="110"/>
      <c r="D214" s="111"/>
      <c r="E214" s="112"/>
    </row>
    <row r="215" spans="1:5" s="44" customFormat="1" ht="19.2" hidden="1" customHeight="1">
      <c r="A215" s="33" t="s">
        <v>228</v>
      </c>
      <c r="B215" s="61" t="s">
        <v>49</v>
      </c>
      <c r="C215" s="110"/>
      <c r="D215" s="111"/>
      <c r="E215" s="112"/>
    </row>
    <row r="216" spans="1:5" s="44" customFormat="1" ht="19.2" hidden="1" customHeight="1">
      <c r="A216" s="8" t="s">
        <v>229</v>
      </c>
      <c r="B216" s="61" t="s">
        <v>7</v>
      </c>
      <c r="C216" s="110"/>
      <c r="D216" s="111"/>
      <c r="E216" s="112"/>
    </row>
    <row r="217" spans="1:5" s="44" customFormat="1" ht="19.2" hidden="1" customHeight="1">
      <c r="A217" s="8" t="s">
        <v>230</v>
      </c>
      <c r="B217" s="61" t="s">
        <v>7</v>
      </c>
      <c r="C217" s="110"/>
      <c r="D217" s="111"/>
      <c r="E217" s="112"/>
    </row>
    <row r="218" spans="1:5" s="44" customFormat="1" ht="19.2" hidden="1" customHeight="1">
      <c r="A218" s="8" t="s">
        <v>231</v>
      </c>
      <c r="B218" s="61" t="s">
        <v>49</v>
      </c>
      <c r="C218" s="110"/>
      <c r="D218" s="111"/>
      <c r="E218" s="112"/>
    </row>
    <row r="219" spans="1:5" s="44" customFormat="1" ht="19.2" customHeight="1">
      <c r="A219" s="19" t="s">
        <v>232</v>
      </c>
      <c r="B219" s="64" t="s">
        <v>49</v>
      </c>
      <c r="C219" s="114">
        <v>30</v>
      </c>
      <c r="D219" s="115">
        <v>13000</v>
      </c>
      <c r="E219" s="116">
        <f>+D219*C219</f>
        <v>390000</v>
      </c>
    </row>
    <row r="220" spans="1:5" s="44" customFormat="1" ht="19.2" hidden="1" customHeight="1">
      <c r="A220" s="15" t="s">
        <v>233</v>
      </c>
      <c r="B220" s="61" t="s">
        <v>7</v>
      </c>
      <c r="C220" s="110"/>
      <c r="D220" s="111"/>
      <c r="E220" s="112"/>
    </row>
    <row r="221" spans="1:5" s="44" customFormat="1" ht="19.2" hidden="1" customHeight="1">
      <c r="A221" s="15" t="s">
        <v>234</v>
      </c>
      <c r="B221" s="61" t="s">
        <v>49</v>
      </c>
      <c r="C221" s="110"/>
      <c r="D221" s="111"/>
      <c r="E221" s="112"/>
    </row>
    <row r="222" spans="1:5" s="44" customFormat="1" ht="19.2" hidden="1" customHeight="1">
      <c r="A222" s="15" t="s">
        <v>235</v>
      </c>
      <c r="B222" s="61" t="s">
        <v>7</v>
      </c>
      <c r="C222" s="110"/>
      <c r="D222" s="111"/>
      <c r="E222" s="112"/>
    </row>
    <row r="223" spans="1:5" s="44" customFormat="1" ht="19.2" hidden="1" customHeight="1">
      <c r="A223" s="15" t="s">
        <v>236</v>
      </c>
      <c r="B223" s="61" t="s">
        <v>49</v>
      </c>
      <c r="C223" s="110"/>
      <c r="D223" s="111"/>
      <c r="E223" s="112"/>
    </row>
    <row r="224" spans="1:5" s="44" customFormat="1" ht="19.2" hidden="1" customHeight="1">
      <c r="A224" s="8" t="s">
        <v>237</v>
      </c>
      <c r="B224" s="61" t="s">
        <v>7</v>
      </c>
      <c r="C224" s="110"/>
      <c r="D224" s="111"/>
      <c r="E224" s="112"/>
    </row>
    <row r="225" spans="1:5" s="44" customFormat="1" ht="19.2" hidden="1" customHeight="1">
      <c r="A225" s="8" t="s">
        <v>238</v>
      </c>
      <c r="B225" s="61" t="s">
        <v>7</v>
      </c>
      <c r="C225" s="110"/>
      <c r="D225" s="111"/>
      <c r="E225" s="112"/>
    </row>
    <row r="226" spans="1:5" s="44" customFormat="1" ht="19.2" hidden="1" customHeight="1">
      <c r="A226" s="15" t="s">
        <v>239</v>
      </c>
      <c r="B226" s="61" t="s">
        <v>49</v>
      </c>
      <c r="C226" s="110"/>
      <c r="D226" s="111"/>
      <c r="E226" s="112"/>
    </row>
    <row r="227" spans="1:5" s="44" customFormat="1" ht="19.2" hidden="1" customHeight="1">
      <c r="A227" s="15" t="s">
        <v>240</v>
      </c>
      <c r="B227" s="61" t="s">
        <v>49</v>
      </c>
      <c r="C227" s="110"/>
      <c r="D227" s="111"/>
      <c r="E227" s="112"/>
    </row>
    <row r="228" spans="1:5" s="44" customFormat="1" ht="19.2" customHeight="1">
      <c r="A228" s="10" t="s">
        <v>241</v>
      </c>
      <c r="B228" s="64" t="s">
        <v>7</v>
      </c>
      <c r="C228" s="114">
        <v>1369</v>
      </c>
      <c r="D228" s="115">
        <v>37000</v>
      </c>
      <c r="E228" s="116">
        <f>+D228*C228</f>
        <v>50653000</v>
      </c>
    </row>
    <row r="229" spans="1:5" s="44" customFormat="1" ht="19.2" hidden="1" customHeight="1">
      <c r="A229" s="11" t="s">
        <v>242</v>
      </c>
      <c r="B229" s="61" t="s">
        <v>68</v>
      </c>
      <c r="C229" s="110"/>
      <c r="D229" s="111"/>
      <c r="E229" s="112"/>
    </row>
    <row r="230" spans="1:5" s="44" customFormat="1" ht="19.2" hidden="1" customHeight="1">
      <c r="A230" s="10" t="s">
        <v>243</v>
      </c>
      <c r="B230" s="61" t="s">
        <v>68</v>
      </c>
      <c r="C230" s="110"/>
      <c r="D230" s="111"/>
      <c r="E230" s="112"/>
    </row>
    <row r="231" spans="1:5" s="44" customFormat="1" ht="19.2" hidden="1" customHeight="1">
      <c r="A231" s="15" t="s">
        <v>244</v>
      </c>
      <c r="B231" s="61" t="s">
        <v>7</v>
      </c>
      <c r="C231" s="110"/>
      <c r="D231" s="111"/>
      <c r="E231" s="112"/>
    </row>
    <row r="232" spans="1:5" s="44" customFormat="1" ht="19.2" hidden="1" customHeight="1">
      <c r="A232" s="10" t="s">
        <v>245</v>
      </c>
      <c r="B232" s="61" t="s">
        <v>7</v>
      </c>
      <c r="C232" s="110"/>
      <c r="D232" s="111"/>
      <c r="E232" s="112"/>
    </row>
    <row r="233" spans="1:5" s="44" customFormat="1" ht="19.2" hidden="1" customHeight="1">
      <c r="A233" s="10" t="s">
        <v>246</v>
      </c>
      <c r="B233" s="61" t="s">
        <v>7</v>
      </c>
      <c r="C233" s="110"/>
      <c r="D233" s="111"/>
      <c r="E233" s="112"/>
    </row>
    <row r="234" spans="1:5" s="44" customFormat="1" ht="19.2" hidden="1" customHeight="1">
      <c r="A234" s="10" t="s">
        <v>247</v>
      </c>
      <c r="B234" s="61" t="s">
        <v>39</v>
      </c>
      <c r="C234" s="110"/>
      <c r="D234" s="111"/>
      <c r="E234" s="112"/>
    </row>
    <row r="235" spans="1:5" s="44" customFormat="1" ht="19.2" hidden="1" customHeight="1">
      <c r="A235" s="8" t="s">
        <v>248</v>
      </c>
      <c r="B235" s="61" t="s">
        <v>7</v>
      </c>
      <c r="C235" s="110"/>
      <c r="D235" s="111"/>
      <c r="E235" s="112"/>
    </row>
    <row r="236" spans="1:5" s="44" customFormat="1" ht="19.2" hidden="1" customHeight="1">
      <c r="A236" s="8" t="s">
        <v>249</v>
      </c>
      <c r="B236" s="61" t="s">
        <v>7</v>
      </c>
      <c r="C236" s="110"/>
      <c r="D236" s="111"/>
      <c r="E236" s="112"/>
    </row>
    <row r="237" spans="1:5" s="44" customFormat="1" ht="19.2" hidden="1" customHeight="1">
      <c r="A237" s="10" t="s">
        <v>250</v>
      </c>
      <c r="B237" s="61" t="s">
        <v>7</v>
      </c>
      <c r="C237" s="110"/>
      <c r="D237" s="111"/>
      <c r="E237" s="112"/>
    </row>
    <row r="238" spans="1:5" s="44" customFormat="1" ht="19.2" hidden="1" customHeight="1">
      <c r="A238" s="32" t="s">
        <v>251</v>
      </c>
      <c r="B238" s="61" t="s">
        <v>7</v>
      </c>
      <c r="C238" s="110"/>
      <c r="D238" s="111"/>
      <c r="E238" s="112"/>
    </row>
    <row r="239" spans="1:5" s="44" customFormat="1" ht="19.2" hidden="1" customHeight="1">
      <c r="A239" s="8" t="s">
        <v>252</v>
      </c>
      <c r="B239" s="61" t="s">
        <v>7</v>
      </c>
      <c r="C239" s="110"/>
      <c r="D239" s="111"/>
      <c r="E239" s="112"/>
    </row>
    <row r="240" spans="1:5" s="44" customFormat="1" ht="19.2" hidden="1" customHeight="1">
      <c r="A240" s="8" t="s">
        <v>253</v>
      </c>
      <c r="B240" s="61" t="s">
        <v>21</v>
      </c>
      <c r="C240" s="110"/>
      <c r="D240" s="111"/>
      <c r="E240" s="112"/>
    </row>
    <row r="241" spans="1:5" s="44" customFormat="1" ht="19.2" hidden="1" customHeight="1">
      <c r="A241" s="12" t="s">
        <v>254</v>
      </c>
      <c r="B241" s="61" t="s">
        <v>68</v>
      </c>
      <c r="C241" s="110"/>
      <c r="D241" s="111"/>
      <c r="E241" s="112"/>
    </row>
    <row r="242" spans="1:5" s="44" customFormat="1" ht="19.2" hidden="1" customHeight="1">
      <c r="A242" s="12" t="s">
        <v>255</v>
      </c>
      <c r="B242" s="61" t="s">
        <v>68</v>
      </c>
      <c r="C242" s="110"/>
      <c r="D242" s="111"/>
      <c r="E242" s="112"/>
    </row>
    <row r="243" spans="1:5" s="44" customFormat="1" ht="19.2" hidden="1" customHeight="1">
      <c r="A243" s="30" t="s">
        <v>256</v>
      </c>
      <c r="B243" s="61" t="s">
        <v>49</v>
      </c>
      <c r="C243" s="110"/>
      <c r="D243" s="111"/>
      <c r="E243" s="112"/>
    </row>
    <row r="244" spans="1:5" s="44" customFormat="1" ht="19.2" hidden="1" customHeight="1">
      <c r="A244" s="8" t="s">
        <v>257</v>
      </c>
      <c r="B244" s="61" t="s">
        <v>7</v>
      </c>
      <c r="C244" s="110"/>
      <c r="D244" s="111"/>
      <c r="E244" s="112"/>
    </row>
    <row r="245" spans="1:5" s="44" customFormat="1" ht="19.2" hidden="1" customHeight="1">
      <c r="A245" s="8" t="s">
        <v>258</v>
      </c>
      <c r="B245" s="61" t="s">
        <v>49</v>
      </c>
      <c r="C245" s="110"/>
      <c r="D245" s="111"/>
      <c r="E245" s="112"/>
    </row>
    <row r="246" spans="1:5" s="44" customFormat="1" ht="19.2" hidden="1" customHeight="1">
      <c r="A246" s="8" t="s">
        <v>259</v>
      </c>
      <c r="B246" s="61" t="s">
        <v>7</v>
      </c>
      <c r="C246" s="119"/>
      <c r="D246" s="111"/>
      <c r="E246" s="112"/>
    </row>
    <row r="247" spans="1:5" s="44" customFormat="1" ht="19.2" hidden="1" customHeight="1">
      <c r="A247" s="30" t="s">
        <v>260</v>
      </c>
      <c r="B247" s="61" t="s">
        <v>49</v>
      </c>
      <c r="C247" s="110"/>
      <c r="D247" s="111"/>
      <c r="E247" s="112"/>
    </row>
    <row r="248" spans="1:5" s="44" customFormat="1" ht="19.2" hidden="1" customHeight="1">
      <c r="A248" s="8" t="s">
        <v>261</v>
      </c>
      <c r="B248" s="61" t="s">
        <v>49</v>
      </c>
      <c r="C248" s="119"/>
      <c r="D248" s="111"/>
      <c r="E248" s="112"/>
    </row>
    <row r="249" spans="1:5" s="44" customFormat="1" ht="19.2" customHeight="1">
      <c r="A249" s="19" t="s">
        <v>262</v>
      </c>
      <c r="B249" s="64" t="s">
        <v>7</v>
      </c>
      <c r="C249" s="114">
        <v>18</v>
      </c>
      <c r="D249" s="115">
        <v>14000</v>
      </c>
      <c r="E249" s="116">
        <f>+D249*C249</f>
        <v>252000</v>
      </c>
    </row>
    <row r="250" spans="1:5" s="44" customFormat="1" ht="19.2" hidden="1" customHeight="1">
      <c r="A250" s="10" t="s">
        <v>263</v>
      </c>
      <c r="B250" s="61" t="s">
        <v>7</v>
      </c>
      <c r="C250" s="110"/>
      <c r="D250" s="111"/>
      <c r="E250" s="112"/>
    </row>
    <row r="251" spans="1:5" s="44" customFormat="1" ht="19.2" hidden="1" customHeight="1">
      <c r="A251" s="10" t="s">
        <v>264</v>
      </c>
      <c r="B251" s="61" t="s">
        <v>54</v>
      </c>
      <c r="C251" s="110"/>
      <c r="D251" s="111"/>
      <c r="E251" s="112"/>
    </row>
    <row r="252" spans="1:5" s="44" customFormat="1" ht="19.2" customHeight="1">
      <c r="A252" s="19" t="s">
        <v>265</v>
      </c>
      <c r="B252" s="64" t="s">
        <v>7</v>
      </c>
      <c r="C252" s="114">
        <v>145</v>
      </c>
      <c r="D252" s="115">
        <v>26000</v>
      </c>
      <c r="E252" s="116">
        <f>+D252*C252</f>
        <v>3770000</v>
      </c>
    </row>
    <row r="253" spans="1:5" s="44" customFormat="1" ht="19.2" hidden="1" customHeight="1">
      <c r="A253" s="8" t="s">
        <v>266</v>
      </c>
      <c r="B253" s="61" t="s">
        <v>7</v>
      </c>
      <c r="C253" s="110"/>
      <c r="D253" s="111"/>
      <c r="E253" s="112"/>
    </row>
    <row r="254" spans="1:5" s="44" customFormat="1" ht="19.2" customHeight="1">
      <c r="A254" s="19" t="s">
        <v>267</v>
      </c>
      <c r="B254" s="64" t="s">
        <v>21</v>
      </c>
      <c r="C254" s="114">
        <v>60</v>
      </c>
      <c r="D254" s="115">
        <v>5200</v>
      </c>
      <c r="E254" s="116">
        <f>+D254*C254</f>
        <v>312000</v>
      </c>
    </row>
    <row r="255" spans="1:5" s="44" customFormat="1" ht="19.2" hidden="1" customHeight="1">
      <c r="A255" s="8" t="s">
        <v>268</v>
      </c>
      <c r="B255" s="61" t="s">
        <v>54</v>
      </c>
      <c r="C255" s="110"/>
      <c r="D255" s="111"/>
      <c r="E255" s="112"/>
    </row>
    <row r="256" spans="1:5" s="44" customFormat="1" ht="19.2" hidden="1" customHeight="1">
      <c r="A256" s="8" t="s">
        <v>269</v>
      </c>
      <c r="B256" s="61" t="s">
        <v>7</v>
      </c>
      <c r="C256" s="110"/>
      <c r="D256" s="111"/>
      <c r="E256" s="112"/>
    </row>
    <row r="257" spans="1:5" s="44" customFormat="1" ht="19.2" hidden="1" customHeight="1">
      <c r="A257" s="15" t="s">
        <v>270</v>
      </c>
      <c r="B257" s="61" t="s">
        <v>7</v>
      </c>
      <c r="C257" s="110"/>
      <c r="D257" s="111"/>
      <c r="E257" s="112"/>
    </row>
    <row r="258" spans="1:5" s="44" customFormat="1" ht="19.2" hidden="1" customHeight="1">
      <c r="A258" s="19" t="s">
        <v>271</v>
      </c>
      <c r="B258" s="61" t="s">
        <v>7</v>
      </c>
      <c r="C258" s="110"/>
      <c r="D258" s="111"/>
      <c r="E258" s="112"/>
    </row>
    <row r="259" spans="1:5" s="44" customFormat="1" ht="19.2" hidden="1" customHeight="1">
      <c r="A259" s="19" t="s">
        <v>272</v>
      </c>
      <c r="B259" s="61" t="s">
        <v>7</v>
      </c>
      <c r="C259" s="110"/>
      <c r="D259" s="111"/>
      <c r="E259" s="112"/>
    </row>
    <row r="260" spans="1:5" s="44" customFormat="1" ht="19.2" customHeight="1">
      <c r="A260" s="19" t="s">
        <v>273</v>
      </c>
      <c r="B260" s="64" t="s">
        <v>7</v>
      </c>
      <c r="C260" s="114">
        <v>100</v>
      </c>
      <c r="D260" s="115">
        <v>34000</v>
      </c>
      <c r="E260" s="116">
        <f>+D260*C260</f>
        <v>3400000</v>
      </c>
    </row>
    <row r="261" spans="1:5" s="44" customFormat="1" ht="19.2" hidden="1" customHeight="1">
      <c r="A261" s="8" t="s">
        <v>274</v>
      </c>
      <c r="B261" s="61" t="s">
        <v>7</v>
      </c>
      <c r="C261" s="110"/>
      <c r="D261" s="111"/>
      <c r="E261" s="112"/>
    </row>
    <row r="262" spans="1:5" s="44" customFormat="1" ht="19.2" customHeight="1">
      <c r="A262" s="19" t="s">
        <v>275</v>
      </c>
      <c r="B262" s="64" t="s">
        <v>21</v>
      </c>
      <c r="C262" s="114">
        <v>90</v>
      </c>
      <c r="D262" s="115">
        <v>6800</v>
      </c>
      <c r="E262" s="116">
        <f>+D262*C262</f>
        <v>612000</v>
      </c>
    </row>
    <row r="263" spans="1:5" s="44" customFormat="1" ht="19.2" hidden="1" customHeight="1">
      <c r="A263" s="8" t="s">
        <v>276</v>
      </c>
      <c r="B263" s="61" t="s">
        <v>54</v>
      </c>
      <c r="C263" s="110"/>
      <c r="D263" s="111"/>
      <c r="E263" s="112"/>
    </row>
    <row r="264" spans="1:5" s="44" customFormat="1" ht="19.2" customHeight="1">
      <c r="A264" s="19" t="s">
        <v>277</v>
      </c>
      <c r="B264" s="64" t="s">
        <v>7</v>
      </c>
      <c r="C264" s="114">
        <v>55</v>
      </c>
      <c r="D264" s="115">
        <v>18000</v>
      </c>
      <c r="E264" s="116">
        <f>+D264*C264</f>
        <v>990000</v>
      </c>
    </row>
    <row r="265" spans="1:5" s="44" customFormat="1" ht="19.2" hidden="1" customHeight="1">
      <c r="A265" s="8" t="s">
        <v>278</v>
      </c>
      <c r="B265" s="61" t="s">
        <v>7</v>
      </c>
      <c r="C265" s="110"/>
      <c r="D265" s="111"/>
      <c r="E265" s="112"/>
    </row>
    <row r="266" spans="1:5" s="44" customFormat="1" ht="19.2" hidden="1" customHeight="1">
      <c r="A266" s="8" t="s">
        <v>279</v>
      </c>
      <c r="B266" s="61" t="s">
        <v>21</v>
      </c>
      <c r="C266" s="110"/>
      <c r="D266" s="111"/>
      <c r="E266" s="112"/>
    </row>
    <row r="267" spans="1:5" s="44" customFormat="1" ht="19.2" hidden="1" customHeight="1">
      <c r="A267" s="8" t="s">
        <v>280</v>
      </c>
      <c r="B267" s="61" t="s">
        <v>7</v>
      </c>
      <c r="C267" s="119"/>
      <c r="D267" s="111"/>
      <c r="E267" s="112"/>
    </row>
    <row r="268" spans="1:5" s="44" customFormat="1" ht="19.2" hidden="1" customHeight="1">
      <c r="A268" s="12" t="s">
        <v>281</v>
      </c>
      <c r="B268" s="61" t="s">
        <v>7</v>
      </c>
      <c r="C268" s="110"/>
      <c r="D268" s="111"/>
      <c r="E268" s="112"/>
    </row>
    <row r="269" spans="1:5" s="44" customFormat="1" ht="19.2" hidden="1" customHeight="1">
      <c r="A269" s="8" t="s">
        <v>282</v>
      </c>
      <c r="B269" s="61" t="s">
        <v>7</v>
      </c>
      <c r="C269" s="110"/>
      <c r="D269" s="111"/>
      <c r="E269" s="112"/>
    </row>
    <row r="270" spans="1:5" s="44" customFormat="1" ht="19.2" hidden="1" customHeight="1">
      <c r="A270" s="10" t="s">
        <v>283</v>
      </c>
      <c r="B270" s="61" t="s">
        <v>7</v>
      </c>
      <c r="C270" s="110"/>
      <c r="D270" s="111"/>
      <c r="E270" s="112"/>
    </row>
    <row r="271" spans="1:5" s="44" customFormat="1" ht="19.2" customHeight="1">
      <c r="A271" s="19" t="s">
        <v>284</v>
      </c>
      <c r="B271" s="64" t="s">
        <v>49</v>
      </c>
      <c r="C271" s="114">
        <v>5</v>
      </c>
      <c r="D271" s="115">
        <v>12000</v>
      </c>
      <c r="E271" s="116">
        <f>+D271*C271</f>
        <v>60000</v>
      </c>
    </row>
    <row r="272" spans="1:5" s="44" customFormat="1" ht="19.2" hidden="1" customHeight="1">
      <c r="A272" s="8" t="s">
        <v>285</v>
      </c>
      <c r="B272" s="61" t="s">
        <v>7</v>
      </c>
      <c r="C272" s="110"/>
      <c r="D272" s="111"/>
      <c r="E272" s="112"/>
    </row>
    <row r="273" spans="1:5" s="44" customFormat="1" ht="19.2" hidden="1" customHeight="1">
      <c r="A273" s="8" t="s">
        <v>286</v>
      </c>
      <c r="B273" s="61" t="s">
        <v>7</v>
      </c>
      <c r="C273" s="110"/>
      <c r="D273" s="111"/>
      <c r="E273" s="112"/>
    </row>
    <row r="274" spans="1:5" s="44" customFormat="1" ht="19.2" hidden="1" customHeight="1">
      <c r="A274" s="8" t="s">
        <v>287</v>
      </c>
      <c r="B274" s="61" t="s">
        <v>68</v>
      </c>
      <c r="C274" s="110"/>
      <c r="D274" s="111"/>
      <c r="E274" s="112"/>
    </row>
    <row r="275" spans="1:5" s="44" customFormat="1" ht="19.2" customHeight="1">
      <c r="A275" s="19" t="s">
        <v>288</v>
      </c>
      <c r="B275" s="64" t="s">
        <v>7</v>
      </c>
      <c r="C275" s="114">
        <v>20</v>
      </c>
      <c r="D275" s="115">
        <v>16000</v>
      </c>
      <c r="E275" s="116">
        <f>+D275*C275</f>
        <v>320000</v>
      </c>
    </row>
    <row r="276" spans="1:5" s="44" customFormat="1" ht="19.2" hidden="1" customHeight="1">
      <c r="A276" s="8" t="s">
        <v>289</v>
      </c>
      <c r="B276" s="61" t="s">
        <v>57</v>
      </c>
      <c r="C276" s="110"/>
      <c r="D276" s="111"/>
      <c r="E276" s="112"/>
    </row>
    <row r="277" spans="1:5" s="44" customFormat="1" ht="19.2" hidden="1" customHeight="1">
      <c r="A277" s="8" t="s">
        <v>290</v>
      </c>
      <c r="B277" s="61" t="s">
        <v>7</v>
      </c>
      <c r="C277" s="110"/>
      <c r="D277" s="111"/>
      <c r="E277" s="112"/>
    </row>
    <row r="278" spans="1:5" s="44" customFormat="1" ht="19.2" hidden="1" customHeight="1">
      <c r="A278" s="30" t="s">
        <v>291</v>
      </c>
      <c r="B278" s="61" t="s">
        <v>49</v>
      </c>
      <c r="C278" s="110"/>
      <c r="D278" s="111"/>
      <c r="E278" s="112"/>
    </row>
    <row r="279" spans="1:5" s="44" customFormat="1" ht="19.2" hidden="1" customHeight="1">
      <c r="A279" s="8" t="s">
        <v>292</v>
      </c>
      <c r="B279" s="61" t="s">
        <v>49</v>
      </c>
      <c r="C279" s="110"/>
      <c r="D279" s="111"/>
      <c r="E279" s="112"/>
    </row>
    <row r="280" spans="1:5" s="44" customFormat="1" ht="19.2" hidden="1" customHeight="1">
      <c r="A280" s="30" t="s">
        <v>293</v>
      </c>
      <c r="B280" s="61" t="s">
        <v>49</v>
      </c>
      <c r="C280" s="110"/>
      <c r="D280" s="111"/>
      <c r="E280" s="112"/>
    </row>
    <row r="281" spans="1:5" s="44" customFormat="1" ht="19.2" hidden="1" customHeight="1">
      <c r="A281" s="30" t="s">
        <v>294</v>
      </c>
      <c r="B281" s="61" t="s">
        <v>49</v>
      </c>
      <c r="C281" s="110"/>
      <c r="D281" s="111"/>
      <c r="E281" s="112"/>
    </row>
    <row r="282" spans="1:5" s="44" customFormat="1" ht="19.2" hidden="1" customHeight="1">
      <c r="A282" s="11" t="s">
        <v>295</v>
      </c>
      <c r="B282" s="61" t="s">
        <v>7</v>
      </c>
      <c r="C282" s="119"/>
      <c r="D282" s="111"/>
      <c r="E282" s="112"/>
    </row>
    <row r="283" spans="1:5" s="44" customFormat="1" ht="19.2" hidden="1" customHeight="1">
      <c r="A283" s="11" t="s">
        <v>296</v>
      </c>
      <c r="B283" s="61" t="s">
        <v>49</v>
      </c>
      <c r="C283" s="110"/>
      <c r="D283" s="111"/>
      <c r="E283" s="118"/>
    </row>
    <row r="284" spans="1:5" s="44" customFormat="1" ht="19.2" hidden="1" customHeight="1">
      <c r="A284" s="10" t="s">
        <v>297</v>
      </c>
      <c r="B284" s="61" t="s">
        <v>7</v>
      </c>
      <c r="C284" s="110"/>
      <c r="D284" s="111"/>
      <c r="E284" s="112"/>
    </row>
    <row r="285" spans="1:5" s="44" customFormat="1" ht="19.2" hidden="1" customHeight="1">
      <c r="A285" s="10" t="s">
        <v>298</v>
      </c>
      <c r="B285" s="61" t="s">
        <v>7</v>
      </c>
      <c r="C285" s="110"/>
      <c r="D285" s="111"/>
      <c r="E285" s="112"/>
    </row>
    <row r="286" spans="1:5" s="44" customFormat="1" ht="19.2" hidden="1" customHeight="1">
      <c r="A286" s="15" t="s">
        <v>299</v>
      </c>
      <c r="B286" s="61" t="s">
        <v>68</v>
      </c>
      <c r="C286" s="110"/>
      <c r="D286" s="111"/>
      <c r="E286" s="112"/>
    </row>
    <row r="287" spans="1:5" s="44" customFormat="1" ht="19.2" hidden="1" customHeight="1">
      <c r="A287" s="15" t="s">
        <v>300</v>
      </c>
      <c r="B287" s="61" t="s">
        <v>54</v>
      </c>
      <c r="C287" s="110"/>
      <c r="D287" s="111"/>
      <c r="E287" s="112"/>
    </row>
    <row r="288" spans="1:5" s="44" customFormat="1" ht="19.2" hidden="1" customHeight="1">
      <c r="A288" s="15" t="s">
        <v>301</v>
      </c>
      <c r="B288" s="61" t="s">
        <v>54</v>
      </c>
      <c r="C288" s="110"/>
      <c r="D288" s="111"/>
      <c r="E288" s="112"/>
    </row>
    <row r="289" spans="1:5" s="44" customFormat="1" ht="19.2" customHeight="1">
      <c r="A289" s="19" t="s">
        <v>302</v>
      </c>
      <c r="B289" s="64" t="s">
        <v>7</v>
      </c>
      <c r="C289" s="114">
        <v>13</v>
      </c>
      <c r="D289" s="115">
        <v>9000</v>
      </c>
      <c r="E289" s="116">
        <f>+D289*C289</f>
        <v>117000</v>
      </c>
    </row>
    <row r="290" spans="1:5" s="44" customFormat="1" ht="19.2" hidden="1" customHeight="1">
      <c r="A290" s="15" t="s">
        <v>303</v>
      </c>
      <c r="B290" s="61" t="s">
        <v>49</v>
      </c>
      <c r="C290" s="110"/>
      <c r="D290" s="111"/>
      <c r="E290" s="112"/>
    </row>
    <row r="291" spans="1:5" s="44" customFormat="1" ht="19.2" hidden="1" customHeight="1">
      <c r="A291" s="8" t="s">
        <v>304</v>
      </c>
      <c r="B291" s="61" t="s">
        <v>7</v>
      </c>
      <c r="C291" s="110"/>
      <c r="D291" s="111"/>
      <c r="E291" s="112"/>
    </row>
    <row r="292" spans="1:5" s="44" customFormat="1" ht="19.2" customHeight="1">
      <c r="A292" s="19" t="s">
        <v>305</v>
      </c>
      <c r="B292" s="64" t="s">
        <v>7</v>
      </c>
      <c r="C292" s="114">
        <v>15</v>
      </c>
      <c r="D292" s="115">
        <v>7000</v>
      </c>
      <c r="E292" s="116">
        <f>+D292*C292</f>
        <v>105000</v>
      </c>
    </row>
    <row r="293" spans="1:5" s="44" customFormat="1" ht="19.2" hidden="1" customHeight="1">
      <c r="A293" s="15" t="s">
        <v>306</v>
      </c>
      <c r="B293" s="61" t="s">
        <v>54</v>
      </c>
      <c r="C293" s="110"/>
      <c r="D293" s="111"/>
      <c r="E293" s="112"/>
    </row>
    <row r="294" spans="1:5" s="44" customFormat="1" ht="19.2" hidden="1" customHeight="1">
      <c r="A294" s="23" t="s">
        <v>307</v>
      </c>
      <c r="B294" s="61" t="s">
        <v>7</v>
      </c>
      <c r="C294" s="110"/>
      <c r="D294" s="111"/>
      <c r="E294" s="112"/>
    </row>
    <row r="295" spans="1:5" s="44" customFormat="1" ht="19.2" hidden="1" customHeight="1">
      <c r="A295" s="8" t="s">
        <v>308</v>
      </c>
      <c r="B295" s="61" t="s">
        <v>7</v>
      </c>
      <c r="C295" s="110"/>
      <c r="D295" s="111"/>
      <c r="E295" s="112"/>
    </row>
    <row r="296" spans="1:5" s="44" customFormat="1" ht="19.2" hidden="1" customHeight="1">
      <c r="A296" s="12" t="s">
        <v>309</v>
      </c>
      <c r="B296" s="61" t="s">
        <v>9</v>
      </c>
      <c r="C296" s="110"/>
      <c r="D296" s="111"/>
      <c r="E296" s="112"/>
    </row>
    <row r="297" spans="1:5" s="44" customFormat="1" ht="19.2" hidden="1" customHeight="1">
      <c r="A297" s="12" t="s">
        <v>310</v>
      </c>
      <c r="B297" s="61" t="s">
        <v>68</v>
      </c>
      <c r="C297" s="110"/>
      <c r="D297" s="111"/>
      <c r="E297" s="112"/>
    </row>
    <row r="298" spans="1:5" s="44" customFormat="1" ht="19.2" hidden="1" customHeight="1">
      <c r="A298" s="11" t="s">
        <v>311</v>
      </c>
      <c r="B298" s="61" t="s">
        <v>7</v>
      </c>
      <c r="C298" s="110"/>
      <c r="D298" s="111"/>
      <c r="E298" s="112"/>
    </row>
    <row r="299" spans="1:5" s="44" customFormat="1" ht="19.2" hidden="1" customHeight="1">
      <c r="A299" s="15" t="s">
        <v>312</v>
      </c>
      <c r="B299" s="61" t="s">
        <v>49</v>
      </c>
      <c r="C299" s="110"/>
      <c r="D299" s="125"/>
      <c r="E299" s="126"/>
    </row>
    <row r="300" spans="1:5" s="44" customFormat="1" ht="19.2" hidden="1" customHeight="1">
      <c r="A300" s="12" t="s">
        <v>313</v>
      </c>
      <c r="B300" s="61" t="s">
        <v>49</v>
      </c>
      <c r="C300" s="110"/>
      <c r="D300" s="111"/>
      <c r="E300" s="112"/>
    </row>
    <row r="301" spans="1:5" s="44" customFormat="1" ht="19.2" hidden="1" customHeight="1">
      <c r="A301" s="8" t="s">
        <v>314</v>
      </c>
      <c r="B301" s="61" t="s">
        <v>7</v>
      </c>
      <c r="C301" s="110"/>
      <c r="D301" s="111"/>
      <c r="E301" s="112"/>
    </row>
    <row r="302" spans="1:5" s="44" customFormat="1" ht="19.2" hidden="1" customHeight="1">
      <c r="A302" s="15" t="s">
        <v>315</v>
      </c>
      <c r="B302" s="61" t="s">
        <v>68</v>
      </c>
      <c r="C302" s="110"/>
      <c r="D302" s="111"/>
      <c r="E302" s="112"/>
    </row>
    <row r="303" spans="1:5" s="44" customFormat="1" ht="19.2" hidden="1" customHeight="1">
      <c r="A303" s="8" t="s">
        <v>316</v>
      </c>
      <c r="B303" s="61" t="s">
        <v>7</v>
      </c>
      <c r="C303" s="110"/>
      <c r="D303" s="111"/>
      <c r="E303" s="112"/>
    </row>
    <row r="304" spans="1:5" s="44" customFormat="1" ht="19.2" hidden="1" customHeight="1">
      <c r="A304" s="8" t="s">
        <v>317</v>
      </c>
      <c r="B304" s="61" t="s">
        <v>7</v>
      </c>
      <c r="C304" s="110"/>
      <c r="D304" s="111"/>
      <c r="E304" s="112"/>
    </row>
    <row r="305" spans="1:5" s="44" customFormat="1" ht="19.2" hidden="1" customHeight="1">
      <c r="A305" s="10" t="s">
        <v>318</v>
      </c>
      <c r="B305" s="61" t="s">
        <v>7</v>
      </c>
      <c r="C305" s="110"/>
      <c r="D305" s="125"/>
      <c r="E305" s="112"/>
    </row>
    <row r="306" spans="1:5" s="44" customFormat="1" ht="19.2" hidden="1" customHeight="1">
      <c r="A306" s="11" t="s">
        <v>319</v>
      </c>
      <c r="B306" s="61" t="s">
        <v>7</v>
      </c>
      <c r="C306" s="110"/>
      <c r="D306" s="125"/>
      <c r="E306" s="126"/>
    </row>
    <row r="307" spans="1:5" s="44" customFormat="1" ht="19.2" hidden="1" customHeight="1">
      <c r="A307" s="11" t="s">
        <v>320</v>
      </c>
      <c r="B307" s="61" t="s">
        <v>7</v>
      </c>
      <c r="C307" s="110"/>
      <c r="D307" s="111"/>
      <c r="E307" s="112"/>
    </row>
    <row r="308" spans="1:5" s="44" customFormat="1" ht="19.2" hidden="1" customHeight="1">
      <c r="A308" s="8" t="s">
        <v>321</v>
      </c>
      <c r="B308" s="61" t="s">
        <v>7</v>
      </c>
      <c r="C308" s="110"/>
      <c r="D308" s="111"/>
      <c r="E308" s="112"/>
    </row>
    <row r="309" spans="1:5" s="44" customFormat="1" ht="19.2" hidden="1" customHeight="1">
      <c r="A309" s="8" t="s">
        <v>322</v>
      </c>
      <c r="B309" s="61" t="s">
        <v>93</v>
      </c>
      <c r="C309" s="110"/>
      <c r="D309" s="111"/>
      <c r="E309" s="112"/>
    </row>
    <row r="310" spans="1:5" s="44" customFormat="1" ht="19.2" hidden="1" customHeight="1">
      <c r="A310" s="8" t="s">
        <v>323</v>
      </c>
      <c r="B310" s="61" t="s">
        <v>49</v>
      </c>
      <c r="C310" s="110"/>
      <c r="D310" s="111"/>
      <c r="E310" s="112"/>
    </row>
    <row r="311" spans="1:5" s="44" customFormat="1" ht="19.2" hidden="1" customHeight="1">
      <c r="A311" s="12" t="s">
        <v>324</v>
      </c>
      <c r="B311" s="61" t="s">
        <v>7</v>
      </c>
      <c r="C311" s="110"/>
      <c r="D311" s="111"/>
      <c r="E311" s="112"/>
    </row>
    <row r="312" spans="1:5" s="44" customFormat="1" ht="19.2" hidden="1" customHeight="1">
      <c r="A312" s="12" t="s">
        <v>325</v>
      </c>
      <c r="B312" s="61" t="s">
        <v>7</v>
      </c>
      <c r="C312" s="110"/>
      <c r="D312" s="111"/>
      <c r="E312" s="112"/>
    </row>
    <row r="313" spans="1:5" s="44" customFormat="1" ht="19.2" hidden="1" customHeight="1">
      <c r="A313" s="19" t="s">
        <v>326</v>
      </c>
      <c r="B313" s="61" t="s">
        <v>7</v>
      </c>
      <c r="C313" s="110"/>
      <c r="D313" s="111"/>
      <c r="E313" s="112"/>
    </row>
    <row r="314" spans="1:5" s="44" customFormat="1" ht="19.2" hidden="1" customHeight="1">
      <c r="A314" s="12" t="s">
        <v>327</v>
      </c>
      <c r="B314" s="61" t="s">
        <v>49</v>
      </c>
      <c r="C314" s="110"/>
      <c r="D314" s="111"/>
      <c r="E314" s="112"/>
    </row>
    <row r="315" spans="1:5" s="44" customFormat="1" ht="19.2" hidden="1" customHeight="1">
      <c r="A315" s="8" t="s">
        <v>328</v>
      </c>
      <c r="B315" s="61" t="s">
        <v>57</v>
      </c>
      <c r="C315" s="110"/>
      <c r="D315" s="111"/>
      <c r="E315" s="112"/>
    </row>
    <row r="316" spans="1:5" s="44" customFormat="1" ht="19.2" hidden="1" customHeight="1">
      <c r="A316" s="8" t="s">
        <v>329</v>
      </c>
      <c r="B316" s="61" t="s">
        <v>57</v>
      </c>
      <c r="C316" s="110"/>
      <c r="D316" s="111"/>
      <c r="E316" s="112"/>
    </row>
    <row r="317" spans="1:5" s="44" customFormat="1" ht="19.2" hidden="1" customHeight="1">
      <c r="A317" s="8" t="s">
        <v>330</v>
      </c>
      <c r="B317" s="61" t="s">
        <v>93</v>
      </c>
      <c r="C317" s="110"/>
      <c r="D317" s="111"/>
      <c r="E317" s="112"/>
    </row>
    <row r="318" spans="1:5" s="44" customFormat="1" ht="19.2" hidden="1" customHeight="1">
      <c r="A318" s="8" t="s">
        <v>331</v>
      </c>
      <c r="B318" s="61" t="s">
        <v>7</v>
      </c>
      <c r="C318" s="110"/>
      <c r="D318" s="111"/>
      <c r="E318" s="112"/>
    </row>
    <row r="319" spans="1:5" s="44" customFormat="1" ht="19.2" hidden="1" customHeight="1">
      <c r="A319" s="19" t="s">
        <v>332</v>
      </c>
      <c r="B319" s="61" t="s">
        <v>7</v>
      </c>
      <c r="C319" s="110"/>
      <c r="D319" s="111"/>
      <c r="E319" s="112"/>
    </row>
    <row r="320" spans="1:5" s="44" customFormat="1" ht="19.2" hidden="1" customHeight="1">
      <c r="A320" s="8" t="s">
        <v>333</v>
      </c>
      <c r="B320" s="61" t="s">
        <v>57</v>
      </c>
      <c r="C320" s="110"/>
      <c r="D320" s="111"/>
      <c r="E320" s="112"/>
    </row>
    <row r="321" spans="1:5" s="44" customFormat="1" ht="19.2" hidden="1" customHeight="1">
      <c r="A321" s="8" t="s">
        <v>334</v>
      </c>
      <c r="B321" s="61" t="s">
        <v>7</v>
      </c>
      <c r="C321" s="110"/>
      <c r="D321" s="111"/>
      <c r="E321" s="112"/>
    </row>
    <row r="322" spans="1:5" s="44" customFormat="1" ht="19.2" hidden="1" customHeight="1">
      <c r="A322" s="11" t="s">
        <v>335</v>
      </c>
      <c r="B322" s="61" t="s">
        <v>7</v>
      </c>
      <c r="C322" s="110"/>
      <c r="D322" s="111"/>
      <c r="E322" s="112"/>
    </row>
    <row r="323" spans="1:5" s="44" customFormat="1" ht="19.2" hidden="1" customHeight="1">
      <c r="A323" s="8" t="s">
        <v>336</v>
      </c>
      <c r="B323" s="61" t="s">
        <v>7</v>
      </c>
      <c r="C323" s="128"/>
      <c r="D323" s="111"/>
      <c r="E323" s="112"/>
    </row>
    <row r="324" spans="1:5" s="44" customFormat="1" ht="19.2" hidden="1" customHeight="1">
      <c r="A324" s="8" t="s">
        <v>337</v>
      </c>
      <c r="B324" s="61" t="s">
        <v>57</v>
      </c>
      <c r="C324" s="110"/>
      <c r="D324" s="111"/>
      <c r="E324" s="112"/>
    </row>
    <row r="325" spans="1:5" s="44" customFormat="1" ht="19.2" hidden="1" customHeight="1">
      <c r="A325" s="8" t="s">
        <v>338</v>
      </c>
      <c r="B325" s="61" t="s">
        <v>49</v>
      </c>
      <c r="C325" s="110"/>
      <c r="D325" s="111"/>
      <c r="E325" s="112"/>
    </row>
    <row r="326" spans="1:5" s="44" customFormat="1" ht="19.2" hidden="1" customHeight="1">
      <c r="A326" s="19" t="s">
        <v>339</v>
      </c>
      <c r="B326" s="61" t="s">
        <v>7</v>
      </c>
      <c r="C326" s="110"/>
      <c r="D326" s="111"/>
      <c r="E326" s="112"/>
    </row>
    <row r="327" spans="1:5" s="44" customFormat="1" ht="19.2" hidden="1" customHeight="1">
      <c r="A327" s="19" t="s">
        <v>340</v>
      </c>
      <c r="B327" s="61" t="s">
        <v>7</v>
      </c>
      <c r="C327" s="110"/>
      <c r="D327" s="111"/>
      <c r="E327" s="112"/>
    </row>
    <row r="328" spans="1:5" s="44" customFormat="1" ht="19.2" hidden="1" customHeight="1">
      <c r="A328" s="8" t="s">
        <v>341</v>
      </c>
      <c r="B328" s="61" t="s">
        <v>7</v>
      </c>
      <c r="C328" s="110"/>
      <c r="D328" s="111"/>
      <c r="E328" s="112"/>
    </row>
    <row r="329" spans="1:5" s="44" customFormat="1" ht="19.2" hidden="1" customHeight="1">
      <c r="A329" s="8" t="s">
        <v>342</v>
      </c>
      <c r="B329" s="61" t="s">
        <v>7</v>
      </c>
      <c r="C329" s="110"/>
      <c r="D329" s="111"/>
      <c r="E329" s="112"/>
    </row>
    <row r="330" spans="1:5" s="44" customFormat="1" ht="19.2" hidden="1" customHeight="1">
      <c r="A330" s="19" t="s">
        <v>343</v>
      </c>
      <c r="B330" s="61" t="s">
        <v>7</v>
      </c>
      <c r="C330" s="110"/>
      <c r="D330" s="111"/>
      <c r="E330" s="112"/>
    </row>
    <row r="331" spans="1:5" s="44" customFormat="1" ht="19.2" hidden="1" customHeight="1">
      <c r="A331" s="8" t="s">
        <v>344</v>
      </c>
      <c r="B331" s="61" t="s">
        <v>57</v>
      </c>
      <c r="C331" s="110"/>
      <c r="D331" s="111"/>
      <c r="E331" s="112"/>
    </row>
    <row r="332" spans="1:5" s="44" customFormat="1" ht="19.2" hidden="1" customHeight="1">
      <c r="A332" s="8" t="s">
        <v>345</v>
      </c>
      <c r="B332" s="61" t="s">
        <v>57</v>
      </c>
      <c r="C332" s="110"/>
      <c r="D332" s="111"/>
      <c r="E332" s="112"/>
    </row>
    <row r="333" spans="1:5" s="44" customFormat="1" ht="19.2" hidden="1" customHeight="1">
      <c r="A333" s="8" t="s">
        <v>346</v>
      </c>
      <c r="B333" s="61" t="s">
        <v>57</v>
      </c>
      <c r="C333" s="110"/>
      <c r="D333" s="111"/>
      <c r="E333" s="112"/>
    </row>
    <row r="334" spans="1:5" s="44" customFormat="1" ht="19.2" hidden="1" customHeight="1">
      <c r="A334" s="8" t="s">
        <v>347</v>
      </c>
      <c r="B334" s="61" t="s">
        <v>57</v>
      </c>
      <c r="C334" s="110"/>
      <c r="D334" s="111"/>
      <c r="E334" s="112"/>
    </row>
    <row r="335" spans="1:5" s="44" customFormat="1" ht="19.2" hidden="1" customHeight="1">
      <c r="A335" s="8" t="s">
        <v>348</v>
      </c>
      <c r="B335" s="61" t="s">
        <v>57</v>
      </c>
      <c r="C335" s="110"/>
      <c r="D335" s="111"/>
      <c r="E335" s="112"/>
    </row>
    <row r="336" spans="1:5" s="44" customFormat="1" ht="19.2" hidden="1" customHeight="1">
      <c r="A336" s="8" t="s">
        <v>349</v>
      </c>
      <c r="B336" s="61" t="s">
        <v>93</v>
      </c>
      <c r="C336" s="110"/>
      <c r="D336" s="111"/>
      <c r="E336" s="112"/>
    </row>
    <row r="337" spans="1:5" s="44" customFormat="1" ht="19.2" hidden="1" customHeight="1">
      <c r="A337" s="8" t="s">
        <v>350</v>
      </c>
      <c r="B337" s="61" t="s">
        <v>7</v>
      </c>
      <c r="C337" s="110"/>
      <c r="D337" s="111"/>
      <c r="E337" s="112"/>
    </row>
    <row r="338" spans="1:5" s="44" customFormat="1" ht="19.2" hidden="1" customHeight="1">
      <c r="A338" s="8" t="s">
        <v>351</v>
      </c>
      <c r="B338" s="61" t="s">
        <v>7</v>
      </c>
      <c r="C338" s="110"/>
      <c r="D338" s="111"/>
      <c r="E338" s="112"/>
    </row>
    <row r="339" spans="1:5" s="44" customFormat="1" ht="19.2" hidden="1" customHeight="1">
      <c r="A339" s="10" t="s">
        <v>352</v>
      </c>
      <c r="B339" s="61" t="s">
        <v>54</v>
      </c>
      <c r="C339" s="110"/>
      <c r="D339" s="111"/>
      <c r="E339" s="112"/>
    </row>
    <row r="340" spans="1:5" s="44" customFormat="1" ht="19.2" hidden="1" customHeight="1">
      <c r="A340" s="10" t="s">
        <v>353</v>
      </c>
      <c r="B340" s="61" t="s">
        <v>7</v>
      </c>
      <c r="C340" s="110"/>
      <c r="D340" s="111"/>
      <c r="E340" s="112"/>
    </row>
    <row r="341" spans="1:5" s="44" customFormat="1" ht="19.2" customHeight="1">
      <c r="A341" s="79"/>
      <c r="B341" s="129">
        <v>0</v>
      </c>
      <c r="C341" s="129">
        <v>3756.7</v>
      </c>
      <c r="D341" s="82"/>
      <c r="E341" s="130">
        <f>SUBTOTAL(9,E16:E292)</f>
        <v>83832600</v>
      </c>
    </row>
    <row r="342" spans="1:5" ht="47.4" customHeight="1">
      <c r="A342" s="205" t="s">
        <v>354</v>
      </c>
      <c r="B342" s="54" t="s">
        <v>2</v>
      </c>
      <c r="C342" s="55" t="s">
        <v>3</v>
      </c>
      <c r="D342" s="56" t="s">
        <v>4</v>
      </c>
      <c r="E342" s="57" t="s">
        <v>5</v>
      </c>
    </row>
    <row r="343" spans="1:5" ht="19.2" hidden="1" customHeight="1">
      <c r="A343" s="206"/>
      <c r="B343" s="58"/>
      <c r="C343" s="37"/>
      <c r="D343" s="131"/>
      <c r="E343" s="132"/>
    </row>
    <row r="344" spans="1:5" ht="19.2" hidden="1" customHeight="1">
      <c r="A344" s="5" t="s">
        <v>6</v>
      </c>
      <c r="B344" s="61" t="s">
        <v>7</v>
      </c>
      <c r="C344" s="6"/>
      <c r="D344" s="133"/>
      <c r="E344" s="134"/>
    </row>
    <row r="345" spans="1:5" ht="19.2" hidden="1" customHeight="1">
      <c r="A345" s="7" t="s">
        <v>8</v>
      </c>
      <c r="B345" s="61" t="s">
        <v>9</v>
      </c>
      <c r="C345" s="6"/>
      <c r="D345" s="133"/>
      <c r="E345" s="134"/>
    </row>
    <row r="346" spans="1:5" ht="19.2" hidden="1" customHeight="1">
      <c r="A346" s="5" t="s">
        <v>10</v>
      </c>
      <c r="B346" s="61" t="s">
        <v>7</v>
      </c>
      <c r="C346" s="6"/>
      <c r="D346" s="133"/>
      <c r="E346" s="134"/>
    </row>
    <row r="347" spans="1:5" ht="19.2" customHeight="1">
      <c r="A347" s="87" t="s">
        <v>11</v>
      </c>
      <c r="B347" s="64" t="s">
        <v>7</v>
      </c>
      <c r="C347" s="65">
        <v>66</v>
      </c>
      <c r="D347" s="135">
        <v>4500</v>
      </c>
      <c r="E347" s="136">
        <f>+D347*C347</f>
        <v>297000</v>
      </c>
    </row>
    <row r="348" spans="1:5" ht="19.2" hidden="1" customHeight="1">
      <c r="A348" s="8" t="s">
        <v>12</v>
      </c>
      <c r="B348" s="61" t="s">
        <v>9</v>
      </c>
      <c r="C348" s="6"/>
      <c r="D348" s="133"/>
      <c r="E348" s="134"/>
    </row>
    <row r="349" spans="1:5" ht="19.2" hidden="1" customHeight="1">
      <c r="A349" s="9" t="s">
        <v>13</v>
      </c>
      <c r="B349" s="61" t="s">
        <v>7</v>
      </c>
      <c r="C349" s="6"/>
      <c r="D349" s="133"/>
      <c r="E349" s="134"/>
    </row>
    <row r="350" spans="1:5" ht="19.2" hidden="1" customHeight="1">
      <c r="A350" s="5" t="s">
        <v>14</v>
      </c>
      <c r="B350" s="61" t="s">
        <v>7</v>
      </c>
      <c r="C350" s="6"/>
      <c r="D350" s="133"/>
      <c r="E350" s="134"/>
    </row>
    <row r="351" spans="1:5" ht="19.2" hidden="1" customHeight="1">
      <c r="A351" s="5" t="s">
        <v>15</v>
      </c>
      <c r="B351" s="61" t="s">
        <v>7</v>
      </c>
      <c r="C351" s="6"/>
      <c r="D351" s="133"/>
      <c r="E351" s="134"/>
    </row>
    <row r="352" spans="1:5" ht="19.2" hidden="1" customHeight="1">
      <c r="A352" s="10" t="s">
        <v>355</v>
      </c>
      <c r="B352" s="61" t="s">
        <v>7</v>
      </c>
      <c r="C352" s="6"/>
      <c r="D352" s="133"/>
      <c r="E352" s="134"/>
    </row>
    <row r="353" spans="1:5" ht="19.2" hidden="1" customHeight="1">
      <c r="A353" s="8" t="s">
        <v>18</v>
      </c>
      <c r="B353" s="61" t="s">
        <v>7</v>
      </c>
      <c r="C353" s="6"/>
      <c r="D353" s="133"/>
      <c r="E353" s="134"/>
    </row>
    <row r="354" spans="1:5" ht="19.2" customHeight="1">
      <c r="A354" s="19" t="s">
        <v>19</v>
      </c>
      <c r="B354" s="64" t="s">
        <v>7</v>
      </c>
      <c r="C354" s="65">
        <v>13</v>
      </c>
      <c r="D354" s="135">
        <v>10000</v>
      </c>
      <c r="E354" s="136">
        <f>+D354*C354</f>
        <v>130000</v>
      </c>
    </row>
    <row r="355" spans="1:5" ht="19.2" hidden="1" customHeight="1">
      <c r="A355" s="11" t="s">
        <v>20</v>
      </c>
      <c r="B355" s="61" t="s">
        <v>21</v>
      </c>
      <c r="C355" s="6"/>
      <c r="D355" s="133"/>
      <c r="E355" s="134"/>
    </row>
    <row r="356" spans="1:5" ht="19.2" hidden="1" customHeight="1">
      <c r="A356" s="11" t="s">
        <v>22</v>
      </c>
      <c r="B356" s="61" t="s">
        <v>7</v>
      </c>
      <c r="C356" s="6"/>
      <c r="D356" s="133"/>
      <c r="E356" s="134"/>
    </row>
    <row r="357" spans="1:5" ht="19.2" hidden="1" customHeight="1">
      <c r="A357" s="8" t="s">
        <v>23</v>
      </c>
      <c r="B357" s="61" t="s">
        <v>7</v>
      </c>
      <c r="C357" s="6"/>
      <c r="D357" s="133"/>
      <c r="E357" s="134"/>
    </row>
    <row r="358" spans="1:5" ht="19.2" hidden="1" customHeight="1">
      <c r="A358" s="8" t="s">
        <v>24</v>
      </c>
      <c r="B358" s="61" t="s">
        <v>7</v>
      </c>
      <c r="C358" s="6"/>
      <c r="D358" s="137"/>
      <c r="E358" s="134"/>
    </row>
    <row r="359" spans="1:5" ht="19.2" hidden="1" customHeight="1">
      <c r="A359" s="12" t="s">
        <v>25</v>
      </c>
      <c r="B359" s="61" t="s">
        <v>21</v>
      </c>
      <c r="C359" s="6"/>
      <c r="D359" s="133"/>
      <c r="E359" s="134"/>
    </row>
    <row r="360" spans="1:5" ht="19.2" hidden="1" customHeight="1">
      <c r="A360" s="10" t="s">
        <v>26</v>
      </c>
      <c r="B360" s="61" t="s">
        <v>7</v>
      </c>
      <c r="C360" s="6"/>
      <c r="D360" s="133"/>
      <c r="E360" s="134"/>
    </row>
    <row r="361" spans="1:5" ht="19.2" customHeight="1">
      <c r="A361" s="19" t="s">
        <v>27</v>
      </c>
      <c r="B361" s="64" t="s">
        <v>7</v>
      </c>
      <c r="C361" s="65">
        <v>2005</v>
      </c>
      <c r="D361" s="135">
        <v>13000</v>
      </c>
      <c r="E361" s="136">
        <f>+D361*C361</f>
        <v>26065000</v>
      </c>
    </row>
    <row r="362" spans="1:5" ht="19.2" hidden="1" customHeight="1">
      <c r="A362" s="11" t="s">
        <v>28</v>
      </c>
      <c r="B362" s="61" t="s">
        <v>21</v>
      </c>
      <c r="C362" s="6"/>
      <c r="D362" s="133"/>
      <c r="E362" s="134"/>
    </row>
    <row r="363" spans="1:5" ht="19.2" hidden="1" customHeight="1">
      <c r="A363" s="11" t="s">
        <v>29</v>
      </c>
      <c r="B363" s="61" t="s">
        <v>7</v>
      </c>
      <c r="C363" s="6"/>
      <c r="D363" s="133"/>
      <c r="E363" s="134"/>
    </row>
    <row r="364" spans="1:5" ht="19.2" hidden="1" customHeight="1">
      <c r="A364" s="8" t="s">
        <v>30</v>
      </c>
      <c r="B364" s="61" t="s">
        <v>7</v>
      </c>
      <c r="C364" s="6"/>
      <c r="D364" s="133"/>
      <c r="E364" s="134"/>
    </row>
    <row r="365" spans="1:5" ht="19.2" hidden="1" customHeight="1">
      <c r="A365" s="8" t="s">
        <v>31</v>
      </c>
      <c r="B365" s="61" t="s">
        <v>21</v>
      </c>
      <c r="C365" s="6"/>
      <c r="D365" s="133"/>
      <c r="E365" s="134"/>
    </row>
    <row r="366" spans="1:5" ht="19.2" hidden="1" customHeight="1">
      <c r="A366" s="8" t="s">
        <v>32</v>
      </c>
      <c r="B366" s="61" t="s">
        <v>7</v>
      </c>
      <c r="C366" s="6"/>
      <c r="D366" s="133"/>
      <c r="E366" s="134"/>
    </row>
    <row r="367" spans="1:5" ht="19.2" hidden="1" customHeight="1">
      <c r="A367" s="8" t="s">
        <v>33</v>
      </c>
      <c r="B367" s="61" t="s">
        <v>21</v>
      </c>
      <c r="C367" s="6"/>
      <c r="D367" s="133"/>
      <c r="E367" s="134"/>
    </row>
    <row r="368" spans="1:5" ht="19.2" hidden="1" customHeight="1">
      <c r="A368" s="8" t="s">
        <v>34</v>
      </c>
      <c r="B368" s="61" t="s">
        <v>7</v>
      </c>
      <c r="C368" s="6"/>
      <c r="D368" s="133"/>
      <c r="E368" s="134"/>
    </row>
    <row r="369" spans="1:5" ht="19.2" hidden="1" customHeight="1">
      <c r="A369" s="8" t="s">
        <v>35</v>
      </c>
      <c r="B369" s="61" t="s">
        <v>7</v>
      </c>
      <c r="C369" s="6"/>
      <c r="D369" s="133"/>
      <c r="E369" s="134"/>
    </row>
    <row r="370" spans="1:5" ht="19.2" hidden="1" customHeight="1">
      <c r="A370" s="11" t="s">
        <v>37</v>
      </c>
      <c r="B370" s="61" t="s">
        <v>7</v>
      </c>
      <c r="C370" s="6"/>
      <c r="D370" s="133"/>
      <c r="E370" s="134"/>
    </row>
    <row r="371" spans="1:5" ht="19.2" hidden="1" customHeight="1">
      <c r="A371" s="11" t="s">
        <v>46</v>
      </c>
      <c r="B371" s="61" t="s">
        <v>7</v>
      </c>
      <c r="C371" s="6"/>
      <c r="D371" s="133"/>
      <c r="E371" s="134"/>
    </row>
    <row r="372" spans="1:5" ht="19.2" hidden="1" customHeight="1">
      <c r="A372" s="8" t="s">
        <v>47</v>
      </c>
      <c r="B372" s="61" t="s">
        <v>7</v>
      </c>
      <c r="C372" s="6"/>
      <c r="D372" s="133"/>
      <c r="E372" s="134"/>
    </row>
    <row r="373" spans="1:5" ht="19.2" hidden="1" customHeight="1">
      <c r="A373" s="8" t="s">
        <v>48</v>
      </c>
      <c r="B373" s="61" t="s">
        <v>49</v>
      </c>
      <c r="C373" s="6"/>
      <c r="D373" s="133"/>
      <c r="E373" s="134"/>
    </row>
    <row r="374" spans="1:5" ht="19.2" hidden="1" customHeight="1">
      <c r="A374" s="10" t="s">
        <v>356</v>
      </c>
      <c r="B374" s="61" t="s">
        <v>7</v>
      </c>
      <c r="C374" s="14"/>
      <c r="D374" s="133"/>
      <c r="E374" s="134"/>
    </row>
    <row r="375" spans="1:5" ht="19.2" hidden="1" customHeight="1">
      <c r="A375" s="10" t="s">
        <v>50</v>
      </c>
      <c r="B375" s="61" t="s">
        <v>7</v>
      </c>
      <c r="C375" s="14"/>
      <c r="D375" s="133"/>
      <c r="E375" s="134"/>
    </row>
    <row r="376" spans="1:5" ht="19.2" hidden="1" customHeight="1">
      <c r="A376" s="8" t="s">
        <v>51</v>
      </c>
      <c r="B376" s="61" t="s">
        <v>7</v>
      </c>
      <c r="C376" s="6"/>
      <c r="D376" s="133"/>
      <c r="E376" s="134"/>
    </row>
    <row r="377" spans="1:5" ht="19.2" hidden="1" customHeight="1">
      <c r="A377" s="8" t="s">
        <v>52</v>
      </c>
      <c r="B377" s="61" t="s">
        <v>7</v>
      </c>
      <c r="C377" s="6"/>
      <c r="D377" s="133"/>
      <c r="E377" s="134"/>
    </row>
    <row r="378" spans="1:5" ht="19.2" hidden="1" customHeight="1">
      <c r="A378" s="15" t="s">
        <v>53</v>
      </c>
      <c r="B378" s="61" t="s">
        <v>54</v>
      </c>
      <c r="C378" s="6"/>
      <c r="D378" s="133"/>
      <c r="E378" s="134"/>
    </row>
    <row r="379" spans="1:5" ht="19.2" hidden="1" customHeight="1">
      <c r="A379" s="8" t="s">
        <v>55</v>
      </c>
      <c r="B379" s="61" t="s">
        <v>7</v>
      </c>
      <c r="C379" s="6"/>
      <c r="D379" s="133"/>
      <c r="E379" s="134"/>
    </row>
    <row r="380" spans="1:5" ht="19.2" hidden="1" customHeight="1">
      <c r="A380" s="8" t="s">
        <v>56</v>
      </c>
      <c r="B380" s="61" t="s">
        <v>57</v>
      </c>
      <c r="C380" s="6"/>
      <c r="D380" s="133"/>
      <c r="E380" s="134"/>
    </row>
    <row r="381" spans="1:5" ht="19.2" hidden="1" customHeight="1">
      <c r="A381" s="8" t="s">
        <v>58</v>
      </c>
      <c r="B381" s="61" t="s">
        <v>7</v>
      </c>
      <c r="C381" s="6"/>
      <c r="D381" s="133"/>
      <c r="E381" s="134"/>
    </row>
    <row r="382" spans="1:5" ht="19.2" hidden="1" customHeight="1">
      <c r="A382" s="8" t="s">
        <v>59</v>
      </c>
      <c r="B382" s="61" t="s">
        <v>7</v>
      </c>
      <c r="C382" s="6"/>
      <c r="D382" s="138"/>
      <c r="E382" s="134"/>
    </row>
    <row r="383" spans="1:5" ht="19.2" hidden="1" customHeight="1">
      <c r="A383" s="12" t="s">
        <v>60</v>
      </c>
      <c r="B383" s="61" t="s">
        <v>57</v>
      </c>
      <c r="C383" s="6"/>
      <c r="D383" s="133"/>
      <c r="E383" s="134"/>
    </row>
    <row r="384" spans="1:5" ht="19.2" hidden="1" customHeight="1">
      <c r="A384" s="10" t="s">
        <v>61</v>
      </c>
      <c r="B384" s="61" t="s">
        <v>7</v>
      </c>
      <c r="C384" s="6"/>
      <c r="D384" s="133"/>
      <c r="E384" s="134"/>
    </row>
    <row r="385" spans="1:5" ht="19.2" hidden="1" customHeight="1">
      <c r="A385" s="12" t="s">
        <v>62</v>
      </c>
      <c r="B385" s="61" t="s">
        <v>54</v>
      </c>
      <c r="C385" s="6"/>
      <c r="D385" s="133"/>
      <c r="E385" s="134"/>
    </row>
    <row r="386" spans="1:5" ht="19.2" hidden="1" customHeight="1">
      <c r="A386" s="8" t="s">
        <v>63</v>
      </c>
      <c r="B386" s="61" t="s">
        <v>7</v>
      </c>
      <c r="C386" s="6"/>
      <c r="D386" s="133"/>
      <c r="E386" s="134"/>
    </row>
    <row r="387" spans="1:5" ht="19.2" hidden="1" customHeight="1">
      <c r="A387" s="8" t="s">
        <v>64</v>
      </c>
      <c r="B387" s="61" t="s">
        <v>7</v>
      </c>
      <c r="C387" s="6"/>
      <c r="D387" s="133"/>
      <c r="E387" s="134"/>
    </row>
    <row r="388" spans="1:5" ht="19.2" customHeight="1">
      <c r="A388" s="10" t="s">
        <v>65</v>
      </c>
      <c r="B388" s="64" t="s">
        <v>7</v>
      </c>
      <c r="C388" s="65">
        <v>715</v>
      </c>
      <c r="D388" s="135">
        <v>20000</v>
      </c>
      <c r="E388" s="136">
        <f>+D388*C388</f>
        <v>14300000</v>
      </c>
    </row>
    <row r="389" spans="1:5" ht="19.2" hidden="1" customHeight="1">
      <c r="A389" s="16" t="s">
        <v>66</v>
      </c>
      <c r="B389" s="61" t="s">
        <v>7</v>
      </c>
      <c r="C389" s="6"/>
      <c r="D389" s="133"/>
      <c r="E389" s="139"/>
    </row>
    <row r="390" spans="1:5" ht="19.2" hidden="1" customHeight="1">
      <c r="A390" s="15" t="s">
        <v>67</v>
      </c>
      <c r="B390" s="61" t="s">
        <v>68</v>
      </c>
      <c r="C390" s="6"/>
      <c r="D390" s="133"/>
      <c r="E390" s="134"/>
    </row>
    <row r="391" spans="1:5" ht="19.2" hidden="1" customHeight="1">
      <c r="A391" s="15" t="s">
        <v>69</v>
      </c>
      <c r="B391" s="61" t="s">
        <v>68</v>
      </c>
      <c r="C391" s="6"/>
      <c r="D391" s="133"/>
      <c r="E391" s="134"/>
    </row>
    <row r="392" spans="1:5" ht="19.2" hidden="1" customHeight="1">
      <c r="A392" s="15" t="s">
        <v>70</v>
      </c>
      <c r="B392" s="61" t="s">
        <v>7</v>
      </c>
      <c r="C392" s="6"/>
      <c r="D392" s="133"/>
      <c r="E392" s="139"/>
    </row>
    <row r="393" spans="1:5" ht="19.2" hidden="1" customHeight="1">
      <c r="A393" s="8" t="s">
        <v>71</v>
      </c>
      <c r="B393" s="61" t="s">
        <v>7</v>
      </c>
      <c r="C393" s="6"/>
      <c r="D393" s="133"/>
      <c r="E393" s="139"/>
    </row>
    <row r="394" spans="1:5" ht="19.2" hidden="1" customHeight="1">
      <c r="A394" s="10" t="s">
        <v>72</v>
      </c>
      <c r="B394" s="61" t="s">
        <v>7</v>
      </c>
      <c r="C394" s="6"/>
      <c r="D394" s="133"/>
      <c r="E394" s="134"/>
    </row>
    <row r="395" spans="1:5" ht="19.2" hidden="1" customHeight="1">
      <c r="A395" s="8" t="s">
        <v>73</v>
      </c>
      <c r="B395" s="61" t="s">
        <v>7</v>
      </c>
      <c r="C395" s="6"/>
      <c r="D395" s="133"/>
      <c r="E395" s="139"/>
    </row>
    <row r="396" spans="1:5" ht="19.2" hidden="1" customHeight="1">
      <c r="A396" s="8" t="s">
        <v>74</v>
      </c>
      <c r="B396" s="61" t="s">
        <v>7</v>
      </c>
      <c r="C396" s="6"/>
      <c r="D396" s="133"/>
      <c r="E396" s="134"/>
    </row>
    <row r="397" spans="1:5" ht="19.2" hidden="1" customHeight="1">
      <c r="A397" s="15" t="s">
        <v>75</v>
      </c>
      <c r="B397" s="61" t="s">
        <v>68</v>
      </c>
      <c r="C397" s="6"/>
      <c r="D397" s="133"/>
      <c r="E397" s="134"/>
    </row>
    <row r="398" spans="1:5" ht="19.2" hidden="1" customHeight="1">
      <c r="A398" s="8" t="s">
        <v>76</v>
      </c>
      <c r="B398" s="61" t="s">
        <v>49</v>
      </c>
      <c r="C398" s="6"/>
      <c r="D398" s="133"/>
      <c r="E398" s="139"/>
    </row>
    <row r="399" spans="1:5" ht="19.2" hidden="1" customHeight="1">
      <c r="A399" s="17" t="s">
        <v>77</v>
      </c>
      <c r="B399" s="61" t="s">
        <v>7</v>
      </c>
      <c r="C399" s="6"/>
      <c r="D399" s="133"/>
      <c r="E399" s="134"/>
    </row>
    <row r="400" spans="1:5" ht="19.2" hidden="1" customHeight="1">
      <c r="A400" s="8" t="s">
        <v>78</v>
      </c>
      <c r="B400" s="61" t="s">
        <v>7</v>
      </c>
      <c r="C400" s="6"/>
      <c r="D400" s="133"/>
      <c r="E400" s="139"/>
    </row>
    <row r="401" spans="1:5" ht="19.2" hidden="1" customHeight="1">
      <c r="A401" s="8" t="s">
        <v>79</v>
      </c>
      <c r="B401" s="61" t="s">
        <v>7</v>
      </c>
      <c r="C401" s="6"/>
      <c r="D401" s="133"/>
      <c r="E401" s="139"/>
    </row>
    <row r="402" spans="1:5" ht="19.2" hidden="1" customHeight="1">
      <c r="A402" s="18" t="s">
        <v>80</v>
      </c>
      <c r="B402" s="61" t="s">
        <v>7</v>
      </c>
      <c r="C402" s="6"/>
      <c r="D402" s="133"/>
      <c r="E402" s="139"/>
    </row>
    <row r="403" spans="1:5" ht="19.2" hidden="1" customHeight="1">
      <c r="A403" s="38" t="s">
        <v>81</v>
      </c>
      <c r="B403" s="61" t="s">
        <v>7</v>
      </c>
      <c r="C403" s="6"/>
      <c r="D403" s="133"/>
      <c r="E403" s="134"/>
    </row>
    <row r="404" spans="1:5" ht="19.2" hidden="1" customHeight="1">
      <c r="A404" s="11" t="s">
        <v>82</v>
      </c>
      <c r="B404" s="61" t="s">
        <v>68</v>
      </c>
      <c r="C404" s="6"/>
      <c r="D404" s="133"/>
      <c r="E404" s="134"/>
    </row>
    <row r="405" spans="1:5" ht="19.2" hidden="1" customHeight="1">
      <c r="A405" s="10" t="s">
        <v>83</v>
      </c>
      <c r="B405" s="61" t="s">
        <v>7</v>
      </c>
      <c r="C405" s="6"/>
      <c r="D405" s="133"/>
      <c r="E405" s="134"/>
    </row>
    <row r="406" spans="1:5" ht="19.2" hidden="1" customHeight="1">
      <c r="A406" s="11" t="s">
        <v>84</v>
      </c>
      <c r="B406" s="61" t="s">
        <v>7</v>
      </c>
      <c r="C406" s="6"/>
      <c r="D406" s="133"/>
      <c r="E406" s="134"/>
    </row>
    <row r="407" spans="1:5" ht="19.2" hidden="1" customHeight="1">
      <c r="A407" s="11" t="s">
        <v>85</v>
      </c>
      <c r="B407" s="61" t="s">
        <v>7</v>
      </c>
      <c r="C407" s="6"/>
      <c r="D407" s="133"/>
      <c r="E407" s="134"/>
    </row>
    <row r="408" spans="1:5" ht="19.2" hidden="1" customHeight="1">
      <c r="A408" s="11" t="s">
        <v>86</v>
      </c>
      <c r="B408" s="61" t="s">
        <v>68</v>
      </c>
      <c r="C408" s="6"/>
      <c r="D408" s="133"/>
      <c r="E408" s="134"/>
    </row>
    <row r="409" spans="1:5" ht="19.2" hidden="1" customHeight="1">
      <c r="A409" s="18" t="s">
        <v>87</v>
      </c>
      <c r="B409" s="61" t="s">
        <v>7</v>
      </c>
      <c r="C409" s="6"/>
      <c r="D409" s="133"/>
      <c r="E409" s="134"/>
    </row>
    <row r="410" spans="1:5" ht="19.2" hidden="1" customHeight="1">
      <c r="A410" s="8" t="s">
        <v>88</v>
      </c>
      <c r="B410" s="61" t="s">
        <v>68</v>
      </c>
      <c r="C410" s="6"/>
      <c r="D410" s="133"/>
      <c r="E410" s="134"/>
    </row>
    <row r="411" spans="1:5" ht="19.2" hidden="1" customHeight="1">
      <c r="A411" s="8" t="s">
        <v>89</v>
      </c>
      <c r="B411" s="61" t="s">
        <v>54</v>
      </c>
      <c r="C411" s="6"/>
      <c r="D411" s="133"/>
      <c r="E411" s="134"/>
    </row>
    <row r="412" spans="1:5" ht="19.2" hidden="1" customHeight="1">
      <c r="A412" s="11" t="s">
        <v>357</v>
      </c>
      <c r="B412" s="61" t="s">
        <v>7</v>
      </c>
      <c r="C412" s="6"/>
      <c r="D412" s="133"/>
      <c r="E412" s="134"/>
    </row>
    <row r="413" spans="1:5" ht="19.2" customHeight="1">
      <c r="A413" s="19" t="s">
        <v>90</v>
      </c>
      <c r="B413" s="64" t="s">
        <v>7</v>
      </c>
      <c r="C413" s="65">
        <v>205</v>
      </c>
      <c r="D413" s="135">
        <v>25000</v>
      </c>
      <c r="E413" s="136">
        <f>+D413*C413</f>
        <v>5125000</v>
      </c>
    </row>
    <row r="414" spans="1:5" ht="19.2" hidden="1" customHeight="1">
      <c r="A414" s="12" t="s">
        <v>91</v>
      </c>
      <c r="B414" s="61" t="s">
        <v>54</v>
      </c>
      <c r="C414" s="6"/>
      <c r="D414" s="133"/>
      <c r="E414" s="134"/>
    </row>
    <row r="415" spans="1:5" ht="19.2" hidden="1" customHeight="1">
      <c r="A415" s="8" t="s">
        <v>92</v>
      </c>
      <c r="B415" s="61" t="s">
        <v>93</v>
      </c>
      <c r="C415" s="6"/>
      <c r="D415" s="133"/>
      <c r="E415" s="134"/>
    </row>
    <row r="416" spans="1:5" ht="19.2" hidden="1" customHeight="1">
      <c r="A416" s="8" t="s">
        <v>94</v>
      </c>
      <c r="B416" s="61" t="s">
        <v>7</v>
      </c>
      <c r="C416" s="6"/>
      <c r="D416" s="133"/>
      <c r="E416" s="134"/>
    </row>
    <row r="417" spans="1:5" ht="19.2" hidden="1" customHeight="1">
      <c r="A417" s="8" t="s">
        <v>95</v>
      </c>
      <c r="B417" s="61" t="s">
        <v>7</v>
      </c>
      <c r="C417" s="6"/>
      <c r="D417" s="133"/>
      <c r="E417" s="134"/>
    </row>
    <row r="418" spans="1:5" ht="19.2" hidden="1" customHeight="1">
      <c r="A418" s="11" t="s">
        <v>96</v>
      </c>
      <c r="B418" s="61" t="s">
        <v>7</v>
      </c>
      <c r="C418" s="14"/>
      <c r="D418" s="133"/>
      <c r="E418" s="134"/>
    </row>
    <row r="419" spans="1:5" ht="19.2" hidden="1" customHeight="1">
      <c r="A419" s="11" t="s">
        <v>97</v>
      </c>
      <c r="B419" s="61" t="s">
        <v>7</v>
      </c>
      <c r="C419" s="14"/>
      <c r="D419" s="133"/>
      <c r="E419" s="134"/>
    </row>
    <row r="420" spans="1:5" ht="19.2" hidden="1" customHeight="1">
      <c r="A420" s="11" t="s">
        <v>98</v>
      </c>
      <c r="B420" s="61" t="s">
        <v>54</v>
      </c>
      <c r="C420" s="14"/>
      <c r="D420" s="133"/>
      <c r="E420" s="134"/>
    </row>
    <row r="421" spans="1:5" ht="19.2" hidden="1" customHeight="1">
      <c r="A421" s="8" t="s">
        <v>99</v>
      </c>
      <c r="B421" s="61" t="s">
        <v>7</v>
      </c>
      <c r="C421" s="6"/>
      <c r="D421" s="133"/>
      <c r="E421" s="134"/>
    </row>
    <row r="422" spans="1:5" ht="19.2" hidden="1" customHeight="1">
      <c r="A422" s="8" t="s">
        <v>100</v>
      </c>
      <c r="B422" s="61" t="s">
        <v>7</v>
      </c>
      <c r="C422" s="6"/>
      <c r="D422" s="133"/>
      <c r="E422" s="134"/>
    </row>
    <row r="423" spans="1:5" ht="19.2" hidden="1" customHeight="1">
      <c r="A423" s="8" t="s">
        <v>101</v>
      </c>
      <c r="B423" s="61" t="s">
        <v>49</v>
      </c>
      <c r="C423" s="6"/>
      <c r="D423" s="133"/>
      <c r="E423" s="134"/>
    </row>
    <row r="424" spans="1:5" ht="19.2" hidden="1" customHeight="1">
      <c r="A424" s="8" t="s">
        <v>102</v>
      </c>
      <c r="B424" s="61" t="s">
        <v>7</v>
      </c>
      <c r="C424" s="6"/>
      <c r="D424" s="133"/>
      <c r="E424" s="134"/>
    </row>
    <row r="425" spans="1:5" ht="19.2" hidden="1" customHeight="1">
      <c r="A425" s="8" t="s">
        <v>103</v>
      </c>
      <c r="B425" s="61" t="s">
        <v>49</v>
      </c>
      <c r="C425" s="6"/>
      <c r="D425" s="133"/>
      <c r="E425" s="134"/>
    </row>
    <row r="426" spans="1:5" ht="19.2" hidden="1" customHeight="1">
      <c r="A426" s="8" t="s">
        <v>104</v>
      </c>
      <c r="B426" s="61" t="s">
        <v>7</v>
      </c>
      <c r="C426" s="6"/>
      <c r="D426" s="133"/>
      <c r="E426" s="134"/>
    </row>
    <row r="427" spans="1:5" ht="19.2" hidden="1" customHeight="1">
      <c r="A427" s="19" t="s">
        <v>105</v>
      </c>
      <c r="B427" s="61" t="s">
        <v>17</v>
      </c>
      <c r="C427" s="6"/>
      <c r="D427" s="133"/>
      <c r="E427" s="134"/>
    </row>
    <row r="428" spans="1:5" ht="19.2" hidden="1" customHeight="1">
      <c r="A428" s="19" t="s">
        <v>106</v>
      </c>
      <c r="B428" s="61" t="s">
        <v>68</v>
      </c>
      <c r="C428" s="6"/>
      <c r="D428" s="133"/>
      <c r="E428" s="134"/>
    </row>
    <row r="429" spans="1:5" ht="19.2" hidden="1" customHeight="1">
      <c r="A429" s="19" t="s">
        <v>107</v>
      </c>
      <c r="B429" s="61" t="s">
        <v>68</v>
      </c>
      <c r="C429" s="6"/>
      <c r="D429" s="133"/>
      <c r="E429" s="134"/>
    </row>
    <row r="430" spans="1:5" ht="19.2" hidden="1" customHeight="1">
      <c r="A430" s="10" t="s">
        <v>108</v>
      </c>
      <c r="B430" s="61" t="s">
        <v>7</v>
      </c>
      <c r="C430" s="6"/>
      <c r="D430" s="133"/>
      <c r="E430" s="134"/>
    </row>
    <row r="431" spans="1:5" ht="19.2" hidden="1" customHeight="1">
      <c r="A431" s="12" t="s">
        <v>109</v>
      </c>
      <c r="B431" s="61" t="s">
        <v>54</v>
      </c>
      <c r="C431" s="6"/>
      <c r="D431" s="133"/>
      <c r="E431" s="134"/>
    </row>
    <row r="432" spans="1:5" ht="19.2" hidden="1" customHeight="1">
      <c r="A432" s="10" t="s">
        <v>358</v>
      </c>
      <c r="B432" s="61" t="s">
        <v>7</v>
      </c>
      <c r="C432" s="6"/>
      <c r="D432" s="133"/>
      <c r="E432" s="134"/>
    </row>
    <row r="433" spans="1:5" ht="19.2" hidden="1" customHeight="1">
      <c r="A433" s="8" t="s">
        <v>110</v>
      </c>
      <c r="B433" s="61" t="s">
        <v>7</v>
      </c>
      <c r="C433" s="6"/>
      <c r="D433" s="133"/>
      <c r="E433" s="134"/>
    </row>
    <row r="434" spans="1:5" ht="19.2" hidden="1" customHeight="1">
      <c r="A434" s="8" t="s">
        <v>111</v>
      </c>
      <c r="B434" s="61" t="s">
        <v>49</v>
      </c>
      <c r="C434" s="6"/>
      <c r="D434" s="133"/>
      <c r="E434" s="134"/>
    </row>
    <row r="435" spans="1:5" ht="19.2" hidden="1" customHeight="1">
      <c r="A435" s="10" t="s">
        <v>359</v>
      </c>
      <c r="B435" s="61" t="s">
        <v>7</v>
      </c>
      <c r="C435" s="6"/>
      <c r="D435" s="133"/>
      <c r="E435" s="134"/>
    </row>
    <row r="436" spans="1:5" ht="19.2" hidden="1" customHeight="1">
      <c r="A436" s="10" t="s">
        <v>360</v>
      </c>
      <c r="B436" s="61" t="s">
        <v>49</v>
      </c>
      <c r="C436" s="6"/>
      <c r="D436" s="133"/>
      <c r="E436" s="134"/>
    </row>
    <row r="437" spans="1:5" ht="19.2" hidden="1" customHeight="1">
      <c r="A437" s="8" t="s">
        <v>113</v>
      </c>
      <c r="B437" s="61" t="s">
        <v>7</v>
      </c>
      <c r="C437" s="14"/>
      <c r="D437" s="133"/>
      <c r="E437" s="134"/>
    </row>
    <row r="438" spans="1:5" ht="19.2" hidden="1" customHeight="1">
      <c r="A438" s="19" t="s">
        <v>115</v>
      </c>
      <c r="B438" s="61" t="s">
        <v>49</v>
      </c>
      <c r="C438" s="6"/>
      <c r="D438" s="133"/>
      <c r="E438" s="134"/>
    </row>
    <row r="439" spans="1:5" ht="19.2" hidden="1" customHeight="1">
      <c r="A439" s="10" t="s">
        <v>116</v>
      </c>
      <c r="B439" s="61" t="s">
        <v>7</v>
      </c>
      <c r="C439" s="6"/>
      <c r="D439" s="133"/>
      <c r="E439" s="134"/>
    </row>
    <row r="440" spans="1:5" ht="19.2" hidden="1" customHeight="1">
      <c r="A440" s="10" t="s">
        <v>361</v>
      </c>
      <c r="B440" s="61" t="s">
        <v>7</v>
      </c>
      <c r="C440" s="6"/>
      <c r="D440" s="133"/>
      <c r="E440" s="134"/>
    </row>
    <row r="441" spans="1:5" ht="19.2" hidden="1" customHeight="1">
      <c r="A441" s="8" t="s">
        <v>117</v>
      </c>
      <c r="B441" s="61" t="s">
        <v>7</v>
      </c>
      <c r="C441" s="6"/>
      <c r="D441" s="133"/>
      <c r="E441" s="134"/>
    </row>
    <row r="442" spans="1:5" ht="19.2" hidden="1" customHeight="1">
      <c r="A442" s="15" t="s">
        <v>118</v>
      </c>
      <c r="B442" s="61" t="s">
        <v>9</v>
      </c>
      <c r="C442" s="6"/>
      <c r="D442" s="133"/>
      <c r="E442" s="134"/>
    </row>
    <row r="443" spans="1:5" ht="19.2" hidden="1" customHeight="1">
      <c r="A443" s="22" t="s">
        <v>119</v>
      </c>
      <c r="B443" s="61" t="s">
        <v>7</v>
      </c>
      <c r="C443" s="6"/>
      <c r="D443" s="133"/>
      <c r="E443" s="134"/>
    </row>
    <row r="444" spans="1:5" ht="19.2" hidden="1" customHeight="1">
      <c r="A444" s="22" t="s">
        <v>120</v>
      </c>
      <c r="B444" s="61" t="s">
        <v>9</v>
      </c>
      <c r="C444" s="6"/>
      <c r="D444" s="133"/>
      <c r="E444" s="134"/>
    </row>
    <row r="445" spans="1:5" ht="19.2" hidden="1" customHeight="1">
      <c r="A445" s="21" t="s">
        <v>121</v>
      </c>
      <c r="B445" s="61" t="s">
        <v>7</v>
      </c>
      <c r="C445" s="6"/>
      <c r="D445" s="133"/>
      <c r="E445" s="134"/>
    </row>
    <row r="446" spans="1:5" ht="19.2" hidden="1" customHeight="1">
      <c r="A446" s="23" t="s">
        <v>122</v>
      </c>
      <c r="B446" s="61" t="s">
        <v>39</v>
      </c>
      <c r="C446" s="6"/>
      <c r="D446" s="133"/>
      <c r="E446" s="134"/>
    </row>
    <row r="447" spans="1:5" ht="19.2" hidden="1" customHeight="1">
      <c r="A447" s="8" t="s">
        <v>123</v>
      </c>
      <c r="B447" s="61" t="s">
        <v>7</v>
      </c>
      <c r="C447" s="6"/>
      <c r="D447" s="133"/>
      <c r="E447" s="134"/>
    </row>
    <row r="448" spans="1:5" ht="19.2" hidden="1" customHeight="1">
      <c r="A448" s="8" t="s">
        <v>124</v>
      </c>
      <c r="B448" s="61" t="s">
        <v>7</v>
      </c>
      <c r="C448" s="6"/>
      <c r="D448" s="133"/>
      <c r="E448" s="134"/>
    </row>
    <row r="449" spans="1:5" ht="19.2" hidden="1" customHeight="1">
      <c r="A449" s="8" t="s">
        <v>125</v>
      </c>
      <c r="B449" s="61" t="s">
        <v>7</v>
      </c>
      <c r="C449" s="6"/>
      <c r="D449" s="133"/>
      <c r="E449" s="134"/>
    </row>
    <row r="450" spans="1:5" ht="19.2" hidden="1" customHeight="1">
      <c r="A450" s="8" t="s">
        <v>126</v>
      </c>
      <c r="B450" s="61" t="s">
        <v>57</v>
      </c>
      <c r="C450" s="6"/>
      <c r="D450" s="133"/>
      <c r="E450" s="134"/>
    </row>
    <row r="451" spans="1:5" ht="19.2" hidden="1" customHeight="1">
      <c r="A451" s="8" t="s">
        <v>128</v>
      </c>
      <c r="B451" s="61" t="s">
        <v>7</v>
      </c>
      <c r="C451" s="6"/>
      <c r="D451" s="133"/>
      <c r="E451" s="134"/>
    </row>
    <row r="452" spans="1:5" ht="19.2" hidden="1" customHeight="1">
      <c r="A452" s="8" t="s">
        <v>129</v>
      </c>
      <c r="B452" s="61" t="s">
        <v>54</v>
      </c>
      <c r="C452" s="6"/>
      <c r="D452" s="133"/>
      <c r="E452" s="134"/>
    </row>
    <row r="453" spans="1:5" ht="19.2" customHeight="1">
      <c r="A453" s="19" t="s">
        <v>362</v>
      </c>
      <c r="B453" s="64" t="s">
        <v>7</v>
      </c>
      <c r="C453" s="65">
        <v>10</v>
      </c>
      <c r="D453" s="135">
        <v>22000</v>
      </c>
      <c r="E453" s="136">
        <f>+D453*C453</f>
        <v>220000</v>
      </c>
    </row>
    <row r="454" spans="1:5" ht="19.2" hidden="1" customHeight="1">
      <c r="A454" s="8" t="s">
        <v>130</v>
      </c>
      <c r="B454" s="61" t="s">
        <v>7</v>
      </c>
      <c r="C454" s="6"/>
      <c r="D454" s="133"/>
      <c r="E454" s="134"/>
    </row>
    <row r="455" spans="1:5" ht="19.2" hidden="1" customHeight="1">
      <c r="A455" s="10" t="s">
        <v>131</v>
      </c>
      <c r="B455" s="61" t="s">
        <v>7</v>
      </c>
      <c r="C455" s="6"/>
      <c r="D455" s="133"/>
      <c r="E455" s="134"/>
    </row>
    <row r="456" spans="1:5" ht="19.2" hidden="1" customHeight="1">
      <c r="A456" s="19" t="s">
        <v>132</v>
      </c>
      <c r="B456" s="61" t="s">
        <v>21</v>
      </c>
      <c r="C456" s="6"/>
      <c r="D456" s="133"/>
      <c r="E456" s="134"/>
    </row>
    <row r="457" spans="1:5" ht="19.2" hidden="1" customHeight="1">
      <c r="A457" s="8" t="s">
        <v>133</v>
      </c>
      <c r="B457" s="61" t="s">
        <v>134</v>
      </c>
      <c r="C457" s="6"/>
      <c r="D457" s="133"/>
      <c r="E457" s="134"/>
    </row>
    <row r="458" spans="1:5" ht="19.2" hidden="1" customHeight="1">
      <c r="A458" s="10" t="s">
        <v>135</v>
      </c>
      <c r="B458" s="61" t="s">
        <v>134</v>
      </c>
      <c r="C458" s="6"/>
      <c r="D458" s="133"/>
      <c r="E458" s="134"/>
    </row>
    <row r="459" spans="1:5" ht="19.2" hidden="1" customHeight="1">
      <c r="A459" s="10" t="s">
        <v>136</v>
      </c>
      <c r="B459" s="61" t="s">
        <v>134</v>
      </c>
      <c r="C459" s="6"/>
      <c r="D459" s="133"/>
      <c r="E459" s="134"/>
    </row>
    <row r="460" spans="1:5" ht="19.2" hidden="1" customHeight="1">
      <c r="A460" s="8" t="s">
        <v>137</v>
      </c>
      <c r="B460" s="61" t="s">
        <v>7</v>
      </c>
      <c r="C460" s="6"/>
      <c r="D460" s="133"/>
      <c r="E460" s="134"/>
    </row>
    <row r="461" spans="1:5" ht="19.2" hidden="1" customHeight="1">
      <c r="A461" s="9" t="s">
        <v>139</v>
      </c>
      <c r="B461" s="61" t="s">
        <v>7</v>
      </c>
      <c r="C461" s="6"/>
      <c r="D461" s="133"/>
      <c r="E461" s="134"/>
    </row>
    <row r="462" spans="1:5" ht="19.2" hidden="1" customHeight="1">
      <c r="A462" s="12" t="s">
        <v>140</v>
      </c>
      <c r="B462" s="61" t="s">
        <v>68</v>
      </c>
      <c r="C462" s="6"/>
      <c r="D462" s="133"/>
      <c r="E462" s="134"/>
    </row>
    <row r="463" spans="1:5" ht="19.2" hidden="1" customHeight="1">
      <c r="A463" s="11" t="s">
        <v>141</v>
      </c>
      <c r="B463" s="61" t="s">
        <v>68</v>
      </c>
      <c r="C463" s="14"/>
      <c r="D463" s="133"/>
      <c r="E463" s="134"/>
    </row>
    <row r="464" spans="1:5" ht="19.2" hidden="1" customHeight="1">
      <c r="A464" s="11" t="s">
        <v>142</v>
      </c>
      <c r="B464" s="61" t="s">
        <v>7</v>
      </c>
      <c r="C464" s="14"/>
      <c r="D464" s="133"/>
      <c r="E464" s="134"/>
    </row>
    <row r="465" spans="1:5" ht="19.2" hidden="1" customHeight="1">
      <c r="A465" s="11" t="s">
        <v>143</v>
      </c>
      <c r="B465" s="61" t="s">
        <v>7</v>
      </c>
      <c r="C465" s="14"/>
      <c r="D465" s="133"/>
      <c r="E465" s="134"/>
    </row>
    <row r="466" spans="1:5" ht="19.2" hidden="1" customHeight="1">
      <c r="A466" s="11" t="s">
        <v>144</v>
      </c>
      <c r="B466" s="61" t="s">
        <v>7</v>
      </c>
      <c r="C466" s="24"/>
      <c r="D466" s="133"/>
      <c r="E466" s="134"/>
    </row>
    <row r="467" spans="1:5" ht="19.2" hidden="1" customHeight="1">
      <c r="A467" s="25" t="s">
        <v>145</v>
      </c>
      <c r="B467" s="61" t="s">
        <v>54</v>
      </c>
      <c r="C467" s="6"/>
      <c r="D467" s="133"/>
      <c r="E467" s="134"/>
    </row>
    <row r="468" spans="1:5" ht="19.2" hidden="1" customHeight="1">
      <c r="A468" s="11" t="s">
        <v>146</v>
      </c>
      <c r="B468" s="61" t="s">
        <v>7</v>
      </c>
      <c r="C468" s="14"/>
      <c r="D468" s="133"/>
      <c r="E468" s="134"/>
    </row>
    <row r="469" spans="1:5" ht="19.2" hidden="1" customHeight="1">
      <c r="A469" s="8" t="s">
        <v>147</v>
      </c>
      <c r="B469" s="61" t="s">
        <v>7</v>
      </c>
      <c r="C469" s="6"/>
      <c r="D469" s="133"/>
      <c r="E469" s="134"/>
    </row>
    <row r="470" spans="1:5" ht="19.2" hidden="1" customHeight="1">
      <c r="A470" s="8" t="s">
        <v>148</v>
      </c>
      <c r="B470" s="61" t="s">
        <v>17</v>
      </c>
      <c r="C470" s="6"/>
      <c r="D470" s="133"/>
      <c r="E470" s="134"/>
    </row>
    <row r="471" spans="1:5" ht="19.2" customHeight="1">
      <c r="A471" s="19" t="s">
        <v>150</v>
      </c>
      <c r="B471" s="64" t="s">
        <v>7</v>
      </c>
      <c r="C471" s="65">
        <v>131</v>
      </c>
      <c r="D471" s="135">
        <v>13000</v>
      </c>
      <c r="E471" s="136">
        <f>+D471*C471</f>
        <v>1703000</v>
      </c>
    </row>
    <row r="472" spans="1:5" ht="19.2" hidden="1" customHeight="1">
      <c r="A472" s="15" t="s">
        <v>151</v>
      </c>
      <c r="B472" s="61" t="s">
        <v>49</v>
      </c>
      <c r="C472" s="6"/>
      <c r="D472" s="133"/>
      <c r="E472" s="134"/>
    </row>
    <row r="473" spans="1:5" ht="19.2" hidden="1" customHeight="1">
      <c r="A473" s="11" t="s">
        <v>152</v>
      </c>
      <c r="B473" s="61" t="s">
        <v>7</v>
      </c>
      <c r="C473" s="6"/>
      <c r="D473" s="133"/>
      <c r="E473" s="134"/>
    </row>
    <row r="474" spans="1:5" ht="19.2" hidden="1" customHeight="1">
      <c r="A474" s="11" t="s">
        <v>153</v>
      </c>
      <c r="B474" s="61" t="s">
        <v>49</v>
      </c>
      <c r="C474" s="6"/>
      <c r="D474" s="133"/>
      <c r="E474" s="134"/>
    </row>
    <row r="475" spans="1:5" ht="19.2" hidden="1" customHeight="1">
      <c r="A475" s="8" t="s">
        <v>154</v>
      </c>
      <c r="B475" s="61" t="s">
        <v>7</v>
      </c>
      <c r="C475" s="6"/>
      <c r="D475" s="133"/>
      <c r="E475" s="134"/>
    </row>
    <row r="476" spans="1:5" ht="19.2" hidden="1" customHeight="1">
      <c r="A476" s="8" t="s">
        <v>363</v>
      </c>
      <c r="B476" s="61" t="s">
        <v>7</v>
      </c>
      <c r="C476" s="6"/>
      <c r="D476" s="133"/>
      <c r="E476" s="134"/>
    </row>
    <row r="477" spans="1:5" ht="19.2" hidden="1" customHeight="1">
      <c r="A477" s="8" t="s">
        <v>156</v>
      </c>
      <c r="B477" s="61" t="s">
        <v>7</v>
      </c>
      <c r="C477" s="14"/>
      <c r="D477" s="133"/>
      <c r="E477" s="134"/>
    </row>
    <row r="478" spans="1:5" ht="19.2" hidden="1" customHeight="1">
      <c r="A478" s="8" t="s">
        <v>157</v>
      </c>
      <c r="B478" s="61" t="s">
        <v>54</v>
      </c>
      <c r="C478" s="14"/>
      <c r="D478" s="133"/>
      <c r="E478" s="134"/>
    </row>
    <row r="479" spans="1:5" ht="19.2" hidden="1" customHeight="1">
      <c r="A479" s="8" t="s">
        <v>158</v>
      </c>
      <c r="B479" s="61"/>
      <c r="C479" s="6"/>
      <c r="D479" s="133"/>
      <c r="E479" s="134"/>
    </row>
    <row r="480" spans="1:5" ht="19.2" hidden="1" customHeight="1">
      <c r="A480" s="8" t="s">
        <v>159</v>
      </c>
      <c r="B480" s="61" t="s">
        <v>7</v>
      </c>
      <c r="C480" s="14"/>
      <c r="D480" s="133"/>
      <c r="E480" s="134"/>
    </row>
    <row r="481" spans="1:5" ht="19.2" hidden="1" customHeight="1">
      <c r="A481" s="8" t="s">
        <v>160</v>
      </c>
      <c r="B481" s="61" t="s">
        <v>54</v>
      </c>
      <c r="C481" s="14"/>
      <c r="D481" s="133"/>
      <c r="E481" s="134"/>
    </row>
    <row r="482" spans="1:5" ht="19.2" hidden="1" customHeight="1">
      <c r="A482" s="8" t="s">
        <v>161</v>
      </c>
      <c r="B482" s="61" t="s">
        <v>7</v>
      </c>
      <c r="C482" s="14"/>
      <c r="D482" s="133"/>
      <c r="E482" s="134"/>
    </row>
    <row r="483" spans="1:5" ht="19.2" hidden="1" customHeight="1">
      <c r="A483" s="8" t="s">
        <v>162</v>
      </c>
      <c r="B483" s="61" t="s">
        <v>54</v>
      </c>
      <c r="C483" s="14"/>
      <c r="D483" s="133"/>
      <c r="E483" s="134"/>
    </row>
    <row r="484" spans="1:5" ht="19.2" hidden="1" customHeight="1">
      <c r="A484" s="8" t="s">
        <v>163</v>
      </c>
      <c r="B484" s="61" t="s">
        <v>7</v>
      </c>
      <c r="C484" s="14"/>
      <c r="D484" s="133"/>
      <c r="E484" s="134"/>
    </row>
    <row r="485" spans="1:5" ht="19.2" hidden="1" customHeight="1">
      <c r="A485" s="8" t="s">
        <v>164</v>
      </c>
      <c r="B485" s="61" t="s">
        <v>7</v>
      </c>
      <c r="C485" s="14"/>
      <c r="D485" s="133"/>
      <c r="E485" s="134"/>
    </row>
    <row r="486" spans="1:5" ht="19.2" hidden="1" customHeight="1">
      <c r="A486" s="8" t="s">
        <v>165</v>
      </c>
      <c r="B486" s="61" t="s">
        <v>7</v>
      </c>
      <c r="C486" s="14"/>
      <c r="D486" s="133"/>
      <c r="E486" s="134"/>
    </row>
    <row r="487" spans="1:5" ht="19.2" hidden="1" customHeight="1">
      <c r="A487" s="8" t="s">
        <v>166</v>
      </c>
      <c r="B487" s="61" t="s">
        <v>54</v>
      </c>
      <c r="C487" s="14"/>
      <c r="D487" s="133"/>
      <c r="E487" s="134"/>
    </row>
    <row r="488" spans="1:5" ht="19.2" hidden="1" customHeight="1">
      <c r="A488" s="8" t="s">
        <v>167</v>
      </c>
      <c r="B488" s="61" t="s">
        <v>7</v>
      </c>
      <c r="C488" s="6"/>
      <c r="D488" s="133"/>
      <c r="E488" s="134"/>
    </row>
    <row r="489" spans="1:5" ht="19.2" hidden="1" customHeight="1">
      <c r="A489" s="8" t="s">
        <v>364</v>
      </c>
      <c r="B489" s="61" t="s">
        <v>7</v>
      </c>
      <c r="C489" s="6"/>
      <c r="D489" s="133"/>
      <c r="E489" s="134"/>
    </row>
    <row r="490" spans="1:5" ht="19.2" hidden="1" customHeight="1">
      <c r="A490" s="8" t="s">
        <v>168</v>
      </c>
      <c r="B490" s="61" t="s">
        <v>7</v>
      </c>
      <c r="C490" s="6"/>
      <c r="D490" s="133"/>
      <c r="E490" s="134"/>
    </row>
    <row r="491" spans="1:5" ht="19.2" hidden="1" customHeight="1">
      <c r="A491" s="8" t="s">
        <v>169</v>
      </c>
      <c r="B491" s="61" t="s">
        <v>49</v>
      </c>
      <c r="C491" s="6"/>
      <c r="D491" s="133"/>
      <c r="E491" s="134"/>
    </row>
    <row r="492" spans="1:5" ht="19.2" hidden="1" customHeight="1">
      <c r="A492" s="8" t="s">
        <v>170</v>
      </c>
      <c r="B492" s="61" t="s">
        <v>49</v>
      </c>
      <c r="C492" s="6"/>
      <c r="D492" s="133"/>
      <c r="E492" s="134"/>
    </row>
    <row r="493" spans="1:5" ht="19.2" hidden="1" customHeight="1">
      <c r="A493" s="15" t="s">
        <v>171</v>
      </c>
      <c r="B493" s="61" t="s">
        <v>49</v>
      </c>
      <c r="C493" s="6"/>
      <c r="D493" s="133"/>
      <c r="E493" s="134"/>
    </row>
    <row r="494" spans="1:5" ht="19.2" hidden="1" customHeight="1">
      <c r="A494" s="8" t="s">
        <v>172</v>
      </c>
      <c r="B494" s="61" t="s">
        <v>7</v>
      </c>
      <c r="C494" s="6"/>
      <c r="D494" s="133"/>
      <c r="E494" s="134"/>
    </row>
    <row r="495" spans="1:5" ht="19.2" hidden="1" customHeight="1">
      <c r="A495" s="8" t="s">
        <v>173</v>
      </c>
      <c r="B495" s="61" t="s">
        <v>7</v>
      </c>
      <c r="C495" s="6"/>
      <c r="D495" s="133"/>
      <c r="E495" s="134"/>
    </row>
    <row r="496" spans="1:5" ht="19.2" customHeight="1">
      <c r="A496" s="19" t="s">
        <v>174</v>
      </c>
      <c r="B496" s="64" t="s">
        <v>49</v>
      </c>
      <c r="C496" s="65">
        <v>21</v>
      </c>
      <c r="D496" s="135">
        <v>11000</v>
      </c>
      <c r="E496" s="136">
        <f>+D496*C496</f>
        <v>231000</v>
      </c>
    </row>
    <row r="497" spans="1:5" ht="19.2" hidden="1" customHeight="1">
      <c r="A497" s="8" t="s">
        <v>175</v>
      </c>
      <c r="B497" s="61" t="s">
        <v>49</v>
      </c>
      <c r="C497" s="6"/>
      <c r="D497" s="133"/>
      <c r="E497" s="134"/>
    </row>
    <row r="498" spans="1:5" ht="19.2" hidden="1" customHeight="1">
      <c r="A498" s="8" t="s">
        <v>176</v>
      </c>
      <c r="B498" s="61" t="s">
        <v>49</v>
      </c>
      <c r="C498" s="14"/>
      <c r="D498" s="133"/>
      <c r="E498" s="134"/>
    </row>
    <row r="499" spans="1:5" ht="19.2" hidden="1" customHeight="1">
      <c r="A499" s="16" t="s">
        <v>177</v>
      </c>
      <c r="B499" s="61" t="s">
        <v>7</v>
      </c>
      <c r="C499" s="14"/>
      <c r="D499" s="133"/>
      <c r="E499" s="134"/>
    </row>
    <row r="500" spans="1:5" ht="19.2" hidden="1" customHeight="1">
      <c r="A500" s="8" t="s">
        <v>178</v>
      </c>
      <c r="B500" s="61" t="s">
        <v>54</v>
      </c>
      <c r="C500" s="14"/>
      <c r="D500" s="133"/>
      <c r="E500" s="134"/>
    </row>
    <row r="501" spans="1:5" ht="19.2" hidden="1" customHeight="1">
      <c r="A501" s="8" t="s">
        <v>180</v>
      </c>
      <c r="B501" s="61" t="s">
        <v>7</v>
      </c>
      <c r="C501" s="6"/>
      <c r="D501" s="133"/>
      <c r="E501" s="134"/>
    </row>
    <row r="502" spans="1:5" ht="19.2" hidden="1" customHeight="1">
      <c r="A502" s="15" t="s">
        <v>181</v>
      </c>
      <c r="B502" s="61" t="s">
        <v>54</v>
      </c>
      <c r="C502" s="6"/>
      <c r="D502" s="133"/>
      <c r="E502" s="134"/>
    </row>
    <row r="503" spans="1:5" ht="19.2" customHeight="1">
      <c r="A503" s="19" t="s">
        <v>365</v>
      </c>
      <c r="B503" s="64" t="s">
        <v>54</v>
      </c>
      <c r="C503" s="65">
        <v>189</v>
      </c>
      <c r="D503" s="135">
        <v>7000</v>
      </c>
      <c r="E503" s="136">
        <f>+D503*C503</f>
        <v>1323000</v>
      </c>
    </row>
    <row r="504" spans="1:5" ht="19.2" hidden="1" customHeight="1">
      <c r="A504" s="11" t="s">
        <v>182</v>
      </c>
      <c r="B504" s="61" t="s">
        <v>7</v>
      </c>
      <c r="C504" s="6"/>
      <c r="D504" s="133"/>
      <c r="E504" s="134"/>
    </row>
    <row r="505" spans="1:5" ht="19.2" hidden="1" customHeight="1">
      <c r="A505" s="8" t="s">
        <v>183</v>
      </c>
      <c r="B505" s="61" t="s">
        <v>54</v>
      </c>
      <c r="C505" s="6"/>
      <c r="D505" s="140"/>
      <c r="E505" s="134"/>
    </row>
    <row r="506" spans="1:5" ht="19.2" hidden="1" customHeight="1">
      <c r="A506" s="8" t="s">
        <v>185</v>
      </c>
      <c r="B506" s="61" t="s">
        <v>7</v>
      </c>
      <c r="C506" s="6"/>
      <c r="D506" s="137"/>
      <c r="E506" s="134"/>
    </row>
    <row r="507" spans="1:5" ht="19.2" hidden="1" customHeight="1">
      <c r="A507" s="8" t="s">
        <v>186</v>
      </c>
      <c r="B507" s="61" t="s">
        <v>7</v>
      </c>
      <c r="C507" s="6"/>
      <c r="D507" s="133"/>
      <c r="E507" s="134"/>
    </row>
    <row r="508" spans="1:5" ht="19.2" hidden="1" customHeight="1">
      <c r="A508" s="18" t="s">
        <v>187</v>
      </c>
      <c r="B508" s="61" t="s">
        <v>7</v>
      </c>
      <c r="C508" s="6"/>
      <c r="D508" s="133"/>
      <c r="E508" s="134"/>
    </row>
    <row r="509" spans="1:5" ht="19.2" hidden="1" customHeight="1">
      <c r="A509" s="8" t="s">
        <v>188</v>
      </c>
      <c r="B509" s="61" t="s">
        <v>49</v>
      </c>
      <c r="C509" s="6"/>
      <c r="D509" s="133"/>
      <c r="E509" s="134"/>
    </row>
    <row r="510" spans="1:5" ht="19.2" hidden="1" customHeight="1">
      <c r="A510" s="28" t="s">
        <v>189</v>
      </c>
      <c r="B510" s="71" t="s">
        <v>7</v>
      </c>
      <c r="C510" s="29"/>
      <c r="D510" s="141"/>
      <c r="E510" s="142"/>
    </row>
    <row r="511" spans="1:5" ht="19.2" hidden="1" customHeight="1">
      <c r="A511" s="10" t="s">
        <v>190</v>
      </c>
      <c r="B511" s="61" t="s">
        <v>7</v>
      </c>
      <c r="C511" s="6"/>
      <c r="D511" s="133"/>
      <c r="E511" s="134"/>
    </row>
    <row r="512" spans="1:5" ht="19.2" hidden="1" customHeight="1">
      <c r="A512" s="8" t="s">
        <v>191</v>
      </c>
      <c r="B512" s="61" t="s">
        <v>7</v>
      </c>
      <c r="C512" s="6"/>
      <c r="D512" s="133"/>
      <c r="E512" s="134"/>
    </row>
    <row r="513" spans="1:5" ht="19.2" hidden="1" customHeight="1">
      <c r="A513" s="8" t="s">
        <v>192</v>
      </c>
      <c r="B513" s="61" t="s">
        <v>7</v>
      </c>
      <c r="C513" s="6"/>
      <c r="D513" s="133"/>
      <c r="E513" s="134"/>
    </row>
    <row r="514" spans="1:5" ht="19.2" hidden="1" customHeight="1">
      <c r="A514" s="11" t="s">
        <v>193</v>
      </c>
      <c r="B514" s="61" t="s">
        <v>7</v>
      </c>
      <c r="C514" s="6"/>
      <c r="D514" s="133"/>
      <c r="E514" s="134"/>
    </row>
    <row r="515" spans="1:5" ht="19.2" hidden="1" customHeight="1">
      <c r="A515" s="8" t="s">
        <v>194</v>
      </c>
      <c r="B515" s="61" t="s">
        <v>7</v>
      </c>
      <c r="C515" s="6"/>
      <c r="D515" s="133"/>
      <c r="E515" s="134"/>
    </row>
    <row r="516" spans="1:5" ht="19.2" hidden="1" customHeight="1">
      <c r="A516" s="8" t="s">
        <v>195</v>
      </c>
      <c r="B516" s="61" t="s">
        <v>7</v>
      </c>
      <c r="C516" s="6"/>
      <c r="D516" s="133"/>
      <c r="E516" s="134"/>
    </row>
    <row r="517" spans="1:5" ht="19.2" hidden="1" customHeight="1">
      <c r="A517" s="11" t="s">
        <v>196</v>
      </c>
      <c r="B517" s="61" t="s">
        <v>7</v>
      </c>
      <c r="C517" s="6"/>
      <c r="D517" s="133"/>
      <c r="E517" s="134"/>
    </row>
    <row r="518" spans="1:5" ht="19.2" hidden="1" customHeight="1">
      <c r="A518" s="11" t="s">
        <v>197</v>
      </c>
      <c r="B518" s="61" t="s">
        <v>7</v>
      </c>
      <c r="C518" s="6"/>
      <c r="D518" s="133"/>
      <c r="E518" s="134"/>
    </row>
    <row r="519" spans="1:5" ht="19.2" customHeight="1">
      <c r="A519" s="10" t="s">
        <v>198</v>
      </c>
      <c r="B519" s="64" t="s">
        <v>7</v>
      </c>
      <c r="C519" s="65">
        <v>352</v>
      </c>
      <c r="D519" s="135">
        <v>6000</v>
      </c>
      <c r="E519" s="136">
        <f>+D519*C519</f>
        <v>2112000</v>
      </c>
    </row>
    <row r="520" spans="1:5" ht="19.2" hidden="1" customHeight="1">
      <c r="A520" s="8" t="s">
        <v>199</v>
      </c>
      <c r="B520" s="61" t="s">
        <v>49</v>
      </c>
      <c r="C520" s="6"/>
      <c r="D520" s="133"/>
      <c r="E520" s="134"/>
    </row>
    <row r="521" spans="1:5" ht="19.2" hidden="1" customHeight="1">
      <c r="A521" s="11" t="s">
        <v>200</v>
      </c>
      <c r="B521" s="61" t="s">
        <v>7</v>
      </c>
      <c r="C521" s="6"/>
      <c r="D521" s="133"/>
      <c r="E521" s="134"/>
    </row>
    <row r="522" spans="1:5" ht="19.2" hidden="1" customHeight="1">
      <c r="A522" s="11" t="s">
        <v>201</v>
      </c>
      <c r="B522" s="61" t="s">
        <v>7</v>
      </c>
      <c r="C522" s="6"/>
      <c r="D522" s="133"/>
      <c r="E522" s="134"/>
    </row>
    <row r="523" spans="1:5" ht="19.2" hidden="1" customHeight="1">
      <c r="A523" s="11" t="s">
        <v>202</v>
      </c>
      <c r="B523" s="61" t="s">
        <v>49</v>
      </c>
      <c r="C523" s="6"/>
      <c r="D523" s="133"/>
      <c r="E523" s="134"/>
    </row>
    <row r="524" spans="1:5" ht="19.2" hidden="1" customHeight="1">
      <c r="A524" s="8" t="s">
        <v>203</v>
      </c>
      <c r="B524" s="61" t="s">
        <v>49</v>
      </c>
      <c r="C524" s="6"/>
      <c r="D524" s="133"/>
      <c r="E524" s="134"/>
    </row>
    <row r="525" spans="1:5" ht="19.2" hidden="1" customHeight="1">
      <c r="A525" s="15" t="s">
        <v>204</v>
      </c>
      <c r="B525" s="61" t="s">
        <v>7</v>
      </c>
      <c r="C525" s="6"/>
      <c r="D525" s="133"/>
      <c r="E525" s="134"/>
    </row>
    <row r="526" spans="1:5" ht="19.2" hidden="1" customHeight="1">
      <c r="A526" s="15" t="s">
        <v>205</v>
      </c>
      <c r="B526" s="61" t="s">
        <v>7</v>
      </c>
      <c r="C526" s="6"/>
      <c r="D526" s="133"/>
      <c r="E526" s="134"/>
    </row>
    <row r="527" spans="1:5" ht="19.2" hidden="1" customHeight="1">
      <c r="A527" s="15" t="s">
        <v>206</v>
      </c>
      <c r="B527" s="61" t="s">
        <v>7</v>
      </c>
      <c r="C527" s="6"/>
      <c r="D527" s="133"/>
      <c r="E527" s="134"/>
    </row>
    <row r="528" spans="1:5" ht="19.2" hidden="1" customHeight="1">
      <c r="A528" s="15" t="s">
        <v>207</v>
      </c>
      <c r="B528" s="61" t="s">
        <v>49</v>
      </c>
      <c r="C528" s="6"/>
      <c r="D528" s="133"/>
      <c r="E528" s="134"/>
    </row>
    <row r="529" spans="1:5" ht="19.2" hidden="1" customHeight="1">
      <c r="A529" s="11" t="s">
        <v>208</v>
      </c>
      <c r="B529" s="61" t="s">
        <v>7</v>
      </c>
      <c r="C529" s="6"/>
      <c r="D529" s="133"/>
      <c r="E529" s="134"/>
    </row>
    <row r="530" spans="1:5" ht="19.2" hidden="1" customHeight="1">
      <c r="A530" s="8" t="s">
        <v>209</v>
      </c>
      <c r="B530" s="61" t="s">
        <v>49</v>
      </c>
      <c r="C530" s="6"/>
      <c r="D530" s="133"/>
      <c r="E530" s="134"/>
    </row>
    <row r="531" spans="1:5" ht="19.2" hidden="1" customHeight="1">
      <c r="A531" s="30" t="s">
        <v>210</v>
      </c>
      <c r="B531" s="61" t="s">
        <v>49</v>
      </c>
      <c r="C531" s="6"/>
      <c r="D531" s="133"/>
      <c r="E531" s="134"/>
    </row>
    <row r="532" spans="1:5" ht="19.2" hidden="1" customHeight="1">
      <c r="A532" s="30" t="s">
        <v>211</v>
      </c>
      <c r="B532" s="61" t="s">
        <v>49</v>
      </c>
      <c r="C532" s="6"/>
      <c r="D532" s="133"/>
      <c r="E532" s="134"/>
    </row>
    <row r="533" spans="1:5" ht="19.2" hidden="1" customHeight="1">
      <c r="A533" s="30" t="s">
        <v>212</v>
      </c>
      <c r="B533" s="61" t="s">
        <v>49</v>
      </c>
      <c r="C533" s="6"/>
      <c r="D533" s="133"/>
      <c r="E533" s="134"/>
    </row>
    <row r="534" spans="1:5" ht="19.2" hidden="1" customHeight="1">
      <c r="A534" s="30" t="s">
        <v>213</v>
      </c>
      <c r="B534" s="61" t="s">
        <v>49</v>
      </c>
      <c r="C534" s="6"/>
      <c r="D534" s="133"/>
      <c r="E534" s="134"/>
    </row>
    <row r="535" spans="1:5" ht="19.2" hidden="1" customHeight="1">
      <c r="A535" s="8" t="s">
        <v>214</v>
      </c>
      <c r="B535" s="61" t="s">
        <v>7</v>
      </c>
      <c r="C535" s="6"/>
      <c r="D535" s="133"/>
      <c r="E535" s="134"/>
    </row>
    <row r="536" spans="1:5" ht="19.2" hidden="1" customHeight="1">
      <c r="A536" s="31" t="s">
        <v>215</v>
      </c>
      <c r="B536" s="61" t="s">
        <v>54</v>
      </c>
      <c r="C536" s="6"/>
      <c r="D536" s="133"/>
      <c r="E536" s="134"/>
    </row>
    <row r="537" spans="1:5" ht="19.2" hidden="1" customHeight="1">
      <c r="A537" s="8" t="s">
        <v>216</v>
      </c>
      <c r="B537" s="61" t="s">
        <v>7</v>
      </c>
      <c r="C537" s="6"/>
      <c r="D537" s="133"/>
      <c r="E537" s="134"/>
    </row>
    <row r="538" spans="1:5" ht="19.2" hidden="1" customHeight="1">
      <c r="A538" s="11" t="s">
        <v>217</v>
      </c>
      <c r="B538" s="61" t="s">
        <v>7</v>
      </c>
      <c r="C538" s="6"/>
      <c r="D538" s="133"/>
      <c r="E538" s="143"/>
    </row>
    <row r="539" spans="1:5" ht="19.2" hidden="1" customHeight="1">
      <c r="A539" s="8" t="s">
        <v>366</v>
      </c>
      <c r="B539" s="61" t="s">
        <v>49</v>
      </c>
      <c r="C539" s="6"/>
      <c r="D539" s="133"/>
      <c r="E539" s="134"/>
    </row>
    <row r="540" spans="1:5" ht="19.2" hidden="1" customHeight="1">
      <c r="A540" s="8" t="s">
        <v>218</v>
      </c>
      <c r="B540" s="61" t="s">
        <v>49</v>
      </c>
      <c r="C540" s="6"/>
      <c r="D540" s="133"/>
      <c r="E540" s="134"/>
    </row>
    <row r="541" spans="1:5" ht="19.2" customHeight="1">
      <c r="A541" s="19" t="s">
        <v>219</v>
      </c>
      <c r="B541" s="64" t="s">
        <v>7</v>
      </c>
      <c r="C541" s="65">
        <v>740</v>
      </c>
      <c r="D541" s="135">
        <v>13000</v>
      </c>
      <c r="E541" s="136">
        <f>+D541*C541</f>
        <v>9620000</v>
      </c>
    </row>
    <row r="542" spans="1:5" ht="19.2" hidden="1" customHeight="1">
      <c r="A542" s="32" t="s">
        <v>220</v>
      </c>
      <c r="B542" s="61" t="s">
        <v>49</v>
      </c>
      <c r="C542" s="6"/>
      <c r="D542" s="133"/>
      <c r="E542" s="134"/>
    </row>
    <row r="543" spans="1:5" ht="19.2" hidden="1" customHeight="1">
      <c r="A543" s="32" t="s">
        <v>221</v>
      </c>
      <c r="B543" s="61" t="s">
        <v>49</v>
      </c>
      <c r="C543" s="6"/>
      <c r="D543" s="133"/>
      <c r="E543" s="134"/>
    </row>
    <row r="544" spans="1:5" ht="19.2" hidden="1" customHeight="1">
      <c r="A544" s="8" t="s">
        <v>222</v>
      </c>
      <c r="B544" s="61" t="s">
        <v>7</v>
      </c>
      <c r="C544" s="6"/>
      <c r="D544" s="133"/>
      <c r="E544" s="134"/>
    </row>
    <row r="545" spans="1:5" ht="19.2" hidden="1" customHeight="1">
      <c r="A545" s="10" t="s">
        <v>223</v>
      </c>
      <c r="B545" s="61" t="s">
        <v>7</v>
      </c>
      <c r="C545" s="6"/>
      <c r="D545" s="144"/>
      <c r="E545" s="134"/>
    </row>
    <row r="546" spans="1:5" ht="19.2" hidden="1" customHeight="1">
      <c r="A546" s="8" t="s">
        <v>224</v>
      </c>
      <c r="B546" s="61" t="s">
        <v>7</v>
      </c>
      <c r="C546" s="6"/>
      <c r="D546" s="133"/>
      <c r="E546" s="134"/>
    </row>
    <row r="547" spans="1:5" ht="19.2" hidden="1" customHeight="1">
      <c r="A547" s="10" t="s">
        <v>367</v>
      </c>
      <c r="B547" s="61" t="s">
        <v>7</v>
      </c>
      <c r="C547" s="6"/>
      <c r="D547" s="144"/>
      <c r="E547" s="134"/>
    </row>
    <row r="548" spans="1:5" ht="19.2" hidden="1" customHeight="1">
      <c r="A548" s="8" t="s">
        <v>225</v>
      </c>
      <c r="B548" s="61" t="s">
        <v>7</v>
      </c>
      <c r="C548" s="6"/>
      <c r="D548" s="144"/>
      <c r="E548" s="134"/>
    </row>
    <row r="549" spans="1:5" ht="19.2" hidden="1" customHeight="1">
      <c r="A549" s="8" t="s">
        <v>226</v>
      </c>
      <c r="B549" s="61" t="s">
        <v>49</v>
      </c>
      <c r="C549" s="6"/>
      <c r="D549" s="133"/>
      <c r="E549" s="134"/>
    </row>
    <row r="550" spans="1:5" ht="19.2" hidden="1" customHeight="1">
      <c r="A550" s="8" t="s">
        <v>368</v>
      </c>
      <c r="B550" s="61" t="s">
        <v>49</v>
      </c>
      <c r="C550" s="6"/>
      <c r="D550" s="133"/>
      <c r="E550" s="134"/>
    </row>
    <row r="551" spans="1:5" ht="19.2" hidden="1" customHeight="1">
      <c r="A551" s="8" t="s">
        <v>369</v>
      </c>
      <c r="B551" s="61" t="s">
        <v>49</v>
      </c>
      <c r="C551" s="6"/>
      <c r="D551" s="133"/>
      <c r="E551" s="134"/>
    </row>
    <row r="552" spans="1:5" ht="19.2" hidden="1" customHeight="1">
      <c r="A552" s="8" t="s">
        <v>227</v>
      </c>
      <c r="B552" s="61" t="s">
        <v>7</v>
      </c>
      <c r="C552" s="6"/>
      <c r="D552" s="133"/>
      <c r="E552" s="134"/>
    </row>
    <row r="553" spans="1:5" ht="19.2" hidden="1" customHeight="1">
      <c r="A553" s="33" t="s">
        <v>228</v>
      </c>
      <c r="B553" s="61" t="s">
        <v>49</v>
      </c>
      <c r="C553" s="6"/>
      <c r="D553" s="133"/>
      <c r="E553" s="134"/>
    </row>
    <row r="554" spans="1:5" ht="19.2" hidden="1" customHeight="1">
      <c r="A554" s="8" t="s">
        <v>229</v>
      </c>
      <c r="B554" s="61" t="s">
        <v>7</v>
      </c>
      <c r="C554" s="6"/>
      <c r="D554" s="133"/>
      <c r="E554" s="134"/>
    </row>
    <row r="555" spans="1:5" ht="19.2" customHeight="1">
      <c r="A555" s="19" t="s">
        <v>230</v>
      </c>
      <c r="B555" s="64" t="s">
        <v>7</v>
      </c>
      <c r="C555" s="65">
        <v>403</v>
      </c>
      <c r="D555" s="135">
        <v>16000</v>
      </c>
      <c r="E555" s="136">
        <f>+D555*C555</f>
        <v>6448000</v>
      </c>
    </row>
    <row r="556" spans="1:5" ht="19.2" hidden="1" customHeight="1">
      <c r="A556" s="8" t="s">
        <v>231</v>
      </c>
      <c r="B556" s="61" t="s">
        <v>49</v>
      </c>
      <c r="C556" s="6"/>
      <c r="D556" s="133"/>
      <c r="E556" s="134"/>
    </row>
    <row r="557" spans="1:5" ht="19.2" hidden="1" customHeight="1">
      <c r="A557" s="8" t="s">
        <v>370</v>
      </c>
      <c r="B557" s="61" t="s">
        <v>7</v>
      </c>
      <c r="C557" s="6"/>
      <c r="D557" s="133"/>
      <c r="E557" s="134"/>
    </row>
    <row r="558" spans="1:5" ht="19.2" hidden="1" customHeight="1">
      <c r="A558" s="8" t="s">
        <v>232</v>
      </c>
      <c r="B558" s="61" t="s">
        <v>49</v>
      </c>
      <c r="C558" s="6"/>
      <c r="D558" s="133"/>
      <c r="E558" s="134"/>
    </row>
    <row r="559" spans="1:5" ht="19.2" hidden="1" customHeight="1">
      <c r="A559" s="15" t="s">
        <v>233</v>
      </c>
      <c r="B559" s="61" t="s">
        <v>7</v>
      </c>
      <c r="C559" s="6"/>
      <c r="D559" s="133"/>
      <c r="E559" s="134"/>
    </row>
    <row r="560" spans="1:5" ht="19.2" hidden="1" customHeight="1">
      <c r="A560" s="15" t="s">
        <v>234</v>
      </c>
      <c r="B560" s="61" t="s">
        <v>49</v>
      </c>
      <c r="C560" s="6"/>
      <c r="D560" s="133"/>
      <c r="E560" s="134"/>
    </row>
    <row r="561" spans="1:5" ht="19.2" hidden="1" customHeight="1">
      <c r="A561" s="15" t="s">
        <v>235</v>
      </c>
      <c r="B561" s="61" t="s">
        <v>7</v>
      </c>
      <c r="C561" s="6"/>
      <c r="D561" s="133"/>
      <c r="E561" s="134"/>
    </row>
    <row r="562" spans="1:5" ht="19.2" hidden="1" customHeight="1">
      <c r="A562" s="15" t="s">
        <v>236</v>
      </c>
      <c r="B562" s="61" t="s">
        <v>49</v>
      </c>
      <c r="C562" s="6"/>
      <c r="D562" s="133"/>
      <c r="E562" s="134"/>
    </row>
    <row r="563" spans="1:5" ht="19.2" hidden="1" customHeight="1">
      <c r="A563" s="8" t="s">
        <v>237</v>
      </c>
      <c r="B563" s="61" t="s">
        <v>7</v>
      </c>
      <c r="C563" s="6"/>
      <c r="D563" s="133"/>
      <c r="E563" s="134"/>
    </row>
    <row r="564" spans="1:5" ht="19.2" hidden="1" customHeight="1">
      <c r="A564" s="8" t="s">
        <v>238</v>
      </c>
      <c r="B564" s="61" t="s">
        <v>7</v>
      </c>
      <c r="C564" s="6"/>
      <c r="D564" s="133"/>
      <c r="E564" s="134"/>
    </row>
    <row r="565" spans="1:5" ht="19.2" hidden="1" customHeight="1">
      <c r="A565" s="15" t="s">
        <v>239</v>
      </c>
      <c r="B565" s="61" t="s">
        <v>49</v>
      </c>
      <c r="C565" s="6"/>
      <c r="D565" s="133"/>
      <c r="E565" s="134"/>
    </row>
    <row r="566" spans="1:5" ht="19.2" hidden="1" customHeight="1">
      <c r="A566" s="15" t="s">
        <v>240</v>
      </c>
      <c r="B566" s="61" t="s">
        <v>49</v>
      </c>
      <c r="C566" s="6"/>
      <c r="D566" s="133"/>
      <c r="E566" s="134"/>
    </row>
    <row r="567" spans="1:5" ht="19.2" customHeight="1">
      <c r="A567" s="10" t="s">
        <v>241</v>
      </c>
      <c r="B567" s="64" t="s">
        <v>7</v>
      </c>
      <c r="C567" s="65">
        <v>60</v>
      </c>
      <c r="D567" s="135">
        <v>28000</v>
      </c>
      <c r="E567" s="136">
        <f>+D567*C567</f>
        <v>1680000</v>
      </c>
    </row>
    <row r="568" spans="1:5" ht="19.2" hidden="1" customHeight="1">
      <c r="A568" s="11" t="s">
        <v>242</v>
      </c>
      <c r="B568" s="61" t="s">
        <v>68</v>
      </c>
      <c r="C568" s="6"/>
      <c r="D568" s="133"/>
      <c r="E568" s="134"/>
    </row>
    <row r="569" spans="1:5" ht="19.2" hidden="1" customHeight="1">
      <c r="A569" s="19" t="s">
        <v>371</v>
      </c>
      <c r="B569" s="61" t="s">
        <v>7</v>
      </c>
      <c r="C569" s="6"/>
      <c r="D569" s="133"/>
      <c r="E569" s="134"/>
    </row>
    <row r="570" spans="1:5" ht="19.2" hidden="1" customHeight="1">
      <c r="A570" s="19" t="s">
        <v>372</v>
      </c>
      <c r="B570" s="61" t="s">
        <v>68</v>
      </c>
      <c r="C570" s="6"/>
      <c r="D570" s="133"/>
      <c r="E570" s="134"/>
    </row>
    <row r="571" spans="1:5" ht="19.2" hidden="1" customHeight="1">
      <c r="A571" s="10" t="s">
        <v>247</v>
      </c>
      <c r="B571" s="61" t="s">
        <v>39</v>
      </c>
      <c r="C571" s="6"/>
      <c r="D571" s="133"/>
      <c r="E571" s="134"/>
    </row>
    <row r="572" spans="1:5" ht="19.2" hidden="1" customHeight="1">
      <c r="A572" s="8" t="s">
        <v>252</v>
      </c>
      <c r="B572" s="61" t="s">
        <v>7</v>
      </c>
      <c r="C572" s="6"/>
      <c r="D572" s="133"/>
      <c r="E572" s="134"/>
    </row>
    <row r="573" spans="1:5" ht="19.2" hidden="1" customHeight="1">
      <c r="A573" s="8" t="s">
        <v>253</v>
      </c>
      <c r="B573" s="61" t="s">
        <v>21</v>
      </c>
      <c r="C573" s="6"/>
      <c r="D573" s="133"/>
      <c r="E573" s="134"/>
    </row>
    <row r="574" spans="1:5" ht="19.2" hidden="1" customHeight="1">
      <c r="A574" s="12" t="s">
        <v>254</v>
      </c>
      <c r="B574" s="61" t="s">
        <v>68</v>
      </c>
      <c r="C574" s="6"/>
      <c r="D574" s="133"/>
      <c r="E574" s="134"/>
    </row>
    <row r="575" spans="1:5" ht="19.2" hidden="1" customHeight="1">
      <c r="A575" s="12" t="s">
        <v>255</v>
      </c>
      <c r="B575" s="61" t="s">
        <v>68</v>
      </c>
      <c r="C575" s="6"/>
      <c r="D575" s="133"/>
      <c r="E575" s="134"/>
    </row>
    <row r="576" spans="1:5" ht="19.2" hidden="1" customHeight="1">
      <c r="A576" s="30" t="s">
        <v>256</v>
      </c>
      <c r="B576" s="61" t="s">
        <v>49</v>
      </c>
      <c r="C576" s="6"/>
      <c r="D576" s="133"/>
      <c r="E576" s="134"/>
    </row>
    <row r="577" spans="1:5" ht="19.2" hidden="1" customHeight="1">
      <c r="A577" s="8" t="s">
        <v>257</v>
      </c>
      <c r="B577" s="61" t="s">
        <v>7</v>
      </c>
      <c r="C577" s="6"/>
      <c r="D577" s="133"/>
      <c r="E577" s="134"/>
    </row>
    <row r="578" spans="1:5" ht="19.2" hidden="1" customHeight="1">
      <c r="A578" s="8" t="s">
        <v>258</v>
      </c>
      <c r="B578" s="61" t="s">
        <v>49</v>
      </c>
      <c r="C578" s="6"/>
      <c r="D578" s="133"/>
      <c r="E578" s="134"/>
    </row>
    <row r="579" spans="1:5" ht="19.2" hidden="1" customHeight="1">
      <c r="A579" s="8" t="s">
        <v>259</v>
      </c>
      <c r="B579" s="61" t="s">
        <v>7</v>
      </c>
      <c r="C579" s="14"/>
      <c r="D579" s="133"/>
      <c r="E579" s="134"/>
    </row>
    <row r="580" spans="1:5" ht="19.2" hidden="1" customHeight="1">
      <c r="A580" s="30" t="s">
        <v>260</v>
      </c>
      <c r="B580" s="61" t="s">
        <v>49</v>
      </c>
      <c r="C580" s="6"/>
      <c r="D580" s="133"/>
      <c r="E580" s="134"/>
    </row>
    <row r="581" spans="1:5" ht="19.2" hidden="1" customHeight="1">
      <c r="A581" s="8" t="s">
        <v>261</v>
      </c>
      <c r="B581" s="61" t="s">
        <v>49</v>
      </c>
      <c r="C581" s="14"/>
      <c r="D581" s="133"/>
      <c r="E581" s="134"/>
    </row>
    <row r="582" spans="1:5" ht="19.2" hidden="1" customHeight="1">
      <c r="A582" s="8" t="s">
        <v>262</v>
      </c>
      <c r="B582" s="61" t="s">
        <v>7</v>
      </c>
      <c r="C582" s="6"/>
      <c r="D582" s="133"/>
      <c r="E582" s="134"/>
    </row>
    <row r="583" spans="1:5" ht="19.2" hidden="1" customHeight="1">
      <c r="A583" s="10" t="s">
        <v>264</v>
      </c>
      <c r="B583" s="61" t="s">
        <v>54</v>
      </c>
      <c r="C583" s="6"/>
      <c r="D583" s="133"/>
      <c r="E583" s="134"/>
    </row>
    <row r="584" spans="1:5" ht="19.2" hidden="1" customHeight="1">
      <c r="A584" s="8" t="s">
        <v>265</v>
      </c>
      <c r="B584" s="61" t="s">
        <v>7</v>
      </c>
      <c r="C584" s="6"/>
      <c r="D584" s="133"/>
      <c r="E584" s="134"/>
    </row>
    <row r="585" spans="1:5" ht="19.2" hidden="1" customHeight="1">
      <c r="A585" s="8" t="s">
        <v>266</v>
      </c>
      <c r="B585" s="61" t="s">
        <v>7</v>
      </c>
      <c r="C585" s="6"/>
      <c r="D585" s="133"/>
      <c r="E585" s="134"/>
    </row>
    <row r="586" spans="1:5" ht="19.2" hidden="1" customHeight="1">
      <c r="A586" s="8" t="s">
        <v>267</v>
      </c>
      <c r="B586" s="61" t="s">
        <v>21</v>
      </c>
      <c r="C586" s="6"/>
      <c r="D586" s="133"/>
      <c r="E586" s="134"/>
    </row>
    <row r="587" spans="1:5" ht="19.2" hidden="1" customHeight="1">
      <c r="A587" s="8" t="s">
        <v>268</v>
      </c>
      <c r="B587" s="61" t="s">
        <v>54</v>
      </c>
      <c r="C587" s="6"/>
      <c r="D587" s="133"/>
      <c r="E587" s="134"/>
    </row>
    <row r="588" spans="1:5" ht="19.2" hidden="1" customHeight="1">
      <c r="A588" s="8" t="s">
        <v>269</v>
      </c>
      <c r="B588" s="61" t="s">
        <v>7</v>
      </c>
      <c r="C588" s="6"/>
      <c r="D588" s="145"/>
      <c r="E588" s="134"/>
    </row>
    <row r="589" spans="1:5" ht="19.2" hidden="1" customHeight="1">
      <c r="A589" s="15" t="s">
        <v>270</v>
      </c>
      <c r="B589" s="61" t="s">
        <v>7</v>
      </c>
      <c r="C589" s="6"/>
      <c r="D589" s="145"/>
      <c r="E589" s="134"/>
    </row>
    <row r="590" spans="1:5" ht="19.2" hidden="1" customHeight="1">
      <c r="A590" s="19" t="s">
        <v>271</v>
      </c>
      <c r="B590" s="61" t="s">
        <v>7</v>
      </c>
      <c r="C590" s="6"/>
      <c r="D590" s="133"/>
      <c r="E590" s="134"/>
    </row>
    <row r="591" spans="1:5" ht="19.2" hidden="1" customHeight="1">
      <c r="A591" s="19" t="s">
        <v>272</v>
      </c>
      <c r="B591" s="61" t="s">
        <v>7</v>
      </c>
      <c r="C591" s="6"/>
      <c r="D591" s="133"/>
      <c r="E591" s="134"/>
    </row>
    <row r="592" spans="1:5" ht="19.2" hidden="1" customHeight="1">
      <c r="A592" s="8" t="s">
        <v>273</v>
      </c>
      <c r="B592" s="61" t="s">
        <v>7</v>
      </c>
      <c r="C592" s="6"/>
      <c r="D592" s="133"/>
      <c r="E592" s="134"/>
    </row>
    <row r="593" spans="1:5" ht="19.2" hidden="1" customHeight="1">
      <c r="A593" s="8" t="s">
        <v>274</v>
      </c>
      <c r="B593" s="61" t="s">
        <v>7</v>
      </c>
      <c r="C593" s="6"/>
      <c r="D593" s="133"/>
      <c r="E593" s="134"/>
    </row>
    <row r="594" spans="1:5" ht="19.2" hidden="1" customHeight="1">
      <c r="A594" s="8" t="s">
        <v>275</v>
      </c>
      <c r="B594" s="61" t="s">
        <v>21</v>
      </c>
      <c r="C594" s="6"/>
      <c r="D594" s="133"/>
      <c r="E594" s="134"/>
    </row>
    <row r="595" spans="1:5" ht="19.2" hidden="1" customHeight="1">
      <c r="A595" s="8" t="s">
        <v>276</v>
      </c>
      <c r="B595" s="61" t="s">
        <v>54</v>
      </c>
      <c r="C595" s="6"/>
      <c r="D595" s="133"/>
      <c r="E595" s="134"/>
    </row>
    <row r="596" spans="1:5" ht="19.2" hidden="1" customHeight="1">
      <c r="A596" s="8" t="s">
        <v>277</v>
      </c>
      <c r="B596" s="61" t="s">
        <v>7</v>
      </c>
      <c r="C596" s="6"/>
      <c r="D596" s="133"/>
      <c r="E596" s="134"/>
    </row>
    <row r="597" spans="1:5" ht="19.2" hidden="1" customHeight="1">
      <c r="A597" s="8" t="s">
        <v>278</v>
      </c>
      <c r="B597" s="61" t="s">
        <v>7</v>
      </c>
      <c r="C597" s="6"/>
      <c r="D597" s="133"/>
      <c r="E597" s="134"/>
    </row>
    <row r="598" spans="1:5" ht="19.2" hidden="1" customHeight="1">
      <c r="A598" s="8" t="s">
        <v>279</v>
      </c>
      <c r="B598" s="61" t="s">
        <v>21</v>
      </c>
      <c r="C598" s="6"/>
      <c r="D598" s="133"/>
      <c r="E598" s="134"/>
    </row>
    <row r="599" spans="1:5" ht="19.2" hidden="1" customHeight="1">
      <c r="A599" s="8" t="s">
        <v>280</v>
      </c>
      <c r="B599" s="61" t="s">
        <v>7</v>
      </c>
      <c r="C599" s="14"/>
      <c r="D599" s="133"/>
      <c r="E599" s="134"/>
    </row>
    <row r="600" spans="1:5" ht="19.2" hidden="1" customHeight="1">
      <c r="A600" s="12" t="s">
        <v>281</v>
      </c>
      <c r="B600" s="61" t="s">
        <v>7</v>
      </c>
      <c r="C600" s="6"/>
      <c r="D600" s="133"/>
      <c r="E600" s="134"/>
    </row>
    <row r="601" spans="1:5" ht="19.2" hidden="1" customHeight="1">
      <c r="A601" s="8" t="s">
        <v>282</v>
      </c>
      <c r="B601" s="61" t="s">
        <v>7</v>
      </c>
      <c r="C601" s="6"/>
      <c r="D601" s="133"/>
      <c r="E601" s="134"/>
    </row>
    <row r="602" spans="1:5" ht="19.2" hidden="1" customHeight="1">
      <c r="A602" s="10" t="s">
        <v>373</v>
      </c>
      <c r="B602" s="61" t="s">
        <v>7</v>
      </c>
      <c r="C602" s="6"/>
      <c r="D602" s="133"/>
      <c r="E602" s="134"/>
    </row>
    <row r="603" spans="1:5" ht="19.2" hidden="1" customHeight="1">
      <c r="A603" s="10" t="s">
        <v>283</v>
      </c>
      <c r="B603" s="61" t="s">
        <v>7</v>
      </c>
      <c r="C603" s="6"/>
      <c r="D603" s="133"/>
      <c r="E603" s="134"/>
    </row>
    <row r="604" spans="1:5" ht="19.2" hidden="1" customHeight="1">
      <c r="A604" s="8" t="s">
        <v>284</v>
      </c>
      <c r="B604" s="61" t="s">
        <v>49</v>
      </c>
      <c r="C604" s="6"/>
      <c r="D604" s="146"/>
      <c r="E604" s="134"/>
    </row>
    <row r="605" spans="1:5" ht="19.2" hidden="1" customHeight="1">
      <c r="A605" s="8" t="s">
        <v>374</v>
      </c>
      <c r="B605" s="61" t="s">
        <v>49</v>
      </c>
      <c r="C605" s="6"/>
      <c r="D605" s="146"/>
      <c r="E605" s="134"/>
    </row>
    <row r="606" spans="1:5" ht="19.2" hidden="1" customHeight="1">
      <c r="A606" s="8" t="s">
        <v>285</v>
      </c>
      <c r="B606" s="61" t="s">
        <v>7</v>
      </c>
      <c r="C606" s="6"/>
      <c r="D606" s="133"/>
      <c r="E606" s="134"/>
    </row>
    <row r="607" spans="1:5" ht="19.2" hidden="1" customHeight="1">
      <c r="A607" s="8" t="s">
        <v>375</v>
      </c>
      <c r="B607" s="61"/>
      <c r="C607" s="6"/>
      <c r="D607" s="133"/>
      <c r="E607" s="134"/>
    </row>
    <row r="608" spans="1:5" ht="19.2" hidden="1" customHeight="1">
      <c r="A608" s="8" t="s">
        <v>287</v>
      </c>
      <c r="B608" s="61" t="s">
        <v>68</v>
      </c>
      <c r="C608" s="6"/>
      <c r="D608" s="133"/>
      <c r="E608" s="134"/>
    </row>
    <row r="609" spans="1:5" ht="19.2" hidden="1" customHeight="1">
      <c r="A609" s="8" t="s">
        <v>288</v>
      </c>
      <c r="B609" s="61" t="s">
        <v>7</v>
      </c>
      <c r="C609" s="6"/>
      <c r="D609" s="133"/>
      <c r="E609" s="134"/>
    </row>
    <row r="610" spans="1:5" ht="19.2" hidden="1" customHeight="1">
      <c r="A610" s="8" t="s">
        <v>289</v>
      </c>
      <c r="B610" s="61" t="s">
        <v>57</v>
      </c>
      <c r="C610" s="6"/>
      <c r="D610" s="133"/>
      <c r="E610" s="134"/>
    </row>
    <row r="611" spans="1:5" ht="19.2" hidden="1" customHeight="1">
      <c r="A611" s="30" t="s">
        <v>291</v>
      </c>
      <c r="B611" s="61" t="s">
        <v>49</v>
      </c>
      <c r="C611" s="6"/>
      <c r="D611" s="133"/>
      <c r="E611" s="134"/>
    </row>
    <row r="612" spans="1:5" ht="19.2" hidden="1" customHeight="1">
      <c r="A612" s="8" t="s">
        <v>292</v>
      </c>
      <c r="B612" s="61" t="s">
        <v>49</v>
      </c>
      <c r="C612" s="6"/>
      <c r="D612" s="133"/>
      <c r="E612" s="134"/>
    </row>
    <row r="613" spans="1:5" ht="19.2" hidden="1" customHeight="1">
      <c r="A613" s="30" t="s">
        <v>293</v>
      </c>
      <c r="B613" s="61" t="s">
        <v>49</v>
      </c>
      <c r="C613" s="6"/>
      <c r="D613" s="133"/>
      <c r="E613" s="134"/>
    </row>
    <row r="614" spans="1:5" ht="19.2" hidden="1" customHeight="1">
      <c r="A614" s="10" t="s">
        <v>376</v>
      </c>
      <c r="B614" s="61" t="s">
        <v>7</v>
      </c>
      <c r="C614" s="6"/>
      <c r="D614" s="133"/>
      <c r="E614" s="134"/>
    </row>
    <row r="615" spans="1:5" ht="19.2" hidden="1" customHeight="1">
      <c r="A615" s="30" t="s">
        <v>294</v>
      </c>
      <c r="B615" s="61" t="s">
        <v>49</v>
      </c>
      <c r="C615" s="6"/>
      <c r="D615" s="133"/>
      <c r="E615" s="134"/>
    </row>
    <row r="616" spans="1:5" ht="19.2" hidden="1" customHeight="1">
      <c r="A616" s="11" t="s">
        <v>295</v>
      </c>
      <c r="B616" s="61" t="s">
        <v>7</v>
      </c>
      <c r="C616" s="14"/>
      <c r="D616" s="133"/>
      <c r="E616" s="134"/>
    </row>
    <row r="617" spans="1:5" ht="19.2" hidden="1" customHeight="1">
      <c r="A617" s="15" t="s">
        <v>299</v>
      </c>
      <c r="B617" s="61" t="s">
        <v>68</v>
      </c>
      <c r="C617" s="6"/>
      <c r="D617" s="133"/>
      <c r="E617" s="134"/>
    </row>
    <row r="618" spans="1:5" ht="19.2" hidden="1" customHeight="1">
      <c r="A618" s="15" t="s">
        <v>300</v>
      </c>
      <c r="B618" s="61" t="s">
        <v>54</v>
      </c>
      <c r="C618" s="6"/>
      <c r="D618" s="133"/>
      <c r="E618" s="134"/>
    </row>
    <row r="619" spans="1:5" ht="19.2" hidden="1" customHeight="1">
      <c r="A619" s="15" t="s">
        <v>301</v>
      </c>
      <c r="B619" s="61" t="s">
        <v>54</v>
      </c>
      <c r="C619" s="6"/>
      <c r="D619" s="133"/>
      <c r="E619" s="134"/>
    </row>
    <row r="620" spans="1:5" ht="19.2" hidden="1" customHeight="1">
      <c r="A620" s="8" t="s">
        <v>302</v>
      </c>
      <c r="B620" s="61" t="s">
        <v>7</v>
      </c>
      <c r="C620" s="6"/>
      <c r="D620" s="133"/>
      <c r="E620" s="134"/>
    </row>
    <row r="621" spans="1:5" ht="19.2" hidden="1" customHeight="1">
      <c r="A621" s="15" t="s">
        <v>303</v>
      </c>
      <c r="B621" s="61" t="s">
        <v>49</v>
      </c>
      <c r="C621" s="6"/>
      <c r="D621" s="133"/>
      <c r="E621" s="134"/>
    </row>
    <row r="622" spans="1:5" ht="19.2" hidden="1" customHeight="1">
      <c r="A622" s="8" t="s">
        <v>304</v>
      </c>
      <c r="B622" s="61" t="s">
        <v>7</v>
      </c>
      <c r="C622" s="6"/>
      <c r="D622" s="133"/>
      <c r="E622" s="134"/>
    </row>
    <row r="623" spans="1:5" ht="19.2" hidden="1" customHeight="1">
      <c r="A623" s="8" t="s">
        <v>305</v>
      </c>
      <c r="B623" s="61" t="s">
        <v>7</v>
      </c>
      <c r="C623" s="6"/>
      <c r="D623" s="137"/>
      <c r="E623" s="134"/>
    </row>
    <row r="624" spans="1:5" ht="19.2" hidden="1" customHeight="1">
      <c r="A624" s="15" t="s">
        <v>306</v>
      </c>
      <c r="B624" s="61" t="s">
        <v>54</v>
      </c>
      <c r="C624" s="6"/>
      <c r="D624" s="133"/>
      <c r="E624" s="134"/>
    </row>
    <row r="625" spans="1:5" ht="19.2" hidden="1" customHeight="1">
      <c r="A625" s="23" t="s">
        <v>307</v>
      </c>
      <c r="B625" s="61" t="s">
        <v>7</v>
      </c>
      <c r="C625" s="6"/>
      <c r="D625" s="133"/>
      <c r="E625" s="134"/>
    </row>
    <row r="626" spans="1:5" ht="19.2" hidden="1" customHeight="1">
      <c r="A626" s="8" t="s">
        <v>308</v>
      </c>
      <c r="B626" s="61" t="s">
        <v>7</v>
      </c>
      <c r="C626" s="6"/>
      <c r="D626" s="133"/>
      <c r="E626" s="134"/>
    </row>
    <row r="627" spans="1:5" ht="19.2" hidden="1" customHeight="1">
      <c r="A627" s="12" t="s">
        <v>309</v>
      </c>
      <c r="B627" s="61" t="s">
        <v>9</v>
      </c>
      <c r="C627" s="6"/>
      <c r="D627" s="133"/>
      <c r="E627" s="134"/>
    </row>
    <row r="628" spans="1:5" ht="19.2" hidden="1" customHeight="1">
      <c r="A628" s="11" t="s">
        <v>311</v>
      </c>
      <c r="B628" s="61" t="s">
        <v>7</v>
      </c>
      <c r="C628" s="6"/>
      <c r="D628" s="147"/>
      <c r="E628" s="134"/>
    </row>
    <row r="629" spans="1:5" ht="19.2" hidden="1" customHeight="1">
      <c r="A629" s="15" t="s">
        <v>312</v>
      </c>
      <c r="B629" s="61" t="s">
        <v>49</v>
      </c>
      <c r="C629" s="6"/>
      <c r="D629" s="133"/>
      <c r="E629" s="134"/>
    </row>
    <row r="630" spans="1:5" ht="19.2" hidden="1" customHeight="1">
      <c r="A630" s="12" t="s">
        <v>313</v>
      </c>
      <c r="B630" s="61" t="s">
        <v>49</v>
      </c>
      <c r="C630" s="6"/>
      <c r="D630" s="147"/>
      <c r="E630" s="134"/>
    </row>
    <row r="631" spans="1:5" ht="19.2" hidden="1" customHeight="1">
      <c r="A631" s="8" t="s">
        <v>314</v>
      </c>
      <c r="B631" s="61" t="s">
        <v>7</v>
      </c>
      <c r="C631" s="6"/>
      <c r="D631" s="133"/>
      <c r="E631" s="134"/>
    </row>
    <row r="632" spans="1:5" ht="19.2" hidden="1" customHeight="1">
      <c r="A632" s="15" t="s">
        <v>315</v>
      </c>
      <c r="B632" s="61" t="s">
        <v>68</v>
      </c>
      <c r="C632" s="6"/>
      <c r="D632" s="133"/>
      <c r="E632" s="134"/>
    </row>
    <row r="633" spans="1:5" ht="19.2" hidden="1" customHeight="1">
      <c r="A633" s="11" t="s">
        <v>377</v>
      </c>
      <c r="B633" s="61" t="s">
        <v>7</v>
      </c>
      <c r="C633" s="6"/>
      <c r="D633" s="133"/>
      <c r="E633" s="134"/>
    </row>
    <row r="634" spans="1:5" ht="19.2" hidden="1" customHeight="1">
      <c r="A634" s="8" t="s">
        <v>378</v>
      </c>
      <c r="B634" s="61" t="s">
        <v>7</v>
      </c>
      <c r="C634" s="6"/>
      <c r="D634" s="133"/>
      <c r="E634" s="134"/>
    </row>
    <row r="635" spans="1:5" ht="19.2" hidden="1" customHeight="1">
      <c r="A635" s="10" t="s">
        <v>318</v>
      </c>
      <c r="B635" s="61" t="s">
        <v>7</v>
      </c>
      <c r="C635" s="6"/>
      <c r="D635" s="133"/>
      <c r="E635" s="134"/>
    </row>
    <row r="636" spans="1:5" ht="19.2" hidden="1" customHeight="1">
      <c r="A636" s="8" t="s">
        <v>379</v>
      </c>
      <c r="B636" s="61" t="s">
        <v>7</v>
      </c>
      <c r="C636" s="6"/>
      <c r="D636" s="133"/>
      <c r="E636" s="134"/>
    </row>
    <row r="637" spans="1:5" ht="19.2" hidden="1" customHeight="1">
      <c r="A637" s="11" t="s">
        <v>319</v>
      </c>
      <c r="B637" s="61" t="s">
        <v>7</v>
      </c>
      <c r="C637" s="6"/>
      <c r="D637" s="144"/>
      <c r="E637" s="134"/>
    </row>
    <row r="638" spans="1:5" ht="19.2" hidden="1" customHeight="1">
      <c r="A638" s="11" t="s">
        <v>320</v>
      </c>
      <c r="B638" s="61" t="s">
        <v>7</v>
      </c>
      <c r="C638" s="6"/>
      <c r="D638" s="144"/>
      <c r="E638" s="134"/>
    </row>
    <row r="639" spans="1:5" ht="19.2" hidden="1" customHeight="1">
      <c r="A639" s="8" t="s">
        <v>321</v>
      </c>
      <c r="B639" s="61" t="s">
        <v>7</v>
      </c>
      <c r="C639" s="6"/>
      <c r="D639" s="133"/>
      <c r="E639" s="134"/>
    </row>
    <row r="640" spans="1:5" ht="19.2" hidden="1" customHeight="1">
      <c r="A640" s="8" t="s">
        <v>322</v>
      </c>
      <c r="B640" s="61" t="s">
        <v>93</v>
      </c>
      <c r="C640" s="6"/>
      <c r="D640" s="133"/>
      <c r="E640" s="134"/>
    </row>
    <row r="641" spans="1:5" ht="19.2" hidden="1" customHeight="1">
      <c r="A641" s="8" t="s">
        <v>323</v>
      </c>
      <c r="B641" s="61" t="s">
        <v>49</v>
      </c>
      <c r="C641" s="6"/>
      <c r="D641" s="133"/>
      <c r="E641" s="134"/>
    </row>
    <row r="642" spans="1:5" ht="19.2" hidden="1" customHeight="1">
      <c r="A642" s="12" t="s">
        <v>324</v>
      </c>
      <c r="B642" s="61" t="s">
        <v>7</v>
      </c>
      <c r="C642" s="6"/>
      <c r="D642" s="133"/>
      <c r="E642" s="134"/>
    </row>
    <row r="643" spans="1:5" ht="19.2" hidden="1" customHeight="1">
      <c r="A643" s="12" t="s">
        <v>325</v>
      </c>
      <c r="B643" s="61" t="s">
        <v>7</v>
      </c>
      <c r="C643" s="6"/>
      <c r="D643" s="133"/>
      <c r="E643" s="134"/>
    </row>
    <row r="644" spans="1:5" ht="19.2" hidden="1" customHeight="1">
      <c r="A644" s="19" t="s">
        <v>326</v>
      </c>
      <c r="B644" s="61" t="s">
        <v>7</v>
      </c>
      <c r="C644" s="6"/>
      <c r="D644" s="133"/>
      <c r="E644" s="134"/>
    </row>
    <row r="645" spans="1:5" ht="19.2" hidden="1" customHeight="1">
      <c r="A645" s="12" t="s">
        <v>327</v>
      </c>
      <c r="B645" s="61" t="s">
        <v>49</v>
      </c>
      <c r="C645" s="6"/>
      <c r="D645" s="133"/>
      <c r="E645" s="134"/>
    </row>
    <row r="646" spans="1:5" ht="19.2" hidden="1" customHeight="1">
      <c r="A646" s="8" t="s">
        <v>328</v>
      </c>
      <c r="B646" s="61" t="s">
        <v>57</v>
      </c>
      <c r="C646" s="6"/>
      <c r="D646" s="133"/>
      <c r="E646" s="134"/>
    </row>
    <row r="647" spans="1:5" ht="19.2" hidden="1" customHeight="1">
      <c r="A647" s="8" t="s">
        <v>329</v>
      </c>
      <c r="B647" s="61" t="s">
        <v>57</v>
      </c>
      <c r="C647" s="6"/>
      <c r="D647" s="133"/>
      <c r="E647" s="134"/>
    </row>
    <row r="648" spans="1:5" ht="19.2" hidden="1" customHeight="1">
      <c r="A648" s="8" t="s">
        <v>330</v>
      </c>
      <c r="B648" s="61" t="s">
        <v>93</v>
      </c>
      <c r="C648" s="6"/>
      <c r="D648" s="133"/>
      <c r="E648" s="134"/>
    </row>
    <row r="649" spans="1:5" ht="19.2" hidden="1" customHeight="1">
      <c r="A649" s="8" t="s">
        <v>331</v>
      </c>
      <c r="B649" s="61" t="s">
        <v>7</v>
      </c>
      <c r="C649" s="6"/>
      <c r="D649" s="133"/>
      <c r="E649" s="134"/>
    </row>
    <row r="650" spans="1:5" ht="19.2" hidden="1" customHeight="1">
      <c r="A650" s="19" t="s">
        <v>332</v>
      </c>
      <c r="B650" s="61" t="s">
        <v>7</v>
      </c>
      <c r="C650" s="6"/>
      <c r="D650" s="133"/>
      <c r="E650" s="134"/>
    </row>
    <row r="651" spans="1:5" ht="19.2" hidden="1" customHeight="1">
      <c r="A651" s="8" t="s">
        <v>333</v>
      </c>
      <c r="B651" s="61" t="s">
        <v>57</v>
      </c>
      <c r="C651" s="6"/>
      <c r="D651" s="133"/>
      <c r="E651" s="134"/>
    </row>
    <row r="652" spans="1:5" ht="19.2" hidden="1" customHeight="1">
      <c r="A652" s="8" t="s">
        <v>334</v>
      </c>
      <c r="B652" s="61" t="s">
        <v>7</v>
      </c>
      <c r="C652" s="6"/>
      <c r="D652" s="133"/>
      <c r="E652" s="134"/>
    </row>
    <row r="653" spans="1:5" ht="19.2" hidden="1" customHeight="1">
      <c r="A653" s="11" t="s">
        <v>335</v>
      </c>
      <c r="B653" s="61" t="s">
        <v>7</v>
      </c>
      <c r="C653" s="6"/>
      <c r="D653" s="133"/>
      <c r="E653" s="134"/>
    </row>
    <row r="654" spans="1:5" ht="19.2" hidden="1" customHeight="1">
      <c r="A654" s="8" t="s">
        <v>336</v>
      </c>
      <c r="B654" s="61" t="s">
        <v>7</v>
      </c>
      <c r="C654" s="34"/>
      <c r="D654" s="133"/>
      <c r="E654" s="134"/>
    </row>
    <row r="655" spans="1:5" ht="19.2" hidden="1" customHeight="1">
      <c r="A655" s="8" t="s">
        <v>337</v>
      </c>
      <c r="B655" s="61" t="s">
        <v>57</v>
      </c>
      <c r="C655" s="6"/>
      <c r="D655" s="133"/>
      <c r="E655" s="134"/>
    </row>
    <row r="656" spans="1:5" ht="19.2" hidden="1" customHeight="1">
      <c r="A656" s="8" t="s">
        <v>338</v>
      </c>
      <c r="B656" s="61" t="s">
        <v>49</v>
      </c>
      <c r="C656" s="6"/>
      <c r="D656" s="133"/>
      <c r="E656" s="134"/>
    </row>
    <row r="657" spans="1:5" ht="19.2" hidden="1" customHeight="1">
      <c r="A657" s="19" t="s">
        <v>339</v>
      </c>
      <c r="B657" s="61" t="s">
        <v>7</v>
      </c>
      <c r="C657" s="6"/>
      <c r="D657" s="133"/>
      <c r="E657" s="134"/>
    </row>
    <row r="658" spans="1:5" ht="19.2" hidden="1" customHeight="1">
      <c r="A658" s="19" t="s">
        <v>340</v>
      </c>
      <c r="B658" s="61" t="s">
        <v>7</v>
      </c>
      <c r="C658" s="6"/>
      <c r="D658" s="133"/>
      <c r="E658" s="134"/>
    </row>
    <row r="659" spans="1:5" ht="19.2" hidden="1" customHeight="1">
      <c r="A659" s="8" t="s">
        <v>341</v>
      </c>
      <c r="B659" s="61" t="s">
        <v>7</v>
      </c>
      <c r="C659" s="6"/>
      <c r="D659" s="133"/>
      <c r="E659" s="134"/>
    </row>
    <row r="660" spans="1:5" ht="19.2" hidden="1" customHeight="1">
      <c r="A660" s="8" t="s">
        <v>342</v>
      </c>
      <c r="B660" s="61" t="s">
        <v>7</v>
      </c>
      <c r="C660" s="6"/>
      <c r="D660" s="133"/>
      <c r="E660" s="134"/>
    </row>
    <row r="661" spans="1:5" ht="19.2" hidden="1" customHeight="1">
      <c r="A661" s="19" t="s">
        <v>343</v>
      </c>
      <c r="B661" s="61" t="s">
        <v>7</v>
      </c>
      <c r="C661" s="6"/>
      <c r="D661" s="133"/>
      <c r="E661" s="134"/>
    </row>
    <row r="662" spans="1:5" ht="19.2" hidden="1" customHeight="1">
      <c r="A662" s="8" t="s">
        <v>344</v>
      </c>
      <c r="B662" s="61" t="s">
        <v>57</v>
      </c>
      <c r="C662" s="6"/>
      <c r="D662" s="133"/>
      <c r="E662" s="134"/>
    </row>
    <row r="663" spans="1:5" ht="19.2" hidden="1" customHeight="1">
      <c r="A663" s="8" t="s">
        <v>345</v>
      </c>
      <c r="B663" s="61" t="s">
        <v>57</v>
      </c>
      <c r="C663" s="6"/>
      <c r="D663" s="133"/>
      <c r="E663" s="134"/>
    </row>
    <row r="664" spans="1:5" ht="19.2" hidden="1" customHeight="1">
      <c r="A664" s="8" t="s">
        <v>346</v>
      </c>
      <c r="B664" s="61" t="s">
        <v>57</v>
      </c>
      <c r="C664" s="6"/>
      <c r="D664" s="133"/>
      <c r="E664" s="134"/>
    </row>
    <row r="665" spans="1:5" ht="19.2" hidden="1" customHeight="1">
      <c r="A665" s="8" t="s">
        <v>347</v>
      </c>
      <c r="B665" s="61" t="s">
        <v>57</v>
      </c>
      <c r="C665" s="6"/>
      <c r="D665" s="133"/>
      <c r="E665" s="134"/>
    </row>
    <row r="666" spans="1:5" ht="19.2" hidden="1" customHeight="1">
      <c r="A666" s="8" t="s">
        <v>348</v>
      </c>
      <c r="B666" s="61" t="s">
        <v>57</v>
      </c>
      <c r="C666" s="6"/>
      <c r="D666" s="133"/>
      <c r="E666" s="134"/>
    </row>
    <row r="667" spans="1:5" ht="19.2" hidden="1" customHeight="1">
      <c r="A667" s="8" t="s">
        <v>349</v>
      </c>
      <c r="B667" s="61" t="s">
        <v>93</v>
      </c>
      <c r="C667" s="6"/>
      <c r="D667" s="133"/>
      <c r="E667" s="134"/>
    </row>
    <row r="668" spans="1:5" ht="19.2" hidden="1" customHeight="1">
      <c r="A668" s="8" t="s">
        <v>350</v>
      </c>
      <c r="B668" s="61" t="s">
        <v>7</v>
      </c>
      <c r="C668" s="6"/>
      <c r="D668" s="133"/>
      <c r="E668" s="134"/>
    </row>
    <row r="669" spans="1:5" ht="19.2" hidden="1" customHeight="1">
      <c r="A669" s="8" t="s">
        <v>351</v>
      </c>
      <c r="B669" s="61" t="s">
        <v>7</v>
      </c>
      <c r="C669" s="6"/>
      <c r="D669" s="133"/>
      <c r="E669" s="134"/>
    </row>
    <row r="670" spans="1:5" ht="19.2" hidden="1" customHeight="1">
      <c r="A670" s="10" t="s">
        <v>353</v>
      </c>
      <c r="B670" s="61" t="s">
        <v>7</v>
      </c>
      <c r="C670" s="6"/>
      <c r="D670" s="133"/>
      <c r="E670" s="134"/>
    </row>
    <row r="671" spans="1:5" ht="19.2" customHeight="1">
      <c r="A671" s="79"/>
      <c r="B671" s="80">
        <v>0</v>
      </c>
      <c r="C671" s="80">
        <v>4910</v>
      </c>
      <c r="D671" s="148"/>
      <c r="E671" s="149">
        <f>SUBTOTAL(9,E347:E567)</f>
        <v>69254000</v>
      </c>
    </row>
    <row r="672" spans="1:5" hidden="1">
      <c r="E672" s="100">
        <f>+E671+E341</f>
        <v>153086600</v>
      </c>
    </row>
    <row r="673" spans="5:5" ht="15.6">
      <c r="E673" s="150">
        <f>+E671+E341</f>
        <v>153086600</v>
      </c>
    </row>
  </sheetData>
  <protectedRanges>
    <protectedRange password="CF71" sqref="C1:C340 C672:C65536" name="tho"/>
    <protectedRange password="CF71" sqref="C342:C670" name="tho_4"/>
  </protectedRanges>
  <autoFilter ref="A2:IT673" xr:uid="{00000000-0009-0000-0000-000000000000}">
    <filterColumn colId="2">
      <customFilters>
        <customFilter operator="notEqual" val=""/>
      </customFilters>
    </filterColumn>
  </autoFilter>
  <mergeCells count="2">
    <mergeCell ref="A2:A3"/>
    <mergeCell ref="A342:A3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UX673"/>
  <sheetViews>
    <sheetView workbookViewId="0">
      <pane xSplit="1" ySplit="3" topLeftCell="B388" activePane="bottomRight" state="frozen"/>
      <selection pane="topRight"/>
      <selection pane="bottomLeft"/>
      <selection pane="bottomRight" activeCell="D342" sqref="D342:E342"/>
    </sheetView>
  </sheetViews>
  <sheetFormatPr defaultColWidth="0" defaultRowHeight="16.8"/>
  <cols>
    <col min="1" max="1" width="46.44140625" style="47" customWidth="1"/>
    <col min="2" max="2" width="6.44140625" style="48" customWidth="1"/>
    <col min="3" max="3" width="13" style="47" customWidth="1"/>
    <col min="4" max="4" width="21.109375" style="49" customWidth="1"/>
    <col min="5" max="5" width="21.44140625" style="50" customWidth="1"/>
    <col min="6" max="7" width="9.109375" style="47" customWidth="1"/>
    <col min="8" max="8" width="7" style="47" customWidth="1"/>
    <col min="9" max="9" width="8.88671875" style="47" customWidth="1"/>
    <col min="10" max="10" width="9.109375" style="47" customWidth="1"/>
    <col min="11" max="11" width="7" style="47" customWidth="1"/>
    <col min="12" max="12" width="8.88671875" style="47" customWidth="1"/>
    <col min="13" max="13" width="9.109375" style="47" customWidth="1"/>
    <col min="14" max="14" width="7" style="47" customWidth="1"/>
    <col min="15" max="15" width="8.88671875" style="47" customWidth="1"/>
    <col min="16" max="16" width="9.109375" style="47" customWidth="1"/>
    <col min="17" max="17" width="7" style="47" customWidth="1"/>
    <col min="18" max="18" width="8.88671875" style="47" customWidth="1"/>
    <col min="19" max="19" width="9.109375" style="47" customWidth="1"/>
    <col min="20" max="20" width="7" style="47" customWidth="1"/>
    <col min="21" max="21" width="9.109375" style="47" customWidth="1"/>
    <col min="22" max="22" width="8.44140625" style="47" customWidth="1"/>
    <col min="23" max="31" width="11.44140625" style="47" customWidth="1"/>
    <col min="32" max="35" width="7" style="47" customWidth="1"/>
    <col min="36" max="36" width="41.44140625" style="47" customWidth="1"/>
    <col min="37" max="37" width="6.44140625" style="47" customWidth="1"/>
    <col min="38" max="38" width="14.5546875" style="47" customWidth="1"/>
    <col min="39" max="39" width="11.44140625" style="47" customWidth="1"/>
    <col min="40" max="40" width="13" style="47" customWidth="1"/>
    <col min="41" max="41" width="25.44140625" style="47" customWidth="1"/>
    <col min="42" max="51" width="9.44140625" style="47" customWidth="1"/>
    <col min="52" max="52" width="10.5546875" style="47" customWidth="1"/>
    <col min="53" max="53" width="9.44140625" style="47" customWidth="1"/>
    <col min="54" max="54" width="10.109375" style="47" customWidth="1"/>
    <col min="55" max="62" width="11.44140625" style="47" hidden="1" customWidth="1"/>
    <col min="63" max="66" width="7" style="47" hidden="1" customWidth="1"/>
    <col min="67" max="67" width="19.5546875" style="47" customWidth="1"/>
    <col min="68" max="68" width="11.44140625" style="47" customWidth="1"/>
    <col min="69" max="69" width="56.88671875" style="47" customWidth="1"/>
    <col min="70" max="70" width="9.109375" style="47" customWidth="1"/>
    <col min="71" max="71" width="24.44140625" style="47" customWidth="1"/>
    <col min="72" max="72" width="30.44140625" style="47" customWidth="1"/>
    <col min="73" max="73" width="23.5546875" style="47" customWidth="1"/>
    <col min="74" max="74" width="5" style="47" customWidth="1"/>
    <col min="75" max="76" width="6.44140625" style="47" hidden="1" customWidth="1"/>
    <col min="77" max="77" width="5" style="47" customWidth="1"/>
    <col min="78" max="79" width="6.44140625" style="47" hidden="1" customWidth="1"/>
    <col min="80" max="80" width="5" style="47" customWidth="1"/>
    <col min="81" max="82" width="6.44140625" style="47" hidden="1" customWidth="1"/>
    <col min="83" max="83" width="5" style="47" customWidth="1"/>
    <col min="84" max="85" width="6.44140625" style="47" hidden="1" customWidth="1"/>
    <col min="86" max="86" width="5" style="47" hidden="1" customWidth="1"/>
    <col min="87" max="88" width="6.44140625" style="47" hidden="1" customWidth="1"/>
    <col min="89" max="89" width="5" style="47" hidden="1" customWidth="1"/>
    <col min="90" max="90" width="9.44140625" style="47" hidden="1" customWidth="1"/>
    <col min="91" max="91" width="0" style="47" hidden="1" customWidth="1"/>
    <col min="92" max="92" width="6.44140625" style="47" hidden="1" customWidth="1"/>
    <col min="93" max="93" width="0" style="47" hidden="1" customWidth="1"/>
    <col min="94" max="95" width="6.44140625" style="47" hidden="1" customWidth="1"/>
    <col min="96" max="96" width="0" style="47" hidden="1" customWidth="1"/>
    <col min="97" max="98" width="6.44140625" style="47" hidden="1" customWidth="1"/>
    <col min="99" max="99" width="0" style="47" hidden="1" customWidth="1"/>
    <col min="100" max="101" width="6.44140625" style="47" hidden="1" customWidth="1"/>
    <col min="102" max="102" width="0" style="47" hidden="1" customWidth="1"/>
    <col min="103" max="104" width="6.44140625" style="47" hidden="1" customWidth="1"/>
    <col min="105" max="105" width="0" style="47" hidden="1" customWidth="1"/>
    <col min="106" max="107" width="6.44140625" style="47" hidden="1" customWidth="1"/>
    <col min="108" max="108" width="0" style="47" hidden="1" customWidth="1"/>
    <col min="109" max="110" width="6.44140625" style="47" hidden="1" customWidth="1"/>
    <col min="111" max="111" width="0" style="47" hidden="1" customWidth="1"/>
    <col min="112" max="113" width="6.44140625" style="47" hidden="1" customWidth="1"/>
    <col min="114" max="114" width="0" style="47" hidden="1" customWidth="1"/>
    <col min="115" max="115" width="6.44140625" style="47" hidden="1" customWidth="1"/>
    <col min="116" max="116" width="0" style="47" hidden="1" customWidth="1"/>
    <col min="117" max="118" width="6.44140625" style="47" hidden="1" customWidth="1"/>
    <col min="119" max="119" width="0" style="47" hidden="1" customWidth="1"/>
    <col min="120" max="120" width="9.44140625" style="47" hidden="1" customWidth="1"/>
    <col min="121" max="121" width="6.44140625" style="47" hidden="1" customWidth="1"/>
    <col min="122" max="122" width="0" style="47" hidden="1" customWidth="1"/>
    <col min="123" max="123" width="9.44140625" style="47" hidden="1" customWidth="1"/>
    <col min="124" max="124" width="6.44140625" style="47" hidden="1" customWidth="1"/>
    <col min="125" max="125" width="0" style="47" hidden="1" customWidth="1"/>
    <col min="126" max="126" width="9.44140625" style="47" hidden="1" customWidth="1"/>
    <col min="127" max="127" width="6.44140625" style="47" hidden="1" customWidth="1"/>
    <col min="128" max="128" width="7.44140625" style="47" hidden="1" customWidth="1"/>
    <col min="129" max="129" width="9.44140625" style="47" hidden="1" customWidth="1"/>
    <col min="130" max="130" width="6.44140625" style="47" hidden="1" customWidth="1"/>
    <col min="131" max="131" width="0" style="47" hidden="1" customWidth="1"/>
    <col min="132" max="132" width="9.44140625" style="47" hidden="1" customWidth="1"/>
    <col min="133" max="133" width="6.44140625" style="47" hidden="1" customWidth="1"/>
    <col min="134" max="134" width="0" style="47" hidden="1" customWidth="1"/>
    <col min="135" max="135" width="9.44140625" style="47" hidden="1" customWidth="1"/>
    <col min="136" max="136" width="0" style="47" hidden="1" customWidth="1"/>
    <col min="137" max="137" width="9" style="47" hidden="1" customWidth="1"/>
    <col min="138" max="138" width="0" style="47" hidden="1" customWidth="1"/>
    <col min="139" max="139" width="11" style="47" hidden="1" customWidth="1"/>
    <col min="140" max="140" width="6.44140625" style="47" hidden="1" customWidth="1"/>
    <col min="141" max="141" width="0" style="47" hidden="1" customWidth="1"/>
    <col min="142" max="143" width="6.44140625" style="47" hidden="1" customWidth="1"/>
    <col min="144" max="144" width="0" style="47" hidden="1" customWidth="1"/>
    <col min="145" max="145" width="7" style="47" hidden="1" customWidth="1"/>
    <col min="146" max="146" width="8.88671875" style="47" hidden="1" customWidth="1"/>
    <col min="147" max="147" width="0" style="47" hidden="1" customWidth="1"/>
    <col min="148" max="148" width="7" style="47" hidden="1" customWidth="1"/>
    <col min="149" max="149" width="8.88671875" style="47" hidden="1" customWidth="1"/>
    <col min="150" max="151" width="0" style="47" hidden="1" customWidth="1"/>
    <col min="152" max="152" width="9.44140625" style="47" customWidth="1"/>
    <col min="153" max="153" width="7" style="47" hidden="1" customWidth="1"/>
    <col min="154" max="154" width="5" style="47" customWidth="1"/>
    <col min="155" max="155" width="0" style="47" hidden="1" customWidth="1"/>
    <col min="156" max="156" width="7" style="47" hidden="1" customWidth="1"/>
    <col min="157" max="157" width="8.88671875" style="47" hidden="1" customWidth="1"/>
    <col min="158" max="158" width="0" style="47" hidden="1" customWidth="1"/>
    <col min="159" max="159" width="7" style="47" hidden="1" customWidth="1"/>
    <col min="160" max="160" width="8.88671875" style="47" hidden="1" customWidth="1"/>
    <col min="161" max="161" width="0" style="47" hidden="1" customWidth="1"/>
    <col min="162" max="162" width="7" style="47" hidden="1" customWidth="1"/>
    <col min="163" max="163" width="8.88671875" style="47" hidden="1" customWidth="1"/>
    <col min="164" max="164" width="0" style="47" hidden="1" customWidth="1"/>
    <col min="165" max="165" width="7" style="47" hidden="1" customWidth="1"/>
    <col min="166" max="166" width="0" style="47" hidden="1" customWidth="1"/>
    <col min="167" max="167" width="8.44140625" style="47" hidden="1" customWidth="1"/>
    <col min="168" max="170" width="11.44140625" style="47" hidden="1" customWidth="1"/>
    <col min="171" max="171" width="6.44140625" style="47" customWidth="1"/>
    <col min="172" max="172" width="11.44140625" style="47" hidden="1" customWidth="1"/>
    <col min="173" max="173" width="7.109375" style="47" customWidth="1"/>
    <col min="174" max="175" width="11.44140625" style="47" hidden="1" customWidth="1"/>
    <col min="176" max="176" width="7.109375" style="47" customWidth="1"/>
    <col min="177" max="177" width="7" style="47" hidden="1" customWidth="1"/>
    <col min="178" max="178" width="0" style="47" hidden="1" customWidth="1"/>
    <col min="179" max="179" width="7.109375" style="47" customWidth="1"/>
    <col min="180" max="180" width="8.88671875" style="47" hidden="1" customWidth="1"/>
    <col min="181" max="181" width="0" style="47" hidden="1" customWidth="1"/>
    <col min="182" max="182" width="7.109375" style="47" customWidth="1"/>
    <col min="183" max="183" width="0" style="47" hidden="1" customWidth="1"/>
    <col min="184" max="184" width="7" style="47" hidden="1" customWidth="1"/>
    <col min="185" max="185" width="7.109375" style="47" customWidth="1"/>
    <col min="186" max="186" width="0" style="47" hidden="1" customWidth="1"/>
    <col min="187" max="187" width="7" style="47" hidden="1" customWidth="1"/>
    <col min="188" max="188" width="7.109375" style="47" customWidth="1"/>
    <col min="189" max="189" width="0" style="47" hidden="1" customWidth="1"/>
    <col min="190" max="190" width="7" style="47" hidden="1" customWidth="1"/>
    <col min="191" max="191" width="7.109375" style="47" customWidth="1"/>
    <col min="192" max="192" width="0" style="47" hidden="1" customWidth="1"/>
    <col min="193" max="193" width="7" style="47" hidden="1" customWidth="1"/>
    <col min="194" max="194" width="7.109375" style="47" customWidth="1"/>
    <col min="195" max="195" width="0" style="47" hidden="1" customWidth="1"/>
    <col min="196" max="196" width="6.44140625" style="47" customWidth="1"/>
    <col min="197" max="197" width="0" style="47" hidden="1" customWidth="1"/>
    <col min="198" max="198" width="8.44140625" style="47" hidden="1" customWidth="1"/>
    <col min="199" max="199" width="6.88671875" style="47" customWidth="1"/>
    <col min="200" max="201" width="11.44140625" style="47" hidden="1" customWidth="1"/>
    <col min="202" max="202" width="6.88671875" style="47" customWidth="1"/>
    <col min="203" max="204" width="11.44140625" style="47" hidden="1" customWidth="1"/>
    <col min="205" max="205" width="6.44140625" style="47" customWidth="1"/>
    <col min="206" max="207" width="11.44140625" style="47" hidden="1" customWidth="1"/>
    <col min="208" max="210" width="7" style="47" hidden="1" customWidth="1"/>
    <col min="211" max="211" width="6.44140625" style="47" customWidth="1"/>
    <col min="212" max="213" width="0" style="47" hidden="1" customWidth="1"/>
    <col min="214" max="214" width="7.44140625" style="47" customWidth="1"/>
    <col min="215" max="215" width="7" style="47" hidden="1" customWidth="1"/>
    <col min="216" max="216" width="9.44140625" style="47" customWidth="1"/>
    <col min="217" max="217" width="0" style="47" hidden="1" customWidth="1"/>
    <col min="218" max="218" width="9" style="47" customWidth="1"/>
    <col min="219" max="219" width="8.88671875" style="47" hidden="1" customWidth="1"/>
    <col min="220" max="220" width="0" style="47" hidden="1" customWidth="1"/>
    <col min="221" max="221" width="8.44140625" style="47" customWidth="1"/>
    <col min="222" max="222" width="8.88671875" style="47" hidden="1" customWidth="1"/>
    <col min="223" max="223" width="0" style="47" hidden="1" customWidth="1"/>
    <col min="224" max="224" width="6.44140625" style="47" customWidth="1"/>
    <col min="225" max="225" width="8.88671875" style="47" hidden="1" customWidth="1"/>
    <col min="226" max="226" width="0" style="47" hidden="1" customWidth="1"/>
    <col min="227" max="227" width="7" style="47" customWidth="1"/>
    <col min="228" max="228" width="0" style="47" hidden="1" customWidth="1"/>
    <col min="229" max="229" width="8.44140625" style="47" hidden="1" customWidth="1"/>
    <col min="230" max="232" width="7" style="47" customWidth="1"/>
    <col min="233" max="234" width="11.44140625" style="47" hidden="1" customWidth="1"/>
    <col min="235" max="235" width="7.44140625" style="47" customWidth="1"/>
    <col min="236" max="237" width="11.44140625" style="47" hidden="1" customWidth="1"/>
    <col min="238" max="238" width="7" style="47" customWidth="1"/>
    <col min="239" max="240" width="7" style="47" hidden="1" customWidth="1"/>
    <col min="241" max="241" width="7" style="47" customWidth="1"/>
    <col min="242" max="242" width="7" style="47" hidden="1" customWidth="1"/>
    <col min="243" max="243" width="11.44140625" style="47" hidden="1" customWidth="1"/>
    <col min="244" max="244" width="7" style="47" customWidth="1"/>
    <col min="245" max="245" width="11.44140625" style="47" hidden="1" customWidth="1"/>
    <col min="246" max="246" width="6.44140625" style="47" customWidth="1"/>
    <col min="247" max="250" width="11.44140625" style="47" hidden="1" customWidth="1"/>
    <col min="251" max="254" width="7" style="47" hidden="1" customWidth="1"/>
    <col min="255" max="256" width="11.44140625" style="47" hidden="1" customWidth="1"/>
    <col min="257" max="291" width="11.44140625" style="47" hidden="1"/>
    <col min="292" max="292" width="41.44140625" style="47" customWidth="1"/>
    <col min="293" max="293" width="6.44140625" style="47" customWidth="1"/>
    <col min="294" max="294" width="14.5546875" style="47" customWidth="1"/>
    <col min="295" max="295" width="11.44140625" style="47" customWidth="1"/>
    <col min="296" max="296" width="13" style="47" customWidth="1"/>
    <col min="297" max="297" width="25.44140625" style="47" customWidth="1"/>
    <col min="298" max="307" width="9.44140625" style="47" customWidth="1"/>
    <col min="308" max="308" width="10.5546875" style="47" customWidth="1"/>
    <col min="309" max="309" width="9.44140625" style="47" customWidth="1"/>
    <col min="310" max="310" width="10.109375" style="47" customWidth="1"/>
    <col min="311" max="322" width="11.44140625" style="47" hidden="1" customWidth="1"/>
    <col min="323" max="323" width="19.5546875" style="47" customWidth="1"/>
    <col min="324" max="324" width="11.44140625" style="47" customWidth="1"/>
    <col min="325" max="325" width="56.88671875" style="47" customWidth="1"/>
    <col min="326" max="326" width="9.109375" style="47" customWidth="1"/>
    <col min="327" max="327" width="24.44140625" style="47" customWidth="1"/>
    <col min="328" max="328" width="30.44140625" style="47" customWidth="1"/>
    <col min="329" max="329" width="23.5546875" style="47" customWidth="1"/>
    <col min="330" max="330" width="5" style="47" customWidth="1"/>
    <col min="331" max="332" width="11.44140625" style="47" hidden="1" customWidth="1"/>
    <col min="333" max="333" width="5" style="47" customWidth="1"/>
    <col min="334" max="335" width="11.44140625" style="47" hidden="1" customWidth="1"/>
    <col min="336" max="336" width="5" style="47" customWidth="1"/>
    <col min="337" max="338" width="11.44140625" style="47" hidden="1" customWidth="1"/>
    <col min="339" max="339" width="5" style="47" customWidth="1"/>
    <col min="340" max="407" width="11.44140625" style="47" hidden="1" customWidth="1"/>
    <col min="408" max="408" width="9.44140625" style="47" customWidth="1"/>
    <col min="409" max="409" width="11.44140625" style="47" hidden="1" customWidth="1"/>
    <col min="410" max="410" width="5" style="47" customWidth="1"/>
    <col min="411" max="426" width="11.44140625" style="47" hidden="1" customWidth="1"/>
    <col min="427" max="427" width="6.44140625" style="47" customWidth="1"/>
    <col min="428" max="428" width="11.44140625" style="47" hidden="1" customWidth="1"/>
    <col min="429" max="429" width="7.109375" style="47" customWidth="1"/>
    <col min="430" max="431" width="11.44140625" style="47" hidden="1" customWidth="1"/>
    <col min="432" max="432" width="7.109375" style="47" customWidth="1"/>
    <col min="433" max="434" width="11.44140625" style="47" hidden="1" customWidth="1"/>
    <col min="435" max="435" width="7.109375" style="47" customWidth="1"/>
    <col min="436" max="437" width="11.44140625" style="47" hidden="1" customWidth="1"/>
    <col min="438" max="438" width="7.109375" style="47" customWidth="1"/>
    <col min="439" max="440" width="11.44140625" style="47" hidden="1" customWidth="1"/>
    <col min="441" max="441" width="7.109375" style="47" customWidth="1"/>
    <col min="442" max="443" width="11.44140625" style="47" hidden="1" customWidth="1"/>
    <col min="444" max="444" width="7.109375" style="47" customWidth="1"/>
    <col min="445" max="446" width="11.44140625" style="47" hidden="1" customWidth="1"/>
    <col min="447" max="447" width="7.109375" style="47" customWidth="1"/>
    <col min="448" max="449" width="11.44140625" style="47" hidden="1" customWidth="1"/>
    <col min="450" max="450" width="7.109375" style="47" customWidth="1"/>
    <col min="451" max="451" width="11.44140625" style="47" hidden="1" customWidth="1"/>
    <col min="452" max="452" width="6.44140625" style="47" customWidth="1"/>
    <col min="453" max="454" width="11.44140625" style="47" hidden="1" customWidth="1"/>
    <col min="455" max="455" width="6.88671875" style="47" customWidth="1"/>
    <col min="456" max="457" width="11.44140625" style="47" hidden="1" customWidth="1"/>
    <col min="458" max="458" width="6.88671875" style="47" customWidth="1"/>
    <col min="459" max="460" width="11.44140625" style="47" hidden="1" customWidth="1"/>
    <col min="461" max="461" width="6.44140625" style="47" customWidth="1"/>
    <col min="462" max="466" width="11.44140625" style="47" hidden="1" customWidth="1"/>
    <col min="467" max="467" width="6.44140625" style="47" customWidth="1"/>
    <col min="468" max="469" width="11.44140625" style="47" hidden="1" customWidth="1"/>
    <col min="470" max="470" width="7.44140625" style="47" customWidth="1"/>
    <col min="471" max="471" width="11.44140625" style="47" hidden="1" customWidth="1"/>
    <col min="472" max="472" width="9.44140625" style="47" customWidth="1"/>
    <col min="473" max="473" width="11.44140625" style="47" hidden="1" customWidth="1"/>
    <col min="474" max="474" width="9" style="47" customWidth="1"/>
    <col min="475" max="476" width="11.44140625" style="47" hidden="1" customWidth="1"/>
    <col min="477" max="477" width="8.44140625" style="47" customWidth="1"/>
    <col min="478" max="479" width="11.44140625" style="47" hidden="1" customWidth="1"/>
    <col min="480" max="480" width="6.44140625" style="47" customWidth="1"/>
    <col min="481" max="482" width="11.44140625" style="47" hidden="1" customWidth="1"/>
    <col min="483" max="483" width="7" style="47" customWidth="1"/>
    <col min="484" max="485" width="11.44140625" style="47" hidden="1" customWidth="1"/>
    <col min="486" max="488" width="7" style="47" customWidth="1"/>
    <col min="489" max="490" width="11.44140625" style="47" hidden="1" customWidth="1"/>
    <col min="491" max="491" width="7.44140625" style="47" customWidth="1"/>
    <col min="492" max="493" width="11.44140625" style="47" hidden="1" customWidth="1"/>
    <col min="494" max="494" width="7" style="47" customWidth="1"/>
    <col min="495" max="496" width="11.44140625" style="47" hidden="1" customWidth="1"/>
    <col min="497" max="497" width="7" style="47" customWidth="1"/>
    <col min="498" max="499" width="11.44140625" style="47" hidden="1" customWidth="1"/>
    <col min="500" max="500" width="7" style="47" customWidth="1"/>
    <col min="501" max="501" width="11.44140625" style="47" hidden="1" customWidth="1"/>
    <col min="502" max="502" width="6.44140625" style="47" customWidth="1"/>
    <col min="503" max="512" width="11.44140625" style="47" hidden="1" customWidth="1"/>
    <col min="513" max="547" width="11.44140625" style="47" hidden="1"/>
    <col min="548" max="548" width="41.44140625" style="47" customWidth="1"/>
    <col min="549" max="549" width="6.44140625" style="47" customWidth="1"/>
    <col min="550" max="550" width="14.5546875" style="47" customWidth="1"/>
    <col min="551" max="551" width="11.44140625" style="47" customWidth="1"/>
    <col min="552" max="552" width="13" style="47" customWidth="1"/>
    <col min="553" max="553" width="25.44140625" style="47" customWidth="1"/>
    <col min="554" max="563" width="9.44140625" style="47" customWidth="1"/>
    <col min="564" max="564" width="10.5546875" style="47" customWidth="1"/>
    <col min="565" max="565" width="9.44140625" style="47" customWidth="1"/>
    <col min="566" max="566" width="10.109375" style="47" customWidth="1"/>
    <col min="567" max="578" width="11.44140625" style="47" hidden="1" customWidth="1"/>
    <col min="579" max="579" width="19.5546875" style="47" customWidth="1"/>
    <col min="580" max="580" width="11.44140625" style="47" customWidth="1"/>
    <col min="581" max="581" width="56.88671875" style="47" customWidth="1"/>
    <col min="582" max="582" width="9.109375" style="47" customWidth="1"/>
    <col min="583" max="583" width="24.44140625" style="47" customWidth="1"/>
    <col min="584" max="584" width="30.44140625" style="47" customWidth="1"/>
    <col min="585" max="585" width="23.5546875" style="47" customWidth="1"/>
    <col min="586" max="586" width="5" style="47" customWidth="1"/>
    <col min="587" max="588" width="11.44140625" style="47" hidden="1" customWidth="1"/>
    <col min="589" max="589" width="5" style="47" customWidth="1"/>
    <col min="590" max="591" width="11.44140625" style="47" hidden="1" customWidth="1"/>
    <col min="592" max="592" width="5" style="47" customWidth="1"/>
    <col min="593" max="594" width="11.44140625" style="47" hidden="1" customWidth="1"/>
    <col min="595" max="595" width="5" style="47" customWidth="1"/>
    <col min="596" max="663" width="11.44140625" style="47" hidden="1" customWidth="1"/>
    <col min="664" max="664" width="9.44140625" style="47" customWidth="1"/>
    <col min="665" max="665" width="11.44140625" style="47" hidden="1" customWidth="1"/>
    <col min="666" max="666" width="5" style="47" customWidth="1"/>
    <col min="667" max="682" width="11.44140625" style="47" hidden="1" customWidth="1"/>
    <col min="683" max="683" width="6.44140625" style="47" customWidth="1"/>
    <col min="684" max="684" width="11.44140625" style="47" hidden="1" customWidth="1"/>
    <col min="685" max="685" width="7.109375" style="47" customWidth="1"/>
    <col min="686" max="687" width="11.44140625" style="47" hidden="1" customWidth="1"/>
    <col min="688" max="688" width="7.109375" style="47" customWidth="1"/>
    <col min="689" max="690" width="11.44140625" style="47" hidden="1" customWidth="1"/>
    <col min="691" max="691" width="7.109375" style="47" customWidth="1"/>
    <col min="692" max="693" width="11.44140625" style="47" hidden="1" customWidth="1"/>
    <col min="694" max="694" width="7.109375" style="47" customWidth="1"/>
    <col min="695" max="696" width="11.44140625" style="47" hidden="1" customWidth="1"/>
    <col min="697" max="697" width="7.109375" style="47" customWidth="1"/>
    <col min="698" max="699" width="11.44140625" style="47" hidden="1" customWidth="1"/>
    <col min="700" max="700" width="7.109375" style="47" customWidth="1"/>
    <col min="701" max="702" width="11.44140625" style="47" hidden="1" customWidth="1"/>
    <col min="703" max="703" width="7.109375" style="47" customWidth="1"/>
    <col min="704" max="705" width="11.44140625" style="47" hidden="1" customWidth="1"/>
    <col min="706" max="706" width="7.109375" style="47" customWidth="1"/>
    <col min="707" max="707" width="11.44140625" style="47" hidden="1" customWidth="1"/>
    <col min="708" max="708" width="6.44140625" style="47" customWidth="1"/>
    <col min="709" max="710" width="11.44140625" style="47" hidden="1" customWidth="1"/>
    <col min="711" max="711" width="6.88671875" style="47" customWidth="1"/>
    <col min="712" max="713" width="11.44140625" style="47" hidden="1" customWidth="1"/>
    <col min="714" max="714" width="6.88671875" style="47" customWidth="1"/>
    <col min="715" max="716" width="11.44140625" style="47" hidden="1" customWidth="1"/>
    <col min="717" max="717" width="6.44140625" style="47" customWidth="1"/>
    <col min="718" max="722" width="11.44140625" style="47" hidden="1" customWidth="1"/>
    <col min="723" max="723" width="6.44140625" style="47" customWidth="1"/>
    <col min="724" max="725" width="11.44140625" style="47" hidden="1" customWidth="1"/>
    <col min="726" max="726" width="7.44140625" style="47" customWidth="1"/>
    <col min="727" max="727" width="11.44140625" style="47" hidden="1" customWidth="1"/>
    <col min="728" max="728" width="9.44140625" style="47" customWidth="1"/>
    <col min="729" max="729" width="11.44140625" style="47" hidden="1" customWidth="1"/>
    <col min="730" max="730" width="9" style="47" customWidth="1"/>
    <col min="731" max="732" width="11.44140625" style="47" hidden="1" customWidth="1"/>
    <col min="733" max="733" width="8.44140625" style="47" customWidth="1"/>
    <col min="734" max="735" width="11.44140625" style="47" hidden="1" customWidth="1"/>
    <col min="736" max="736" width="6.44140625" style="47" customWidth="1"/>
    <col min="737" max="738" width="11.44140625" style="47" hidden="1" customWidth="1"/>
    <col min="739" max="739" width="7" style="47" customWidth="1"/>
    <col min="740" max="741" width="11.44140625" style="47" hidden="1" customWidth="1"/>
    <col min="742" max="744" width="7" style="47" customWidth="1"/>
    <col min="745" max="746" width="11.44140625" style="47" hidden="1" customWidth="1"/>
    <col min="747" max="747" width="7.44140625" style="47" customWidth="1"/>
    <col min="748" max="749" width="11.44140625" style="47" hidden="1" customWidth="1"/>
    <col min="750" max="750" width="7" style="47" customWidth="1"/>
    <col min="751" max="752" width="11.44140625" style="47" hidden="1" customWidth="1"/>
    <col min="753" max="753" width="7" style="47" customWidth="1"/>
    <col min="754" max="755" width="11.44140625" style="47" hidden="1" customWidth="1"/>
    <col min="756" max="756" width="7" style="47" customWidth="1"/>
    <col min="757" max="757" width="11.44140625" style="47" hidden="1" customWidth="1"/>
    <col min="758" max="758" width="6.44140625" style="47" customWidth="1"/>
    <col min="759" max="768" width="11.44140625" style="47" hidden="1" customWidth="1"/>
    <col min="769" max="803" width="11.44140625" style="47" hidden="1"/>
    <col min="804" max="804" width="41.44140625" style="47" customWidth="1"/>
    <col min="805" max="805" width="6.44140625" style="47" customWidth="1"/>
    <col min="806" max="806" width="14.5546875" style="47" customWidth="1"/>
    <col min="807" max="807" width="11.44140625" style="47" customWidth="1"/>
    <col min="808" max="808" width="13" style="47" customWidth="1"/>
    <col min="809" max="809" width="25.44140625" style="47" customWidth="1"/>
    <col min="810" max="819" width="9.44140625" style="47" customWidth="1"/>
    <col min="820" max="820" width="10.5546875" style="47" customWidth="1"/>
    <col min="821" max="821" width="9.44140625" style="47" customWidth="1"/>
    <col min="822" max="822" width="10.109375" style="47" customWidth="1"/>
    <col min="823" max="834" width="11.44140625" style="47" hidden="1" customWidth="1"/>
    <col min="835" max="835" width="19.5546875" style="47" customWidth="1"/>
    <col min="836" max="836" width="11.44140625" style="47" customWidth="1"/>
    <col min="837" max="837" width="56.88671875" style="47" customWidth="1"/>
    <col min="838" max="838" width="9.109375" style="47" customWidth="1"/>
    <col min="839" max="839" width="24.44140625" style="47" customWidth="1"/>
    <col min="840" max="840" width="30.44140625" style="47" customWidth="1"/>
    <col min="841" max="841" width="23.5546875" style="47" customWidth="1"/>
    <col min="842" max="842" width="5" style="47" customWidth="1"/>
    <col min="843" max="844" width="11.44140625" style="47" hidden="1" customWidth="1"/>
    <col min="845" max="845" width="5" style="47" customWidth="1"/>
    <col min="846" max="847" width="11.44140625" style="47" hidden="1" customWidth="1"/>
    <col min="848" max="848" width="5" style="47" customWidth="1"/>
    <col min="849" max="850" width="11.44140625" style="47" hidden="1" customWidth="1"/>
    <col min="851" max="851" width="5" style="47" customWidth="1"/>
    <col min="852" max="919" width="11.44140625" style="47" hidden="1" customWidth="1"/>
    <col min="920" max="920" width="9.44140625" style="47" customWidth="1"/>
    <col min="921" max="921" width="11.44140625" style="47" hidden="1" customWidth="1"/>
    <col min="922" max="922" width="5" style="47" customWidth="1"/>
    <col min="923" max="938" width="11.44140625" style="47" hidden="1" customWidth="1"/>
    <col min="939" max="939" width="6.44140625" style="47" customWidth="1"/>
    <col min="940" max="940" width="11.44140625" style="47" hidden="1" customWidth="1"/>
    <col min="941" max="941" width="7.109375" style="47" customWidth="1"/>
    <col min="942" max="943" width="11.44140625" style="47" hidden="1" customWidth="1"/>
    <col min="944" max="944" width="7.109375" style="47" customWidth="1"/>
    <col min="945" max="946" width="11.44140625" style="47" hidden="1" customWidth="1"/>
    <col min="947" max="947" width="7.109375" style="47" customWidth="1"/>
    <col min="948" max="949" width="11.44140625" style="47" hidden="1" customWidth="1"/>
    <col min="950" max="950" width="7.109375" style="47" customWidth="1"/>
    <col min="951" max="952" width="11.44140625" style="47" hidden="1" customWidth="1"/>
    <col min="953" max="953" width="7.109375" style="47" customWidth="1"/>
    <col min="954" max="955" width="11.44140625" style="47" hidden="1" customWidth="1"/>
    <col min="956" max="956" width="7.109375" style="47" customWidth="1"/>
    <col min="957" max="958" width="11.44140625" style="47" hidden="1" customWidth="1"/>
    <col min="959" max="959" width="7.109375" style="47" customWidth="1"/>
    <col min="960" max="961" width="11.44140625" style="47" hidden="1" customWidth="1"/>
    <col min="962" max="962" width="7.109375" style="47" customWidth="1"/>
    <col min="963" max="963" width="11.44140625" style="47" hidden="1" customWidth="1"/>
    <col min="964" max="964" width="6.44140625" style="47" customWidth="1"/>
    <col min="965" max="966" width="11.44140625" style="47" hidden="1" customWidth="1"/>
    <col min="967" max="967" width="6.88671875" style="47" customWidth="1"/>
    <col min="968" max="969" width="11.44140625" style="47" hidden="1" customWidth="1"/>
    <col min="970" max="970" width="6.88671875" style="47" customWidth="1"/>
    <col min="971" max="972" width="11.44140625" style="47" hidden="1" customWidth="1"/>
    <col min="973" max="973" width="6.44140625" style="47" customWidth="1"/>
    <col min="974" max="978" width="11.44140625" style="47" hidden="1" customWidth="1"/>
    <col min="979" max="979" width="6.44140625" style="47" customWidth="1"/>
    <col min="980" max="981" width="11.44140625" style="47" hidden="1" customWidth="1"/>
    <col min="982" max="982" width="7.44140625" style="47" customWidth="1"/>
    <col min="983" max="983" width="11.44140625" style="47" hidden="1" customWidth="1"/>
    <col min="984" max="984" width="9.44140625" style="47" customWidth="1"/>
    <col min="985" max="985" width="11.44140625" style="47" hidden="1" customWidth="1"/>
    <col min="986" max="986" width="9" style="47" customWidth="1"/>
    <col min="987" max="988" width="11.44140625" style="47" hidden="1" customWidth="1"/>
    <col min="989" max="989" width="8.44140625" style="47" customWidth="1"/>
    <col min="990" max="991" width="11.44140625" style="47" hidden="1" customWidth="1"/>
    <col min="992" max="992" width="6.44140625" style="47" customWidth="1"/>
    <col min="993" max="994" width="11.44140625" style="47" hidden="1" customWidth="1"/>
    <col min="995" max="995" width="7" style="47" customWidth="1"/>
    <col min="996" max="997" width="11.44140625" style="47" hidden="1" customWidth="1"/>
    <col min="998" max="1000" width="7" style="47" customWidth="1"/>
    <col min="1001" max="1002" width="11.44140625" style="47" hidden="1" customWidth="1"/>
    <col min="1003" max="1003" width="7.44140625" style="47" customWidth="1"/>
    <col min="1004" max="1005" width="11.44140625" style="47" hidden="1" customWidth="1"/>
    <col min="1006" max="1006" width="7" style="47" customWidth="1"/>
    <col min="1007" max="1008" width="11.44140625" style="47" hidden="1" customWidth="1"/>
    <col min="1009" max="1009" width="7" style="47" customWidth="1"/>
    <col min="1010" max="1011" width="11.44140625" style="47" hidden="1" customWidth="1"/>
    <col min="1012" max="1012" width="7" style="47" customWidth="1"/>
    <col min="1013" max="1013" width="11.44140625" style="47" hidden="1" customWidth="1"/>
    <col min="1014" max="1014" width="6.44140625" style="47" customWidth="1"/>
    <col min="1015" max="1024" width="11.44140625" style="47" hidden="1" customWidth="1"/>
    <col min="1025" max="1059" width="11.44140625" style="47" hidden="1"/>
    <col min="1060" max="1060" width="41.44140625" style="47" customWidth="1"/>
    <col min="1061" max="1061" width="6.44140625" style="47" customWidth="1"/>
    <col min="1062" max="1062" width="14.5546875" style="47" customWidth="1"/>
    <col min="1063" max="1063" width="11.44140625" style="47" customWidth="1"/>
    <col min="1064" max="1064" width="13" style="47" customWidth="1"/>
    <col min="1065" max="1065" width="25.44140625" style="47" customWidth="1"/>
    <col min="1066" max="1075" width="9.44140625" style="47" customWidth="1"/>
    <col min="1076" max="1076" width="10.5546875" style="47" customWidth="1"/>
    <col min="1077" max="1077" width="9.44140625" style="47" customWidth="1"/>
    <col min="1078" max="1078" width="10.109375" style="47" customWidth="1"/>
    <col min="1079" max="1090" width="11.44140625" style="47" hidden="1" customWidth="1"/>
    <col min="1091" max="1091" width="19.5546875" style="47" customWidth="1"/>
    <col min="1092" max="1092" width="11.44140625" style="47" customWidth="1"/>
    <col min="1093" max="1093" width="56.88671875" style="47" customWidth="1"/>
    <col min="1094" max="1094" width="9.109375" style="47" customWidth="1"/>
    <col min="1095" max="1095" width="24.44140625" style="47" customWidth="1"/>
    <col min="1096" max="1096" width="30.44140625" style="47" customWidth="1"/>
    <col min="1097" max="1097" width="23.5546875" style="47" customWidth="1"/>
    <col min="1098" max="1098" width="5" style="47" customWidth="1"/>
    <col min="1099" max="1100" width="11.44140625" style="47" hidden="1" customWidth="1"/>
    <col min="1101" max="1101" width="5" style="47" customWidth="1"/>
    <col min="1102" max="1103" width="11.44140625" style="47" hidden="1" customWidth="1"/>
    <col min="1104" max="1104" width="5" style="47" customWidth="1"/>
    <col min="1105" max="1106" width="11.44140625" style="47" hidden="1" customWidth="1"/>
    <col min="1107" max="1107" width="5" style="47" customWidth="1"/>
    <col min="1108" max="1175" width="11.44140625" style="47" hidden="1" customWidth="1"/>
    <col min="1176" max="1176" width="9.44140625" style="47" customWidth="1"/>
    <col min="1177" max="1177" width="11.44140625" style="47" hidden="1" customWidth="1"/>
    <col min="1178" max="1178" width="5" style="47" customWidth="1"/>
    <col min="1179" max="1194" width="11.44140625" style="47" hidden="1" customWidth="1"/>
    <col min="1195" max="1195" width="6.44140625" style="47" customWidth="1"/>
    <col min="1196" max="1196" width="11.44140625" style="47" hidden="1" customWidth="1"/>
    <col min="1197" max="1197" width="7.109375" style="47" customWidth="1"/>
    <col min="1198" max="1199" width="11.44140625" style="47" hidden="1" customWidth="1"/>
    <col min="1200" max="1200" width="7.109375" style="47" customWidth="1"/>
    <col min="1201" max="1202" width="11.44140625" style="47" hidden="1" customWidth="1"/>
    <col min="1203" max="1203" width="7.109375" style="47" customWidth="1"/>
    <col min="1204" max="1205" width="11.44140625" style="47" hidden="1" customWidth="1"/>
    <col min="1206" max="1206" width="7.109375" style="47" customWidth="1"/>
    <col min="1207" max="1208" width="11.44140625" style="47" hidden="1" customWidth="1"/>
    <col min="1209" max="1209" width="7.109375" style="47" customWidth="1"/>
    <col min="1210" max="1211" width="11.44140625" style="47" hidden="1" customWidth="1"/>
    <col min="1212" max="1212" width="7.109375" style="47" customWidth="1"/>
    <col min="1213" max="1214" width="11.44140625" style="47" hidden="1" customWidth="1"/>
    <col min="1215" max="1215" width="7.109375" style="47" customWidth="1"/>
    <col min="1216" max="1217" width="11.44140625" style="47" hidden="1" customWidth="1"/>
    <col min="1218" max="1218" width="7.109375" style="47" customWidth="1"/>
    <col min="1219" max="1219" width="11.44140625" style="47" hidden="1" customWidth="1"/>
    <col min="1220" max="1220" width="6.44140625" style="47" customWidth="1"/>
    <col min="1221" max="1222" width="11.44140625" style="47" hidden="1" customWidth="1"/>
    <col min="1223" max="1223" width="6.88671875" style="47" customWidth="1"/>
    <col min="1224" max="1225" width="11.44140625" style="47" hidden="1" customWidth="1"/>
    <col min="1226" max="1226" width="6.88671875" style="47" customWidth="1"/>
    <col min="1227" max="1228" width="11.44140625" style="47" hidden="1" customWidth="1"/>
    <col min="1229" max="1229" width="6.44140625" style="47" customWidth="1"/>
    <col min="1230" max="1234" width="11.44140625" style="47" hidden="1" customWidth="1"/>
    <col min="1235" max="1235" width="6.44140625" style="47" customWidth="1"/>
    <col min="1236" max="1237" width="11.44140625" style="47" hidden="1" customWidth="1"/>
    <col min="1238" max="1238" width="7.44140625" style="47" customWidth="1"/>
    <col min="1239" max="1239" width="11.44140625" style="47" hidden="1" customWidth="1"/>
    <col min="1240" max="1240" width="9.44140625" style="47" customWidth="1"/>
    <col min="1241" max="1241" width="11.44140625" style="47" hidden="1" customWidth="1"/>
    <col min="1242" max="1242" width="9" style="47" customWidth="1"/>
    <col min="1243" max="1244" width="11.44140625" style="47" hidden="1" customWidth="1"/>
    <col min="1245" max="1245" width="8.44140625" style="47" customWidth="1"/>
    <col min="1246" max="1247" width="11.44140625" style="47" hidden="1" customWidth="1"/>
    <col min="1248" max="1248" width="6.44140625" style="47" customWidth="1"/>
    <col min="1249" max="1250" width="11.44140625" style="47" hidden="1" customWidth="1"/>
    <col min="1251" max="1251" width="7" style="47" customWidth="1"/>
    <col min="1252" max="1253" width="11.44140625" style="47" hidden="1" customWidth="1"/>
    <col min="1254" max="1256" width="7" style="47" customWidth="1"/>
    <col min="1257" max="1258" width="11.44140625" style="47" hidden="1" customWidth="1"/>
    <col min="1259" max="1259" width="7.44140625" style="47" customWidth="1"/>
    <col min="1260" max="1261" width="11.44140625" style="47" hidden="1" customWidth="1"/>
    <col min="1262" max="1262" width="7" style="47" customWidth="1"/>
    <col min="1263" max="1264" width="11.44140625" style="47" hidden="1" customWidth="1"/>
    <col min="1265" max="1265" width="7" style="47" customWidth="1"/>
    <col min="1266" max="1267" width="11.44140625" style="47" hidden="1" customWidth="1"/>
    <col min="1268" max="1268" width="7" style="47" customWidth="1"/>
    <col min="1269" max="1269" width="11.44140625" style="47" hidden="1" customWidth="1"/>
    <col min="1270" max="1270" width="6.44140625" style="47" customWidth="1"/>
    <col min="1271" max="1280" width="11.44140625" style="47" hidden="1" customWidth="1"/>
    <col min="1281" max="1315" width="11.44140625" style="47" hidden="1"/>
    <col min="1316" max="1316" width="41.44140625" style="47" customWidth="1"/>
    <col min="1317" max="1317" width="6.44140625" style="47" customWidth="1"/>
    <col min="1318" max="1318" width="14.5546875" style="47" customWidth="1"/>
    <col min="1319" max="1319" width="11.44140625" style="47" customWidth="1"/>
    <col min="1320" max="1320" width="13" style="47" customWidth="1"/>
    <col min="1321" max="1321" width="25.44140625" style="47" customWidth="1"/>
    <col min="1322" max="1331" width="9.44140625" style="47" customWidth="1"/>
    <col min="1332" max="1332" width="10.5546875" style="47" customWidth="1"/>
    <col min="1333" max="1333" width="9.44140625" style="47" customWidth="1"/>
    <col min="1334" max="1334" width="10.109375" style="47" customWidth="1"/>
    <col min="1335" max="1346" width="11.44140625" style="47" hidden="1" customWidth="1"/>
    <col min="1347" max="1347" width="19.5546875" style="47" customWidth="1"/>
    <col min="1348" max="1348" width="11.44140625" style="47" customWidth="1"/>
    <col min="1349" max="1349" width="56.88671875" style="47" customWidth="1"/>
    <col min="1350" max="1350" width="9.109375" style="47" customWidth="1"/>
    <col min="1351" max="1351" width="24.44140625" style="47" customWidth="1"/>
    <col min="1352" max="1352" width="30.44140625" style="47" customWidth="1"/>
    <col min="1353" max="1353" width="23.5546875" style="47" customWidth="1"/>
    <col min="1354" max="1354" width="5" style="47" customWidth="1"/>
    <col min="1355" max="1356" width="11.44140625" style="47" hidden="1" customWidth="1"/>
    <col min="1357" max="1357" width="5" style="47" customWidth="1"/>
    <col min="1358" max="1359" width="11.44140625" style="47" hidden="1" customWidth="1"/>
    <col min="1360" max="1360" width="5" style="47" customWidth="1"/>
    <col min="1361" max="1362" width="11.44140625" style="47" hidden="1" customWidth="1"/>
    <col min="1363" max="1363" width="5" style="47" customWidth="1"/>
    <col min="1364" max="1431" width="11.44140625" style="47" hidden="1" customWidth="1"/>
    <col min="1432" max="1432" width="9.44140625" style="47" customWidth="1"/>
    <col min="1433" max="1433" width="11.44140625" style="47" hidden="1" customWidth="1"/>
    <col min="1434" max="1434" width="5" style="47" customWidth="1"/>
    <col min="1435" max="1450" width="11.44140625" style="47" hidden="1" customWidth="1"/>
    <col min="1451" max="1451" width="6.44140625" style="47" customWidth="1"/>
    <col min="1452" max="1452" width="11.44140625" style="47" hidden="1" customWidth="1"/>
    <col min="1453" max="1453" width="7.109375" style="47" customWidth="1"/>
    <col min="1454" max="1455" width="11.44140625" style="47" hidden="1" customWidth="1"/>
    <col min="1456" max="1456" width="7.109375" style="47" customWidth="1"/>
    <col min="1457" max="1458" width="11.44140625" style="47" hidden="1" customWidth="1"/>
    <col min="1459" max="1459" width="7.109375" style="47" customWidth="1"/>
    <col min="1460" max="1461" width="11.44140625" style="47" hidden="1" customWidth="1"/>
    <col min="1462" max="1462" width="7.109375" style="47" customWidth="1"/>
    <col min="1463" max="1464" width="11.44140625" style="47" hidden="1" customWidth="1"/>
    <col min="1465" max="1465" width="7.109375" style="47" customWidth="1"/>
    <col min="1466" max="1467" width="11.44140625" style="47" hidden="1" customWidth="1"/>
    <col min="1468" max="1468" width="7.109375" style="47" customWidth="1"/>
    <col min="1469" max="1470" width="11.44140625" style="47" hidden="1" customWidth="1"/>
    <col min="1471" max="1471" width="7.109375" style="47" customWidth="1"/>
    <col min="1472" max="1473" width="11.44140625" style="47" hidden="1" customWidth="1"/>
    <col min="1474" max="1474" width="7.109375" style="47" customWidth="1"/>
    <col min="1475" max="1475" width="11.44140625" style="47" hidden="1" customWidth="1"/>
    <col min="1476" max="1476" width="6.44140625" style="47" customWidth="1"/>
    <col min="1477" max="1478" width="11.44140625" style="47" hidden="1" customWidth="1"/>
    <col min="1479" max="1479" width="6.88671875" style="47" customWidth="1"/>
    <col min="1480" max="1481" width="11.44140625" style="47" hidden="1" customWidth="1"/>
    <col min="1482" max="1482" width="6.88671875" style="47" customWidth="1"/>
    <col min="1483" max="1484" width="11.44140625" style="47" hidden="1" customWidth="1"/>
    <col min="1485" max="1485" width="6.44140625" style="47" customWidth="1"/>
    <col min="1486" max="1490" width="11.44140625" style="47" hidden="1" customWidth="1"/>
    <col min="1491" max="1491" width="6.44140625" style="47" customWidth="1"/>
    <col min="1492" max="1493" width="11.44140625" style="47" hidden="1" customWidth="1"/>
    <col min="1494" max="1494" width="7.44140625" style="47" customWidth="1"/>
    <col min="1495" max="1495" width="11.44140625" style="47" hidden="1" customWidth="1"/>
    <col min="1496" max="1496" width="9.44140625" style="47" customWidth="1"/>
    <col min="1497" max="1497" width="11.44140625" style="47" hidden="1" customWidth="1"/>
    <col min="1498" max="1498" width="9" style="47" customWidth="1"/>
    <col min="1499" max="1500" width="11.44140625" style="47" hidden="1" customWidth="1"/>
    <col min="1501" max="1501" width="8.44140625" style="47" customWidth="1"/>
    <col min="1502" max="1503" width="11.44140625" style="47" hidden="1" customWidth="1"/>
    <col min="1504" max="1504" width="6.44140625" style="47" customWidth="1"/>
    <col min="1505" max="1506" width="11.44140625" style="47" hidden="1" customWidth="1"/>
    <col min="1507" max="1507" width="7" style="47" customWidth="1"/>
    <col min="1508" max="1509" width="11.44140625" style="47" hidden="1" customWidth="1"/>
    <col min="1510" max="1512" width="7" style="47" customWidth="1"/>
    <col min="1513" max="1514" width="11.44140625" style="47" hidden="1" customWidth="1"/>
    <col min="1515" max="1515" width="7.44140625" style="47" customWidth="1"/>
    <col min="1516" max="1517" width="11.44140625" style="47" hidden="1" customWidth="1"/>
    <col min="1518" max="1518" width="7" style="47" customWidth="1"/>
    <col min="1519" max="1520" width="11.44140625" style="47" hidden="1" customWidth="1"/>
    <col min="1521" max="1521" width="7" style="47" customWidth="1"/>
    <col min="1522" max="1523" width="11.44140625" style="47" hidden="1" customWidth="1"/>
    <col min="1524" max="1524" width="7" style="47" customWidth="1"/>
    <col min="1525" max="1525" width="11.44140625" style="47" hidden="1" customWidth="1"/>
    <col min="1526" max="1526" width="6.44140625" style="47" customWidth="1"/>
    <col min="1527" max="1536" width="11.44140625" style="47" hidden="1" customWidth="1"/>
    <col min="1537" max="1571" width="11.44140625" style="47" hidden="1"/>
    <col min="1572" max="1572" width="41.44140625" style="47" customWidth="1"/>
    <col min="1573" max="1573" width="6.44140625" style="47" customWidth="1"/>
    <col min="1574" max="1574" width="14.5546875" style="47" customWidth="1"/>
    <col min="1575" max="1575" width="11.44140625" style="47" customWidth="1"/>
    <col min="1576" max="1576" width="13" style="47" customWidth="1"/>
    <col min="1577" max="1577" width="25.44140625" style="47" customWidth="1"/>
    <col min="1578" max="1587" width="9.44140625" style="47" customWidth="1"/>
    <col min="1588" max="1588" width="10.5546875" style="47" customWidth="1"/>
    <col min="1589" max="1589" width="9.44140625" style="47" customWidth="1"/>
    <col min="1590" max="1590" width="10.109375" style="47" customWidth="1"/>
    <col min="1591" max="1602" width="11.44140625" style="47" hidden="1" customWidth="1"/>
    <col min="1603" max="1603" width="19.5546875" style="47" customWidth="1"/>
    <col min="1604" max="1604" width="11.44140625" style="47" customWidth="1"/>
    <col min="1605" max="1605" width="56.88671875" style="47" customWidth="1"/>
    <col min="1606" max="1606" width="9.109375" style="47" customWidth="1"/>
    <col min="1607" max="1607" width="24.44140625" style="47" customWidth="1"/>
    <col min="1608" max="1608" width="30.44140625" style="47" customWidth="1"/>
    <col min="1609" max="1609" width="23.5546875" style="47" customWidth="1"/>
    <col min="1610" max="1610" width="5" style="47" customWidth="1"/>
    <col min="1611" max="1612" width="11.44140625" style="47" hidden="1" customWidth="1"/>
    <col min="1613" max="1613" width="5" style="47" customWidth="1"/>
    <col min="1614" max="1615" width="11.44140625" style="47" hidden="1" customWidth="1"/>
    <col min="1616" max="1616" width="5" style="47" customWidth="1"/>
    <col min="1617" max="1618" width="11.44140625" style="47" hidden="1" customWidth="1"/>
    <col min="1619" max="1619" width="5" style="47" customWidth="1"/>
    <col min="1620" max="1687" width="11.44140625" style="47" hidden="1" customWidth="1"/>
    <col min="1688" max="1688" width="9.44140625" style="47" customWidth="1"/>
    <col min="1689" max="1689" width="11.44140625" style="47" hidden="1" customWidth="1"/>
    <col min="1690" max="1690" width="5" style="47" customWidth="1"/>
    <col min="1691" max="1706" width="11.44140625" style="47" hidden="1" customWidth="1"/>
    <col min="1707" max="1707" width="6.44140625" style="47" customWidth="1"/>
    <col min="1708" max="1708" width="11.44140625" style="47" hidden="1" customWidth="1"/>
    <col min="1709" max="1709" width="7.109375" style="47" customWidth="1"/>
    <col min="1710" max="1711" width="11.44140625" style="47" hidden="1" customWidth="1"/>
    <col min="1712" max="1712" width="7.109375" style="47" customWidth="1"/>
    <col min="1713" max="1714" width="11.44140625" style="47" hidden="1" customWidth="1"/>
    <col min="1715" max="1715" width="7.109375" style="47" customWidth="1"/>
    <col min="1716" max="1717" width="11.44140625" style="47" hidden="1" customWidth="1"/>
    <col min="1718" max="1718" width="7.109375" style="47" customWidth="1"/>
    <col min="1719" max="1720" width="11.44140625" style="47" hidden="1" customWidth="1"/>
    <col min="1721" max="1721" width="7.109375" style="47" customWidth="1"/>
    <col min="1722" max="1723" width="11.44140625" style="47" hidden="1" customWidth="1"/>
    <col min="1724" max="1724" width="7.109375" style="47" customWidth="1"/>
    <col min="1725" max="1726" width="11.44140625" style="47" hidden="1" customWidth="1"/>
    <col min="1727" max="1727" width="7.109375" style="47" customWidth="1"/>
    <col min="1728" max="1729" width="11.44140625" style="47" hidden="1" customWidth="1"/>
    <col min="1730" max="1730" width="7.109375" style="47" customWidth="1"/>
    <col min="1731" max="1731" width="11.44140625" style="47" hidden="1" customWidth="1"/>
    <col min="1732" max="1732" width="6.44140625" style="47" customWidth="1"/>
    <col min="1733" max="1734" width="11.44140625" style="47" hidden="1" customWidth="1"/>
    <col min="1735" max="1735" width="6.88671875" style="47" customWidth="1"/>
    <col min="1736" max="1737" width="11.44140625" style="47" hidden="1" customWidth="1"/>
    <col min="1738" max="1738" width="6.88671875" style="47" customWidth="1"/>
    <col min="1739" max="1740" width="11.44140625" style="47" hidden="1" customWidth="1"/>
    <col min="1741" max="1741" width="6.44140625" style="47" customWidth="1"/>
    <col min="1742" max="1746" width="11.44140625" style="47" hidden="1" customWidth="1"/>
    <col min="1747" max="1747" width="6.44140625" style="47" customWidth="1"/>
    <col min="1748" max="1749" width="11.44140625" style="47" hidden="1" customWidth="1"/>
    <col min="1750" max="1750" width="7.44140625" style="47" customWidth="1"/>
    <col min="1751" max="1751" width="11.44140625" style="47" hidden="1" customWidth="1"/>
    <col min="1752" max="1752" width="9.44140625" style="47" customWidth="1"/>
    <col min="1753" max="1753" width="11.44140625" style="47" hidden="1" customWidth="1"/>
    <col min="1754" max="1754" width="9" style="47" customWidth="1"/>
    <col min="1755" max="1756" width="11.44140625" style="47" hidden="1" customWidth="1"/>
    <col min="1757" max="1757" width="8.44140625" style="47" customWidth="1"/>
    <col min="1758" max="1759" width="11.44140625" style="47" hidden="1" customWidth="1"/>
    <col min="1760" max="1760" width="6.44140625" style="47" customWidth="1"/>
    <col min="1761" max="1762" width="11.44140625" style="47" hidden="1" customWidth="1"/>
    <col min="1763" max="1763" width="7" style="47" customWidth="1"/>
    <col min="1764" max="1765" width="11.44140625" style="47" hidden="1" customWidth="1"/>
    <col min="1766" max="1768" width="7" style="47" customWidth="1"/>
    <col min="1769" max="1770" width="11.44140625" style="47" hidden="1" customWidth="1"/>
    <col min="1771" max="1771" width="7.44140625" style="47" customWidth="1"/>
    <col min="1772" max="1773" width="11.44140625" style="47" hidden="1" customWidth="1"/>
    <col min="1774" max="1774" width="7" style="47" customWidth="1"/>
    <col min="1775" max="1776" width="11.44140625" style="47" hidden="1" customWidth="1"/>
    <col min="1777" max="1777" width="7" style="47" customWidth="1"/>
    <col min="1778" max="1779" width="11.44140625" style="47" hidden="1" customWidth="1"/>
    <col min="1780" max="1780" width="7" style="47" customWidth="1"/>
    <col min="1781" max="1781" width="11.44140625" style="47" hidden="1" customWidth="1"/>
    <col min="1782" max="1782" width="6.44140625" style="47" customWidth="1"/>
    <col min="1783" max="1792" width="11.44140625" style="47" hidden="1" customWidth="1"/>
    <col min="1793" max="1827" width="11.44140625" style="47" hidden="1"/>
    <col min="1828" max="1828" width="41.44140625" style="47" customWidth="1"/>
    <col min="1829" max="1829" width="6.44140625" style="47" customWidth="1"/>
    <col min="1830" max="1830" width="14.5546875" style="47" customWidth="1"/>
    <col min="1831" max="1831" width="11.44140625" style="47" customWidth="1"/>
    <col min="1832" max="1832" width="13" style="47" customWidth="1"/>
    <col min="1833" max="1833" width="25.44140625" style="47" customWidth="1"/>
    <col min="1834" max="1843" width="9.44140625" style="47" customWidth="1"/>
    <col min="1844" max="1844" width="10.5546875" style="47" customWidth="1"/>
    <col min="1845" max="1845" width="9.44140625" style="47" customWidth="1"/>
    <col min="1846" max="1846" width="10.109375" style="47" customWidth="1"/>
    <col min="1847" max="1858" width="11.44140625" style="47" hidden="1" customWidth="1"/>
    <col min="1859" max="1859" width="19.5546875" style="47" customWidth="1"/>
    <col min="1860" max="1860" width="11.44140625" style="47" customWidth="1"/>
    <col min="1861" max="1861" width="56.88671875" style="47" customWidth="1"/>
    <col min="1862" max="1862" width="9.109375" style="47" customWidth="1"/>
    <col min="1863" max="1863" width="24.44140625" style="47" customWidth="1"/>
    <col min="1864" max="1864" width="30.44140625" style="47" customWidth="1"/>
    <col min="1865" max="1865" width="23.5546875" style="47" customWidth="1"/>
    <col min="1866" max="1866" width="5" style="47" customWidth="1"/>
    <col min="1867" max="1868" width="11.44140625" style="47" hidden="1" customWidth="1"/>
    <col min="1869" max="1869" width="5" style="47" customWidth="1"/>
    <col min="1870" max="1871" width="11.44140625" style="47" hidden="1" customWidth="1"/>
    <col min="1872" max="1872" width="5" style="47" customWidth="1"/>
    <col min="1873" max="1874" width="11.44140625" style="47" hidden="1" customWidth="1"/>
    <col min="1875" max="1875" width="5" style="47" customWidth="1"/>
    <col min="1876" max="1943" width="11.44140625" style="47" hidden="1" customWidth="1"/>
    <col min="1944" max="1944" width="9.44140625" style="47" customWidth="1"/>
    <col min="1945" max="1945" width="11.44140625" style="47" hidden="1" customWidth="1"/>
    <col min="1946" max="1946" width="5" style="47" customWidth="1"/>
    <col min="1947" max="1962" width="11.44140625" style="47" hidden="1" customWidth="1"/>
    <col min="1963" max="1963" width="6.44140625" style="47" customWidth="1"/>
    <col min="1964" max="1964" width="11.44140625" style="47" hidden="1" customWidth="1"/>
    <col min="1965" max="1965" width="7.109375" style="47" customWidth="1"/>
    <col min="1966" max="1967" width="11.44140625" style="47" hidden="1" customWidth="1"/>
    <col min="1968" max="1968" width="7.109375" style="47" customWidth="1"/>
    <col min="1969" max="1970" width="11.44140625" style="47" hidden="1" customWidth="1"/>
    <col min="1971" max="1971" width="7.109375" style="47" customWidth="1"/>
    <col min="1972" max="1973" width="11.44140625" style="47" hidden="1" customWidth="1"/>
    <col min="1974" max="1974" width="7.109375" style="47" customWidth="1"/>
    <col min="1975" max="1976" width="11.44140625" style="47" hidden="1" customWidth="1"/>
    <col min="1977" max="1977" width="7.109375" style="47" customWidth="1"/>
    <col min="1978" max="1979" width="11.44140625" style="47" hidden="1" customWidth="1"/>
    <col min="1980" max="1980" width="7.109375" style="47" customWidth="1"/>
    <col min="1981" max="1982" width="11.44140625" style="47" hidden="1" customWidth="1"/>
    <col min="1983" max="1983" width="7.109375" style="47" customWidth="1"/>
    <col min="1984" max="1985" width="11.44140625" style="47" hidden="1" customWidth="1"/>
    <col min="1986" max="1986" width="7.109375" style="47" customWidth="1"/>
    <col min="1987" max="1987" width="11.44140625" style="47" hidden="1" customWidth="1"/>
    <col min="1988" max="1988" width="6.44140625" style="47" customWidth="1"/>
    <col min="1989" max="1990" width="11.44140625" style="47" hidden="1" customWidth="1"/>
    <col min="1991" max="1991" width="6.88671875" style="47" customWidth="1"/>
    <col min="1992" max="1993" width="11.44140625" style="47" hidden="1" customWidth="1"/>
    <col min="1994" max="1994" width="6.88671875" style="47" customWidth="1"/>
    <col min="1995" max="1996" width="11.44140625" style="47" hidden="1" customWidth="1"/>
    <col min="1997" max="1997" width="6.44140625" style="47" customWidth="1"/>
    <col min="1998" max="2002" width="11.44140625" style="47" hidden="1" customWidth="1"/>
    <col min="2003" max="2003" width="6.44140625" style="47" customWidth="1"/>
    <col min="2004" max="2005" width="11.44140625" style="47" hidden="1" customWidth="1"/>
    <col min="2006" max="2006" width="7.44140625" style="47" customWidth="1"/>
    <col min="2007" max="2007" width="11.44140625" style="47" hidden="1" customWidth="1"/>
    <col min="2008" max="2008" width="9.44140625" style="47" customWidth="1"/>
    <col min="2009" max="2009" width="11.44140625" style="47" hidden="1" customWidth="1"/>
    <col min="2010" max="2010" width="9" style="47" customWidth="1"/>
    <col min="2011" max="2012" width="11.44140625" style="47" hidden="1" customWidth="1"/>
    <col min="2013" max="2013" width="8.44140625" style="47" customWidth="1"/>
    <col min="2014" max="2015" width="11.44140625" style="47" hidden="1" customWidth="1"/>
    <col min="2016" max="2016" width="6.44140625" style="47" customWidth="1"/>
    <col min="2017" max="2018" width="11.44140625" style="47" hidden="1" customWidth="1"/>
    <col min="2019" max="2019" width="7" style="47" customWidth="1"/>
    <col min="2020" max="2021" width="11.44140625" style="47" hidden="1" customWidth="1"/>
    <col min="2022" max="2024" width="7" style="47" customWidth="1"/>
    <col min="2025" max="2026" width="11.44140625" style="47" hidden="1" customWidth="1"/>
    <col min="2027" max="2027" width="7.44140625" style="47" customWidth="1"/>
    <col min="2028" max="2029" width="11.44140625" style="47" hidden="1" customWidth="1"/>
    <col min="2030" max="2030" width="7" style="47" customWidth="1"/>
    <col min="2031" max="2032" width="11.44140625" style="47" hidden="1" customWidth="1"/>
    <col min="2033" max="2033" width="7" style="47" customWidth="1"/>
    <col min="2034" max="2035" width="11.44140625" style="47" hidden="1" customWidth="1"/>
    <col min="2036" max="2036" width="7" style="47" customWidth="1"/>
    <col min="2037" max="2037" width="11.44140625" style="47" hidden="1" customWidth="1"/>
    <col min="2038" max="2038" width="6.44140625" style="47" customWidth="1"/>
    <col min="2039" max="2048" width="11.44140625" style="47" hidden="1" customWidth="1"/>
    <col min="2049" max="2083" width="11.44140625" style="47" hidden="1"/>
    <col min="2084" max="2084" width="41.44140625" style="47" customWidth="1"/>
    <col min="2085" max="2085" width="6.44140625" style="47" customWidth="1"/>
    <col min="2086" max="2086" width="14.5546875" style="47" customWidth="1"/>
    <col min="2087" max="2087" width="11.44140625" style="47" customWidth="1"/>
    <col min="2088" max="2088" width="13" style="47" customWidth="1"/>
    <col min="2089" max="2089" width="25.44140625" style="47" customWidth="1"/>
    <col min="2090" max="2099" width="9.44140625" style="47" customWidth="1"/>
    <col min="2100" max="2100" width="10.5546875" style="47" customWidth="1"/>
    <col min="2101" max="2101" width="9.44140625" style="47" customWidth="1"/>
    <col min="2102" max="2102" width="10.109375" style="47" customWidth="1"/>
    <col min="2103" max="2114" width="11.44140625" style="47" hidden="1" customWidth="1"/>
    <col min="2115" max="2115" width="19.5546875" style="47" customWidth="1"/>
    <col min="2116" max="2116" width="11.44140625" style="47" customWidth="1"/>
    <col min="2117" max="2117" width="56.88671875" style="47" customWidth="1"/>
    <col min="2118" max="2118" width="9.109375" style="47" customWidth="1"/>
    <col min="2119" max="2119" width="24.44140625" style="47" customWidth="1"/>
    <col min="2120" max="2120" width="30.44140625" style="47" customWidth="1"/>
    <col min="2121" max="2121" width="23.5546875" style="47" customWidth="1"/>
    <col min="2122" max="2122" width="5" style="47" customWidth="1"/>
    <col min="2123" max="2124" width="11.44140625" style="47" hidden="1" customWidth="1"/>
    <col min="2125" max="2125" width="5" style="47" customWidth="1"/>
    <col min="2126" max="2127" width="11.44140625" style="47" hidden="1" customWidth="1"/>
    <col min="2128" max="2128" width="5" style="47" customWidth="1"/>
    <col min="2129" max="2130" width="11.44140625" style="47" hidden="1" customWidth="1"/>
    <col min="2131" max="2131" width="5" style="47" customWidth="1"/>
    <col min="2132" max="2199" width="11.44140625" style="47" hidden="1" customWidth="1"/>
    <col min="2200" max="2200" width="9.44140625" style="47" customWidth="1"/>
    <col min="2201" max="2201" width="11.44140625" style="47" hidden="1" customWidth="1"/>
    <col min="2202" max="2202" width="5" style="47" customWidth="1"/>
    <col min="2203" max="2218" width="11.44140625" style="47" hidden="1" customWidth="1"/>
    <col min="2219" max="2219" width="6.44140625" style="47" customWidth="1"/>
    <col min="2220" max="2220" width="11.44140625" style="47" hidden="1" customWidth="1"/>
    <col min="2221" max="2221" width="7.109375" style="47" customWidth="1"/>
    <col min="2222" max="2223" width="11.44140625" style="47" hidden="1" customWidth="1"/>
    <col min="2224" max="2224" width="7.109375" style="47" customWidth="1"/>
    <col min="2225" max="2226" width="11.44140625" style="47" hidden="1" customWidth="1"/>
    <col min="2227" max="2227" width="7.109375" style="47" customWidth="1"/>
    <col min="2228" max="2229" width="11.44140625" style="47" hidden="1" customWidth="1"/>
    <col min="2230" max="2230" width="7.109375" style="47" customWidth="1"/>
    <col min="2231" max="2232" width="11.44140625" style="47" hidden="1" customWidth="1"/>
    <col min="2233" max="2233" width="7.109375" style="47" customWidth="1"/>
    <col min="2234" max="2235" width="11.44140625" style="47" hidden="1" customWidth="1"/>
    <col min="2236" max="2236" width="7.109375" style="47" customWidth="1"/>
    <col min="2237" max="2238" width="11.44140625" style="47" hidden="1" customWidth="1"/>
    <col min="2239" max="2239" width="7.109375" style="47" customWidth="1"/>
    <col min="2240" max="2241" width="11.44140625" style="47" hidden="1" customWidth="1"/>
    <col min="2242" max="2242" width="7.109375" style="47" customWidth="1"/>
    <col min="2243" max="2243" width="11.44140625" style="47" hidden="1" customWidth="1"/>
    <col min="2244" max="2244" width="6.44140625" style="47" customWidth="1"/>
    <col min="2245" max="2246" width="11.44140625" style="47" hidden="1" customWidth="1"/>
    <col min="2247" max="2247" width="6.88671875" style="47" customWidth="1"/>
    <col min="2248" max="2249" width="11.44140625" style="47" hidden="1" customWidth="1"/>
    <col min="2250" max="2250" width="6.88671875" style="47" customWidth="1"/>
    <col min="2251" max="2252" width="11.44140625" style="47" hidden="1" customWidth="1"/>
    <col min="2253" max="2253" width="6.44140625" style="47" customWidth="1"/>
    <col min="2254" max="2258" width="11.44140625" style="47" hidden="1" customWidth="1"/>
    <col min="2259" max="2259" width="6.44140625" style="47" customWidth="1"/>
    <col min="2260" max="2261" width="11.44140625" style="47" hidden="1" customWidth="1"/>
    <col min="2262" max="2262" width="7.44140625" style="47" customWidth="1"/>
    <col min="2263" max="2263" width="11.44140625" style="47" hidden="1" customWidth="1"/>
    <col min="2264" max="2264" width="9.44140625" style="47" customWidth="1"/>
    <col min="2265" max="2265" width="11.44140625" style="47" hidden="1" customWidth="1"/>
    <col min="2266" max="2266" width="9" style="47" customWidth="1"/>
    <col min="2267" max="2268" width="11.44140625" style="47" hidden="1" customWidth="1"/>
    <col min="2269" max="2269" width="8.44140625" style="47" customWidth="1"/>
    <col min="2270" max="2271" width="11.44140625" style="47" hidden="1" customWidth="1"/>
    <col min="2272" max="2272" width="6.44140625" style="47" customWidth="1"/>
    <col min="2273" max="2274" width="11.44140625" style="47" hidden="1" customWidth="1"/>
    <col min="2275" max="2275" width="7" style="47" customWidth="1"/>
    <col min="2276" max="2277" width="11.44140625" style="47" hidden="1" customWidth="1"/>
    <col min="2278" max="2280" width="7" style="47" customWidth="1"/>
    <col min="2281" max="2282" width="11.44140625" style="47" hidden="1" customWidth="1"/>
    <col min="2283" max="2283" width="7.44140625" style="47" customWidth="1"/>
    <col min="2284" max="2285" width="11.44140625" style="47" hidden="1" customWidth="1"/>
    <col min="2286" max="2286" width="7" style="47" customWidth="1"/>
    <col min="2287" max="2288" width="11.44140625" style="47" hidden="1" customWidth="1"/>
    <col min="2289" max="2289" width="7" style="47" customWidth="1"/>
    <col min="2290" max="2291" width="11.44140625" style="47" hidden="1" customWidth="1"/>
    <col min="2292" max="2292" width="7" style="47" customWidth="1"/>
    <col min="2293" max="2293" width="11.44140625" style="47" hidden="1" customWidth="1"/>
    <col min="2294" max="2294" width="6.44140625" style="47" customWidth="1"/>
    <col min="2295" max="2304" width="11.44140625" style="47" hidden="1" customWidth="1"/>
    <col min="2305" max="2339" width="11.44140625" style="47" hidden="1"/>
    <col min="2340" max="2340" width="41.44140625" style="47" customWidth="1"/>
    <col min="2341" max="2341" width="6.44140625" style="47" customWidth="1"/>
    <col min="2342" max="2342" width="14.5546875" style="47" customWidth="1"/>
    <col min="2343" max="2343" width="11.44140625" style="47" customWidth="1"/>
    <col min="2344" max="2344" width="13" style="47" customWidth="1"/>
    <col min="2345" max="2345" width="25.44140625" style="47" customWidth="1"/>
    <col min="2346" max="2355" width="9.44140625" style="47" customWidth="1"/>
    <col min="2356" max="2356" width="10.5546875" style="47" customWidth="1"/>
    <col min="2357" max="2357" width="9.44140625" style="47" customWidth="1"/>
    <col min="2358" max="2358" width="10.109375" style="47" customWidth="1"/>
    <col min="2359" max="2370" width="11.44140625" style="47" hidden="1" customWidth="1"/>
    <col min="2371" max="2371" width="19.5546875" style="47" customWidth="1"/>
    <col min="2372" max="2372" width="11.44140625" style="47" customWidth="1"/>
    <col min="2373" max="2373" width="56.88671875" style="47" customWidth="1"/>
    <col min="2374" max="2374" width="9.109375" style="47" customWidth="1"/>
    <col min="2375" max="2375" width="24.44140625" style="47" customWidth="1"/>
    <col min="2376" max="2376" width="30.44140625" style="47" customWidth="1"/>
    <col min="2377" max="2377" width="23.5546875" style="47" customWidth="1"/>
    <col min="2378" max="2378" width="5" style="47" customWidth="1"/>
    <col min="2379" max="2380" width="11.44140625" style="47" hidden="1" customWidth="1"/>
    <col min="2381" max="2381" width="5" style="47" customWidth="1"/>
    <col min="2382" max="2383" width="11.44140625" style="47" hidden="1" customWidth="1"/>
    <col min="2384" max="2384" width="5" style="47" customWidth="1"/>
    <col min="2385" max="2386" width="11.44140625" style="47" hidden="1" customWidth="1"/>
    <col min="2387" max="2387" width="5" style="47" customWidth="1"/>
    <col min="2388" max="2455" width="11.44140625" style="47" hidden="1" customWidth="1"/>
    <col min="2456" max="2456" width="9.44140625" style="47" customWidth="1"/>
    <col min="2457" max="2457" width="11.44140625" style="47" hidden="1" customWidth="1"/>
    <col min="2458" max="2458" width="5" style="47" customWidth="1"/>
    <col min="2459" max="2474" width="11.44140625" style="47" hidden="1" customWidth="1"/>
    <col min="2475" max="2475" width="6.44140625" style="47" customWidth="1"/>
    <col min="2476" max="2476" width="11.44140625" style="47" hidden="1" customWidth="1"/>
    <col min="2477" max="2477" width="7.109375" style="47" customWidth="1"/>
    <col min="2478" max="2479" width="11.44140625" style="47" hidden="1" customWidth="1"/>
    <col min="2480" max="2480" width="7.109375" style="47" customWidth="1"/>
    <col min="2481" max="2482" width="11.44140625" style="47" hidden="1" customWidth="1"/>
    <col min="2483" max="2483" width="7.109375" style="47" customWidth="1"/>
    <col min="2484" max="2485" width="11.44140625" style="47" hidden="1" customWidth="1"/>
    <col min="2486" max="2486" width="7.109375" style="47" customWidth="1"/>
    <col min="2487" max="2488" width="11.44140625" style="47" hidden="1" customWidth="1"/>
    <col min="2489" max="2489" width="7.109375" style="47" customWidth="1"/>
    <col min="2490" max="2491" width="11.44140625" style="47" hidden="1" customWidth="1"/>
    <col min="2492" max="2492" width="7.109375" style="47" customWidth="1"/>
    <col min="2493" max="2494" width="11.44140625" style="47" hidden="1" customWidth="1"/>
    <col min="2495" max="2495" width="7.109375" style="47" customWidth="1"/>
    <col min="2496" max="2497" width="11.44140625" style="47" hidden="1" customWidth="1"/>
    <col min="2498" max="2498" width="7.109375" style="47" customWidth="1"/>
    <col min="2499" max="2499" width="11.44140625" style="47" hidden="1" customWidth="1"/>
    <col min="2500" max="2500" width="6.44140625" style="47" customWidth="1"/>
    <col min="2501" max="2502" width="11.44140625" style="47" hidden="1" customWidth="1"/>
    <col min="2503" max="2503" width="6.88671875" style="47" customWidth="1"/>
    <col min="2504" max="2505" width="11.44140625" style="47" hidden="1" customWidth="1"/>
    <col min="2506" max="2506" width="6.88671875" style="47" customWidth="1"/>
    <col min="2507" max="2508" width="11.44140625" style="47" hidden="1" customWidth="1"/>
    <col min="2509" max="2509" width="6.44140625" style="47" customWidth="1"/>
    <col min="2510" max="2514" width="11.44140625" style="47" hidden="1" customWidth="1"/>
    <col min="2515" max="2515" width="6.44140625" style="47" customWidth="1"/>
    <col min="2516" max="2517" width="11.44140625" style="47" hidden="1" customWidth="1"/>
    <col min="2518" max="2518" width="7.44140625" style="47" customWidth="1"/>
    <col min="2519" max="2519" width="11.44140625" style="47" hidden="1" customWidth="1"/>
    <col min="2520" max="2520" width="9.44140625" style="47" customWidth="1"/>
    <col min="2521" max="2521" width="11.44140625" style="47" hidden="1" customWidth="1"/>
    <col min="2522" max="2522" width="9" style="47" customWidth="1"/>
    <col min="2523" max="2524" width="11.44140625" style="47" hidden="1" customWidth="1"/>
    <col min="2525" max="2525" width="8.44140625" style="47" customWidth="1"/>
    <col min="2526" max="2527" width="11.44140625" style="47" hidden="1" customWidth="1"/>
    <col min="2528" max="2528" width="6.44140625" style="47" customWidth="1"/>
    <col min="2529" max="2530" width="11.44140625" style="47" hidden="1" customWidth="1"/>
    <col min="2531" max="2531" width="7" style="47" customWidth="1"/>
    <col min="2532" max="2533" width="11.44140625" style="47" hidden="1" customWidth="1"/>
    <col min="2534" max="2536" width="7" style="47" customWidth="1"/>
    <col min="2537" max="2538" width="11.44140625" style="47" hidden="1" customWidth="1"/>
    <col min="2539" max="2539" width="7.44140625" style="47" customWidth="1"/>
    <col min="2540" max="2541" width="11.44140625" style="47" hidden="1" customWidth="1"/>
    <col min="2542" max="2542" width="7" style="47" customWidth="1"/>
    <col min="2543" max="2544" width="11.44140625" style="47" hidden="1" customWidth="1"/>
    <col min="2545" max="2545" width="7" style="47" customWidth="1"/>
    <col min="2546" max="2547" width="11.44140625" style="47" hidden="1" customWidth="1"/>
    <col min="2548" max="2548" width="7" style="47" customWidth="1"/>
    <col min="2549" max="2549" width="11.44140625" style="47" hidden="1" customWidth="1"/>
    <col min="2550" max="2550" width="6.44140625" style="47" customWidth="1"/>
    <col min="2551" max="2560" width="11.44140625" style="47" hidden="1" customWidth="1"/>
    <col min="2561" max="2595" width="11.44140625" style="47" hidden="1"/>
    <col min="2596" max="2596" width="41.44140625" style="47" customWidth="1"/>
    <col min="2597" max="2597" width="6.44140625" style="47" customWidth="1"/>
    <col min="2598" max="2598" width="14.5546875" style="47" customWidth="1"/>
    <col min="2599" max="2599" width="11.44140625" style="47" customWidth="1"/>
    <col min="2600" max="2600" width="13" style="47" customWidth="1"/>
    <col min="2601" max="2601" width="25.44140625" style="47" customWidth="1"/>
    <col min="2602" max="2611" width="9.44140625" style="47" customWidth="1"/>
    <col min="2612" max="2612" width="10.5546875" style="47" customWidth="1"/>
    <col min="2613" max="2613" width="9.44140625" style="47" customWidth="1"/>
    <col min="2614" max="2614" width="10.109375" style="47" customWidth="1"/>
    <col min="2615" max="2626" width="11.44140625" style="47" hidden="1" customWidth="1"/>
    <col min="2627" max="2627" width="19.5546875" style="47" customWidth="1"/>
    <col min="2628" max="2628" width="11.44140625" style="47" customWidth="1"/>
    <col min="2629" max="2629" width="56.88671875" style="47" customWidth="1"/>
    <col min="2630" max="2630" width="9.109375" style="47" customWidth="1"/>
    <col min="2631" max="2631" width="24.44140625" style="47" customWidth="1"/>
    <col min="2632" max="2632" width="30.44140625" style="47" customWidth="1"/>
    <col min="2633" max="2633" width="23.5546875" style="47" customWidth="1"/>
    <col min="2634" max="2634" width="5" style="47" customWidth="1"/>
    <col min="2635" max="2636" width="11.44140625" style="47" hidden="1" customWidth="1"/>
    <col min="2637" max="2637" width="5" style="47" customWidth="1"/>
    <col min="2638" max="2639" width="11.44140625" style="47" hidden="1" customWidth="1"/>
    <col min="2640" max="2640" width="5" style="47" customWidth="1"/>
    <col min="2641" max="2642" width="11.44140625" style="47" hidden="1" customWidth="1"/>
    <col min="2643" max="2643" width="5" style="47" customWidth="1"/>
    <col min="2644" max="2711" width="11.44140625" style="47" hidden="1" customWidth="1"/>
    <col min="2712" max="2712" width="9.44140625" style="47" customWidth="1"/>
    <col min="2713" max="2713" width="11.44140625" style="47" hidden="1" customWidth="1"/>
    <col min="2714" max="2714" width="5" style="47" customWidth="1"/>
    <col min="2715" max="2730" width="11.44140625" style="47" hidden="1" customWidth="1"/>
    <col min="2731" max="2731" width="6.44140625" style="47" customWidth="1"/>
    <col min="2732" max="2732" width="11.44140625" style="47" hidden="1" customWidth="1"/>
    <col min="2733" max="2733" width="7.109375" style="47" customWidth="1"/>
    <col min="2734" max="2735" width="11.44140625" style="47" hidden="1" customWidth="1"/>
    <col min="2736" max="2736" width="7.109375" style="47" customWidth="1"/>
    <col min="2737" max="2738" width="11.44140625" style="47" hidden="1" customWidth="1"/>
    <col min="2739" max="2739" width="7.109375" style="47" customWidth="1"/>
    <col min="2740" max="2741" width="11.44140625" style="47" hidden="1" customWidth="1"/>
    <col min="2742" max="2742" width="7.109375" style="47" customWidth="1"/>
    <col min="2743" max="2744" width="11.44140625" style="47" hidden="1" customWidth="1"/>
    <col min="2745" max="2745" width="7.109375" style="47" customWidth="1"/>
    <col min="2746" max="2747" width="11.44140625" style="47" hidden="1" customWidth="1"/>
    <col min="2748" max="2748" width="7.109375" style="47" customWidth="1"/>
    <col min="2749" max="2750" width="11.44140625" style="47" hidden="1" customWidth="1"/>
    <col min="2751" max="2751" width="7.109375" style="47" customWidth="1"/>
    <col min="2752" max="2753" width="11.44140625" style="47" hidden="1" customWidth="1"/>
    <col min="2754" max="2754" width="7.109375" style="47" customWidth="1"/>
    <col min="2755" max="2755" width="11.44140625" style="47" hidden="1" customWidth="1"/>
    <col min="2756" max="2756" width="6.44140625" style="47" customWidth="1"/>
    <col min="2757" max="2758" width="11.44140625" style="47" hidden="1" customWidth="1"/>
    <col min="2759" max="2759" width="6.88671875" style="47" customWidth="1"/>
    <col min="2760" max="2761" width="11.44140625" style="47" hidden="1" customWidth="1"/>
    <col min="2762" max="2762" width="6.88671875" style="47" customWidth="1"/>
    <col min="2763" max="2764" width="11.44140625" style="47" hidden="1" customWidth="1"/>
    <col min="2765" max="2765" width="6.44140625" style="47" customWidth="1"/>
    <col min="2766" max="2770" width="11.44140625" style="47" hidden="1" customWidth="1"/>
    <col min="2771" max="2771" width="6.44140625" style="47" customWidth="1"/>
    <col min="2772" max="2773" width="11.44140625" style="47" hidden="1" customWidth="1"/>
    <col min="2774" max="2774" width="7.44140625" style="47" customWidth="1"/>
    <col min="2775" max="2775" width="11.44140625" style="47" hidden="1" customWidth="1"/>
    <col min="2776" max="2776" width="9.44140625" style="47" customWidth="1"/>
    <col min="2777" max="2777" width="11.44140625" style="47" hidden="1" customWidth="1"/>
    <col min="2778" max="2778" width="9" style="47" customWidth="1"/>
    <col min="2779" max="2780" width="11.44140625" style="47" hidden="1" customWidth="1"/>
    <col min="2781" max="2781" width="8.44140625" style="47" customWidth="1"/>
    <col min="2782" max="2783" width="11.44140625" style="47" hidden="1" customWidth="1"/>
    <col min="2784" max="2784" width="6.44140625" style="47" customWidth="1"/>
    <col min="2785" max="2786" width="11.44140625" style="47" hidden="1" customWidth="1"/>
    <col min="2787" max="2787" width="7" style="47" customWidth="1"/>
    <col min="2788" max="2789" width="11.44140625" style="47" hidden="1" customWidth="1"/>
    <col min="2790" max="2792" width="7" style="47" customWidth="1"/>
    <col min="2793" max="2794" width="11.44140625" style="47" hidden="1" customWidth="1"/>
    <col min="2795" max="2795" width="7.44140625" style="47" customWidth="1"/>
    <col min="2796" max="2797" width="11.44140625" style="47" hidden="1" customWidth="1"/>
    <col min="2798" max="2798" width="7" style="47" customWidth="1"/>
    <col min="2799" max="2800" width="11.44140625" style="47" hidden="1" customWidth="1"/>
    <col min="2801" max="2801" width="7" style="47" customWidth="1"/>
    <col min="2802" max="2803" width="11.44140625" style="47" hidden="1" customWidth="1"/>
    <col min="2804" max="2804" width="7" style="47" customWidth="1"/>
    <col min="2805" max="2805" width="11.44140625" style="47" hidden="1" customWidth="1"/>
    <col min="2806" max="2806" width="6.44140625" style="47" customWidth="1"/>
    <col min="2807" max="2816" width="11.44140625" style="47" hidden="1" customWidth="1"/>
    <col min="2817" max="2851" width="11.44140625" style="47" hidden="1"/>
    <col min="2852" max="2852" width="41.44140625" style="47" customWidth="1"/>
    <col min="2853" max="2853" width="6.44140625" style="47" customWidth="1"/>
    <col min="2854" max="2854" width="14.5546875" style="47" customWidth="1"/>
    <col min="2855" max="2855" width="11.44140625" style="47" customWidth="1"/>
    <col min="2856" max="2856" width="13" style="47" customWidth="1"/>
    <col min="2857" max="2857" width="25.44140625" style="47" customWidth="1"/>
    <col min="2858" max="2867" width="9.44140625" style="47" customWidth="1"/>
    <col min="2868" max="2868" width="10.5546875" style="47" customWidth="1"/>
    <col min="2869" max="2869" width="9.44140625" style="47" customWidth="1"/>
    <col min="2870" max="2870" width="10.109375" style="47" customWidth="1"/>
    <col min="2871" max="2882" width="11.44140625" style="47" hidden="1" customWidth="1"/>
    <col min="2883" max="2883" width="19.5546875" style="47" customWidth="1"/>
    <col min="2884" max="2884" width="11.44140625" style="47" customWidth="1"/>
    <col min="2885" max="2885" width="56.88671875" style="47" customWidth="1"/>
    <col min="2886" max="2886" width="9.109375" style="47" customWidth="1"/>
    <col min="2887" max="2887" width="24.44140625" style="47" customWidth="1"/>
    <col min="2888" max="2888" width="30.44140625" style="47" customWidth="1"/>
    <col min="2889" max="2889" width="23.5546875" style="47" customWidth="1"/>
    <col min="2890" max="2890" width="5" style="47" customWidth="1"/>
    <col min="2891" max="2892" width="11.44140625" style="47" hidden="1" customWidth="1"/>
    <col min="2893" max="2893" width="5" style="47" customWidth="1"/>
    <col min="2894" max="2895" width="11.44140625" style="47" hidden="1" customWidth="1"/>
    <col min="2896" max="2896" width="5" style="47" customWidth="1"/>
    <col min="2897" max="2898" width="11.44140625" style="47" hidden="1" customWidth="1"/>
    <col min="2899" max="2899" width="5" style="47" customWidth="1"/>
    <col min="2900" max="2967" width="11.44140625" style="47" hidden="1" customWidth="1"/>
    <col min="2968" max="2968" width="9.44140625" style="47" customWidth="1"/>
    <col min="2969" max="2969" width="11.44140625" style="47" hidden="1" customWidth="1"/>
    <col min="2970" max="2970" width="5" style="47" customWidth="1"/>
    <col min="2971" max="2986" width="11.44140625" style="47" hidden="1" customWidth="1"/>
    <col min="2987" max="2987" width="6.44140625" style="47" customWidth="1"/>
    <col min="2988" max="2988" width="11.44140625" style="47" hidden="1" customWidth="1"/>
    <col min="2989" max="2989" width="7.109375" style="47" customWidth="1"/>
    <col min="2990" max="2991" width="11.44140625" style="47" hidden="1" customWidth="1"/>
    <col min="2992" max="2992" width="7.109375" style="47" customWidth="1"/>
    <col min="2993" max="2994" width="11.44140625" style="47" hidden="1" customWidth="1"/>
    <col min="2995" max="2995" width="7.109375" style="47" customWidth="1"/>
    <col min="2996" max="2997" width="11.44140625" style="47" hidden="1" customWidth="1"/>
    <col min="2998" max="2998" width="7.109375" style="47" customWidth="1"/>
    <col min="2999" max="3000" width="11.44140625" style="47" hidden="1" customWidth="1"/>
    <col min="3001" max="3001" width="7.109375" style="47" customWidth="1"/>
    <col min="3002" max="3003" width="11.44140625" style="47" hidden="1" customWidth="1"/>
    <col min="3004" max="3004" width="7.109375" style="47" customWidth="1"/>
    <col min="3005" max="3006" width="11.44140625" style="47" hidden="1" customWidth="1"/>
    <col min="3007" max="3007" width="7.109375" style="47" customWidth="1"/>
    <col min="3008" max="3009" width="11.44140625" style="47" hidden="1" customWidth="1"/>
    <col min="3010" max="3010" width="7.109375" style="47" customWidth="1"/>
    <col min="3011" max="3011" width="11.44140625" style="47" hidden="1" customWidth="1"/>
    <col min="3012" max="3012" width="6.44140625" style="47" customWidth="1"/>
    <col min="3013" max="3014" width="11.44140625" style="47" hidden="1" customWidth="1"/>
    <col min="3015" max="3015" width="6.88671875" style="47" customWidth="1"/>
    <col min="3016" max="3017" width="11.44140625" style="47" hidden="1" customWidth="1"/>
    <col min="3018" max="3018" width="6.88671875" style="47" customWidth="1"/>
    <col min="3019" max="3020" width="11.44140625" style="47" hidden="1" customWidth="1"/>
    <col min="3021" max="3021" width="6.44140625" style="47" customWidth="1"/>
    <col min="3022" max="3026" width="11.44140625" style="47" hidden="1" customWidth="1"/>
    <col min="3027" max="3027" width="6.44140625" style="47" customWidth="1"/>
    <col min="3028" max="3029" width="11.44140625" style="47" hidden="1" customWidth="1"/>
    <col min="3030" max="3030" width="7.44140625" style="47" customWidth="1"/>
    <col min="3031" max="3031" width="11.44140625" style="47" hidden="1" customWidth="1"/>
    <col min="3032" max="3032" width="9.44140625" style="47" customWidth="1"/>
    <col min="3033" max="3033" width="11.44140625" style="47" hidden="1" customWidth="1"/>
    <col min="3034" max="3034" width="9" style="47" customWidth="1"/>
    <col min="3035" max="3036" width="11.44140625" style="47" hidden="1" customWidth="1"/>
    <col min="3037" max="3037" width="8.44140625" style="47" customWidth="1"/>
    <col min="3038" max="3039" width="11.44140625" style="47" hidden="1" customWidth="1"/>
    <col min="3040" max="3040" width="6.44140625" style="47" customWidth="1"/>
    <col min="3041" max="3042" width="11.44140625" style="47" hidden="1" customWidth="1"/>
    <col min="3043" max="3043" width="7" style="47" customWidth="1"/>
    <col min="3044" max="3045" width="11.44140625" style="47" hidden="1" customWidth="1"/>
    <col min="3046" max="3048" width="7" style="47" customWidth="1"/>
    <col min="3049" max="3050" width="11.44140625" style="47" hidden="1" customWidth="1"/>
    <col min="3051" max="3051" width="7.44140625" style="47" customWidth="1"/>
    <col min="3052" max="3053" width="11.44140625" style="47" hidden="1" customWidth="1"/>
    <col min="3054" max="3054" width="7" style="47" customWidth="1"/>
    <col min="3055" max="3056" width="11.44140625" style="47" hidden="1" customWidth="1"/>
    <col min="3057" max="3057" width="7" style="47" customWidth="1"/>
    <col min="3058" max="3059" width="11.44140625" style="47" hidden="1" customWidth="1"/>
    <col min="3060" max="3060" width="7" style="47" customWidth="1"/>
    <col min="3061" max="3061" width="11.44140625" style="47" hidden="1" customWidth="1"/>
    <col min="3062" max="3062" width="6.44140625" style="47" customWidth="1"/>
    <col min="3063" max="3072" width="11.44140625" style="47" hidden="1" customWidth="1"/>
    <col min="3073" max="3107" width="11.44140625" style="47" hidden="1"/>
    <col min="3108" max="3108" width="41.44140625" style="47" customWidth="1"/>
    <col min="3109" max="3109" width="6.44140625" style="47" customWidth="1"/>
    <col min="3110" max="3110" width="14.5546875" style="47" customWidth="1"/>
    <col min="3111" max="3111" width="11.44140625" style="47" customWidth="1"/>
    <col min="3112" max="3112" width="13" style="47" customWidth="1"/>
    <col min="3113" max="3113" width="25.44140625" style="47" customWidth="1"/>
    <col min="3114" max="3123" width="9.44140625" style="47" customWidth="1"/>
    <col min="3124" max="3124" width="10.5546875" style="47" customWidth="1"/>
    <col min="3125" max="3125" width="9.44140625" style="47" customWidth="1"/>
    <col min="3126" max="3126" width="10.109375" style="47" customWidth="1"/>
    <col min="3127" max="3138" width="11.44140625" style="47" hidden="1" customWidth="1"/>
    <col min="3139" max="3139" width="19.5546875" style="47" customWidth="1"/>
    <col min="3140" max="3140" width="11.44140625" style="47" customWidth="1"/>
    <col min="3141" max="3141" width="56.88671875" style="47" customWidth="1"/>
    <col min="3142" max="3142" width="9.109375" style="47" customWidth="1"/>
    <col min="3143" max="3143" width="24.44140625" style="47" customWidth="1"/>
    <col min="3144" max="3144" width="30.44140625" style="47" customWidth="1"/>
    <col min="3145" max="3145" width="23.5546875" style="47" customWidth="1"/>
    <col min="3146" max="3146" width="5" style="47" customWidth="1"/>
    <col min="3147" max="3148" width="11.44140625" style="47" hidden="1" customWidth="1"/>
    <col min="3149" max="3149" width="5" style="47" customWidth="1"/>
    <col min="3150" max="3151" width="11.44140625" style="47" hidden="1" customWidth="1"/>
    <col min="3152" max="3152" width="5" style="47" customWidth="1"/>
    <col min="3153" max="3154" width="11.44140625" style="47" hidden="1" customWidth="1"/>
    <col min="3155" max="3155" width="5" style="47" customWidth="1"/>
    <col min="3156" max="3223" width="11.44140625" style="47" hidden="1" customWidth="1"/>
    <col min="3224" max="3224" width="9.44140625" style="47" customWidth="1"/>
    <col min="3225" max="3225" width="11.44140625" style="47" hidden="1" customWidth="1"/>
    <col min="3226" max="3226" width="5" style="47" customWidth="1"/>
    <col min="3227" max="3242" width="11.44140625" style="47" hidden="1" customWidth="1"/>
    <col min="3243" max="3243" width="6.44140625" style="47" customWidth="1"/>
    <col min="3244" max="3244" width="11.44140625" style="47" hidden="1" customWidth="1"/>
    <col min="3245" max="3245" width="7.109375" style="47" customWidth="1"/>
    <col min="3246" max="3247" width="11.44140625" style="47" hidden="1" customWidth="1"/>
    <col min="3248" max="3248" width="7.109375" style="47" customWidth="1"/>
    <col min="3249" max="3250" width="11.44140625" style="47" hidden="1" customWidth="1"/>
    <col min="3251" max="3251" width="7.109375" style="47" customWidth="1"/>
    <col min="3252" max="3253" width="11.44140625" style="47" hidden="1" customWidth="1"/>
    <col min="3254" max="3254" width="7.109375" style="47" customWidth="1"/>
    <col min="3255" max="3256" width="11.44140625" style="47" hidden="1" customWidth="1"/>
    <col min="3257" max="3257" width="7.109375" style="47" customWidth="1"/>
    <col min="3258" max="3259" width="11.44140625" style="47" hidden="1" customWidth="1"/>
    <col min="3260" max="3260" width="7.109375" style="47" customWidth="1"/>
    <col min="3261" max="3262" width="11.44140625" style="47" hidden="1" customWidth="1"/>
    <col min="3263" max="3263" width="7.109375" style="47" customWidth="1"/>
    <col min="3264" max="3265" width="11.44140625" style="47" hidden="1" customWidth="1"/>
    <col min="3266" max="3266" width="7.109375" style="47" customWidth="1"/>
    <col min="3267" max="3267" width="11.44140625" style="47" hidden="1" customWidth="1"/>
    <col min="3268" max="3268" width="6.44140625" style="47" customWidth="1"/>
    <col min="3269" max="3270" width="11.44140625" style="47" hidden="1" customWidth="1"/>
    <col min="3271" max="3271" width="6.88671875" style="47" customWidth="1"/>
    <col min="3272" max="3273" width="11.44140625" style="47" hidden="1" customWidth="1"/>
    <col min="3274" max="3274" width="6.88671875" style="47" customWidth="1"/>
    <col min="3275" max="3276" width="11.44140625" style="47" hidden="1" customWidth="1"/>
    <col min="3277" max="3277" width="6.44140625" style="47" customWidth="1"/>
    <col min="3278" max="3282" width="11.44140625" style="47" hidden="1" customWidth="1"/>
    <col min="3283" max="3283" width="6.44140625" style="47" customWidth="1"/>
    <col min="3284" max="3285" width="11.44140625" style="47" hidden="1" customWidth="1"/>
    <col min="3286" max="3286" width="7.44140625" style="47" customWidth="1"/>
    <col min="3287" max="3287" width="11.44140625" style="47" hidden="1" customWidth="1"/>
    <col min="3288" max="3288" width="9.44140625" style="47" customWidth="1"/>
    <col min="3289" max="3289" width="11.44140625" style="47" hidden="1" customWidth="1"/>
    <col min="3290" max="3290" width="9" style="47" customWidth="1"/>
    <col min="3291" max="3292" width="11.44140625" style="47" hidden="1" customWidth="1"/>
    <col min="3293" max="3293" width="8.44140625" style="47" customWidth="1"/>
    <col min="3294" max="3295" width="11.44140625" style="47" hidden="1" customWidth="1"/>
    <col min="3296" max="3296" width="6.44140625" style="47" customWidth="1"/>
    <col min="3297" max="3298" width="11.44140625" style="47" hidden="1" customWidth="1"/>
    <col min="3299" max="3299" width="7" style="47" customWidth="1"/>
    <col min="3300" max="3301" width="11.44140625" style="47" hidden="1" customWidth="1"/>
    <col min="3302" max="3304" width="7" style="47" customWidth="1"/>
    <col min="3305" max="3306" width="11.44140625" style="47" hidden="1" customWidth="1"/>
    <col min="3307" max="3307" width="7.44140625" style="47" customWidth="1"/>
    <col min="3308" max="3309" width="11.44140625" style="47" hidden="1" customWidth="1"/>
    <col min="3310" max="3310" width="7" style="47" customWidth="1"/>
    <col min="3311" max="3312" width="11.44140625" style="47" hidden="1" customWidth="1"/>
    <col min="3313" max="3313" width="7" style="47" customWidth="1"/>
    <col min="3314" max="3315" width="11.44140625" style="47" hidden="1" customWidth="1"/>
    <col min="3316" max="3316" width="7" style="47" customWidth="1"/>
    <col min="3317" max="3317" width="11.44140625" style="47" hidden="1" customWidth="1"/>
    <col min="3318" max="3318" width="6.44140625" style="47" customWidth="1"/>
    <col min="3319" max="3328" width="11.44140625" style="47" hidden="1" customWidth="1"/>
    <col min="3329" max="3363" width="11.44140625" style="47" hidden="1"/>
    <col min="3364" max="3364" width="41.44140625" style="47" customWidth="1"/>
    <col min="3365" max="3365" width="6.44140625" style="47" customWidth="1"/>
    <col min="3366" max="3366" width="14.5546875" style="47" customWidth="1"/>
    <col min="3367" max="3367" width="11.44140625" style="47" customWidth="1"/>
    <col min="3368" max="3368" width="13" style="47" customWidth="1"/>
    <col min="3369" max="3369" width="25.44140625" style="47" customWidth="1"/>
    <col min="3370" max="3379" width="9.44140625" style="47" customWidth="1"/>
    <col min="3380" max="3380" width="10.5546875" style="47" customWidth="1"/>
    <col min="3381" max="3381" width="9.44140625" style="47" customWidth="1"/>
    <col min="3382" max="3382" width="10.109375" style="47" customWidth="1"/>
    <col min="3383" max="3394" width="11.44140625" style="47" hidden="1" customWidth="1"/>
    <col min="3395" max="3395" width="19.5546875" style="47" customWidth="1"/>
    <col min="3396" max="3396" width="11.44140625" style="47" customWidth="1"/>
    <col min="3397" max="3397" width="56.88671875" style="47" customWidth="1"/>
    <col min="3398" max="3398" width="9.109375" style="47" customWidth="1"/>
    <col min="3399" max="3399" width="24.44140625" style="47" customWidth="1"/>
    <col min="3400" max="3400" width="30.44140625" style="47" customWidth="1"/>
    <col min="3401" max="3401" width="23.5546875" style="47" customWidth="1"/>
    <col min="3402" max="3402" width="5" style="47" customWidth="1"/>
    <col min="3403" max="3404" width="11.44140625" style="47" hidden="1" customWidth="1"/>
    <col min="3405" max="3405" width="5" style="47" customWidth="1"/>
    <col min="3406" max="3407" width="11.44140625" style="47" hidden="1" customWidth="1"/>
    <col min="3408" max="3408" width="5" style="47" customWidth="1"/>
    <col min="3409" max="3410" width="11.44140625" style="47" hidden="1" customWidth="1"/>
    <col min="3411" max="3411" width="5" style="47" customWidth="1"/>
    <col min="3412" max="3479" width="11.44140625" style="47" hidden="1" customWidth="1"/>
    <col min="3480" max="3480" width="9.44140625" style="47" customWidth="1"/>
    <col min="3481" max="3481" width="11.44140625" style="47" hidden="1" customWidth="1"/>
    <col min="3482" max="3482" width="5" style="47" customWidth="1"/>
    <col min="3483" max="3498" width="11.44140625" style="47" hidden="1" customWidth="1"/>
    <col min="3499" max="3499" width="6.44140625" style="47" customWidth="1"/>
    <col min="3500" max="3500" width="11.44140625" style="47" hidden="1" customWidth="1"/>
    <col min="3501" max="3501" width="7.109375" style="47" customWidth="1"/>
    <col min="3502" max="3503" width="11.44140625" style="47" hidden="1" customWidth="1"/>
    <col min="3504" max="3504" width="7.109375" style="47" customWidth="1"/>
    <col min="3505" max="3506" width="11.44140625" style="47" hidden="1" customWidth="1"/>
    <col min="3507" max="3507" width="7.109375" style="47" customWidth="1"/>
    <col min="3508" max="3509" width="11.44140625" style="47" hidden="1" customWidth="1"/>
    <col min="3510" max="3510" width="7.109375" style="47" customWidth="1"/>
    <col min="3511" max="3512" width="11.44140625" style="47" hidden="1" customWidth="1"/>
    <col min="3513" max="3513" width="7.109375" style="47" customWidth="1"/>
    <col min="3514" max="3515" width="11.44140625" style="47" hidden="1" customWidth="1"/>
    <col min="3516" max="3516" width="7.109375" style="47" customWidth="1"/>
    <col min="3517" max="3518" width="11.44140625" style="47" hidden="1" customWidth="1"/>
    <col min="3519" max="3519" width="7.109375" style="47" customWidth="1"/>
    <col min="3520" max="3521" width="11.44140625" style="47" hidden="1" customWidth="1"/>
    <col min="3522" max="3522" width="7.109375" style="47" customWidth="1"/>
    <col min="3523" max="3523" width="11.44140625" style="47" hidden="1" customWidth="1"/>
    <col min="3524" max="3524" width="6.44140625" style="47" customWidth="1"/>
    <col min="3525" max="3526" width="11.44140625" style="47" hidden="1" customWidth="1"/>
    <col min="3527" max="3527" width="6.88671875" style="47" customWidth="1"/>
    <col min="3528" max="3529" width="11.44140625" style="47" hidden="1" customWidth="1"/>
    <col min="3530" max="3530" width="6.88671875" style="47" customWidth="1"/>
    <col min="3531" max="3532" width="11.44140625" style="47" hidden="1" customWidth="1"/>
    <col min="3533" max="3533" width="6.44140625" style="47" customWidth="1"/>
    <col min="3534" max="3538" width="11.44140625" style="47" hidden="1" customWidth="1"/>
    <col min="3539" max="3539" width="6.44140625" style="47" customWidth="1"/>
    <col min="3540" max="3541" width="11.44140625" style="47" hidden="1" customWidth="1"/>
    <col min="3542" max="3542" width="7.44140625" style="47" customWidth="1"/>
    <col min="3543" max="3543" width="11.44140625" style="47" hidden="1" customWidth="1"/>
    <col min="3544" max="3544" width="9.44140625" style="47" customWidth="1"/>
    <col min="3545" max="3545" width="11.44140625" style="47" hidden="1" customWidth="1"/>
    <col min="3546" max="3546" width="9" style="47" customWidth="1"/>
    <col min="3547" max="3548" width="11.44140625" style="47" hidden="1" customWidth="1"/>
    <col min="3549" max="3549" width="8.44140625" style="47" customWidth="1"/>
    <col min="3550" max="3551" width="11.44140625" style="47" hidden="1" customWidth="1"/>
    <col min="3552" max="3552" width="6.44140625" style="47" customWidth="1"/>
    <col min="3553" max="3554" width="11.44140625" style="47" hidden="1" customWidth="1"/>
    <col min="3555" max="3555" width="7" style="47" customWidth="1"/>
    <col min="3556" max="3557" width="11.44140625" style="47" hidden="1" customWidth="1"/>
    <col min="3558" max="3560" width="7" style="47" customWidth="1"/>
    <col min="3561" max="3562" width="11.44140625" style="47" hidden="1" customWidth="1"/>
    <col min="3563" max="3563" width="7.44140625" style="47" customWidth="1"/>
    <col min="3564" max="3565" width="11.44140625" style="47" hidden="1" customWidth="1"/>
    <col min="3566" max="3566" width="7" style="47" customWidth="1"/>
    <col min="3567" max="3568" width="11.44140625" style="47" hidden="1" customWidth="1"/>
    <col min="3569" max="3569" width="7" style="47" customWidth="1"/>
    <col min="3570" max="3571" width="11.44140625" style="47" hidden="1" customWidth="1"/>
    <col min="3572" max="3572" width="7" style="47" customWidth="1"/>
    <col min="3573" max="3573" width="11.44140625" style="47" hidden="1" customWidth="1"/>
    <col min="3574" max="3574" width="6.44140625" style="47" customWidth="1"/>
    <col min="3575" max="3584" width="11.44140625" style="47" hidden="1" customWidth="1"/>
    <col min="3585" max="3619" width="11.44140625" style="47" hidden="1"/>
    <col min="3620" max="3620" width="41.44140625" style="47" customWidth="1"/>
    <col min="3621" max="3621" width="6.44140625" style="47" customWidth="1"/>
    <col min="3622" max="3622" width="14.5546875" style="47" customWidth="1"/>
    <col min="3623" max="3623" width="11.44140625" style="47" customWidth="1"/>
    <col min="3624" max="3624" width="13" style="47" customWidth="1"/>
    <col min="3625" max="3625" width="25.44140625" style="47" customWidth="1"/>
    <col min="3626" max="3635" width="9.44140625" style="47" customWidth="1"/>
    <col min="3636" max="3636" width="10.5546875" style="47" customWidth="1"/>
    <col min="3637" max="3637" width="9.44140625" style="47" customWidth="1"/>
    <col min="3638" max="3638" width="10.109375" style="47" customWidth="1"/>
    <col min="3639" max="3650" width="11.44140625" style="47" hidden="1" customWidth="1"/>
    <col min="3651" max="3651" width="19.5546875" style="47" customWidth="1"/>
    <col min="3652" max="3652" width="11.44140625" style="47" customWidth="1"/>
    <col min="3653" max="3653" width="56.88671875" style="47" customWidth="1"/>
    <col min="3654" max="3654" width="9.109375" style="47" customWidth="1"/>
    <col min="3655" max="3655" width="24.44140625" style="47" customWidth="1"/>
    <col min="3656" max="3656" width="30.44140625" style="47" customWidth="1"/>
    <col min="3657" max="3657" width="23.5546875" style="47" customWidth="1"/>
    <col min="3658" max="3658" width="5" style="47" customWidth="1"/>
    <col min="3659" max="3660" width="11.44140625" style="47" hidden="1" customWidth="1"/>
    <col min="3661" max="3661" width="5" style="47" customWidth="1"/>
    <col min="3662" max="3663" width="11.44140625" style="47" hidden="1" customWidth="1"/>
    <col min="3664" max="3664" width="5" style="47" customWidth="1"/>
    <col min="3665" max="3666" width="11.44140625" style="47" hidden="1" customWidth="1"/>
    <col min="3667" max="3667" width="5" style="47" customWidth="1"/>
    <col min="3668" max="3735" width="11.44140625" style="47" hidden="1" customWidth="1"/>
    <col min="3736" max="3736" width="9.44140625" style="47" customWidth="1"/>
    <col min="3737" max="3737" width="11.44140625" style="47" hidden="1" customWidth="1"/>
    <col min="3738" max="3738" width="5" style="47" customWidth="1"/>
    <col min="3739" max="3754" width="11.44140625" style="47" hidden="1" customWidth="1"/>
    <col min="3755" max="3755" width="6.44140625" style="47" customWidth="1"/>
    <col min="3756" max="3756" width="11.44140625" style="47" hidden="1" customWidth="1"/>
    <col min="3757" max="3757" width="7.109375" style="47" customWidth="1"/>
    <col min="3758" max="3759" width="11.44140625" style="47" hidden="1" customWidth="1"/>
    <col min="3760" max="3760" width="7.109375" style="47" customWidth="1"/>
    <col min="3761" max="3762" width="11.44140625" style="47" hidden="1" customWidth="1"/>
    <col min="3763" max="3763" width="7.109375" style="47" customWidth="1"/>
    <col min="3764" max="3765" width="11.44140625" style="47" hidden="1" customWidth="1"/>
    <col min="3766" max="3766" width="7.109375" style="47" customWidth="1"/>
    <col min="3767" max="3768" width="11.44140625" style="47" hidden="1" customWidth="1"/>
    <col min="3769" max="3769" width="7.109375" style="47" customWidth="1"/>
    <col min="3770" max="3771" width="11.44140625" style="47" hidden="1" customWidth="1"/>
    <col min="3772" max="3772" width="7.109375" style="47" customWidth="1"/>
    <col min="3773" max="3774" width="11.44140625" style="47" hidden="1" customWidth="1"/>
    <col min="3775" max="3775" width="7.109375" style="47" customWidth="1"/>
    <col min="3776" max="3777" width="11.44140625" style="47" hidden="1" customWidth="1"/>
    <col min="3778" max="3778" width="7.109375" style="47" customWidth="1"/>
    <col min="3779" max="3779" width="11.44140625" style="47" hidden="1" customWidth="1"/>
    <col min="3780" max="3780" width="6.44140625" style="47" customWidth="1"/>
    <col min="3781" max="3782" width="11.44140625" style="47" hidden="1" customWidth="1"/>
    <col min="3783" max="3783" width="6.88671875" style="47" customWidth="1"/>
    <col min="3784" max="3785" width="11.44140625" style="47" hidden="1" customWidth="1"/>
    <col min="3786" max="3786" width="6.88671875" style="47" customWidth="1"/>
    <col min="3787" max="3788" width="11.44140625" style="47" hidden="1" customWidth="1"/>
    <col min="3789" max="3789" width="6.44140625" style="47" customWidth="1"/>
    <col min="3790" max="3794" width="11.44140625" style="47" hidden="1" customWidth="1"/>
    <col min="3795" max="3795" width="6.44140625" style="47" customWidth="1"/>
    <col min="3796" max="3797" width="11.44140625" style="47" hidden="1" customWidth="1"/>
    <col min="3798" max="3798" width="7.44140625" style="47" customWidth="1"/>
    <col min="3799" max="3799" width="11.44140625" style="47" hidden="1" customWidth="1"/>
    <col min="3800" max="3800" width="9.44140625" style="47" customWidth="1"/>
    <col min="3801" max="3801" width="11.44140625" style="47" hidden="1" customWidth="1"/>
    <col min="3802" max="3802" width="9" style="47" customWidth="1"/>
    <col min="3803" max="3804" width="11.44140625" style="47" hidden="1" customWidth="1"/>
    <col min="3805" max="3805" width="8.44140625" style="47" customWidth="1"/>
    <col min="3806" max="3807" width="11.44140625" style="47" hidden="1" customWidth="1"/>
    <col min="3808" max="3808" width="6.44140625" style="47" customWidth="1"/>
    <col min="3809" max="3810" width="11.44140625" style="47" hidden="1" customWidth="1"/>
    <col min="3811" max="3811" width="7" style="47" customWidth="1"/>
    <col min="3812" max="3813" width="11.44140625" style="47" hidden="1" customWidth="1"/>
    <col min="3814" max="3816" width="7" style="47" customWidth="1"/>
    <col min="3817" max="3818" width="11.44140625" style="47" hidden="1" customWidth="1"/>
    <col min="3819" max="3819" width="7.44140625" style="47" customWidth="1"/>
    <col min="3820" max="3821" width="11.44140625" style="47" hidden="1" customWidth="1"/>
    <col min="3822" max="3822" width="7" style="47" customWidth="1"/>
    <col min="3823" max="3824" width="11.44140625" style="47" hidden="1" customWidth="1"/>
    <col min="3825" max="3825" width="7" style="47" customWidth="1"/>
    <col min="3826" max="3827" width="11.44140625" style="47" hidden="1" customWidth="1"/>
    <col min="3828" max="3828" width="7" style="47" customWidth="1"/>
    <col min="3829" max="3829" width="11.44140625" style="47" hidden="1" customWidth="1"/>
    <col min="3830" max="3830" width="6.44140625" style="47" customWidth="1"/>
    <col min="3831" max="3840" width="11.44140625" style="47" hidden="1" customWidth="1"/>
    <col min="3841" max="3875" width="11.44140625" style="47" hidden="1"/>
    <col min="3876" max="3876" width="41.44140625" style="47" customWidth="1"/>
    <col min="3877" max="3877" width="6.44140625" style="47" customWidth="1"/>
    <col min="3878" max="3878" width="14.5546875" style="47" customWidth="1"/>
    <col min="3879" max="3879" width="11.44140625" style="47" customWidth="1"/>
    <col min="3880" max="3880" width="13" style="47" customWidth="1"/>
    <col min="3881" max="3881" width="25.44140625" style="47" customWidth="1"/>
    <col min="3882" max="3891" width="9.44140625" style="47" customWidth="1"/>
    <col min="3892" max="3892" width="10.5546875" style="47" customWidth="1"/>
    <col min="3893" max="3893" width="9.44140625" style="47" customWidth="1"/>
    <col min="3894" max="3894" width="10.109375" style="47" customWidth="1"/>
    <col min="3895" max="3906" width="11.44140625" style="47" hidden="1" customWidth="1"/>
    <col min="3907" max="3907" width="19.5546875" style="47" customWidth="1"/>
    <col min="3908" max="3908" width="11.44140625" style="47" customWidth="1"/>
    <col min="3909" max="3909" width="56.88671875" style="47" customWidth="1"/>
    <col min="3910" max="3910" width="9.109375" style="47" customWidth="1"/>
    <col min="3911" max="3911" width="24.44140625" style="47" customWidth="1"/>
    <col min="3912" max="3912" width="30.44140625" style="47" customWidth="1"/>
    <col min="3913" max="3913" width="23.5546875" style="47" customWidth="1"/>
    <col min="3914" max="3914" width="5" style="47" customWidth="1"/>
    <col min="3915" max="3916" width="11.44140625" style="47" hidden="1" customWidth="1"/>
    <col min="3917" max="3917" width="5" style="47" customWidth="1"/>
    <col min="3918" max="3919" width="11.44140625" style="47" hidden="1" customWidth="1"/>
    <col min="3920" max="3920" width="5" style="47" customWidth="1"/>
    <col min="3921" max="3922" width="11.44140625" style="47" hidden="1" customWidth="1"/>
    <col min="3923" max="3923" width="5" style="47" customWidth="1"/>
    <col min="3924" max="3991" width="11.44140625" style="47" hidden="1" customWidth="1"/>
    <col min="3992" max="3992" width="9.44140625" style="47" customWidth="1"/>
    <col min="3993" max="3993" width="11.44140625" style="47" hidden="1" customWidth="1"/>
    <col min="3994" max="3994" width="5" style="47" customWidth="1"/>
    <col min="3995" max="4010" width="11.44140625" style="47" hidden="1" customWidth="1"/>
    <col min="4011" max="4011" width="6.44140625" style="47" customWidth="1"/>
    <col min="4012" max="4012" width="11.44140625" style="47" hidden="1" customWidth="1"/>
    <col min="4013" max="4013" width="7.109375" style="47" customWidth="1"/>
    <col min="4014" max="4015" width="11.44140625" style="47" hidden="1" customWidth="1"/>
    <col min="4016" max="4016" width="7.109375" style="47" customWidth="1"/>
    <col min="4017" max="4018" width="11.44140625" style="47" hidden="1" customWidth="1"/>
    <col min="4019" max="4019" width="7.109375" style="47" customWidth="1"/>
    <col min="4020" max="4021" width="11.44140625" style="47" hidden="1" customWidth="1"/>
    <col min="4022" max="4022" width="7.109375" style="47" customWidth="1"/>
    <col min="4023" max="4024" width="11.44140625" style="47" hidden="1" customWidth="1"/>
    <col min="4025" max="4025" width="7.109375" style="47" customWidth="1"/>
    <col min="4026" max="4027" width="11.44140625" style="47" hidden="1" customWidth="1"/>
    <col min="4028" max="4028" width="7.109375" style="47" customWidth="1"/>
    <col min="4029" max="4030" width="11.44140625" style="47" hidden="1" customWidth="1"/>
    <col min="4031" max="4031" width="7.109375" style="47" customWidth="1"/>
    <col min="4032" max="4033" width="11.44140625" style="47" hidden="1" customWidth="1"/>
    <col min="4034" max="4034" width="7.109375" style="47" customWidth="1"/>
    <col min="4035" max="4035" width="11.44140625" style="47" hidden="1" customWidth="1"/>
    <col min="4036" max="4036" width="6.44140625" style="47" customWidth="1"/>
    <col min="4037" max="4038" width="11.44140625" style="47" hidden="1" customWidth="1"/>
    <col min="4039" max="4039" width="6.88671875" style="47" customWidth="1"/>
    <col min="4040" max="4041" width="11.44140625" style="47" hidden="1" customWidth="1"/>
    <col min="4042" max="4042" width="6.88671875" style="47" customWidth="1"/>
    <col min="4043" max="4044" width="11.44140625" style="47" hidden="1" customWidth="1"/>
    <col min="4045" max="4045" width="6.44140625" style="47" customWidth="1"/>
    <col min="4046" max="4050" width="11.44140625" style="47" hidden="1" customWidth="1"/>
    <col min="4051" max="4051" width="6.44140625" style="47" customWidth="1"/>
    <col min="4052" max="4053" width="11.44140625" style="47" hidden="1" customWidth="1"/>
    <col min="4054" max="4054" width="7.44140625" style="47" customWidth="1"/>
    <col min="4055" max="4055" width="11.44140625" style="47" hidden="1" customWidth="1"/>
    <col min="4056" max="4056" width="9.44140625" style="47" customWidth="1"/>
    <col min="4057" max="4057" width="11.44140625" style="47" hidden="1" customWidth="1"/>
    <col min="4058" max="4058" width="9" style="47" customWidth="1"/>
    <col min="4059" max="4060" width="11.44140625" style="47" hidden="1" customWidth="1"/>
    <col min="4061" max="4061" width="8.44140625" style="47" customWidth="1"/>
    <col min="4062" max="4063" width="11.44140625" style="47" hidden="1" customWidth="1"/>
    <col min="4064" max="4064" width="6.44140625" style="47" customWidth="1"/>
    <col min="4065" max="4066" width="11.44140625" style="47" hidden="1" customWidth="1"/>
    <col min="4067" max="4067" width="7" style="47" customWidth="1"/>
    <col min="4068" max="4069" width="11.44140625" style="47" hidden="1" customWidth="1"/>
    <col min="4070" max="4072" width="7" style="47" customWidth="1"/>
    <col min="4073" max="4074" width="11.44140625" style="47" hidden="1" customWidth="1"/>
    <col min="4075" max="4075" width="7.44140625" style="47" customWidth="1"/>
    <col min="4076" max="4077" width="11.44140625" style="47" hidden="1" customWidth="1"/>
    <col min="4078" max="4078" width="7" style="47" customWidth="1"/>
    <col min="4079" max="4080" width="11.44140625" style="47" hidden="1" customWidth="1"/>
    <col min="4081" max="4081" width="7" style="47" customWidth="1"/>
    <col min="4082" max="4083" width="11.44140625" style="47" hidden="1" customWidth="1"/>
    <col min="4084" max="4084" width="7" style="47" customWidth="1"/>
    <col min="4085" max="4085" width="11.44140625" style="47" hidden="1" customWidth="1"/>
    <col min="4086" max="4086" width="6.44140625" style="47" customWidth="1"/>
    <col min="4087" max="4096" width="11.44140625" style="47" hidden="1" customWidth="1"/>
    <col min="4097" max="4131" width="11.44140625" style="47" hidden="1"/>
    <col min="4132" max="4132" width="41.44140625" style="47" customWidth="1"/>
    <col min="4133" max="4133" width="6.44140625" style="47" customWidth="1"/>
    <col min="4134" max="4134" width="14.5546875" style="47" customWidth="1"/>
    <col min="4135" max="4135" width="11.44140625" style="47" customWidth="1"/>
    <col min="4136" max="4136" width="13" style="47" customWidth="1"/>
    <col min="4137" max="4137" width="25.44140625" style="47" customWidth="1"/>
    <col min="4138" max="4147" width="9.44140625" style="47" customWidth="1"/>
    <col min="4148" max="4148" width="10.5546875" style="47" customWidth="1"/>
    <col min="4149" max="4149" width="9.44140625" style="47" customWidth="1"/>
    <col min="4150" max="4150" width="10.109375" style="47" customWidth="1"/>
    <col min="4151" max="4162" width="11.44140625" style="47" hidden="1" customWidth="1"/>
    <col min="4163" max="4163" width="19.5546875" style="47" customWidth="1"/>
    <col min="4164" max="4164" width="11.44140625" style="47" customWidth="1"/>
    <col min="4165" max="4165" width="56.88671875" style="47" customWidth="1"/>
    <col min="4166" max="4166" width="9.109375" style="47" customWidth="1"/>
    <col min="4167" max="4167" width="24.44140625" style="47" customWidth="1"/>
    <col min="4168" max="4168" width="30.44140625" style="47" customWidth="1"/>
    <col min="4169" max="4169" width="23.5546875" style="47" customWidth="1"/>
    <col min="4170" max="4170" width="5" style="47" customWidth="1"/>
    <col min="4171" max="4172" width="11.44140625" style="47" hidden="1" customWidth="1"/>
    <col min="4173" max="4173" width="5" style="47" customWidth="1"/>
    <col min="4174" max="4175" width="11.44140625" style="47" hidden="1" customWidth="1"/>
    <col min="4176" max="4176" width="5" style="47" customWidth="1"/>
    <col min="4177" max="4178" width="11.44140625" style="47" hidden="1" customWidth="1"/>
    <col min="4179" max="4179" width="5" style="47" customWidth="1"/>
    <col min="4180" max="4247" width="11.44140625" style="47" hidden="1" customWidth="1"/>
    <col min="4248" max="4248" width="9.44140625" style="47" customWidth="1"/>
    <col min="4249" max="4249" width="11.44140625" style="47" hidden="1" customWidth="1"/>
    <col min="4250" max="4250" width="5" style="47" customWidth="1"/>
    <col min="4251" max="4266" width="11.44140625" style="47" hidden="1" customWidth="1"/>
    <col min="4267" max="4267" width="6.44140625" style="47" customWidth="1"/>
    <col min="4268" max="4268" width="11.44140625" style="47" hidden="1" customWidth="1"/>
    <col min="4269" max="4269" width="7.109375" style="47" customWidth="1"/>
    <col min="4270" max="4271" width="11.44140625" style="47" hidden="1" customWidth="1"/>
    <col min="4272" max="4272" width="7.109375" style="47" customWidth="1"/>
    <col min="4273" max="4274" width="11.44140625" style="47" hidden="1" customWidth="1"/>
    <col min="4275" max="4275" width="7.109375" style="47" customWidth="1"/>
    <col min="4276" max="4277" width="11.44140625" style="47" hidden="1" customWidth="1"/>
    <col min="4278" max="4278" width="7.109375" style="47" customWidth="1"/>
    <col min="4279" max="4280" width="11.44140625" style="47" hidden="1" customWidth="1"/>
    <col min="4281" max="4281" width="7.109375" style="47" customWidth="1"/>
    <col min="4282" max="4283" width="11.44140625" style="47" hidden="1" customWidth="1"/>
    <col min="4284" max="4284" width="7.109375" style="47" customWidth="1"/>
    <col min="4285" max="4286" width="11.44140625" style="47" hidden="1" customWidth="1"/>
    <col min="4287" max="4287" width="7.109375" style="47" customWidth="1"/>
    <col min="4288" max="4289" width="11.44140625" style="47" hidden="1" customWidth="1"/>
    <col min="4290" max="4290" width="7.109375" style="47" customWidth="1"/>
    <col min="4291" max="4291" width="11.44140625" style="47" hidden="1" customWidth="1"/>
    <col min="4292" max="4292" width="6.44140625" style="47" customWidth="1"/>
    <col min="4293" max="4294" width="11.44140625" style="47" hidden="1" customWidth="1"/>
    <col min="4295" max="4295" width="6.88671875" style="47" customWidth="1"/>
    <col min="4296" max="4297" width="11.44140625" style="47" hidden="1" customWidth="1"/>
    <col min="4298" max="4298" width="6.88671875" style="47" customWidth="1"/>
    <col min="4299" max="4300" width="11.44140625" style="47" hidden="1" customWidth="1"/>
    <col min="4301" max="4301" width="6.44140625" style="47" customWidth="1"/>
    <col min="4302" max="4306" width="11.44140625" style="47" hidden="1" customWidth="1"/>
    <col min="4307" max="4307" width="6.44140625" style="47" customWidth="1"/>
    <col min="4308" max="4309" width="11.44140625" style="47" hidden="1" customWidth="1"/>
    <col min="4310" max="4310" width="7.44140625" style="47" customWidth="1"/>
    <col min="4311" max="4311" width="11.44140625" style="47" hidden="1" customWidth="1"/>
    <col min="4312" max="4312" width="9.44140625" style="47" customWidth="1"/>
    <col min="4313" max="4313" width="11.44140625" style="47" hidden="1" customWidth="1"/>
    <col min="4314" max="4314" width="9" style="47" customWidth="1"/>
    <col min="4315" max="4316" width="11.44140625" style="47" hidden="1" customWidth="1"/>
    <col min="4317" max="4317" width="8.44140625" style="47" customWidth="1"/>
    <col min="4318" max="4319" width="11.44140625" style="47" hidden="1" customWidth="1"/>
    <col min="4320" max="4320" width="6.44140625" style="47" customWidth="1"/>
    <col min="4321" max="4322" width="11.44140625" style="47" hidden="1" customWidth="1"/>
    <col min="4323" max="4323" width="7" style="47" customWidth="1"/>
    <col min="4324" max="4325" width="11.44140625" style="47" hidden="1" customWidth="1"/>
    <col min="4326" max="4328" width="7" style="47" customWidth="1"/>
    <col min="4329" max="4330" width="11.44140625" style="47" hidden="1" customWidth="1"/>
    <col min="4331" max="4331" width="7.44140625" style="47" customWidth="1"/>
    <col min="4332" max="4333" width="11.44140625" style="47" hidden="1" customWidth="1"/>
    <col min="4334" max="4334" width="7" style="47" customWidth="1"/>
    <col min="4335" max="4336" width="11.44140625" style="47" hidden="1" customWidth="1"/>
    <col min="4337" max="4337" width="7" style="47" customWidth="1"/>
    <col min="4338" max="4339" width="11.44140625" style="47" hidden="1" customWidth="1"/>
    <col min="4340" max="4340" width="7" style="47" customWidth="1"/>
    <col min="4341" max="4341" width="11.44140625" style="47" hidden="1" customWidth="1"/>
    <col min="4342" max="4342" width="6.44140625" style="47" customWidth="1"/>
    <col min="4343" max="4352" width="11.44140625" style="47" hidden="1" customWidth="1"/>
    <col min="4353" max="4387" width="11.44140625" style="47" hidden="1"/>
    <col min="4388" max="4388" width="41.44140625" style="47" customWidth="1"/>
    <col min="4389" max="4389" width="6.44140625" style="47" customWidth="1"/>
    <col min="4390" max="4390" width="14.5546875" style="47" customWidth="1"/>
    <col min="4391" max="4391" width="11.44140625" style="47" customWidth="1"/>
    <col min="4392" max="4392" width="13" style="47" customWidth="1"/>
    <col min="4393" max="4393" width="25.44140625" style="47" customWidth="1"/>
    <col min="4394" max="4403" width="9.44140625" style="47" customWidth="1"/>
    <col min="4404" max="4404" width="10.5546875" style="47" customWidth="1"/>
    <col min="4405" max="4405" width="9.44140625" style="47" customWidth="1"/>
    <col min="4406" max="4406" width="10.109375" style="47" customWidth="1"/>
    <col min="4407" max="4418" width="11.44140625" style="47" hidden="1" customWidth="1"/>
    <col min="4419" max="4419" width="19.5546875" style="47" customWidth="1"/>
    <col min="4420" max="4420" width="11.44140625" style="47" customWidth="1"/>
    <col min="4421" max="4421" width="56.88671875" style="47" customWidth="1"/>
    <col min="4422" max="4422" width="9.109375" style="47" customWidth="1"/>
    <col min="4423" max="4423" width="24.44140625" style="47" customWidth="1"/>
    <col min="4424" max="4424" width="30.44140625" style="47" customWidth="1"/>
    <col min="4425" max="4425" width="23.5546875" style="47" customWidth="1"/>
    <col min="4426" max="4426" width="5" style="47" customWidth="1"/>
    <col min="4427" max="4428" width="11.44140625" style="47" hidden="1" customWidth="1"/>
    <col min="4429" max="4429" width="5" style="47" customWidth="1"/>
    <col min="4430" max="4431" width="11.44140625" style="47" hidden="1" customWidth="1"/>
    <col min="4432" max="4432" width="5" style="47" customWidth="1"/>
    <col min="4433" max="4434" width="11.44140625" style="47" hidden="1" customWidth="1"/>
    <col min="4435" max="4435" width="5" style="47" customWidth="1"/>
    <col min="4436" max="4503" width="11.44140625" style="47" hidden="1" customWidth="1"/>
    <col min="4504" max="4504" width="9.44140625" style="47" customWidth="1"/>
    <col min="4505" max="4505" width="11.44140625" style="47" hidden="1" customWidth="1"/>
    <col min="4506" max="4506" width="5" style="47" customWidth="1"/>
    <col min="4507" max="4522" width="11.44140625" style="47" hidden="1" customWidth="1"/>
    <col min="4523" max="4523" width="6.44140625" style="47" customWidth="1"/>
    <col min="4524" max="4524" width="11.44140625" style="47" hidden="1" customWidth="1"/>
    <col min="4525" max="4525" width="7.109375" style="47" customWidth="1"/>
    <col min="4526" max="4527" width="11.44140625" style="47" hidden="1" customWidth="1"/>
    <col min="4528" max="4528" width="7.109375" style="47" customWidth="1"/>
    <col min="4529" max="4530" width="11.44140625" style="47" hidden="1" customWidth="1"/>
    <col min="4531" max="4531" width="7.109375" style="47" customWidth="1"/>
    <col min="4532" max="4533" width="11.44140625" style="47" hidden="1" customWidth="1"/>
    <col min="4534" max="4534" width="7.109375" style="47" customWidth="1"/>
    <col min="4535" max="4536" width="11.44140625" style="47" hidden="1" customWidth="1"/>
    <col min="4537" max="4537" width="7.109375" style="47" customWidth="1"/>
    <col min="4538" max="4539" width="11.44140625" style="47" hidden="1" customWidth="1"/>
    <col min="4540" max="4540" width="7.109375" style="47" customWidth="1"/>
    <col min="4541" max="4542" width="11.44140625" style="47" hidden="1" customWidth="1"/>
    <col min="4543" max="4543" width="7.109375" style="47" customWidth="1"/>
    <col min="4544" max="4545" width="11.44140625" style="47" hidden="1" customWidth="1"/>
    <col min="4546" max="4546" width="7.109375" style="47" customWidth="1"/>
    <col min="4547" max="4547" width="11.44140625" style="47" hidden="1" customWidth="1"/>
    <col min="4548" max="4548" width="6.44140625" style="47" customWidth="1"/>
    <col min="4549" max="4550" width="11.44140625" style="47" hidden="1" customWidth="1"/>
    <col min="4551" max="4551" width="6.88671875" style="47" customWidth="1"/>
    <col min="4552" max="4553" width="11.44140625" style="47" hidden="1" customWidth="1"/>
    <col min="4554" max="4554" width="6.88671875" style="47" customWidth="1"/>
    <col min="4555" max="4556" width="11.44140625" style="47" hidden="1" customWidth="1"/>
    <col min="4557" max="4557" width="6.44140625" style="47" customWidth="1"/>
    <col min="4558" max="4562" width="11.44140625" style="47" hidden="1" customWidth="1"/>
    <col min="4563" max="4563" width="6.44140625" style="47" customWidth="1"/>
    <col min="4564" max="4565" width="11.44140625" style="47" hidden="1" customWidth="1"/>
    <col min="4566" max="4566" width="7.44140625" style="47" customWidth="1"/>
    <col min="4567" max="4567" width="11.44140625" style="47" hidden="1" customWidth="1"/>
    <col min="4568" max="4568" width="9.44140625" style="47" customWidth="1"/>
    <col min="4569" max="4569" width="11.44140625" style="47" hidden="1" customWidth="1"/>
    <col min="4570" max="4570" width="9" style="47" customWidth="1"/>
    <col min="4571" max="4572" width="11.44140625" style="47" hidden="1" customWidth="1"/>
    <col min="4573" max="4573" width="8.44140625" style="47" customWidth="1"/>
    <col min="4574" max="4575" width="11.44140625" style="47" hidden="1" customWidth="1"/>
    <col min="4576" max="4576" width="6.44140625" style="47" customWidth="1"/>
    <col min="4577" max="4578" width="11.44140625" style="47" hidden="1" customWidth="1"/>
    <col min="4579" max="4579" width="7" style="47" customWidth="1"/>
    <col min="4580" max="4581" width="11.44140625" style="47" hidden="1" customWidth="1"/>
    <col min="4582" max="4584" width="7" style="47" customWidth="1"/>
    <col min="4585" max="4586" width="11.44140625" style="47" hidden="1" customWidth="1"/>
    <col min="4587" max="4587" width="7.44140625" style="47" customWidth="1"/>
    <col min="4588" max="4589" width="11.44140625" style="47" hidden="1" customWidth="1"/>
    <col min="4590" max="4590" width="7" style="47" customWidth="1"/>
    <col min="4591" max="4592" width="11.44140625" style="47" hidden="1" customWidth="1"/>
    <col min="4593" max="4593" width="7" style="47" customWidth="1"/>
    <col min="4594" max="4595" width="11.44140625" style="47" hidden="1" customWidth="1"/>
    <col min="4596" max="4596" width="7" style="47" customWidth="1"/>
    <col min="4597" max="4597" width="11.44140625" style="47" hidden="1" customWidth="1"/>
    <col min="4598" max="4598" width="6.44140625" style="47" customWidth="1"/>
    <col min="4599" max="4608" width="11.44140625" style="47" hidden="1" customWidth="1"/>
    <col min="4609" max="4643" width="11.44140625" style="47" hidden="1"/>
    <col min="4644" max="4644" width="41.44140625" style="47" customWidth="1"/>
    <col min="4645" max="4645" width="6.44140625" style="47" customWidth="1"/>
    <col min="4646" max="4646" width="14.5546875" style="47" customWidth="1"/>
    <col min="4647" max="4647" width="11.44140625" style="47" customWidth="1"/>
    <col min="4648" max="4648" width="13" style="47" customWidth="1"/>
    <col min="4649" max="4649" width="25.44140625" style="47" customWidth="1"/>
    <col min="4650" max="4659" width="9.44140625" style="47" customWidth="1"/>
    <col min="4660" max="4660" width="10.5546875" style="47" customWidth="1"/>
    <col min="4661" max="4661" width="9.44140625" style="47" customWidth="1"/>
    <col min="4662" max="4662" width="10.109375" style="47" customWidth="1"/>
    <col min="4663" max="4674" width="11.44140625" style="47" hidden="1" customWidth="1"/>
    <col min="4675" max="4675" width="19.5546875" style="47" customWidth="1"/>
    <col min="4676" max="4676" width="11.44140625" style="47" customWidth="1"/>
    <col min="4677" max="4677" width="56.88671875" style="47" customWidth="1"/>
    <col min="4678" max="4678" width="9.109375" style="47" customWidth="1"/>
    <col min="4679" max="4679" width="24.44140625" style="47" customWidth="1"/>
    <col min="4680" max="4680" width="30.44140625" style="47" customWidth="1"/>
    <col min="4681" max="4681" width="23.5546875" style="47" customWidth="1"/>
    <col min="4682" max="4682" width="5" style="47" customWidth="1"/>
    <col min="4683" max="4684" width="11.44140625" style="47" hidden="1" customWidth="1"/>
    <col min="4685" max="4685" width="5" style="47" customWidth="1"/>
    <col min="4686" max="4687" width="11.44140625" style="47" hidden="1" customWidth="1"/>
    <col min="4688" max="4688" width="5" style="47" customWidth="1"/>
    <col min="4689" max="4690" width="11.44140625" style="47" hidden="1" customWidth="1"/>
    <col min="4691" max="4691" width="5" style="47" customWidth="1"/>
    <col min="4692" max="4759" width="11.44140625" style="47" hidden="1" customWidth="1"/>
    <col min="4760" max="4760" width="9.44140625" style="47" customWidth="1"/>
    <col min="4761" max="4761" width="11.44140625" style="47" hidden="1" customWidth="1"/>
    <col min="4762" max="4762" width="5" style="47" customWidth="1"/>
    <col min="4763" max="4778" width="11.44140625" style="47" hidden="1" customWidth="1"/>
    <col min="4779" max="4779" width="6.44140625" style="47" customWidth="1"/>
    <col min="4780" max="4780" width="11.44140625" style="47" hidden="1" customWidth="1"/>
    <col min="4781" max="4781" width="7.109375" style="47" customWidth="1"/>
    <col min="4782" max="4783" width="11.44140625" style="47" hidden="1" customWidth="1"/>
    <col min="4784" max="4784" width="7.109375" style="47" customWidth="1"/>
    <col min="4785" max="4786" width="11.44140625" style="47" hidden="1" customWidth="1"/>
    <col min="4787" max="4787" width="7.109375" style="47" customWidth="1"/>
    <col min="4788" max="4789" width="11.44140625" style="47" hidden="1" customWidth="1"/>
    <col min="4790" max="4790" width="7.109375" style="47" customWidth="1"/>
    <col min="4791" max="4792" width="11.44140625" style="47" hidden="1" customWidth="1"/>
    <col min="4793" max="4793" width="7.109375" style="47" customWidth="1"/>
    <col min="4794" max="4795" width="11.44140625" style="47" hidden="1" customWidth="1"/>
    <col min="4796" max="4796" width="7.109375" style="47" customWidth="1"/>
    <col min="4797" max="4798" width="11.44140625" style="47" hidden="1" customWidth="1"/>
    <col min="4799" max="4799" width="7.109375" style="47" customWidth="1"/>
    <col min="4800" max="4801" width="11.44140625" style="47" hidden="1" customWidth="1"/>
    <col min="4802" max="4802" width="7.109375" style="47" customWidth="1"/>
    <col min="4803" max="4803" width="11.44140625" style="47" hidden="1" customWidth="1"/>
    <col min="4804" max="4804" width="6.44140625" style="47" customWidth="1"/>
    <col min="4805" max="4806" width="11.44140625" style="47" hidden="1" customWidth="1"/>
    <col min="4807" max="4807" width="6.88671875" style="47" customWidth="1"/>
    <col min="4808" max="4809" width="11.44140625" style="47" hidden="1" customWidth="1"/>
    <col min="4810" max="4810" width="6.88671875" style="47" customWidth="1"/>
    <col min="4811" max="4812" width="11.44140625" style="47" hidden="1" customWidth="1"/>
    <col min="4813" max="4813" width="6.44140625" style="47" customWidth="1"/>
    <col min="4814" max="4818" width="11.44140625" style="47" hidden="1" customWidth="1"/>
    <col min="4819" max="4819" width="6.44140625" style="47" customWidth="1"/>
    <col min="4820" max="4821" width="11.44140625" style="47" hidden="1" customWidth="1"/>
    <col min="4822" max="4822" width="7.44140625" style="47" customWidth="1"/>
    <col min="4823" max="4823" width="11.44140625" style="47" hidden="1" customWidth="1"/>
    <col min="4824" max="4824" width="9.44140625" style="47" customWidth="1"/>
    <col min="4825" max="4825" width="11.44140625" style="47" hidden="1" customWidth="1"/>
    <col min="4826" max="4826" width="9" style="47" customWidth="1"/>
    <col min="4827" max="4828" width="11.44140625" style="47" hidden="1" customWidth="1"/>
    <col min="4829" max="4829" width="8.44140625" style="47" customWidth="1"/>
    <col min="4830" max="4831" width="11.44140625" style="47" hidden="1" customWidth="1"/>
    <col min="4832" max="4832" width="6.44140625" style="47" customWidth="1"/>
    <col min="4833" max="4834" width="11.44140625" style="47" hidden="1" customWidth="1"/>
    <col min="4835" max="4835" width="7" style="47" customWidth="1"/>
    <col min="4836" max="4837" width="11.44140625" style="47" hidden="1" customWidth="1"/>
    <col min="4838" max="4840" width="7" style="47" customWidth="1"/>
    <col min="4841" max="4842" width="11.44140625" style="47" hidden="1" customWidth="1"/>
    <col min="4843" max="4843" width="7.44140625" style="47" customWidth="1"/>
    <col min="4844" max="4845" width="11.44140625" style="47" hidden="1" customWidth="1"/>
    <col min="4846" max="4846" width="7" style="47" customWidth="1"/>
    <col min="4847" max="4848" width="11.44140625" style="47" hidden="1" customWidth="1"/>
    <col min="4849" max="4849" width="7" style="47" customWidth="1"/>
    <col min="4850" max="4851" width="11.44140625" style="47" hidden="1" customWidth="1"/>
    <col min="4852" max="4852" width="7" style="47" customWidth="1"/>
    <col min="4853" max="4853" width="11.44140625" style="47" hidden="1" customWidth="1"/>
    <col min="4854" max="4854" width="6.44140625" style="47" customWidth="1"/>
    <col min="4855" max="4864" width="11.44140625" style="47" hidden="1" customWidth="1"/>
    <col min="4865" max="4899" width="11.44140625" style="47" hidden="1"/>
    <col min="4900" max="4900" width="41.44140625" style="47" customWidth="1"/>
    <col min="4901" max="4901" width="6.44140625" style="47" customWidth="1"/>
    <col min="4902" max="4902" width="14.5546875" style="47" customWidth="1"/>
    <col min="4903" max="4903" width="11.44140625" style="47" customWidth="1"/>
    <col min="4904" max="4904" width="13" style="47" customWidth="1"/>
    <col min="4905" max="4905" width="25.44140625" style="47" customWidth="1"/>
    <col min="4906" max="4915" width="9.44140625" style="47" customWidth="1"/>
    <col min="4916" max="4916" width="10.5546875" style="47" customWidth="1"/>
    <col min="4917" max="4917" width="9.44140625" style="47" customWidth="1"/>
    <col min="4918" max="4918" width="10.109375" style="47" customWidth="1"/>
    <col min="4919" max="4930" width="11.44140625" style="47" hidden="1" customWidth="1"/>
    <col min="4931" max="4931" width="19.5546875" style="47" customWidth="1"/>
    <col min="4932" max="4932" width="11.44140625" style="47" customWidth="1"/>
    <col min="4933" max="4933" width="56.88671875" style="47" customWidth="1"/>
    <col min="4934" max="4934" width="9.109375" style="47" customWidth="1"/>
    <col min="4935" max="4935" width="24.44140625" style="47" customWidth="1"/>
    <col min="4936" max="4936" width="30.44140625" style="47" customWidth="1"/>
    <col min="4937" max="4937" width="23.5546875" style="47" customWidth="1"/>
    <col min="4938" max="4938" width="5" style="47" customWidth="1"/>
    <col min="4939" max="4940" width="11.44140625" style="47" hidden="1" customWidth="1"/>
    <col min="4941" max="4941" width="5" style="47" customWidth="1"/>
    <col min="4942" max="4943" width="11.44140625" style="47" hidden="1" customWidth="1"/>
    <col min="4944" max="4944" width="5" style="47" customWidth="1"/>
    <col min="4945" max="4946" width="11.44140625" style="47" hidden="1" customWidth="1"/>
    <col min="4947" max="4947" width="5" style="47" customWidth="1"/>
    <col min="4948" max="5015" width="11.44140625" style="47" hidden="1" customWidth="1"/>
    <col min="5016" max="5016" width="9.44140625" style="47" customWidth="1"/>
    <col min="5017" max="5017" width="11.44140625" style="47" hidden="1" customWidth="1"/>
    <col min="5018" max="5018" width="5" style="47" customWidth="1"/>
    <col min="5019" max="5034" width="11.44140625" style="47" hidden="1" customWidth="1"/>
    <col min="5035" max="5035" width="6.44140625" style="47" customWidth="1"/>
    <col min="5036" max="5036" width="11.44140625" style="47" hidden="1" customWidth="1"/>
    <col min="5037" max="5037" width="7.109375" style="47" customWidth="1"/>
    <col min="5038" max="5039" width="11.44140625" style="47" hidden="1" customWidth="1"/>
    <col min="5040" max="5040" width="7.109375" style="47" customWidth="1"/>
    <col min="5041" max="5042" width="11.44140625" style="47" hidden="1" customWidth="1"/>
    <col min="5043" max="5043" width="7.109375" style="47" customWidth="1"/>
    <col min="5044" max="5045" width="11.44140625" style="47" hidden="1" customWidth="1"/>
    <col min="5046" max="5046" width="7.109375" style="47" customWidth="1"/>
    <col min="5047" max="5048" width="11.44140625" style="47" hidden="1" customWidth="1"/>
    <col min="5049" max="5049" width="7.109375" style="47" customWidth="1"/>
    <col min="5050" max="5051" width="11.44140625" style="47" hidden="1" customWidth="1"/>
    <col min="5052" max="5052" width="7.109375" style="47" customWidth="1"/>
    <col min="5053" max="5054" width="11.44140625" style="47" hidden="1" customWidth="1"/>
    <col min="5055" max="5055" width="7.109375" style="47" customWidth="1"/>
    <col min="5056" max="5057" width="11.44140625" style="47" hidden="1" customWidth="1"/>
    <col min="5058" max="5058" width="7.109375" style="47" customWidth="1"/>
    <col min="5059" max="5059" width="11.44140625" style="47" hidden="1" customWidth="1"/>
    <col min="5060" max="5060" width="6.44140625" style="47" customWidth="1"/>
    <col min="5061" max="5062" width="11.44140625" style="47" hidden="1" customWidth="1"/>
    <col min="5063" max="5063" width="6.88671875" style="47" customWidth="1"/>
    <col min="5064" max="5065" width="11.44140625" style="47" hidden="1" customWidth="1"/>
    <col min="5066" max="5066" width="6.88671875" style="47" customWidth="1"/>
    <col min="5067" max="5068" width="11.44140625" style="47" hidden="1" customWidth="1"/>
    <col min="5069" max="5069" width="6.44140625" style="47" customWidth="1"/>
    <col min="5070" max="5074" width="11.44140625" style="47" hidden="1" customWidth="1"/>
    <col min="5075" max="5075" width="6.44140625" style="47" customWidth="1"/>
    <col min="5076" max="5077" width="11.44140625" style="47" hidden="1" customWidth="1"/>
    <col min="5078" max="5078" width="7.44140625" style="47" customWidth="1"/>
    <col min="5079" max="5079" width="11.44140625" style="47" hidden="1" customWidth="1"/>
    <col min="5080" max="5080" width="9.44140625" style="47" customWidth="1"/>
    <col min="5081" max="5081" width="11.44140625" style="47" hidden="1" customWidth="1"/>
    <col min="5082" max="5082" width="9" style="47" customWidth="1"/>
    <col min="5083" max="5084" width="11.44140625" style="47" hidden="1" customWidth="1"/>
    <col min="5085" max="5085" width="8.44140625" style="47" customWidth="1"/>
    <col min="5086" max="5087" width="11.44140625" style="47" hidden="1" customWidth="1"/>
    <col min="5088" max="5088" width="6.44140625" style="47" customWidth="1"/>
    <col min="5089" max="5090" width="11.44140625" style="47" hidden="1" customWidth="1"/>
    <col min="5091" max="5091" width="7" style="47" customWidth="1"/>
    <col min="5092" max="5093" width="11.44140625" style="47" hidden="1" customWidth="1"/>
    <col min="5094" max="5096" width="7" style="47" customWidth="1"/>
    <col min="5097" max="5098" width="11.44140625" style="47" hidden="1" customWidth="1"/>
    <col min="5099" max="5099" width="7.44140625" style="47" customWidth="1"/>
    <col min="5100" max="5101" width="11.44140625" style="47" hidden="1" customWidth="1"/>
    <col min="5102" max="5102" width="7" style="47" customWidth="1"/>
    <col min="5103" max="5104" width="11.44140625" style="47" hidden="1" customWidth="1"/>
    <col min="5105" max="5105" width="7" style="47" customWidth="1"/>
    <col min="5106" max="5107" width="11.44140625" style="47" hidden="1" customWidth="1"/>
    <col min="5108" max="5108" width="7" style="47" customWidth="1"/>
    <col min="5109" max="5109" width="11.44140625" style="47" hidden="1" customWidth="1"/>
    <col min="5110" max="5110" width="6.44140625" style="47" customWidth="1"/>
    <col min="5111" max="5120" width="11.44140625" style="47" hidden="1" customWidth="1"/>
    <col min="5121" max="5155" width="11.44140625" style="47" hidden="1"/>
    <col min="5156" max="5156" width="41.44140625" style="47" customWidth="1"/>
    <col min="5157" max="5157" width="6.44140625" style="47" customWidth="1"/>
    <col min="5158" max="5158" width="14.5546875" style="47" customWidth="1"/>
    <col min="5159" max="5159" width="11.44140625" style="47" customWidth="1"/>
    <col min="5160" max="5160" width="13" style="47" customWidth="1"/>
    <col min="5161" max="5161" width="25.44140625" style="47" customWidth="1"/>
    <col min="5162" max="5171" width="9.44140625" style="47" customWidth="1"/>
    <col min="5172" max="5172" width="10.5546875" style="47" customWidth="1"/>
    <col min="5173" max="5173" width="9.44140625" style="47" customWidth="1"/>
    <col min="5174" max="5174" width="10.109375" style="47" customWidth="1"/>
    <col min="5175" max="5186" width="11.44140625" style="47" hidden="1" customWidth="1"/>
    <col min="5187" max="5187" width="19.5546875" style="47" customWidth="1"/>
    <col min="5188" max="5188" width="11.44140625" style="47" customWidth="1"/>
    <col min="5189" max="5189" width="56.88671875" style="47" customWidth="1"/>
    <col min="5190" max="5190" width="9.109375" style="47" customWidth="1"/>
    <col min="5191" max="5191" width="24.44140625" style="47" customWidth="1"/>
    <col min="5192" max="5192" width="30.44140625" style="47" customWidth="1"/>
    <col min="5193" max="5193" width="23.5546875" style="47" customWidth="1"/>
    <col min="5194" max="5194" width="5" style="47" customWidth="1"/>
    <col min="5195" max="5196" width="11.44140625" style="47" hidden="1" customWidth="1"/>
    <col min="5197" max="5197" width="5" style="47" customWidth="1"/>
    <col min="5198" max="5199" width="11.44140625" style="47" hidden="1" customWidth="1"/>
    <col min="5200" max="5200" width="5" style="47" customWidth="1"/>
    <col min="5201" max="5202" width="11.44140625" style="47" hidden="1" customWidth="1"/>
    <col min="5203" max="5203" width="5" style="47" customWidth="1"/>
    <col min="5204" max="5271" width="11.44140625" style="47" hidden="1" customWidth="1"/>
    <col min="5272" max="5272" width="9.44140625" style="47" customWidth="1"/>
    <col min="5273" max="5273" width="11.44140625" style="47" hidden="1" customWidth="1"/>
    <col min="5274" max="5274" width="5" style="47" customWidth="1"/>
    <col min="5275" max="5290" width="11.44140625" style="47" hidden="1" customWidth="1"/>
    <col min="5291" max="5291" width="6.44140625" style="47" customWidth="1"/>
    <col min="5292" max="5292" width="11.44140625" style="47" hidden="1" customWidth="1"/>
    <col min="5293" max="5293" width="7.109375" style="47" customWidth="1"/>
    <col min="5294" max="5295" width="11.44140625" style="47" hidden="1" customWidth="1"/>
    <col min="5296" max="5296" width="7.109375" style="47" customWidth="1"/>
    <col min="5297" max="5298" width="11.44140625" style="47" hidden="1" customWidth="1"/>
    <col min="5299" max="5299" width="7.109375" style="47" customWidth="1"/>
    <col min="5300" max="5301" width="11.44140625" style="47" hidden="1" customWidth="1"/>
    <col min="5302" max="5302" width="7.109375" style="47" customWidth="1"/>
    <col min="5303" max="5304" width="11.44140625" style="47" hidden="1" customWidth="1"/>
    <col min="5305" max="5305" width="7.109375" style="47" customWidth="1"/>
    <col min="5306" max="5307" width="11.44140625" style="47" hidden="1" customWidth="1"/>
    <col min="5308" max="5308" width="7.109375" style="47" customWidth="1"/>
    <col min="5309" max="5310" width="11.44140625" style="47" hidden="1" customWidth="1"/>
    <col min="5311" max="5311" width="7.109375" style="47" customWidth="1"/>
    <col min="5312" max="5313" width="11.44140625" style="47" hidden="1" customWidth="1"/>
    <col min="5314" max="5314" width="7.109375" style="47" customWidth="1"/>
    <col min="5315" max="5315" width="11.44140625" style="47" hidden="1" customWidth="1"/>
    <col min="5316" max="5316" width="6.44140625" style="47" customWidth="1"/>
    <col min="5317" max="5318" width="11.44140625" style="47" hidden="1" customWidth="1"/>
    <col min="5319" max="5319" width="6.88671875" style="47" customWidth="1"/>
    <col min="5320" max="5321" width="11.44140625" style="47" hidden="1" customWidth="1"/>
    <col min="5322" max="5322" width="6.88671875" style="47" customWidth="1"/>
    <col min="5323" max="5324" width="11.44140625" style="47" hidden="1" customWidth="1"/>
    <col min="5325" max="5325" width="6.44140625" style="47" customWidth="1"/>
    <col min="5326" max="5330" width="11.44140625" style="47" hidden="1" customWidth="1"/>
    <col min="5331" max="5331" width="6.44140625" style="47" customWidth="1"/>
    <col min="5332" max="5333" width="11.44140625" style="47" hidden="1" customWidth="1"/>
    <col min="5334" max="5334" width="7.44140625" style="47" customWidth="1"/>
    <col min="5335" max="5335" width="11.44140625" style="47" hidden="1" customWidth="1"/>
    <col min="5336" max="5336" width="9.44140625" style="47" customWidth="1"/>
    <col min="5337" max="5337" width="11.44140625" style="47" hidden="1" customWidth="1"/>
    <col min="5338" max="5338" width="9" style="47" customWidth="1"/>
    <col min="5339" max="5340" width="11.44140625" style="47" hidden="1" customWidth="1"/>
    <col min="5341" max="5341" width="8.44140625" style="47" customWidth="1"/>
    <col min="5342" max="5343" width="11.44140625" style="47" hidden="1" customWidth="1"/>
    <col min="5344" max="5344" width="6.44140625" style="47" customWidth="1"/>
    <col min="5345" max="5346" width="11.44140625" style="47" hidden="1" customWidth="1"/>
    <col min="5347" max="5347" width="7" style="47" customWidth="1"/>
    <col min="5348" max="5349" width="11.44140625" style="47" hidden="1" customWidth="1"/>
    <col min="5350" max="5352" width="7" style="47" customWidth="1"/>
    <col min="5353" max="5354" width="11.44140625" style="47" hidden="1" customWidth="1"/>
    <col min="5355" max="5355" width="7.44140625" style="47" customWidth="1"/>
    <col min="5356" max="5357" width="11.44140625" style="47" hidden="1" customWidth="1"/>
    <col min="5358" max="5358" width="7" style="47" customWidth="1"/>
    <col min="5359" max="5360" width="11.44140625" style="47" hidden="1" customWidth="1"/>
    <col min="5361" max="5361" width="7" style="47" customWidth="1"/>
    <col min="5362" max="5363" width="11.44140625" style="47" hidden="1" customWidth="1"/>
    <col min="5364" max="5364" width="7" style="47" customWidth="1"/>
    <col min="5365" max="5365" width="11.44140625" style="47" hidden="1" customWidth="1"/>
    <col min="5366" max="5366" width="6.44140625" style="47" customWidth="1"/>
    <col min="5367" max="5376" width="11.44140625" style="47" hidden="1" customWidth="1"/>
    <col min="5377" max="5411" width="11.44140625" style="47" hidden="1"/>
    <col min="5412" max="5412" width="41.44140625" style="47" customWidth="1"/>
    <col min="5413" max="5413" width="6.44140625" style="47" customWidth="1"/>
    <col min="5414" max="5414" width="14.5546875" style="47" customWidth="1"/>
    <col min="5415" max="5415" width="11.44140625" style="47" customWidth="1"/>
    <col min="5416" max="5416" width="13" style="47" customWidth="1"/>
    <col min="5417" max="5417" width="25.44140625" style="47" customWidth="1"/>
    <col min="5418" max="5427" width="9.44140625" style="47" customWidth="1"/>
    <col min="5428" max="5428" width="10.5546875" style="47" customWidth="1"/>
    <col min="5429" max="5429" width="9.44140625" style="47" customWidth="1"/>
    <col min="5430" max="5430" width="10.109375" style="47" customWidth="1"/>
    <col min="5431" max="5442" width="11.44140625" style="47" hidden="1" customWidth="1"/>
    <col min="5443" max="5443" width="19.5546875" style="47" customWidth="1"/>
    <col min="5444" max="5444" width="11.44140625" style="47" customWidth="1"/>
    <col min="5445" max="5445" width="56.88671875" style="47" customWidth="1"/>
    <col min="5446" max="5446" width="9.109375" style="47" customWidth="1"/>
    <col min="5447" max="5447" width="24.44140625" style="47" customWidth="1"/>
    <col min="5448" max="5448" width="30.44140625" style="47" customWidth="1"/>
    <col min="5449" max="5449" width="23.5546875" style="47" customWidth="1"/>
    <col min="5450" max="5450" width="5" style="47" customWidth="1"/>
    <col min="5451" max="5452" width="11.44140625" style="47" hidden="1" customWidth="1"/>
    <col min="5453" max="5453" width="5" style="47" customWidth="1"/>
    <col min="5454" max="5455" width="11.44140625" style="47" hidden="1" customWidth="1"/>
    <col min="5456" max="5456" width="5" style="47" customWidth="1"/>
    <col min="5457" max="5458" width="11.44140625" style="47" hidden="1" customWidth="1"/>
    <col min="5459" max="5459" width="5" style="47" customWidth="1"/>
    <col min="5460" max="5527" width="11.44140625" style="47" hidden="1" customWidth="1"/>
    <col min="5528" max="5528" width="9.44140625" style="47" customWidth="1"/>
    <col min="5529" max="5529" width="11.44140625" style="47" hidden="1" customWidth="1"/>
    <col min="5530" max="5530" width="5" style="47" customWidth="1"/>
    <col min="5531" max="5546" width="11.44140625" style="47" hidden="1" customWidth="1"/>
    <col min="5547" max="5547" width="6.44140625" style="47" customWidth="1"/>
    <col min="5548" max="5548" width="11.44140625" style="47" hidden="1" customWidth="1"/>
    <col min="5549" max="5549" width="7.109375" style="47" customWidth="1"/>
    <col min="5550" max="5551" width="11.44140625" style="47" hidden="1" customWidth="1"/>
    <col min="5552" max="5552" width="7.109375" style="47" customWidth="1"/>
    <col min="5553" max="5554" width="11.44140625" style="47" hidden="1" customWidth="1"/>
    <col min="5555" max="5555" width="7.109375" style="47" customWidth="1"/>
    <col min="5556" max="5557" width="11.44140625" style="47" hidden="1" customWidth="1"/>
    <col min="5558" max="5558" width="7.109375" style="47" customWidth="1"/>
    <col min="5559" max="5560" width="11.44140625" style="47" hidden="1" customWidth="1"/>
    <col min="5561" max="5561" width="7.109375" style="47" customWidth="1"/>
    <col min="5562" max="5563" width="11.44140625" style="47" hidden="1" customWidth="1"/>
    <col min="5564" max="5564" width="7.109375" style="47" customWidth="1"/>
    <col min="5565" max="5566" width="11.44140625" style="47" hidden="1" customWidth="1"/>
    <col min="5567" max="5567" width="7.109375" style="47" customWidth="1"/>
    <col min="5568" max="5569" width="11.44140625" style="47" hidden="1" customWidth="1"/>
    <col min="5570" max="5570" width="7.109375" style="47" customWidth="1"/>
    <col min="5571" max="5571" width="11.44140625" style="47" hidden="1" customWidth="1"/>
    <col min="5572" max="5572" width="6.44140625" style="47" customWidth="1"/>
    <col min="5573" max="5574" width="11.44140625" style="47" hidden="1" customWidth="1"/>
    <col min="5575" max="5575" width="6.88671875" style="47" customWidth="1"/>
    <col min="5576" max="5577" width="11.44140625" style="47" hidden="1" customWidth="1"/>
    <col min="5578" max="5578" width="6.88671875" style="47" customWidth="1"/>
    <col min="5579" max="5580" width="11.44140625" style="47" hidden="1" customWidth="1"/>
    <col min="5581" max="5581" width="6.44140625" style="47" customWidth="1"/>
    <col min="5582" max="5586" width="11.44140625" style="47" hidden="1" customWidth="1"/>
    <col min="5587" max="5587" width="6.44140625" style="47" customWidth="1"/>
    <col min="5588" max="5589" width="11.44140625" style="47" hidden="1" customWidth="1"/>
    <col min="5590" max="5590" width="7.44140625" style="47" customWidth="1"/>
    <col min="5591" max="5591" width="11.44140625" style="47" hidden="1" customWidth="1"/>
    <col min="5592" max="5592" width="9.44140625" style="47" customWidth="1"/>
    <col min="5593" max="5593" width="11.44140625" style="47" hidden="1" customWidth="1"/>
    <col min="5594" max="5594" width="9" style="47" customWidth="1"/>
    <col min="5595" max="5596" width="11.44140625" style="47" hidden="1" customWidth="1"/>
    <col min="5597" max="5597" width="8.44140625" style="47" customWidth="1"/>
    <col min="5598" max="5599" width="11.44140625" style="47" hidden="1" customWidth="1"/>
    <col min="5600" max="5600" width="6.44140625" style="47" customWidth="1"/>
    <col min="5601" max="5602" width="11.44140625" style="47" hidden="1" customWidth="1"/>
    <col min="5603" max="5603" width="7" style="47" customWidth="1"/>
    <col min="5604" max="5605" width="11.44140625" style="47" hidden="1" customWidth="1"/>
    <col min="5606" max="5608" width="7" style="47" customWidth="1"/>
    <col min="5609" max="5610" width="11.44140625" style="47" hidden="1" customWidth="1"/>
    <col min="5611" max="5611" width="7.44140625" style="47" customWidth="1"/>
    <col min="5612" max="5613" width="11.44140625" style="47" hidden="1" customWidth="1"/>
    <col min="5614" max="5614" width="7" style="47" customWidth="1"/>
    <col min="5615" max="5616" width="11.44140625" style="47" hidden="1" customWidth="1"/>
    <col min="5617" max="5617" width="7" style="47" customWidth="1"/>
    <col min="5618" max="5619" width="11.44140625" style="47" hidden="1" customWidth="1"/>
    <col min="5620" max="5620" width="7" style="47" customWidth="1"/>
    <col min="5621" max="5621" width="11.44140625" style="47" hidden="1" customWidth="1"/>
    <col min="5622" max="5622" width="6.44140625" style="47" customWidth="1"/>
    <col min="5623" max="5632" width="11.44140625" style="47" hidden="1" customWidth="1"/>
    <col min="5633" max="5667" width="11.44140625" style="47" hidden="1"/>
    <col min="5668" max="5668" width="41.44140625" style="47" customWidth="1"/>
    <col min="5669" max="5669" width="6.44140625" style="47" customWidth="1"/>
    <col min="5670" max="5670" width="14.5546875" style="47" customWidth="1"/>
    <col min="5671" max="5671" width="11.44140625" style="47" customWidth="1"/>
    <col min="5672" max="5672" width="13" style="47" customWidth="1"/>
    <col min="5673" max="5673" width="25.44140625" style="47" customWidth="1"/>
    <col min="5674" max="5683" width="9.44140625" style="47" customWidth="1"/>
    <col min="5684" max="5684" width="10.5546875" style="47" customWidth="1"/>
    <col min="5685" max="5685" width="9.44140625" style="47" customWidth="1"/>
    <col min="5686" max="5686" width="10.109375" style="47" customWidth="1"/>
    <col min="5687" max="5698" width="11.44140625" style="47" hidden="1" customWidth="1"/>
    <col min="5699" max="5699" width="19.5546875" style="47" customWidth="1"/>
    <col min="5700" max="5700" width="11.44140625" style="47" customWidth="1"/>
    <col min="5701" max="5701" width="56.88671875" style="47" customWidth="1"/>
    <col min="5702" max="5702" width="9.109375" style="47" customWidth="1"/>
    <col min="5703" max="5703" width="24.44140625" style="47" customWidth="1"/>
    <col min="5704" max="5704" width="30.44140625" style="47" customWidth="1"/>
    <col min="5705" max="5705" width="23.5546875" style="47" customWidth="1"/>
    <col min="5706" max="5706" width="5" style="47" customWidth="1"/>
    <col min="5707" max="5708" width="11.44140625" style="47" hidden="1" customWidth="1"/>
    <col min="5709" max="5709" width="5" style="47" customWidth="1"/>
    <col min="5710" max="5711" width="11.44140625" style="47" hidden="1" customWidth="1"/>
    <col min="5712" max="5712" width="5" style="47" customWidth="1"/>
    <col min="5713" max="5714" width="11.44140625" style="47" hidden="1" customWidth="1"/>
    <col min="5715" max="5715" width="5" style="47" customWidth="1"/>
    <col min="5716" max="5783" width="11.44140625" style="47" hidden="1" customWidth="1"/>
    <col min="5784" max="5784" width="9.44140625" style="47" customWidth="1"/>
    <col min="5785" max="5785" width="11.44140625" style="47" hidden="1" customWidth="1"/>
    <col min="5786" max="5786" width="5" style="47" customWidth="1"/>
    <col min="5787" max="5802" width="11.44140625" style="47" hidden="1" customWidth="1"/>
    <col min="5803" max="5803" width="6.44140625" style="47" customWidth="1"/>
    <col min="5804" max="5804" width="11.44140625" style="47" hidden="1" customWidth="1"/>
    <col min="5805" max="5805" width="7.109375" style="47" customWidth="1"/>
    <col min="5806" max="5807" width="11.44140625" style="47" hidden="1" customWidth="1"/>
    <col min="5808" max="5808" width="7.109375" style="47" customWidth="1"/>
    <col min="5809" max="5810" width="11.44140625" style="47" hidden="1" customWidth="1"/>
    <col min="5811" max="5811" width="7.109375" style="47" customWidth="1"/>
    <col min="5812" max="5813" width="11.44140625" style="47" hidden="1" customWidth="1"/>
    <col min="5814" max="5814" width="7.109375" style="47" customWidth="1"/>
    <col min="5815" max="5816" width="11.44140625" style="47" hidden="1" customWidth="1"/>
    <col min="5817" max="5817" width="7.109375" style="47" customWidth="1"/>
    <col min="5818" max="5819" width="11.44140625" style="47" hidden="1" customWidth="1"/>
    <col min="5820" max="5820" width="7.109375" style="47" customWidth="1"/>
    <col min="5821" max="5822" width="11.44140625" style="47" hidden="1" customWidth="1"/>
    <col min="5823" max="5823" width="7.109375" style="47" customWidth="1"/>
    <col min="5824" max="5825" width="11.44140625" style="47" hidden="1" customWidth="1"/>
    <col min="5826" max="5826" width="7.109375" style="47" customWidth="1"/>
    <col min="5827" max="5827" width="11.44140625" style="47" hidden="1" customWidth="1"/>
    <col min="5828" max="5828" width="6.44140625" style="47" customWidth="1"/>
    <col min="5829" max="5830" width="11.44140625" style="47" hidden="1" customWidth="1"/>
    <col min="5831" max="5831" width="6.88671875" style="47" customWidth="1"/>
    <col min="5832" max="5833" width="11.44140625" style="47" hidden="1" customWidth="1"/>
    <col min="5834" max="5834" width="6.88671875" style="47" customWidth="1"/>
    <col min="5835" max="5836" width="11.44140625" style="47" hidden="1" customWidth="1"/>
    <col min="5837" max="5837" width="6.44140625" style="47" customWidth="1"/>
    <col min="5838" max="5842" width="11.44140625" style="47" hidden="1" customWidth="1"/>
    <col min="5843" max="5843" width="6.44140625" style="47" customWidth="1"/>
    <col min="5844" max="5845" width="11.44140625" style="47" hidden="1" customWidth="1"/>
    <col min="5846" max="5846" width="7.44140625" style="47" customWidth="1"/>
    <col min="5847" max="5847" width="11.44140625" style="47" hidden="1" customWidth="1"/>
    <col min="5848" max="5848" width="9.44140625" style="47" customWidth="1"/>
    <col min="5849" max="5849" width="11.44140625" style="47" hidden="1" customWidth="1"/>
    <col min="5850" max="5850" width="9" style="47" customWidth="1"/>
    <col min="5851" max="5852" width="11.44140625" style="47" hidden="1" customWidth="1"/>
    <col min="5853" max="5853" width="8.44140625" style="47" customWidth="1"/>
    <col min="5854" max="5855" width="11.44140625" style="47" hidden="1" customWidth="1"/>
    <col min="5856" max="5856" width="6.44140625" style="47" customWidth="1"/>
    <col min="5857" max="5858" width="11.44140625" style="47" hidden="1" customWidth="1"/>
    <col min="5859" max="5859" width="7" style="47" customWidth="1"/>
    <col min="5860" max="5861" width="11.44140625" style="47" hidden="1" customWidth="1"/>
    <col min="5862" max="5864" width="7" style="47" customWidth="1"/>
    <col min="5865" max="5866" width="11.44140625" style="47" hidden="1" customWidth="1"/>
    <col min="5867" max="5867" width="7.44140625" style="47" customWidth="1"/>
    <col min="5868" max="5869" width="11.44140625" style="47" hidden="1" customWidth="1"/>
    <col min="5870" max="5870" width="7" style="47" customWidth="1"/>
    <col min="5871" max="5872" width="11.44140625" style="47" hidden="1" customWidth="1"/>
    <col min="5873" max="5873" width="7" style="47" customWidth="1"/>
    <col min="5874" max="5875" width="11.44140625" style="47" hidden="1" customWidth="1"/>
    <col min="5876" max="5876" width="7" style="47" customWidth="1"/>
    <col min="5877" max="5877" width="11.44140625" style="47" hidden="1" customWidth="1"/>
    <col min="5878" max="5878" width="6.44140625" style="47" customWidth="1"/>
    <col min="5879" max="5888" width="11.44140625" style="47" hidden="1" customWidth="1"/>
    <col min="5889" max="5923" width="11.44140625" style="47" hidden="1"/>
    <col min="5924" max="5924" width="41.44140625" style="47" customWidth="1"/>
    <col min="5925" max="5925" width="6.44140625" style="47" customWidth="1"/>
    <col min="5926" max="5926" width="14.5546875" style="47" customWidth="1"/>
    <col min="5927" max="5927" width="11.44140625" style="47" customWidth="1"/>
    <col min="5928" max="5928" width="13" style="47" customWidth="1"/>
    <col min="5929" max="5929" width="25.44140625" style="47" customWidth="1"/>
    <col min="5930" max="5939" width="9.44140625" style="47" customWidth="1"/>
    <col min="5940" max="5940" width="10.5546875" style="47" customWidth="1"/>
    <col min="5941" max="5941" width="9.44140625" style="47" customWidth="1"/>
    <col min="5942" max="5942" width="10.109375" style="47" customWidth="1"/>
    <col min="5943" max="5954" width="11.44140625" style="47" hidden="1" customWidth="1"/>
    <col min="5955" max="5955" width="19.5546875" style="47" customWidth="1"/>
    <col min="5956" max="5956" width="11.44140625" style="47" customWidth="1"/>
    <col min="5957" max="5957" width="56.88671875" style="47" customWidth="1"/>
    <col min="5958" max="5958" width="9.109375" style="47" customWidth="1"/>
    <col min="5959" max="5959" width="24.44140625" style="47" customWidth="1"/>
    <col min="5960" max="5960" width="30.44140625" style="47" customWidth="1"/>
    <col min="5961" max="5961" width="23.5546875" style="47" customWidth="1"/>
    <col min="5962" max="5962" width="5" style="47" customWidth="1"/>
    <col min="5963" max="5964" width="11.44140625" style="47" hidden="1" customWidth="1"/>
    <col min="5965" max="5965" width="5" style="47" customWidth="1"/>
    <col min="5966" max="5967" width="11.44140625" style="47" hidden="1" customWidth="1"/>
    <col min="5968" max="5968" width="5" style="47" customWidth="1"/>
    <col min="5969" max="5970" width="11.44140625" style="47" hidden="1" customWidth="1"/>
    <col min="5971" max="5971" width="5" style="47" customWidth="1"/>
    <col min="5972" max="6039" width="11.44140625" style="47" hidden="1" customWidth="1"/>
    <col min="6040" max="6040" width="9.44140625" style="47" customWidth="1"/>
    <col min="6041" max="6041" width="11.44140625" style="47" hidden="1" customWidth="1"/>
    <col min="6042" max="6042" width="5" style="47" customWidth="1"/>
    <col min="6043" max="6058" width="11.44140625" style="47" hidden="1" customWidth="1"/>
    <col min="6059" max="6059" width="6.44140625" style="47" customWidth="1"/>
    <col min="6060" max="6060" width="11.44140625" style="47" hidden="1" customWidth="1"/>
    <col min="6061" max="6061" width="7.109375" style="47" customWidth="1"/>
    <col min="6062" max="6063" width="11.44140625" style="47" hidden="1" customWidth="1"/>
    <col min="6064" max="6064" width="7.109375" style="47" customWidth="1"/>
    <col min="6065" max="6066" width="11.44140625" style="47" hidden="1" customWidth="1"/>
    <col min="6067" max="6067" width="7.109375" style="47" customWidth="1"/>
    <col min="6068" max="6069" width="11.44140625" style="47" hidden="1" customWidth="1"/>
    <col min="6070" max="6070" width="7.109375" style="47" customWidth="1"/>
    <col min="6071" max="6072" width="11.44140625" style="47" hidden="1" customWidth="1"/>
    <col min="6073" max="6073" width="7.109375" style="47" customWidth="1"/>
    <col min="6074" max="6075" width="11.44140625" style="47" hidden="1" customWidth="1"/>
    <col min="6076" max="6076" width="7.109375" style="47" customWidth="1"/>
    <col min="6077" max="6078" width="11.44140625" style="47" hidden="1" customWidth="1"/>
    <col min="6079" max="6079" width="7.109375" style="47" customWidth="1"/>
    <col min="6080" max="6081" width="11.44140625" style="47" hidden="1" customWidth="1"/>
    <col min="6082" max="6082" width="7.109375" style="47" customWidth="1"/>
    <col min="6083" max="6083" width="11.44140625" style="47" hidden="1" customWidth="1"/>
    <col min="6084" max="6084" width="6.44140625" style="47" customWidth="1"/>
    <col min="6085" max="6086" width="11.44140625" style="47" hidden="1" customWidth="1"/>
    <col min="6087" max="6087" width="6.88671875" style="47" customWidth="1"/>
    <col min="6088" max="6089" width="11.44140625" style="47" hidden="1" customWidth="1"/>
    <col min="6090" max="6090" width="6.88671875" style="47" customWidth="1"/>
    <col min="6091" max="6092" width="11.44140625" style="47" hidden="1" customWidth="1"/>
    <col min="6093" max="6093" width="6.44140625" style="47" customWidth="1"/>
    <col min="6094" max="6098" width="11.44140625" style="47" hidden="1" customWidth="1"/>
    <col min="6099" max="6099" width="6.44140625" style="47" customWidth="1"/>
    <col min="6100" max="6101" width="11.44140625" style="47" hidden="1" customWidth="1"/>
    <col min="6102" max="6102" width="7.44140625" style="47" customWidth="1"/>
    <col min="6103" max="6103" width="11.44140625" style="47" hidden="1" customWidth="1"/>
    <col min="6104" max="6104" width="9.44140625" style="47" customWidth="1"/>
    <col min="6105" max="6105" width="11.44140625" style="47" hidden="1" customWidth="1"/>
    <col min="6106" max="6106" width="9" style="47" customWidth="1"/>
    <col min="6107" max="6108" width="11.44140625" style="47" hidden="1" customWidth="1"/>
    <col min="6109" max="6109" width="8.44140625" style="47" customWidth="1"/>
    <col min="6110" max="6111" width="11.44140625" style="47" hidden="1" customWidth="1"/>
    <col min="6112" max="6112" width="6.44140625" style="47" customWidth="1"/>
    <col min="6113" max="6114" width="11.44140625" style="47" hidden="1" customWidth="1"/>
    <col min="6115" max="6115" width="7" style="47" customWidth="1"/>
    <col min="6116" max="6117" width="11.44140625" style="47" hidden="1" customWidth="1"/>
    <col min="6118" max="6120" width="7" style="47" customWidth="1"/>
    <col min="6121" max="6122" width="11.44140625" style="47" hidden="1" customWidth="1"/>
    <col min="6123" max="6123" width="7.44140625" style="47" customWidth="1"/>
    <col min="6124" max="6125" width="11.44140625" style="47" hidden="1" customWidth="1"/>
    <col min="6126" max="6126" width="7" style="47" customWidth="1"/>
    <col min="6127" max="6128" width="11.44140625" style="47" hidden="1" customWidth="1"/>
    <col min="6129" max="6129" width="7" style="47" customWidth="1"/>
    <col min="6130" max="6131" width="11.44140625" style="47" hidden="1" customWidth="1"/>
    <col min="6132" max="6132" width="7" style="47" customWidth="1"/>
    <col min="6133" max="6133" width="11.44140625" style="47" hidden="1" customWidth="1"/>
    <col min="6134" max="6134" width="6.44140625" style="47" customWidth="1"/>
    <col min="6135" max="6144" width="11.44140625" style="47" hidden="1" customWidth="1"/>
    <col min="6145" max="6179" width="11.44140625" style="47" hidden="1"/>
    <col min="6180" max="6180" width="41.44140625" style="47" customWidth="1"/>
    <col min="6181" max="6181" width="6.44140625" style="47" customWidth="1"/>
    <col min="6182" max="6182" width="14.5546875" style="47" customWidth="1"/>
    <col min="6183" max="6183" width="11.44140625" style="47" customWidth="1"/>
    <col min="6184" max="6184" width="13" style="47" customWidth="1"/>
    <col min="6185" max="6185" width="25.44140625" style="47" customWidth="1"/>
    <col min="6186" max="6195" width="9.44140625" style="47" customWidth="1"/>
    <col min="6196" max="6196" width="10.5546875" style="47" customWidth="1"/>
    <col min="6197" max="6197" width="9.44140625" style="47" customWidth="1"/>
    <col min="6198" max="6198" width="10.109375" style="47" customWidth="1"/>
    <col min="6199" max="6210" width="11.44140625" style="47" hidden="1" customWidth="1"/>
    <col min="6211" max="6211" width="19.5546875" style="47" customWidth="1"/>
    <col min="6212" max="6212" width="11.44140625" style="47" customWidth="1"/>
    <col min="6213" max="6213" width="56.88671875" style="47" customWidth="1"/>
    <col min="6214" max="6214" width="9.109375" style="47" customWidth="1"/>
    <col min="6215" max="6215" width="24.44140625" style="47" customWidth="1"/>
    <col min="6216" max="6216" width="30.44140625" style="47" customWidth="1"/>
    <col min="6217" max="6217" width="23.5546875" style="47" customWidth="1"/>
    <col min="6218" max="6218" width="5" style="47" customWidth="1"/>
    <col min="6219" max="6220" width="11.44140625" style="47" hidden="1" customWidth="1"/>
    <col min="6221" max="6221" width="5" style="47" customWidth="1"/>
    <col min="6222" max="6223" width="11.44140625" style="47" hidden="1" customWidth="1"/>
    <col min="6224" max="6224" width="5" style="47" customWidth="1"/>
    <col min="6225" max="6226" width="11.44140625" style="47" hidden="1" customWidth="1"/>
    <col min="6227" max="6227" width="5" style="47" customWidth="1"/>
    <col min="6228" max="6295" width="11.44140625" style="47" hidden="1" customWidth="1"/>
    <col min="6296" max="6296" width="9.44140625" style="47" customWidth="1"/>
    <col min="6297" max="6297" width="11.44140625" style="47" hidden="1" customWidth="1"/>
    <col min="6298" max="6298" width="5" style="47" customWidth="1"/>
    <col min="6299" max="6314" width="11.44140625" style="47" hidden="1" customWidth="1"/>
    <col min="6315" max="6315" width="6.44140625" style="47" customWidth="1"/>
    <col min="6316" max="6316" width="11.44140625" style="47" hidden="1" customWidth="1"/>
    <col min="6317" max="6317" width="7.109375" style="47" customWidth="1"/>
    <col min="6318" max="6319" width="11.44140625" style="47" hidden="1" customWidth="1"/>
    <col min="6320" max="6320" width="7.109375" style="47" customWidth="1"/>
    <col min="6321" max="6322" width="11.44140625" style="47" hidden="1" customWidth="1"/>
    <col min="6323" max="6323" width="7.109375" style="47" customWidth="1"/>
    <col min="6324" max="6325" width="11.44140625" style="47" hidden="1" customWidth="1"/>
    <col min="6326" max="6326" width="7.109375" style="47" customWidth="1"/>
    <col min="6327" max="6328" width="11.44140625" style="47" hidden="1" customWidth="1"/>
    <col min="6329" max="6329" width="7.109375" style="47" customWidth="1"/>
    <col min="6330" max="6331" width="11.44140625" style="47" hidden="1" customWidth="1"/>
    <col min="6332" max="6332" width="7.109375" style="47" customWidth="1"/>
    <col min="6333" max="6334" width="11.44140625" style="47" hidden="1" customWidth="1"/>
    <col min="6335" max="6335" width="7.109375" style="47" customWidth="1"/>
    <col min="6336" max="6337" width="11.44140625" style="47" hidden="1" customWidth="1"/>
    <col min="6338" max="6338" width="7.109375" style="47" customWidth="1"/>
    <col min="6339" max="6339" width="11.44140625" style="47" hidden="1" customWidth="1"/>
    <col min="6340" max="6340" width="6.44140625" style="47" customWidth="1"/>
    <col min="6341" max="6342" width="11.44140625" style="47" hidden="1" customWidth="1"/>
    <col min="6343" max="6343" width="6.88671875" style="47" customWidth="1"/>
    <col min="6344" max="6345" width="11.44140625" style="47" hidden="1" customWidth="1"/>
    <col min="6346" max="6346" width="6.88671875" style="47" customWidth="1"/>
    <col min="6347" max="6348" width="11.44140625" style="47" hidden="1" customWidth="1"/>
    <col min="6349" max="6349" width="6.44140625" style="47" customWidth="1"/>
    <col min="6350" max="6354" width="11.44140625" style="47" hidden="1" customWidth="1"/>
    <col min="6355" max="6355" width="6.44140625" style="47" customWidth="1"/>
    <col min="6356" max="6357" width="11.44140625" style="47" hidden="1" customWidth="1"/>
    <col min="6358" max="6358" width="7.44140625" style="47" customWidth="1"/>
    <col min="6359" max="6359" width="11.44140625" style="47" hidden="1" customWidth="1"/>
    <col min="6360" max="6360" width="9.44140625" style="47" customWidth="1"/>
    <col min="6361" max="6361" width="11.44140625" style="47" hidden="1" customWidth="1"/>
    <col min="6362" max="6362" width="9" style="47" customWidth="1"/>
    <col min="6363" max="6364" width="11.44140625" style="47" hidden="1" customWidth="1"/>
    <col min="6365" max="6365" width="8.44140625" style="47" customWidth="1"/>
    <col min="6366" max="6367" width="11.44140625" style="47" hidden="1" customWidth="1"/>
    <col min="6368" max="6368" width="6.44140625" style="47" customWidth="1"/>
    <col min="6369" max="6370" width="11.44140625" style="47" hidden="1" customWidth="1"/>
    <col min="6371" max="6371" width="7" style="47" customWidth="1"/>
    <col min="6372" max="6373" width="11.44140625" style="47" hidden="1" customWidth="1"/>
    <col min="6374" max="6376" width="7" style="47" customWidth="1"/>
    <col min="6377" max="6378" width="11.44140625" style="47" hidden="1" customWidth="1"/>
    <col min="6379" max="6379" width="7.44140625" style="47" customWidth="1"/>
    <col min="6380" max="6381" width="11.44140625" style="47" hidden="1" customWidth="1"/>
    <col min="6382" max="6382" width="7" style="47" customWidth="1"/>
    <col min="6383" max="6384" width="11.44140625" style="47" hidden="1" customWidth="1"/>
    <col min="6385" max="6385" width="7" style="47" customWidth="1"/>
    <col min="6386" max="6387" width="11.44140625" style="47" hidden="1" customWidth="1"/>
    <col min="6388" max="6388" width="7" style="47" customWidth="1"/>
    <col min="6389" max="6389" width="11.44140625" style="47" hidden="1" customWidth="1"/>
    <col min="6390" max="6390" width="6.44140625" style="47" customWidth="1"/>
    <col min="6391" max="6400" width="11.44140625" style="47" hidden="1" customWidth="1"/>
    <col min="6401" max="6435" width="11.44140625" style="47" hidden="1"/>
    <col min="6436" max="6436" width="41.44140625" style="47" customWidth="1"/>
    <col min="6437" max="6437" width="6.44140625" style="47" customWidth="1"/>
    <col min="6438" max="6438" width="14.5546875" style="47" customWidth="1"/>
    <col min="6439" max="6439" width="11.44140625" style="47" customWidth="1"/>
    <col min="6440" max="6440" width="13" style="47" customWidth="1"/>
    <col min="6441" max="6441" width="25.44140625" style="47" customWidth="1"/>
    <col min="6442" max="6451" width="9.44140625" style="47" customWidth="1"/>
    <col min="6452" max="6452" width="10.5546875" style="47" customWidth="1"/>
    <col min="6453" max="6453" width="9.44140625" style="47" customWidth="1"/>
    <col min="6454" max="6454" width="10.109375" style="47" customWidth="1"/>
    <col min="6455" max="6466" width="11.44140625" style="47" hidden="1" customWidth="1"/>
    <col min="6467" max="6467" width="19.5546875" style="47" customWidth="1"/>
    <col min="6468" max="6468" width="11.44140625" style="47" customWidth="1"/>
    <col min="6469" max="6469" width="56.88671875" style="47" customWidth="1"/>
    <col min="6470" max="6470" width="9.109375" style="47" customWidth="1"/>
    <col min="6471" max="6471" width="24.44140625" style="47" customWidth="1"/>
    <col min="6472" max="6472" width="30.44140625" style="47" customWidth="1"/>
    <col min="6473" max="6473" width="23.5546875" style="47" customWidth="1"/>
    <col min="6474" max="6474" width="5" style="47" customWidth="1"/>
    <col min="6475" max="6476" width="11.44140625" style="47" hidden="1" customWidth="1"/>
    <col min="6477" max="6477" width="5" style="47" customWidth="1"/>
    <col min="6478" max="6479" width="11.44140625" style="47" hidden="1" customWidth="1"/>
    <col min="6480" max="6480" width="5" style="47" customWidth="1"/>
    <col min="6481" max="6482" width="11.44140625" style="47" hidden="1" customWidth="1"/>
    <col min="6483" max="6483" width="5" style="47" customWidth="1"/>
    <col min="6484" max="6551" width="11.44140625" style="47" hidden="1" customWidth="1"/>
    <col min="6552" max="6552" width="9.44140625" style="47" customWidth="1"/>
    <col min="6553" max="6553" width="11.44140625" style="47" hidden="1" customWidth="1"/>
    <col min="6554" max="6554" width="5" style="47" customWidth="1"/>
    <col min="6555" max="6570" width="11.44140625" style="47" hidden="1" customWidth="1"/>
    <col min="6571" max="6571" width="6.44140625" style="47" customWidth="1"/>
    <col min="6572" max="6572" width="11.44140625" style="47" hidden="1" customWidth="1"/>
    <col min="6573" max="6573" width="7.109375" style="47" customWidth="1"/>
    <col min="6574" max="6575" width="11.44140625" style="47" hidden="1" customWidth="1"/>
    <col min="6576" max="6576" width="7.109375" style="47" customWidth="1"/>
    <col min="6577" max="6578" width="11.44140625" style="47" hidden="1" customWidth="1"/>
    <col min="6579" max="6579" width="7.109375" style="47" customWidth="1"/>
    <col min="6580" max="6581" width="11.44140625" style="47" hidden="1" customWidth="1"/>
    <col min="6582" max="6582" width="7.109375" style="47" customWidth="1"/>
    <col min="6583" max="6584" width="11.44140625" style="47" hidden="1" customWidth="1"/>
    <col min="6585" max="6585" width="7.109375" style="47" customWidth="1"/>
    <col min="6586" max="6587" width="11.44140625" style="47" hidden="1" customWidth="1"/>
    <col min="6588" max="6588" width="7.109375" style="47" customWidth="1"/>
    <col min="6589" max="6590" width="11.44140625" style="47" hidden="1" customWidth="1"/>
    <col min="6591" max="6591" width="7.109375" style="47" customWidth="1"/>
    <col min="6592" max="6593" width="11.44140625" style="47" hidden="1" customWidth="1"/>
    <col min="6594" max="6594" width="7.109375" style="47" customWidth="1"/>
    <col min="6595" max="6595" width="11.44140625" style="47" hidden="1" customWidth="1"/>
    <col min="6596" max="6596" width="6.44140625" style="47" customWidth="1"/>
    <col min="6597" max="6598" width="11.44140625" style="47" hidden="1" customWidth="1"/>
    <col min="6599" max="6599" width="6.88671875" style="47" customWidth="1"/>
    <col min="6600" max="6601" width="11.44140625" style="47" hidden="1" customWidth="1"/>
    <col min="6602" max="6602" width="6.88671875" style="47" customWidth="1"/>
    <col min="6603" max="6604" width="11.44140625" style="47" hidden="1" customWidth="1"/>
    <col min="6605" max="6605" width="6.44140625" style="47" customWidth="1"/>
    <col min="6606" max="6610" width="11.44140625" style="47" hidden="1" customWidth="1"/>
    <col min="6611" max="6611" width="6.44140625" style="47" customWidth="1"/>
    <col min="6612" max="6613" width="11.44140625" style="47" hidden="1" customWidth="1"/>
    <col min="6614" max="6614" width="7.44140625" style="47" customWidth="1"/>
    <col min="6615" max="6615" width="11.44140625" style="47" hidden="1" customWidth="1"/>
    <col min="6616" max="6616" width="9.44140625" style="47" customWidth="1"/>
    <col min="6617" max="6617" width="11.44140625" style="47" hidden="1" customWidth="1"/>
    <col min="6618" max="6618" width="9" style="47" customWidth="1"/>
    <col min="6619" max="6620" width="11.44140625" style="47" hidden="1" customWidth="1"/>
    <col min="6621" max="6621" width="8.44140625" style="47" customWidth="1"/>
    <col min="6622" max="6623" width="11.44140625" style="47" hidden="1" customWidth="1"/>
    <col min="6624" max="6624" width="6.44140625" style="47" customWidth="1"/>
    <col min="6625" max="6626" width="11.44140625" style="47" hidden="1" customWidth="1"/>
    <col min="6627" max="6627" width="7" style="47" customWidth="1"/>
    <col min="6628" max="6629" width="11.44140625" style="47" hidden="1" customWidth="1"/>
    <col min="6630" max="6632" width="7" style="47" customWidth="1"/>
    <col min="6633" max="6634" width="11.44140625" style="47" hidden="1" customWidth="1"/>
    <col min="6635" max="6635" width="7.44140625" style="47" customWidth="1"/>
    <col min="6636" max="6637" width="11.44140625" style="47" hidden="1" customWidth="1"/>
    <col min="6638" max="6638" width="7" style="47" customWidth="1"/>
    <col min="6639" max="6640" width="11.44140625" style="47" hidden="1" customWidth="1"/>
    <col min="6641" max="6641" width="7" style="47" customWidth="1"/>
    <col min="6642" max="6643" width="11.44140625" style="47" hidden="1" customWidth="1"/>
    <col min="6644" max="6644" width="7" style="47" customWidth="1"/>
    <col min="6645" max="6645" width="11.44140625" style="47" hidden="1" customWidth="1"/>
    <col min="6646" max="6646" width="6.44140625" style="47" customWidth="1"/>
    <col min="6647" max="6656" width="11.44140625" style="47" hidden="1" customWidth="1"/>
    <col min="6657" max="6691" width="11.44140625" style="47" hidden="1"/>
    <col min="6692" max="6692" width="41.44140625" style="47" customWidth="1"/>
    <col min="6693" max="6693" width="6.44140625" style="47" customWidth="1"/>
    <col min="6694" max="6694" width="14.5546875" style="47" customWidth="1"/>
    <col min="6695" max="6695" width="11.44140625" style="47" customWidth="1"/>
    <col min="6696" max="6696" width="13" style="47" customWidth="1"/>
    <col min="6697" max="6697" width="25.44140625" style="47" customWidth="1"/>
    <col min="6698" max="6707" width="9.44140625" style="47" customWidth="1"/>
    <col min="6708" max="6708" width="10.5546875" style="47" customWidth="1"/>
    <col min="6709" max="6709" width="9.44140625" style="47" customWidth="1"/>
    <col min="6710" max="6710" width="10.109375" style="47" customWidth="1"/>
    <col min="6711" max="6722" width="11.44140625" style="47" hidden="1" customWidth="1"/>
    <col min="6723" max="6723" width="19.5546875" style="47" customWidth="1"/>
    <col min="6724" max="6724" width="11.44140625" style="47" customWidth="1"/>
    <col min="6725" max="6725" width="56.88671875" style="47" customWidth="1"/>
    <col min="6726" max="6726" width="9.109375" style="47" customWidth="1"/>
    <col min="6727" max="6727" width="24.44140625" style="47" customWidth="1"/>
    <col min="6728" max="6728" width="30.44140625" style="47" customWidth="1"/>
    <col min="6729" max="6729" width="23.5546875" style="47" customWidth="1"/>
    <col min="6730" max="6730" width="5" style="47" customWidth="1"/>
    <col min="6731" max="6732" width="11.44140625" style="47" hidden="1" customWidth="1"/>
    <col min="6733" max="6733" width="5" style="47" customWidth="1"/>
    <col min="6734" max="6735" width="11.44140625" style="47" hidden="1" customWidth="1"/>
    <col min="6736" max="6736" width="5" style="47" customWidth="1"/>
    <col min="6737" max="6738" width="11.44140625" style="47" hidden="1" customWidth="1"/>
    <col min="6739" max="6739" width="5" style="47" customWidth="1"/>
    <col min="6740" max="6807" width="11.44140625" style="47" hidden="1" customWidth="1"/>
    <col min="6808" max="6808" width="9.44140625" style="47" customWidth="1"/>
    <col min="6809" max="6809" width="11.44140625" style="47" hidden="1" customWidth="1"/>
    <col min="6810" max="6810" width="5" style="47" customWidth="1"/>
    <col min="6811" max="6826" width="11.44140625" style="47" hidden="1" customWidth="1"/>
    <col min="6827" max="6827" width="6.44140625" style="47" customWidth="1"/>
    <col min="6828" max="6828" width="11.44140625" style="47" hidden="1" customWidth="1"/>
    <col min="6829" max="6829" width="7.109375" style="47" customWidth="1"/>
    <col min="6830" max="6831" width="11.44140625" style="47" hidden="1" customWidth="1"/>
    <col min="6832" max="6832" width="7.109375" style="47" customWidth="1"/>
    <col min="6833" max="6834" width="11.44140625" style="47" hidden="1" customWidth="1"/>
    <col min="6835" max="6835" width="7.109375" style="47" customWidth="1"/>
    <col min="6836" max="6837" width="11.44140625" style="47" hidden="1" customWidth="1"/>
    <col min="6838" max="6838" width="7.109375" style="47" customWidth="1"/>
    <col min="6839" max="6840" width="11.44140625" style="47" hidden="1" customWidth="1"/>
    <col min="6841" max="6841" width="7.109375" style="47" customWidth="1"/>
    <col min="6842" max="6843" width="11.44140625" style="47" hidden="1" customWidth="1"/>
    <col min="6844" max="6844" width="7.109375" style="47" customWidth="1"/>
    <col min="6845" max="6846" width="11.44140625" style="47" hidden="1" customWidth="1"/>
    <col min="6847" max="6847" width="7.109375" style="47" customWidth="1"/>
    <col min="6848" max="6849" width="11.44140625" style="47" hidden="1" customWidth="1"/>
    <col min="6850" max="6850" width="7.109375" style="47" customWidth="1"/>
    <col min="6851" max="6851" width="11.44140625" style="47" hidden="1" customWidth="1"/>
    <col min="6852" max="6852" width="6.44140625" style="47" customWidth="1"/>
    <col min="6853" max="6854" width="11.44140625" style="47" hidden="1" customWidth="1"/>
    <col min="6855" max="6855" width="6.88671875" style="47" customWidth="1"/>
    <col min="6856" max="6857" width="11.44140625" style="47" hidden="1" customWidth="1"/>
    <col min="6858" max="6858" width="6.88671875" style="47" customWidth="1"/>
    <col min="6859" max="6860" width="11.44140625" style="47" hidden="1" customWidth="1"/>
    <col min="6861" max="6861" width="6.44140625" style="47" customWidth="1"/>
    <col min="6862" max="6866" width="11.44140625" style="47" hidden="1" customWidth="1"/>
    <col min="6867" max="6867" width="6.44140625" style="47" customWidth="1"/>
    <col min="6868" max="6869" width="11.44140625" style="47" hidden="1" customWidth="1"/>
    <col min="6870" max="6870" width="7.44140625" style="47" customWidth="1"/>
    <col min="6871" max="6871" width="11.44140625" style="47" hidden="1" customWidth="1"/>
    <col min="6872" max="6872" width="9.44140625" style="47" customWidth="1"/>
    <col min="6873" max="6873" width="11.44140625" style="47" hidden="1" customWidth="1"/>
    <col min="6874" max="6874" width="9" style="47" customWidth="1"/>
    <col min="6875" max="6876" width="11.44140625" style="47" hidden="1" customWidth="1"/>
    <col min="6877" max="6877" width="8.44140625" style="47" customWidth="1"/>
    <col min="6878" max="6879" width="11.44140625" style="47" hidden="1" customWidth="1"/>
    <col min="6880" max="6880" width="6.44140625" style="47" customWidth="1"/>
    <col min="6881" max="6882" width="11.44140625" style="47" hidden="1" customWidth="1"/>
    <col min="6883" max="6883" width="7" style="47" customWidth="1"/>
    <col min="6884" max="6885" width="11.44140625" style="47" hidden="1" customWidth="1"/>
    <col min="6886" max="6888" width="7" style="47" customWidth="1"/>
    <col min="6889" max="6890" width="11.44140625" style="47" hidden="1" customWidth="1"/>
    <col min="6891" max="6891" width="7.44140625" style="47" customWidth="1"/>
    <col min="6892" max="6893" width="11.44140625" style="47" hidden="1" customWidth="1"/>
    <col min="6894" max="6894" width="7" style="47" customWidth="1"/>
    <col min="6895" max="6896" width="11.44140625" style="47" hidden="1" customWidth="1"/>
    <col min="6897" max="6897" width="7" style="47" customWidth="1"/>
    <col min="6898" max="6899" width="11.44140625" style="47" hidden="1" customWidth="1"/>
    <col min="6900" max="6900" width="7" style="47" customWidth="1"/>
    <col min="6901" max="6901" width="11.44140625" style="47" hidden="1" customWidth="1"/>
    <col min="6902" max="6902" width="6.44140625" style="47" customWidth="1"/>
    <col min="6903" max="6912" width="11.44140625" style="47" hidden="1" customWidth="1"/>
    <col min="6913" max="6947" width="11.44140625" style="47" hidden="1"/>
    <col min="6948" max="6948" width="41.44140625" style="47" customWidth="1"/>
    <col min="6949" max="6949" width="6.44140625" style="47" customWidth="1"/>
    <col min="6950" max="6950" width="14.5546875" style="47" customWidth="1"/>
    <col min="6951" max="6951" width="11.44140625" style="47" customWidth="1"/>
    <col min="6952" max="6952" width="13" style="47" customWidth="1"/>
    <col min="6953" max="6953" width="25.44140625" style="47" customWidth="1"/>
    <col min="6954" max="6963" width="9.44140625" style="47" customWidth="1"/>
    <col min="6964" max="6964" width="10.5546875" style="47" customWidth="1"/>
    <col min="6965" max="6965" width="9.44140625" style="47" customWidth="1"/>
    <col min="6966" max="6966" width="10.109375" style="47" customWidth="1"/>
    <col min="6967" max="6978" width="11.44140625" style="47" hidden="1" customWidth="1"/>
    <col min="6979" max="6979" width="19.5546875" style="47" customWidth="1"/>
    <col min="6980" max="6980" width="11.44140625" style="47" customWidth="1"/>
    <col min="6981" max="6981" width="56.88671875" style="47" customWidth="1"/>
    <col min="6982" max="6982" width="9.109375" style="47" customWidth="1"/>
    <col min="6983" max="6983" width="24.44140625" style="47" customWidth="1"/>
    <col min="6984" max="6984" width="30.44140625" style="47" customWidth="1"/>
    <col min="6985" max="6985" width="23.5546875" style="47" customWidth="1"/>
    <col min="6986" max="6986" width="5" style="47" customWidth="1"/>
    <col min="6987" max="6988" width="11.44140625" style="47" hidden="1" customWidth="1"/>
    <col min="6989" max="6989" width="5" style="47" customWidth="1"/>
    <col min="6990" max="6991" width="11.44140625" style="47" hidden="1" customWidth="1"/>
    <col min="6992" max="6992" width="5" style="47" customWidth="1"/>
    <col min="6993" max="6994" width="11.44140625" style="47" hidden="1" customWidth="1"/>
    <col min="6995" max="6995" width="5" style="47" customWidth="1"/>
    <col min="6996" max="7063" width="11.44140625" style="47" hidden="1" customWidth="1"/>
    <col min="7064" max="7064" width="9.44140625" style="47" customWidth="1"/>
    <col min="7065" max="7065" width="11.44140625" style="47" hidden="1" customWidth="1"/>
    <col min="7066" max="7066" width="5" style="47" customWidth="1"/>
    <col min="7067" max="7082" width="11.44140625" style="47" hidden="1" customWidth="1"/>
    <col min="7083" max="7083" width="6.44140625" style="47" customWidth="1"/>
    <col min="7084" max="7084" width="11.44140625" style="47" hidden="1" customWidth="1"/>
    <col min="7085" max="7085" width="7.109375" style="47" customWidth="1"/>
    <col min="7086" max="7087" width="11.44140625" style="47" hidden="1" customWidth="1"/>
    <col min="7088" max="7088" width="7.109375" style="47" customWidth="1"/>
    <col min="7089" max="7090" width="11.44140625" style="47" hidden="1" customWidth="1"/>
    <col min="7091" max="7091" width="7.109375" style="47" customWidth="1"/>
    <col min="7092" max="7093" width="11.44140625" style="47" hidden="1" customWidth="1"/>
    <col min="7094" max="7094" width="7.109375" style="47" customWidth="1"/>
    <col min="7095" max="7096" width="11.44140625" style="47" hidden="1" customWidth="1"/>
    <col min="7097" max="7097" width="7.109375" style="47" customWidth="1"/>
    <col min="7098" max="7099" width="11.44140625" style="47" hidden="1" customWidth="1"/>
    <col min="7100" max="7100" width="7.109375" style="47" customWidth="1"/>
    <col min="7101" max="7102" width="11.44140625" style="47" hidden="1" customWidth="1"/>
    <col min="7103" max="7103" width="7.109375" style="47" customWidth="1"/>
    <col min="7104" max="7105" width="11.44140625" style="47" hidden="1" customWidth="1"/>
    <col min="7106" max="7106" width="7.109375" style="47" customWidth="1"/>
    <col min="7107" max="7107" width="11.44140625" style="47" hidden="1" customWidth="1"/>
    <col min="7108" max="7108" width="6.44140625" style="47" customWidth="1"/>
    <col min="7109" max="7110" width="11.44140625" style="47" hidden="1" customWidth="1"/>
    <col min="7111" max="7111" width="6.88671875" style="47" customWidth="1"/>
    <col min="7112" max="7113" width="11.44140625" style="47" hidden="1" customWidth="1"/>
    <col min="7114" max="7114" width="6.88671875" style="47" customWidth="1"/>
    <col min="7115" max="7116" width="11.44140625" style="47" hidden="1" customWidth="1"/>
    <col min="7117" max="7117" width="6.44140625" style="47" customWidth="1"/>
    <col min="7118" max="7122" width="11.44140625" style="47" hidden="1" customWidth="1"/>
    <col min="7123" max="7123" width="6.44140625" style="47" customWidth="1"/>
    <col min="7124" max="7125" width="11.44140625" style="47" hidden="1" customWidth="1"/>
    <col min="7126" max="7126" width="7.44140625" style="47" customWidth="1"/>
    <col min="7127" max="7127" width="11.44140625" style="47" hidden="1" customWidth="1"/>
    <col min="7128" max="7128" width="9.44140625" style="47" customWidth="1"/>
    <col min="7129" max="7129" width="11.44140625" style="47" hidden="1" customWidth="1"/>
    <col min="7130" max="7130" width="9" style="47" customWidth="1"/>
    <col min="7131" max="7132" width="11.44140625" style="47" hidden="1" customWidth="1"/>
    <col min="7133" max="7133" width="8.44140625" style="47" customWidth="1"/>
    <col min="7134" max="7135" width="11.44140625" style="47" hidden="1" customWidth="1"/>
    <col min="7136" max="7136" width="6.44140625" style="47" customWidth="1"/>
    <col min="7137" max="7138" width="11.44140625" style="47" hidden="1" customWidth="1"/>
    <col min="7139" max="7139" width="7" style="47" customWidth="1"/>
    <col min="7140" max="7141" width="11.44140625" style="47" hidden="1" customWidth="1"/>
    <col min="7142" max="7144" width="7" style="47" customWidth="1"/>
    <col min="7145" max="7146" width="11.44140625" style="47" hidden="1" customWidth="1"/>
    <col min="7147" max="7147" width="7.44140625" style="47" customWidth="1"/>
    <col min="7148" max="7149" width="11.44140625" style="47" hidden="1" customWidth="1"/>
    <col min="7150" max="7150" width="7" style="47" customWidth="1"/>
    <col min="7151" max="7152" width="11.44140625" style="47" hidden="1" customWidth="1"/>
    <col min="7153" max="7153" width="7" style="47" customWidth="1"/>
    <col min="7154" max="7155" width="11.44140625" style="47" hidden="1" customWidth="1"/>
    <col min="7156" max="7156" width="7" style="47" customWidth="1"/>
    <col min="7157" max="7157" width="11.44140625" style="47" hidden="1" customWidth="1"/>
    <col min="7158" max="7158" width="6.44140625" style="47" customWidth="1"/>
    <col min="7159" max="7168" width="11.44140625" style="47" hidden="1" customWidth="1"/>
    <col min="7169" max="7203" width="11.44140625" style="47" hidden="1"/>
    <col min="7204" max="7204" width="41.44140625" style="47" customWidth="1"/>
    <col min="7205" max="7205" width="6.44140625" style="47" customWidth="1"/>
    <col min="7206" max="7206" width="14.5546875" style="47" customWidth="1"/>
    <col min="7207" max="7207" width="11.44140625" style="47" customWidth="1"/>
    <col min="7208" max="7208" width="13" style="47" customWidth="1"/>
    <col min="7209" max="7209" width="25.44140625" style="47" customWidth="1"/>
    <col min="7210" max="7219" width="9.44140625" style="47" customWidth="1"/>
    <col min="7220" max="7220" width="10.5546875" style="47" customWidth="1"/>
    <col min="7221" max="7221" width="9.44140625" style="47" customWidth="1"/>
    <col min="7222" max="7222" width="10.109375" style="47" customWidth="1"/>
    <col min="7223" max="7234" width="11.44140625" style="47" hidden="1" customWidth="1"/>
    <col min="7235" max="7235" width="19.5546875" style="47" customWidth="1"/>
    <col min="7236" max="7236" width="11.44140625" style="47" customWidth="1"/>
    <col min="7237" max="7237" width="56.88671875" style="47" customWidth="1"/>
    <col min="7238" max="7238" width="9.109375" style="47" customWidth="1"/>
    <col min="7239" max="7239" width="24.44140625" style="47" customWidth="1"/>
    <col min="7240" max="7240" width="30.44140625" style="47" customWidth="1"/>
    <col min="7241" max="7241" width="23.5546875" style="47" customWidth="1"/>
    <col min="7242" max="7242" width="5" style="47" customWidth="1"/>
    <col min="7243" max="7244" width="11.44140625" style="47" hidden="1" customWidth="1"/>
    <col min="7245" max="7245" width="5" style="47" customWidth="1"/>
    <col min="7246" max="7247" width="11.44140625" style="47" hidden="1" customWidth="1"/>
    <col min="7248" max="7248" width="5" style="47" customWidth="1"/>
    <col min="7249" max="7250" width="11.44140625" style="47" hidden="1" customWidth="1"/>
    <col min="7251" max="7251" width="5" style="47" customWidth="1"/>
    <col min="7252" max="7319" width="11.44140625" style="47" hidden="1" customWidth="1"/>
    <col min="7320" max="7320" width="9.44140625" style="47" customWidth="1"/>
    <col min="7321" max="7321" width="11.44140625" style="47" hidden="1" customWidth="1"/>
    <col min="7322" max="7322" width="5" style="47" customWidth="1"/>
    <col min="7323" max="7338" width="11.44140625" style="47" hidden="1" customWidth="1"/>
    <col min="7339" max="7339" width="6.44140625" style="47" customWidth="1"/>
    <col min="7340" max="7340" width="11.44140625" style="47" hidden="1" customWidth="1"/>
    <col min="7341" max="7341" width="7.109375" style="47" customWidth="1"/>
    <col min="7342" max="7343" width="11.44140625" style="47" hidden="1" customWidth="1"/>
    <col min="7344" max="7344" width="7.109375" style="47" customWidth="1"/>
    <col min="7345" max="7346" width="11.44140625" style="47" hidden="1" customWidth="1"/>
    <col min="7347" max="7347" width="7.109375" style="47" customWidth="1"/>
    <col min="7348" max="7349" width="11.44140625" style="47" hidden="1" customWidth="1"/>
    <col min="7350" max="7350" width="7.109375" style="47" customWidth="1"/>
    <col min="7351" max="7352" width="11.44140625" style="47" hidden="1" customWidth="1"/>
    <col min="7353" max="7353" width="7.109375" style="47" customWidth="1"/>
    <col min="7354" max="7355" width="11.44140625" style="47" hidden="1" customWidth="1"/>
    <col min="7356" max="7356" width="7.109375" style="47" customWidth="1"/>
    <col min="7357" max="7358" width="11.44140625" style="47" hidden="1" customWidth="1"/>
    <col min="7359" max="7359" width="7.109375" style="47" customWidth="1"/>
    <col min="7360" max="7361" width="11.44140625" style="47" hidden="1" customWidth="1"/>
    <col min="7362" max="7362" width="7.109375" style="47" customWidth="1"/>
    <col min="7363" max="7363" width="11.44140625" style="47" hidden="1" customWidth="1"/>
    <col min="7364" max="7364" width="6.44140625" style="47" customWidth="1"/>
    <col min="7365" max="7366" width="11.44140625" style="47" hidden="1" customWidth="1"/>
    <col min="7367" max="7367" width="6.88671875" style="47" customWidth="1"/>
    <col min="7368" max="7369" width="11.44140625" style="47" hidden="1" customWidth="1"/>
    <col min="7370" max="7370" width="6.88671875" style="47" customWidth="1"/>
    <col min="7371" max="7372" width="11.44140625" style="47" hidden="1" customWidth="1"/>
    <col min="7373" max="7373" width="6.44140625" style="47" customWidth="1"/>
    <col min="7374" max="7378" width="11.44140625" style="47" hidden="1" customWidth="1"/>
    <col min="7379" max="7379" width="6.44140625" style="47" customWidth="1"/>
    <col min="7380" max="7381" width="11.44140625" style="47" hidden="1" customWidth="1"/>
    <col min="7382" max="7382" width="7.44140625" style="47" customWidth="1"/>
    <col min="7383" max="7383" width="11.44140625" style="47" hidden="1" customWidth="1"/>
    <col min="7384" max="7384" width="9.44140625" style="47" customWidth="1"/>
    <col min="7385" max="7385" width="11.44140625" style="47" hidden="1" customWidth="1"/>
    <col min="7386" max="7386" width="9" style="47" customWidth="1"/>
    <col min="7387" max="7388" width="11.44140625" style="47" hidden="1" customWidth="1"/>
    <col min="7389" max="7389" width="8.44140625" style="47" customWidth="1"/>
    <col min="7390" max="7391" width="11.44140625" style="47" hidden="1" customWidth="1"/>
    <col min="7392" max="7392" width="6.44140625" style="47" customWidth="1"/>
    <col min="7393" max="7394" width="11.44140625" style="47" hidden="1" customWidth="1"/>
    <col min="7395" max="7395" width="7" style="47" customWidth="1"/>
    <col min="7396" max="7397" width="11.44140625" style="47" hidden="1" customWidth="1"/>
    <col min="7398" max="7400" width="7" style="47" customWidth="1"/>
    <col min="7401" max="7402" width="11.44140625" style="47" hidden="1" customWidth="1"/>
    <col min="7403" max="7403" width="7.44140625" style="47" customWidth="1"/>
    <col min="7404" max="7405" width="11.44140625" style="47" hidden="1" customWidth="1"/>
    <col min="7406" max="7406" width="7" style="47" customWidth="1"/>
    <col min="7407" max="7408" width="11.44140625" style="47" hidden="1" customWidth="1"/>
    <col min="7409" max="7409" width="7" style="47" customWidth="1"/>
    <col min="7410" max="7411" width="11.44140625" style="47" hidden="1" customWidth="1"/>
    <col min="7412" max="7412" width="7" style="47" customWidth="1"/>
    <col min="7413" max="7413" width="11.44140625" style="47" hidden="1" customWidth="1"/>
    <col min="7414" max="7414" width="6.44140625" style="47" customWidth="1"/>
    <col min="7415" max="7424" width="11.44140625" style="47" hidden="1" customWidth="1"/>
    <col min="7425" max="7459" width="11.44140625" style="47" hidden="1"/>
    <col min="7460" max="7460" width="41.44140625" style="47" customWidth="1"/>
    <col min="7461" max="7461" width="6.44140625" style="47" customWidth="1"/>
    <col min="7462" max="7462" width="14.5546875" style="47" customWidth="1"/>
    <col min="7463" max="7463" width="11.44140625" style="47" customWidth="1"/>
    <col min="7464" max="7464" width="13" style="47" customWidth="1"/>
    <col min="7465" max="7465" width="25.44140625" style="47" customWidth="1"/>
    <col min="7466" max="7475" width="9.44140625" style="47" customWidth="1"/>
    <col min="7476" max="7476" width="10.5546875" style="47" customWidth="1"/>
    <col min="7477" max="7477" width="9.44140625" style="47" customWidth="1"/>
    <col min="7478" max="7478" width="10.109375" style="47" customWidth="1"/>
    <col min="7479" max="7490" width="11.44140625" style="47" hidden="1" customWidth="1"/>
    <col min="7491" max="7491" width="19.5546875" style="47" customWidth="1"/>
    <col min="7492" max="7492" width="11.44140625" style="47" customWidth="1"/>
    <col min="7493" max="7493" width="56.88671875" style="47" customWidth="1"/>
    <col min="7494" max="7494" width="9.109375" style="47" customWidth="1"/>
    <col min="7495" max="7495" width="24.44140625" style="47" customWidth="1"/>
    <col min="7496" max="7496" width="30.44140625" style="47" customWidth="1"/>
    <col min="7497" max="7497" width="23.5546875" style="47" customWidth="1"/>
    <col min="7498" max="7498" width="5" style="47" customWidth="1"/>
    <col min="7499" max="7500" width="11.44140625" style="47" hidden="1" customWidth="1"/>
    <col min="7501" max="7501" width="5" style="47" customWidth="1"/>
    <col min="7502" max="7503" width="11.44140625" style="47" hidden="1" customWidth="1"/>
    <col min="7504" max="7504" width="5" style="47" customWidth="1"/>
    <col min="7505" max="7506" width="11.44140625" style="47" hidden="1" customWidth="1"/>
    <col min="7507" max="7507" width="5" style="47" customWidth="1"/>
    <col min="7508" max="7575" width="11.44140625" style="47" hidden="1" customWidth="1"/>
    <col min="7576" max="7576" width="9.44140625" style="47" customWidth="1"/>
    <col min="7577" max="7577" width="11.44140625" style="47" hidden="1" customWidth="1"/>
    <col min="7578" max="7578" width="5" style="47" customWidth="1"/>
    <col min="7579" max="7594" width="11.44140625" style="47" hidden="1" customWidth="1"/>
    <col min="7595" max="7595" width="6.44140625" style="47" customWidth="1"/>
    <col min="7596" max="7596" width="11.44140625" style="47" hidden="1" customWidth="1"/>
    <col min="7597" max="7597" width="7.109375" style="47" customWidth="1"/>
    <col min="7598" max="7599" width="11.44140625" style="47" hidden="1" customWidth="1"/>
    <col min="7600" max="7600" width="7.109375" style="47" customWidth="1"/>
    <col min="7601" max="7602" width="11.44140625" style="47" hidden="1" customWidth="1"/>
    <col min="7603" max="7603" width="7.109375" style="47" customWidth="1"/>
    <col min="7604" max="7605" width="11.44140625" style="47" hidden="1" customWidth="1"/>
    <col min="7606" max="7606" width="7.109375" style="47" customWidth="1"/>
    <col min="7607" max="7608" width="11.44140625" style="47" hidden="1" customWidth="1"/>
    <col min="7609" max="7609" width="7.109375" style="47" customWidth="1"/>
    <col min="7610" max="7611" width="11.44140625" style="47" hidden="1" customWidth="1"/>
    <col min="7612" max="7612" width="7.109375" style="47" customWidth="1"/>
    <col min="7613" max="7614" width="11.44140625" style="47" hidden="1" customWidth="1"/>
    <col min="7615" max="7615" width="7.109375" style="47" customWidth="1"/>
    <col min="7616" max="7617" width="11.44140625" style="47" hidden="1" customWidth="1"/>
    <col min="7618" max="7618" width="7.109375" style="47" customWidth="1"/>
    <col min="7619" max="7619" width="11.44140625" style="47" hidden="1" customWidth="1"/>
    <col min="7620" max="7620" width="6.44140625" style="47" customWidth="1"/>
    <col min="7621" max="7622" width="11.44140625" style="47" hidden="1" customWidth="1"/>
    <col min="7623" max="7623" width="6.88671875" style="47" customWidth="1"/>
    <col min="7624" max="7625" width="11.44140625" style="47" hidden="1" customWidth="1"/>
    <col min="7626" max="7626" width="6.88671875" style="47" customWidth="1"/>
    <col min="7627" max="7628" width="11.44140625" style="47" hidden="1" customWidth="1"/>
    <col min="7629" max="7629" width="6.44140625" style="47" customWidth="1"/>
    <col min="7630" max="7634" width="11.44140625" style="47" hidden="1" customWidth="1"/>
    <col min="7635" max="7635" width="6.44140625" style="47" customWidth="1"/>
    <col min="7636" max="7637" width="11.44140625" style="47" hidden="1" customWidth="1"/>
    <col min="7638" max="7638" width="7.44140625" style="47" customWidth="1"/>
    <col min="7639" max="7639" width="11.44140625" style="47" hidden="1" customWidth="1"/>
    <col min="7640" max="7640" width="9.44140625" style="47" customWidth="1"/>
    <col min="7641" max="7641" width="11.44140625" style="47" hidden="1" customWidth="1"/>
    <col min="7642" max="7642" width="9" style="47" customWidth="1"/>
    <col min="7643" max="7644" width="11.44140625" style="47" hidden="1" customWidth="1"/>
    <col min="7645" max="7645" width="8.44140625" style="47" customWidth="1"/>
    <col min="7646" max="7647" width="11.44140625" style="47" hidden="1" customWidth="1"/>
    <col min="7648" max="7648" width="6.44140625" style="47" customWidth="1"/>
    <col min="7649" max="7650" width="11.44140625" style="47" hidden="1" customWidth="1"/>
    <col min="7651" max="7651" width="7" style="47" customWidth="1"/>
    <col min="7652" max="7653" width="11.44140625" style="47" hidden="1" customWidth="1"/>
    <col min="7654" max="7656" width="7" style="47" customWidth="1"/>
    <col min="7657" max="7658" width="11.44140625" style="47" hidden="1" customWidth="1"/>
    <col min="7659" max="7659" width="7.44140625" style="47" customWidth="1"/>
    <col min="7660" max="7661" width="11.44140625" style="47" hidden="1" customWidth="1"/>
    <col min="7662" max="7662" width="7" style="47" customWidth="1"/>
    <col min="7663" max="7664" width="11.44140625" style="47" hidden="1" customWidth="1"/>
    <col min="7665" max="7665" width="7" style="47" customWidth="1"/>
    <col min="7666" max="7667" width="11.44140625" style="47" hidden="1" customWidth="1"/>
    <col min="7668" max="7668" width="7" style="47" customWidth="1"/>
    <col min="7669" max="7669" width="11.44140625" style="47" hidden="1" customWidth="1"/>
    <col min="7670" max="7670" width="6.44140625" style="47" customWidth="1"/>
    <col min="7671" max="7680" width="11.44140625" style="47" hidden="1" customWidth="1"/>
    <col min="7681" max="7715" width="11.44140625" style="47" hidden="1"/>
    <col min="7716" max="7716" width="41.44140625" style="47" customWidth="1"/>
    <col min="7717" max="7717" width="6.44140625" style="47" customWidth="1"/>
    <col min="7718" max="7718" width="14.5546875" style="47" customWidth="1"/>
    <col min="7719" max="7719" width="11.44140625" style="47" customWidth="1"/>
    <col min="7720" max="7720" width="13" style="47" customWidth="1"/>
    <col min="7721" max="7721" width="25.44140625" style="47" customWidth="1"/>
    <col min="7722" max="7731" width="9.44140625" style="47" customWidth="1"/>
    <col min="7732" max="7732" width="10.5546875" style="47" customWidth="1"/>
    <col min="7733" max="7733" width="9.44140625" style="47" customWidth="1"/>
    <col min="7734" max="7734" width="10.109375" style="47" customWidth="1"/>
    <col min="7735" max="7746" width="11.44140625" style="47" hidden="1" customWidth="1"/>
    <col min="7747" max="7747" width="19.5546875" style="47" customWidth="1"/>
    <col min="7748" max="7748" width="11.44140625" style="47" customWidth="1"/>
    <col min="7749" max="7749" width="56.88671875" style="47" customWidth="1"/>
    <col min="7750" max="7750" width="9.109375" style="47" customWidth="1"/>
    <col min="7751" max="7751" width="24.44140625" style="47" customWidth="1"/>
    <col min="7752" max="7752" width="30.44140625" style="47" customWidth="1"/>
    <col min="7753" max="7753" width="23.5546875" style="47" customWidth="1"/>
    <col min="7754" max="7754" width="5" style="47" customWidth="1"/>
    <col min="7755" max="7756" width="11.44140625" style="47" hidden="1" customWidth="1"/>
    <col min="7757" max="7757" width="5" style="47" customWidth="1"/>
    <col min="7758" max="7759" width="11.44140625" style="47" hidden="1" customWidth="1"/>
    <col min="7760" max="7760" width="5" style="47" customWidth="1"/>
    <col min="7761" max="7762" width="11.44140625" style="47" hidden="1" customWidth="1"/>
    <col min="7763" max="7763" width="5" style="47" customWidth="1"/>
    <col min="7764" max="7831" width="11.44140625" style="47" hidden="1" customWidth="1"/>
    <col min="7832" max="7832" width="9.44140625" style="47" customWidth="1"/>
    <col min="7833" max="7833" width="11.44140625" style="47" hidden="1" customWidth="1"/>
    <col min="7834" max="7834" width="5" style="47" customWidth="1"/>
    <col min="7835" max="7850" width="11.44140625" style="47" hidden="1" customWidth="1"/>
    <col min="7851" max="7851" width="6.44140625" style="47" customWidth="1"/>
    <col min="7852" max="7852" width="11.44140625" style="47" hidden="1" customWidth="1"/>
    <col min="7853" max="7853" width="7.109375" style="47" customWidth="1"/>
    <col min="7854" max="7855" width="11.44140625" style="47" hidden="1" customWidth="1"/>
    <col min="7856" max="7856" width="7.109375" style="47" customWidth="1"/>
    <col min="7857" max="7858" width="11.44140625" style="47" hidden="1" customWidth="1"/>
    <col min="7859" max="7859" width="7.109375" style="47" customWidth="1"/>
    <col min="7860" max="7861" width="11.44140625" style="47" hidden="1" customWidth="1"/>
    <col min="7862" max="7862" width="7.109375" style="47" customWidth="1"/>
    <col min="7863" max="7864" width="11.44140625" style="47" hidden="1" customWidth="1"/>
    <col min="7865" max="7865" width="7.109375" style="47" customWidth="1"/>
    <col min="7866" max="7867" width="11.44140625" style="47" hidden="1" customWidth="1"/>
    <col min="7868" max="7868" width="7.109375" style="47" customWidth="1"/>
    <col min="7869" max="7870" width="11.44140625" style="47" hidden="1" customWidth="1"/>
    <col min="7871" max="7871" width="7.109375" style="47" customWidth="1"/>
    <col min="7872" max="7873" width="11.44140625" style="47" hidden="1" customWidth="1"/>
    <col min="7874" max="7874" width="7.109375" style="47" customWidth="1"/>
    <col min="7875" max="7875" width="11.44140625" style="47" hidden="1" customWidth="1"/>
    <col min="7876" max="7876" width="6.44140625" style="47" customWidth="1"/>
    <col min="7877" max="7878" width="11.44140625" style="47" hidden="1" customWidth="1"/>
    <col min="7879" max="7879" width="6.88671875" style="47" customWidth="1"/>
    <col min="7880" max="7881" width="11.44140625" style="47" hidden="1" customWidth="1"/>
    <col min="7882" max="7882" width="6.88671875" style="47" customWidth="1"/>
    <col min="7883" max="7884" width="11.44140625" style="47" hidden="1" customWidth="1"/>
    <col min="7885" max="7885" width="6.44140625" style="47" customWidth="1"/>
    <col min="7886" max="7890" width="11.44140625" style="47" hidden="1" customWidth="1"/>
    <col min="7891" max="7891" width="6.44140625" style="47" customWidth="1"/>
    <col min="7892" max="7893" width="11.44140625" style="47" hidden="1" customWidth="1"/>
    <col min="7894" max="7894" width="7.44140625" style="47" customWidth="1"/>
    <col min="7895" max="7895" width="11.44140625" style="47" hidden="1" customWidth="1"/>
    <col min="7896" max="7896" width="9.44140625" style="47" customWidth="1"/>
    <col min="7897" max="7897" width="11.44140625" style="47" hidden="1" customWidth="1"/>
    <col min="7898" max="7898" width="9" style="47" customWidth="1"/>
    <col min="7899" max="7900" width="11.44140625" style="47" hidden="1" customWidth="1"/>
    <col min="7901" max="7901" width="8.44140625" style="47" customWidth="1"/>
    <col min="7902" max="7903" width="11.44140625" style="47" hidden="1" customWidth="1"/>
    <col min="7904" max="7904" width="6.44140625" style="47" customWidth="1"/>
    <col min="7905" max="7906" width="11.44140625" style="47" hidden="1" customWidth="1"/>
    <col min="7907" max="7907" width="7" style="47" customWidth="1"/>
    <col min="7908" max="7909" width="11.44140625" style="47" hidden="1" customWidth="1"/>
    <col min="7910" max="7912" width="7" style="47" customWidth="1"/>
    <col min="7913" max="7914" width="11.44140625" style="47" hidden="1" customWidth="1"/>
    <col min="7915" max="7915" width="7.44140625" style="47" customWidth="1"/>
    <col min="7916" max="7917" width="11.44140625" style="47" hidden="1" customWidth="1"/>
    <col min="7918" max="7918" width="7" style="47" customWidth="1"/>
    <col min="7919" max="7920" width="11.44140625" style="47" hidden="1" customWidth="1"/>
    <col min="7921" max="7921" width="7" style="47" customWidth="1"/>
    <col min="7922" max="7923" width="11.44140625" style="47" hidden="1" customWidth="1"/>
    <col min="7924" max="7924" width="7" style="47" customWidth="1"/>
    <col min="7925" max="7925" width="11.44140625" style="47" hidden="1" customWidth="1"/>
    <col min="7926" max="7926" width="6.44140625" style="47" customWidth="1"/>
    <col min="7927" max="7936" width="11.44140625" style="47" hidden="1" customWidth="1"/>
    <col min="7937" max="7971" width="11.44140625" style="47" hidden="1"/>
    <col min="7972" max="7972" width="41.44140625" style="47" customWidth="1"/>
    <col min="7973" max="7973" width="6.44140625" style="47" customWidth="1"/>
    <col min="7974" max="7974" width="14.5546875" style="47" customWidth="1"/>
    <col min="7975" max="7975" width="11.44140625" style="47" customWidth="1"/>
    <col min="7976" max="7976" width="13" style="47" customWidth="1"/>
    <col min="7977" max="7977" width="25.44140625" style="47" customWidth="1"/>
    <col min="7978" max="7987" width="9.44140625" style="47" customWidth="1"/>
    <col min="7988" max="7988" width="10.5546875" style="47" customWidth="1"/>
    <col min="7989" max="7989" width="9.44140625" style="47" customWidth="1"/>
    <col min="7990" max="7990" width="10.109375" style="47" customWidth="1"/>
    <col min="7991" max="8002" width="11.44140625" style="47" hidden="1" customWidth="1"/>
    <col min="8003" max="8003" width="19.5546875" style="47" customWidth="1"/>
    <col min="8004" max="8004" width="11.44140625" style="47" customWidth="1"/>
    <col min="8005" max="8005" width="56.88671875" style="47" customWidth="1"/>
    <col min="8006" max="8006" width="9.109375" style="47" customWidth="1"/>
    <col min="8007" max="8007" width="24.44140625" style="47" customWidth="1"/>
    <col min="8008" max="8008" width="30.44140625" style="47" customWidth="1"/>
    <col min="8009" max="8009" width="23.5546875" style="47" customWidth="1"/>
    <col min="8010" max="8010" width="5" style="47" customWidth="1"/>
    <col min="8011" max="8012" width="11.44140625" style="47" hidden="1" customWidth="1"/>
    <col min="8013" max="8013" width="5" style="47" customWidth="1"/>
    <col min="8014" max="8015" width="11.44140625" style="47" hidden="1" customWidth="1"/>
    <col min="8016" max="8016" width="5" style="47" customWidth="1"/>
    <col min="8017" max="8018" width="11.44140625" style="47" hidden="1" customWidth="1"/>
    <col min="8019" max="8019" width="5" style="47" customWidth="1"/>
    <col min="8020" max="8087" width="11.44140625" style="47" hidden="1" customWidth="1"/>
    <col min="8088" max="8088" width="9.44140625" style="47" customWidth="1"/>
    <col min="8089" max="8089" width="11.44140625" style="47" hidden="1" customWidth="1"/>
    <col min="8090" max="8090" width="5" style="47" customWidth="1"/>
    <col min="8091" max="8106" width="11.44140625" style="47" hidden="1" customWidth="1"/>
    <col min="8107" max="8107" width="6.44140625" style="47" customWidth="1"/>
    <col min="8108" max="8108" width="11.44140625" style="47" hidden="1" customWidth="1"/>
    <col min="8109" max="8109" width="7.109375" style="47" customWidth="1"/>
    <col min="8110" max="8111" width="11.44140625" style="47" hidden="1" customWidth="1"/>
    <col min="8112" max="8112" width="7.109375" style="47" customWidth="1"/>
    <col min="8113" max="8114" width="11.44140625" style="47" hidden="1" customWidth="1"/>
    <col min="8115" max="8115" width="7.109375" style="47" customWidth="1"/>
    <col min="8116" max="8117" width="11.44140625" style="47" hidden="1" customWidth="1"/>
    <col min="8118" max="8118" width="7.109375" style="47" customWidth="1"/>
    <col min="8119" max="8120" width="11.44140625" style="47" hidden="1" customWidth="1"/>
    <col min="8121" max="8121" width="7.109375" style="47" customWidth="1"/>
    <col min="8122" max="8123" width="11.44140625" style="47" hidden="1" customWidth="1"/>
    <col min="8124" max="8124" width="7.109375" style="47" customWidth="1"/>
    <col min="8125" max="8126" width="11.44140625" style="47" hidden="1" customWidth="1"/>
    <col min="8127" max="8127" width="7.109375" style="47" customWidth="1"/>
    <col min="8128" max="8129" width="11.44140625" style="47" hidden="1" customWidth="1"/>
    <col min="8130" max="8130" width="7.109375" style="47" customWidth="1"/>
    <col min="8131" max="8131" width="11.44140625" style="47" hidden="1" customWidth="1"/>
    <col min="8132" max="8132" width="6.44140625" style="47" customWidth="1"/>
    <col min="8133" max="8134" width="11.44140625" style="47" hidden="1" customWidth="1"/>
    <col min="8135" max="8135" width="6.88671875" style="47" customWidth="1"/>
    <col min="8136" max="8137" width="11.44140625" style="47" hidden="1" customWidth="1"/>
    <col min="8138" max="8138" width="6.88671875" style="47" customWidth="1"/>
    <col min="8139" max="8140" width="11.44140625" style="47" hidden="1" customWidth="1"/>
    <col min="8141" max="8141" width="6.44140625" style="47" customWidth="1"/>
    <col min="8142" max="8146" width="11.44140625" style="47" hidden="1" customWidth="1"/>
    <col min="8147" max="8147" width="6.44140625" style="47" customWidth="1"/>
    <col min="8148" max="8149" width="11.44140625" style="47" hidden="1" customWidth="1"/>
    <col min="8150" max="8150" width="7.44140625" style="47" customWidth="1"/>
    <col min="8151" max="8151" width="11.44140625" style="47" hidden="1" customWidth="1"/>
    <col min="8152" max="8152" width="9.44140625" style="47" customWidth="1"/>
    <col min="8153" max="8153" width="11.44140625" style="47" hidden="1" customWidth="1"/>
    <col min="8154" max="8154" width="9" style="47" customWidth="1"/>
    <col min="8155" max="8156" width="11.44140625" style="47" hidden="1" customWidth="1"/>
    <col min="8157" max="8157" width="8.44140625" style="47" customWidth="1"/>
    <col min="8158" max="8159" width="11.44140625" style="47" hidden="1" customWidth="1"/>
    <col min="8160" max="8160" width="6.44140625" style="47" customWidth="1"/>
    <col min="8161" max="8162" width="11.44140625" style="47" hidden="1" customWidth="1"/>
    <col min="8163" max="8163" width="7" style="47" customWidth="1"/>
    <col min="8164" max="8165" width="11.44140625" style="47" hidden="1" customWidth="1"/>
    <col min="8166" max="8168" width="7" style="47" customWidth="1"/>
    <col min="8169" max="8170" width="11.44140625" style="47" hidden="1" customWidth="1"/>
    <col min="8171" max="8171" width="7.44140625" style="47" customWidth="1"/>
    <col min="8172" max="8173" width="11.44140625" style="47" hidden="1" customWidth="1"/>
    <col min="8174" max="8174" width="7" style="47" customWidth="1"/>
    <col min="8175" max="8176" width="11.44140625" style="47" hidden="1" customWidth="1"/>
    <col min="8177" max="8177" width="7" style="47" customWidth="1"/>
    <col min="8178" max="8179" width="11.44140625" style="47" hidden="1" customWidth="1"/>
    <col min="8180" max="8180" width="7" style="47" customWidth="1"/>
    <col min="8181" max="8181" width="11.44140625" style="47" hidden="1" customWidth="1"/>
    <col min="8182" max="8182" width="6.44140625" style="47" customWidth="1"/>
    <col min="8183" max="8192" width="11.44140625" style="47" hidden="1" customWidth="1"/>
    <col min="8193" max="8227" width="11.44140625" style="47" hidden="1"/>
    <col min="8228" max="8228" width="41.44140625" style="47" customWidth="1"/>
    <col min="8229" max="8229" width="6.44140625" style="47" customWidth="1"/>
    <col min="8230" max="8230" width="14.5546875" style="47" customWidth="1"/>
    <col min="8231" max="8231" width="11.44140625" style="47" customWidth="1"/>
    <col min="8232" max="8232" width="13" style="47" customWidth="1"/>
    <col min="8233" max="8233" width="25.44140625" style="47" customWidth="1"/>
    <col min="8234" max="8243" width="9.44140625" style="47" customWidth="1"/>
    <col min="8244" max="8244" width="10.5546875" style="47" customWidth="1"/>
    <col min="8245" max="8245" width="9.44140625" style="47" customWidth="1"/>
    <col min="8246" max="8246" width="10.109375" style="47" customWidth="1"/>
    <col min="8247" max="8258" width="11.44140625" style="47" hidden="1" customWidth="1"/>
    <col min="8259" max="8259" width="19.5546875" style="47" customWidth="1"/>
    <col min="8260" max="8260" width="11.44140625" style="47" customWidth="1"/>
    <col min="8261" max="8261" width="56.88671875" style="47" customWidth="1"/>
    <col min="8262" max="8262" width="9.109375" style="47" customWidth="1"/>
    <col min="8263" max="8263" width="24.44140625" style="47" customWidth="1"/>
    <col min="8264" max="8264" width="30.44140625" style="47" customWidth="1"/>
    <col min="8265" max="8265" width="23.5546875" style="47" customWidth="1"/>
    <col min="8266" max="8266" width="5" style="47" customWidth="1"/>
    <col min="8267" max="8268" width="11.44140625" style="47" hidden="1" customWidth="1"/>
    <col min="8269" max="8269" width="5" style="47" customWidth="1"/>
    <col min="8270" max="8271" width="11.44140625" style="47" hidden="1" customWidth="1"/>
    <col min="8272" max="8272" width="5" style="47" customWidth="1"/>
    <col min="8273" max="8274" width="11.44140625" style="47" hidden="1" customWidth="1"/>
    <col min="8275" max="8275" width="5" style="47" customWidth="1"/>
    <col min="8276" max="8343" width="11.44140625" style="47" hidden="1" customWidth="1"/>
    <col min="8344" max="8344" width="9.44140625" style="47" customWidth="1"/>
    <col min="8345" max="8345" width="11.44140625" style="47" hidden="1" customWidth="1"/>
    <col min="8346" max="8346" width="5" style="47" customWidth="1"/>
    <col min="8347" max="8362" width="11.44140625" style="47" hidden="1" customWidth="1"/>
    <col min="8363" max="8363" width="6.44140625" style="47" customWidth="1"/>
    <col min="8364" max="8364" width="11.44140625" style="47" hidden="1" customWidth="1"/>
    <col min="8365" max="8365" width="7.109375" style="47" customWidth="1"/>
    <col min="8366" max="8367" width="11.44140625" style="47" hidden="1" customWidth="1"/>
    <col min="8368" max="8368" width="7.109375" style="47" customWidth="1"/>
    <col min="8369" max="8370" width="11.44140625" style="47" hidden="1" customWidth="1"/>
    <col min="8371" max="8371" width="7.109375" style="47" customWidth="1"/>
    <col min="8372" max="8373" width="11.44140625" style="47" hidden="1" customWidth="1"/>
    <col min="8374" max="8374" width="7.109375" style="47" customWidth="1"/>
    <col min="8375" max="8376" width="11.44140625" style="47" hidden="1" customWidth="1"/>
    <col min="8377" max="8377" width="7.109375" style="47" customWidth="1"/>
    <col min="8378" max="8379" width="11.44140625" style="47" hidden="1" customWidth="1"/>
    <col min="8380" max="8380" width="7.109375" style="47" customWidth="1"/>
    <col min="8381" max="8382" width="11.44140625" style="47" hidden="1" customWidth="1"/>
    <col min="8383" max="8383" width="7.109375" style="47" customWidth="1"/>
    <col min="8384" max="8385" width="11.44140625" style="47" hidden="1" customWidth="1"/>
    <col min="8386" max="8386" width="7.109375" style="47" customWidth="1"/>
    <col min="8387" max="8387" width="11.44140625" style="47" hidden="1" customWidth="1"/>
    <col min="8388" max="8388" width="6.44140625" style="47" customWidth="1"/>
    <col min="8389" max="8390" width="11.44140625" style="47" hidden="1" customWidth="1"/>
    <col min="8391" max="8391" width="6.88671875" style="47" customWidth="1"/>
    <col min="8392" max="8393" width="11.44140625" style="47" hidden="1" customWidth="1"/>
    <col min="8394" max="8394" width="6.88671875" style="47" customWidth="1"/>
    <col min="8395" max="8396" width="11.44140625" style="47" hidden="1" customWidth="1"/>
    <col min="8397" max="8397" width="6.44140625" style="47" customWidth="1"/>
    <col min="8398" max="8402" width="11.44140625" style="47" hidden="1" customWidth="1"/>
    <col min="8403" max="8403" width="6.44140625" style="47" customWidth="1"/>
    <col min="8404" max="8405" width="11.44140625" style="47" hidden="1" customWidth="1"/>
    <col min="8406" max="8406" width="7.44140625" style="47" customWidth="1"/>
    <col min="8407" max="8407" width="11.44140625" style="47" hidden="1" customWidth="1"/>
    <col min="8408" max="8408" width="9.44140625" style="47" customWidth="1"/>
    <col min="8409" max="8409" width="11.44140625" style="47" hidden="1" customWidth="1"/>
    <col min="8410" max="8410" width="9" style="47" customWidth="1"/>
    <col min="8411" max="8412" width="11.44140625" style="47" hidden="1" customWidth="1"/>
    <col min="8413" max="8413" width="8.44140625" style="47" customWidth="1"/>
    <col min="8414" max="8415" width="11.44140625" style="47" hidden="1" customWidth="1"/>
    <col min="8416" max="8416" width="6.44140625" style="47" customWidth="1"/>
    <col min="8417" max="8418" width="11.44140625" style="47" hidden="1" customWidth="1"/>
    <col min="8419" max="8419" width="7" style="47" customWidth="1"/>
    <col min="8420" max="8421" width="11.44140625" style="47" hidden="1" customWidth="1"/>
    <col min="8422" max="8424" width="7" style="47" customWidth="1"/>
    <col min="8425" max="8426" width="11.44140625" style="47" hidden="1" customWidth="1"/>
    <col min="8427" max="8427" width="7.44140625" style="47" customWidth="1"/>
    <col min="8428" max="8429" width="11.44140625" style="47" hidden="1" customWidth="1"/>
    <col min="8430" max="8430" width="7" style="47" customWidth="1"/>
    <col min="8431" max="8432" width="11.44140625" style="47" hidden="1" customWidth="1"/>
    <col min="8433" max="8433" width="7" style="47" customWidth="1"/>
    <col min="8434" max="8435" width="11.44140625" style="47" hidden="1" customWidth="1"/>
    <col min="8436" max="8436" width="7" style="47" customWidth="1"/>
    <col min="8437" max="8437" width="11.44140625" style="47" hidden="1" customWidth="1"/>
    <col min="8438" max="8438" width="6.44140625" style="47" customWidth="1"/>
    <col min="8439" max="8448" width="11.44140625" style="47" hidden="1" customWidth="1"/>
    <col min="8449" max="8483" width="11.44140625" style="47" hidden="1"/>
    <col min="8484" max="8484" width="41.44140625" style="47" customWidth="1"/>
    <col min="8485" max="8485" width="6.44140625" style="47" customWidth="1"/>
    <col min="8486" max="8486" width="14.5546875" style="47" customWidth="1"/>
    <col min="8487" max="8487" width="11.44140625" style="47" customWidth="1"/>
    <col min="8488" max="8488" width="13" style="47" customWidth="1"/>
    <col min="8489" max="8489" width="25.44140625" style="47" customWidth="1"/>
    <col min="8490" max="8499" width="9.44140625" style="47" customWidth="1"/>
    <col min="8500" max="8500" width="10.5546875" style="47" customWidth="1"/>
    <col min="8501" max="8501" width="9.44140625" style="47" customWidth="1"/>
    <col min="8502" max="8502" width="10.109375" style="47" customWidth="1"/>
    <col min="8503" max="8514" width="11.44140625" style="47" hidden="1" customWidth="1"/>
    <col min="8515" max="8515" width="19.5546875" style="47" customWidth="1"/>
    <col min="8516" max="8516" width="11.44140625" style="47" customWidth="1"/>
    <col min="8517" max="8517" width="56.88671875" style="47" customWidth="1"/>
    <col min="8518" max="8518" width="9.109375" style="47" customWidth="1"/>
    <col min="8519" max="8519" width="24.44140625" style="47" customWidth="1"/>
    <col min="8520" max="8520" width="30.44140625" style="47" customWidth="1"/>
    <col min="8521" max="8521" width="23.5546875" style="47" customWidth="1"/>
    <col min="8522" max="8522" width="5" style="47" customWidth="1"/>
    <col min="8523" max="8524" width="11.44140625" style="47" hidden="1" customWidth="1"/>
    <col min="8525" max="8525" width="5" style="47" customWidth="1"/>
    <col min="8526" max="8527" width="11.44140625" style="47" hidden="1" customWidth="1"/>
    <col min="8528" max="8528" width="5" style="47" customWidth="1"/>
    <col min="8529" max="8530" width="11.44140625" style="47" hidden="1" customWidth="1"/>
    <col min="8531" max="8531" width="5" style="47" customWidth="1"/>
    <col min="8532" max="8599" width="11.44140625" style="47" hidden="1" customWidth="1"/>
    <col min="8600" max="8600" width="9.44140625" style="47" customWidth="1"/>
    <col min="8601" max="8601" width="11.44140625" style="47" hidden="1" customWidth="1"/>
    <col min="8602" max="8602" width="5" style="47" customWidth="1"/>
    <col min="8603" max="8618" width="11.44140625" style="47" hidden="1" customWidth="1"/>
    <col min="8619" max="8619" width="6.44140625" style="47" customWidth="1"/>
    <col min="8620" max="8620" width="11.44140625" style="47" hidden="1" customWidth="1"/>
    <col min="8621" max="8621" width="7.109375" style="47" customWidth="1"/>
    <col min="8622" max="8623" width="11.44140625" style="47" hidden="1" customWidth="1"/>
    <col min="8624" max="8624" width="7.109375" style="47" customWidth="1"/>
    <col min="8625" max="8626" width="11.44140625" style="47" hidden="1" customWidth="1"/>
    <col min="8627" max="8627" width="7.109375" style="47" customWidth="1"/>
    <col min="8628" max="8629" width="11.44140625" style="47" hidden="1" customWidth="1"/>
    <col min="8630" max="8630" width="7.109375" style="47" customWidth="1"/>
    <col min="8631" max="8632" width="11.44140625" style="47" hidden="1" customWidth="1"/>
    <col min="8633" max="8633" width="7.109375" style="47" customWidth="1"/>
    <col min="8634" max="8635" width="11.44140625" style="47" hidden="1" customWidth="1"/>
    <col min="8636" max="8636" width="7.109375" style="47" customWidth="1"/>
    <col min="8637" max="8638" width="11.44140625" style="47" hidden="1" customWidth="1"/>
    <col min="8639" max="8639" width="7.109375" style="47" customWidth="1"/>
    <col min="8640" max="8641" width="11.44140625" style="47" hidden="1" customWidth="1"/>
    <col min="8642" max="8642" width="7.109375" style="47" customWidth="1"/>
    <col min="8643" max="8643" width="11.44140625" style="47" hidden="1" customWidth="1"/>
    <col min="8644" max="8644" width="6.44140625" style="47" customWidth="1"/>
    <col min="8645" max="8646" width="11.44140625" style="47" hidden="1" customWidth="1"/>
    <col min="8647" max="8647" width="6.88671875" style="47" customWidth="1"/>
    <col min="8648" max="8649" width="11.44140625" style="47" hidden="1" customWidth="1"/>
    <col min="8650" max="8650" width="6.88671875" style="47" customWidth="1"/>
    <col min="8651" max="8652" width="11.44140625" style="47" hidden="1" customWidth="1"/>
    <col min="8653" max="8653" width="6.44140625" style="47" customWidth="1"/>
    <col min="8654" max="8658" width="11.44140625" style="47" hidden="1" customWidth="1"/>
    <col min="8659" max="8659" width="6.44140625" style="47" customWidth="1"/>
    <col min="8660" max="8661" width="11.44140625" style="47" hidden="1" customWidth="1"/>
    <col min="8662" max="8662" width="7.44140625" style="47" customWidth="1"/>
    <col min="8663" max="8663" width="11.44140625" style="47" hidden="1" customWidth="1"/>
    <col min="8664" max="8664" width="9.44140625" style="47" customWidth="1"/>
    <col min="8665" max="8665" width="11.44140625" style="47" hidden="1" customWidth="1"/>
    <col min="8666" max="8666" width="9" style="47" customWidth="1"/>
    <col min="8667" max="8668" width="11.44140625" style="47" hidden="1" customWidth="1"/>
    <col min="8669" max="8669" width="8.44140625" style="47" customWidth="1"/>
    <col min="8670" max="8671" width="11.44140625" style="47" hidden="1" customWidth="1"/>
    <col min="8672" max="8672" width="6.44140625" style="47" customWidth="1"/>
    <col min="8673" max="8674" width="11.44140625" style="47" hidden="1" customWidth="1"/>
    <col min="8675" max="8675" width="7" style="47" customWidth="1"/>
    <col min="8676" max="8677" width="11.44140625" style="47" hidden="1" customWidth="1"/>
    <col min="8678" max="8680" width="7" style="47" customWidth="1"/>
    <col min="8681" max="8682" width="11.44140625" style="47" hidden="1" customWidth="1"/>
    <col min="8683" max="8683" width="7.44140625" style="47" customWidth="1"/>
    <col min="8684" max="8685" width="11.44140625" style="47" hidden="1" customWidth="1"/>
    <col min="8686" max="8686" width="7" style="47" customWidth="1"/>
    <col min="8687" max="8688" width="11.44140625" style="47" hidden="1" customWidth="1"/>
    <col min="8689" max="8689" width="7" style="47" customWidth="1"/>
    <col min="8690" max="8691" width="11.44140625" style="47" hidden="1" customWidth="1"/>
    <col min="8692" max="8692" width="7" style="47" customWidth="1"/>
    <col min="8693" max="8693" width="11.44140625" style="47" hidden="1" customWidth="1"/>
    <col min="8694" max="8694" width="6.44140625" style="47" customWidth="1"/>
    <col min="8695" max="8704" width="11.44140625" style="47" hidden="1" customWidth="1"/>
    <col min="8705" max="8739" width="11.44140625" style="47" hidden="1"/>
    <col min="8740" max="8740" width="41.44140625" style="47" customWidth="1"/>
    <col min="8741" max="8741" width="6.44140625" style="47" customWidth="1"/>
    <col min="8742" max="8742" width="14.5546875" style="47" customWidth="1"/>
    <col min="8743" max="8743" width="11.44140625" style="47" customWidth="1"/>
    <col min="8744" max="8744" width="13" style="47" customWidth="1"/>
    <col min="8745" max="8745" width="25.44140625" style="47" customWidth="1"/>
    <col min="8746" max="8755" width="9.44140625" style="47" customWidth="1"/>
    <col min="8756" max="8756" width="10.5546875" style="47" customWidth="1"/>
    <col min="8757" max="8757" width="9.44140625" style="47" customWidth="1"/>
    <col min="8758" max="8758" width="10.109375" style="47" customWidth="1"/>
    <col min="8759" max="8770" width="11.44140625" style="47" hidden="1" customWidth="1"/>
    <col min="8771" max="8771" width="19.5546875" style="47" customWidth="1"/>
    <col min="8772" max="8772" width="11.44140625" style="47" customWidth="1"/>
    <col min="8773" max="8773" width="56.88671875" style="47" customWidth="1"/>
    <col min="8774" max="8774" width="9.109375" style="47" customWidth="1"/>
    <col min="8775" max="8775" width="24.44140625" style="47" customWidth="1"/>
    <col min="8776" max="8776" width="30.44140625" style="47" customWidth="1"/>
    <col min="8777" max="8777" width="23.5546875" style="47" customWidth="1"/>
    <col min="8778" max="8778" width="5" style="47" customWidth="1"/>
    <col min="8779" max="8780" width="11.44140625" style="47" hidden="1" customWidth="1"/>
    <col min="8781" max="8781" width="5" style="47" customWidth="1"/>
    <col min="8782" max="8783" width="11.44140625" style="47" hidden="1" customWidth="1"/>
    <col min="8784" max="8784" width="5" style="47" customWidth="1"/>
    <col min="8785" max="8786" width="11.44140625" style="47" hidden="1" customWidth="1"/>
    <col min="8787" max="8787" width="5" style="47" customWidth="1"/>
    <col min="8788" max="8855" width="11.44140625" style="47" hidden="1" customWidth="1"/>
    <col min="8856" max="8856" width="9.44140625" style="47" customWidth="1"/>
    <col min="8857" max="8857" width="11.44140625" style="47" hidden="1" customWidth="1"/>
    <col min="8858" max="8858" width="5" style="47" customWidth="1"/>
    <col min="8859" max="8874" width="11.44140625" style="47" hidden="1" customWidth="1"/>
    <col min="8875" max="8875" width="6.44140625" style="47" customWidth="1"/>
    <col min="8876" max="8876" width="11.44140625" style="47" hidden="1" customWidth="1"/>
    <col min="8877" max="8877" width="7.109375" style="47" customWidth="1"/>
    <col min="8878" max="8879" width="11.44140625" style="47" hidden="1" customWidth="1"/>
    <col min="8880" max="8880" width="7.109375" style="47" customWidth="1"/>
    <col min="8881" max="8882" width="11.44140625" style="47" hidden="1" customWidth="1"/>
    <col min="8883" max="8883" width="7.109375" style="47" customWidth="1"/>
    <col min="8884" max="8885" width="11.44140625" style="47" hidden="1" customWidth="1"/>
    <col min="8886" max="8886" width="7.109375" style="47" customWidth="1"/>
    <col min="8887" max="8888" width="11.44140625" style="47" hidden="1" customWidth="1"/>
    <col min="8889" max="8889" width="7.109375" style="47" customWidth="1"/>
    <col min="8890" max="8891" width="11.44140625" style="47" hidden="1" customWidth="1"/>
    <col min="8892" max="8892" width="7.109375" style="47" customWidth="1"/>
    <col min="8893" max="8894" width="11.44140625" style="47" hidden="1" customWidth="1"/>
    <col min="8895" max="8895" width="7.109375" style="47" customWidth="1"/>
    <col min="8896" max="8897" width="11.44140625" style="47" hidden="1" customWidth="1"/>
    <col min="8898" max="8898" width="7.109375" style="47" customWidth="1"/>
    <col min="8899" max="8899" width="11.44140625" style="47" hidden="1" customWidth="1"/>
    <col min="8900" max="8900" width="6.44140625" style="47" customWidth="1"/>
    <col min="8901" max="8902" width="11.44140625" style="47" hidden="1" customWidth="1"/>
    <col min="8903" max="8903" width="6.88671875" style="47" customWidth="1"/>
    <col min="8904" max="8905" width="11.44140625" style="47" hidden="1" customWidth="1"/>
    <col min="8906" max="8906" width="6.88671875" style="47" customWidth="1"/>
    <col min="8907" max="8908" width="11.44140625" style="47" hidden="1" customWidth="1"/>
    <col min="8909" max="8909" width="6.44140625" style="47" customWidth="1"/>
    <col min="8910" max="8914" width="11.44140625" style="47" hidden="1" customWidth="1"/>
    <col min="8915" max="8915" width="6.44140625" style="47" customWidth="1"/>
    <col min="8916" max="8917" width="11.44140625" style="47" hidden="1" customWidth="1"/>
    <col min="8918" max="8918" width="7.44140625" style="47" customWidth="1"/>
    <col min="8919" max="8919" width="11.44140625" style="47" hidden="1" customWidth="1"/>
    <col min="8920" max="8920" width="9.44140625" style="47" customWidth="1"/>
    <col min="8921" max="8921" width="11.44140625" style="47" hidden="1" customWidth="1"/>
    <col min="8922" max="8922" width="9" style="47" customWidth="1"/>
    <col min="8923" max="8924" width="11.44140625" style="47" hidden="1" customWidth="1"/>
    <col min="8925" max="8925" width="8.44140625" style="47" customWidth="1"/>
    <col min="8926" max="8927" width="11.44140625" style="47" hidden="1" customWidth="1"/>
    <col min="8928" max="8928" width="6.44140625" style="47" customWidth="1"/>
    <col min="8929" max="8930" width="11.44140625" style="47" hidden="1" customWidth="1"/>
    <col min="8931" max="8931" width="7" style="47" customWidth="1"/>
    <col min="8932" max="8933" width="11.44140625" style="47" hidden="1" customWidth="1"/>
    <col min="8934" max="8936" width="7" style="47" customWidth="1"/>
    <col min="8937" max="8938" width="11.44140625" style="47" hidden="1" customWidth="1"/>
    <col min="8939" max="8939" width="7.44140625" style="47" customWidth="1"/>
    <col min="8940" max="8941" width="11.44140625" style="47" hidden="1" customWidth="1"/>
    <col min="8942" max="8942" width="7" style="47" customWidth="1"/>
    <col min="8943" max="8944" width="11.44140625" style="47" hidden="1" customWidth="1"/>
    <col min="8945" max="8945" width="7" style="47" customWidth="1"/>
    <col min="8946" max="8947" width="11.44140625" style="47" hidden="1" customWidth="1"/>
    <col min="8948" max="8948" width="7" style="47" customWidth="1"/>
    <col min="8949" max="8949" width="11.44140625" style="47" hidden="1" customWidth="1"/>
    <col min="8950" max="8950" width="6.44140625" style="47" customWidth="1"/>
    <col min="8951" max="8960" width="11.44140625" style="47" hidden="1" customWidth="1"/>
    <col min="8961" max="8995" width="11.44140625" style="47" hidden="1"/>
    <col min="8996" max="8996" width="41.44140625" style="47" customWidth="1"/>
    <col min="8997" max="8997" width="6.44140625" style="47" customWidth="1"/>
    <col min="8998" max="8998" width="14.5546875" style="47" customWidth="1"/>
    <col min="8999" max="8999" width="11.44140625" style="47" customWidth="1"/>
    <col min="9000" max="9000" width="13" style="47" customWidth="1"/>
    <col min="9001" max="9001" width="25.44140625" style="47" customWidth="1"/>
    <col min="9002" max="9011" width="9.44140625" style="47" customWidth="1"/>
    <col min="9012" max="9012" width="10.5546875" style="47" customWidth="1"/>
    <col min="9013" max="9013" width="9.44140625" style="47" customWidth="1"/>
    <col min="9014" max="9014" width="10.109375" style="47" customWidth="1"/>
    <col min="9015" max="9026" width="11.44140625" style="47" hidden="1" customWidth="1"/>
    <col min="9027" max="9027" width="19.5546875" style="47" customWidth="1"/>
    <col min="9028" max="9028" width="11.44140625" style="47" customWidth="1"/>
    <col min="9029" max="9029" width="56.88671875" style="47" customWidth="1"/>
    <col min="9030" max="9030" width="9.109375" style="47" customWidth="1"/>
    <col min="9031" max="9031" width="24.44140625" style="47" customWidth="1"/>
    <col min="9032" max="9032" width="30.44140625" style="47" customWidth="1"/>
    <col min="9033" max="9033" width="23.5546875" style="47" customWidth="1"/>
    <col min="9034" max="9034" width="5" style="47" customWidth="1"/>
    <col min="9035" max="9036" width="11.44140625" style="47" hidden="1" customWidth="1"/>
    <col min="9037" max="9037" width="5" style="47" customWidth="1"/>
    <col min="9038" max="9039" width="11.44140625" style="47" hidden="1" customWidth="1"/>
    <col min="9040" max="9040" width="5" style="47" customWidth="1"/>
    <col min="9041" max="9042" width="11.44140625" style="47" hidden="1" customWidth="1"/>
    <col min="9043" max="9043" width="5" style="47" customWidth="1"/>
    <col min="9044" max="9111" width="11.44140625" style="47" hidden="1" customWidth="1"/>
    <col min="9112" max="9112" width="9.44140625" style="47" customWidth="1"/>
    <col min="9113" max="9113" width="11.44140625" style="47" hidden="1" customWidth="1"/>
    <col min="9114" max="9114" width="5" style="47" customWidth="1"/>
    <col min="9115" max="9130" width="11.44140625" style="47" hidden="1" customWidth="1"/>
    <col min="9131" max="9131" width="6.44140625" style="47" customWidth="1"/>
    <col min="9132" max="9132" width="11.44140625" style="47" hidden="1" customWidth="1"/>
    <col min="9133" max="9133" width="7.109375" style="47" customWidth="1"/>
    <col min="9134" max="9135" width="11.44140625" style="47" hidden="1" customWidth="1"/>
    <col min="9136" max="9136" width="7.109375" style="47" customWidth="1"/>
    <col min="9137" max="9138" width="11.44140625" style="47" hidden="1" customWidth="1"/>
    <col min="9139" max="9139" width="7.109375" style="47" customWidth="1"/>
    <col min="9140" max="9141" width="11.44140625" style="47" hidden="1" customWidth="1"/>
    <col min="9142" max="9142" width="7.109375" style="47" customWidth="1"/>
    <col min="9143" max="9144" width="11.44140625" style="47" hidden="1" customWidth="1"/>
    <col min="9145" max="9145" width="7.109375" style="47" customWidth="1"/>
    <col min="9146" max="9147" width="11.44140625" style="47" hidden="1" customWidth="1"/>
    <col min="9148" max="9148" width="7.109375" style="47" customWidth="1"/>
    <col min="9149" max="9150" width="11.44140625" style="47" hidden="1" customWidth="1"/>
    <col min="9151" max="9151" width="7.109375" style="47" customWidth="1"/>
    <col min="9152" max="9153" width="11.44140625" style="47" hidden="1" customWidth="1"/>
    <col min="9154" max="9154" width="7.109375" style="47" customWidth="1"/>
    <col min="9155" max="9155" width="11.44140625" style="47" hidden="1" customWidth="1"/>
    <col min="9156" max="9156" width="6.44140625" style="47" customWidth="1"/>
    <col min="9157" max="9158" width="11.44140625" style="47" hidden="1" customWidth="1"/>
    <col min="9159" max="9159" width="6.88671875" style="47" customWidth="1"/>
    <col min="9160" max="9161" width="11.44140625" style="47" hidden="1" customWidth="1"/>
    <col min="9162" max="9162" width="6.88671875" style="47" customWidth="1"/>
    <col min="9163" max="9164" width="11.44140625" style="47" hidden="1" customWidth="1"/>
    <col min="9165" max="9165" width="6.44140625" style="47" customWidth="1"/>
    <col min="9166" max="9170" width="11.44140625" style="47" hidden="1" customWidth="1"/>
    <col min="9171" max="9171" width="6.44140625" style="47" customWidth="1"/>
    <col min="9172" max="9173" width="11.44140625" style="47" hidden="1" customWidth="1"/>
    <col min="9174" max="9174" width="7.44140625" style="47" customWidth="1"/>
    <col min="9175" max="9175" width="11.44140625" style="47" hidden="1" customWidth="1"/>
    <col min="9176" max="9176" width="9.44140625" style="47" customWidth="1"/>
    <col min="9177" max="9177" width="11.44140625" style="47" hidden="1" customWidth="1"/>
    <col min="9178" max="9178" width="9" style="47" customWidth="1"/>
    <col min="9179" max="9180" width="11.44140625" style="47" hidden="1" customWidth="1"/>
    <col min="9181" max="9181" width="8.44140625" style="47" customWidth="1"/>
    <col min="9182" max="9183" width="11.44140625" style="47" hidden="1" customWidth="1"/>
    <col min="9184" max="9184" width="6.44140625" style="47" customWidth="1"/>
    <col min="9185" max="9186" width="11.44140625" style="47" hidden="1" customWidth="1"/>
    <col min="9187" max="9187" width="7" style="47" customWidth="1"/>
    <col min="9188" max="9189" width="11.44140625" style="47" hidden="1" customWidth="1"/>
    <col min="9190" max="9192" width="7" style="47" customWidth="1"/>
    <col min="9193" max="9194" width="11.44140625" style="47" hidden="1" customWidth="1"/>
    <col min="9195" max="9195" width="7.44140625" style="47" customWidth="1"/>
    <col min="9196" max="9197" width="11.44140625" style="47" hidden="1" customWidth="1"/>
    <col min="9198" max="9198" width="7" style="47" customWidth="1"/>
    <col min="9199" max="9200" width="11.44140625" style="47" hidden="1" customWidth="1"/>
    <col min="9201" max="9201" width="7" style="47" customWidth="1"/>
    <col min="9202" max="9203" width="11.44140625" style="47" hidden="1" customWidth="1"/>
    <col min="9204" max="9204" width="7" style="47" customWidth="1"/>
    <col min="9205" max="9205" width="11.44140625" style="47" hidden="1" customWidth="1"/>
    <col min="9206" max="9206" width="6.44140625" style="47" customWidth="1"/>
    <col min="9207" max="9216" width="11.44140625" style="47" hidden="1" customWidth="1"/>
    <col min="9217" max="9251" width="11.44140625" style="47" hidden="1"/>
    <col min="9252" max="9252" width="41.44140625" style="47" customWidth="1"/>
    <col min="9253" max="9253" width="6.44140625" style="47" customWidth="1"/>
    <col min="9254" max="9254" width="14.5546875" style="47" customWidth="1"/>
    <col min="9255" max="9255" width="11.44140625" style="47" customWidth="1"/>
    <col min="9256" max="9256" width="13" style="47" customWidth="1"/>
    <col min="9257" max="9257" width="25.44140625" style="47" customWidth="1"/>
    <col min="9258" max="9267" width="9.44140625" style="47" customWidth="1"/>
    <col min="9268" max="9268" width="10.5546875" style="47" customWidth="1"/>
    <col min="9269" max="9269" width="9.44140625" style="47" customWidth="1"/>
    <col min="9270" max="9270" width="10.109375" style="47" customWidth="1"/>
    <col min="9271" max="9282" width="11.44140625" style="47" hidden="1" customWidth="1"/>
    <col min="9283" max="9283" width="19.5546875" style="47" customWidth="1"/>
    <col min="9284" max="9284" width="11.44140625" style="47" customWidth="1"/>
    <col min="9285" max="9285" width="56.88671875" style="47" customWidth="1"/>
    <col min="9286" max="9286" width="9.109375" style="47" customWidth="1"/>
    <col min="9287" max="9287" width="24.44140625" style="47" customWidth="1"/>
    <col min="9288" max="9288" width="30.44140625" style="47" customWidth="1"/>
    <col min="9289" max="9289" width="23.5546875" style="47" customWidth="1"/>
    <col min="9290" max="9290" width="5" style="47" customWidth="1"/>
    <col min="9291" max="9292" width="11.44140625" style="47" hidden="1" customWidth="1"/>
    <col min="9293" max="9293" width="5" style="47" customWidth="1"/>
    <col min="9294" max="9295" width="11.44140625" style="47" hidden="1" customWidth="1"/>
    <col min="9296" max="9296" width="5" style="47" customWidth="1"/>
    <col min="9297" max="9298" width="11.44140625" style="47" hidden="1" customWidth="1"/>
    <col min="9299" max="9299" width="5" style="47" customWidth="1"/>
    <col min="9300" max="9367" width="11.44140625" style="47" hidden="1" customWidth="1"/>
    <col min="9368" max="9368" width="9.44140625" style="47" customWidth="1"/>
    <col min="9369" max="9369" width="11.44140625" style="47" hidden="1" customWidth="1"/>
    <col min="9370" max="9370" width="5" style="47" customWidth="1"/>
    <col min="9371" max="9386" width="11.44140625" style="47" hidden="1" customWidth="1"/>
    <col min="9387" max="9387" width="6.44140625" style="47" customWidth="1"/>
    <col min="9388" max="9388" width="11.44140625" style="47" hidden="1" customWidth="1"/>
    <col min="9389" max="9389" width="7.109375" style="47" customWidth="1"/>
    <col min="9390" max="9391" width="11.44140625" style="47" hidden="1" customWidth="1"/>
    <col min="9392" max="9392" width="7.109375" style="47" customWidth="1"/>
    <col min="9393" max="9394" width="11.44140625" style="47" hidden="1" customWidth="1"/>
    <col min="9395" max="9395" width="7.109375" style="47" customWidth="1"/>
    <col min="9396" max="9397" width="11.44140625" style="47" hidden="1" customWidth="1"/>
    <col min="9398" max="9398" width="7.109375" style="47" customWidth="1"/>
    <col min="9399" max="9400" width="11.44140625" style="47" hidden="1" customWidth="1"/>
    <col min="9401" max="9401" width="7.109375" style="47" customWidth="1"/>
    <col min="9402" max="9403" width="11.44140625" style="47" hidden="1" customWidth="1"/>
    <col min="9404" max="9404" width="7.109375" style="47" customWidth="1"/>
    <col min="9405" max="9406" width="11.44140625" style="47" hidden="1" customWidth="1"/>
    <col min="9407" max="9407" width="7.109375" style="47" customWidth="1"/>
    <col min="9408" max="9409" width="11.44140625" style="47" hidden="1" customWidth="1"/>
    <col min="9410" max="9410" width="7.109375" style="47" customWidth="1"/>
    <col min="9411" max="9411" width="11.44140625" style="47" hidden="1" customWidth="1"/>
    <col min="9412" max="9412" width="6.44140625" style="47" customWidth="1"/>
    <col min="9413" max="9414" width="11.44140625" style="47" hidden="1" customWidth="1"/>
    <col min="9415" max="9415" width="6.88671875" style="47" customWidth="1"/>
    <col min="9416" max="9417" width="11.44140625" style="47" hidden="1" customWidth="1"/>
    <col min="9418" max="9418" width="6.88671875" style="47" customWidth="1"/>
    <col min="9419" max="9420" width="11.44140625" style="47" hidden="1" customWidth="1"/>
    <col min="9421" max="9421" width="6.44140625" style="47" customWidth="1"/>
    <col min="9422" max="9426" width="11.44140625" style="47" hidden="1" customWidth="1"/>
    <col min="9427" max="9427" width="6.44140625" style="47" customWidth="1"/>
    <col min="9428" max="9429" width="11.44140625" style="47" hidden="1" customWidth="1"/>
    <col min="9430" max="9430" width="7.44140625" style="47" customWidth="1"/>
    <col min="9431" max="9431" width="11.44140625" style="47" hidden="1" customWidth="1"/>
    <col min="9432" max="9432" width="9.44140625" style="47" customWidth="1"/>
    <col min="9433" max="9433" width="11.44140625" style="47" hidden="1" customWidth="1"/>
    <col min="9434" max="9434" width="9" style="47" customWidth="1"/>
    <col min="9435" max="9436" width="11.44140625" style="47" hidden="1" customWidth="1"/>
    <col min="9437" max="9437" width="8.44140625" style="47" customWidth="1"/>
    <col min="9438" max="9439" width="11.44140625" style="47" hidden="1" customWidth="1"/>
    <col min="9440" max="9440" width="6.44140625" style="47" customWidth="1"/>
    <col min="9441" max="9442" width="11.44140625" style="47" hidden="1" customWidth="1"/>
    <col min="9443" max="9443" width="7" style="47" customWidth="1"/>
    <col min="9444" max="9445" width="11.44140625" style="47" hidden="1" customWidth="1"/>
    <col min="9446" max="9448" width="7" style="47" customWidth="1"/>
    <col min="9449" max="9450" width="11.44140625" style="47" hidden="1" customWidth="1"/>
    <col min="9451" max="9451" width="7.44140625" style="47" customWidth="1"/>
    <col min="9452" max="9453" width="11.44140625" style="47" hidden="1" customWidth="1"/>
    <col min="9454" max="9454" width="7" style="47" customWidth="1"/>
    <col min="9455" max="9456" width="11.44140625" style="47" hidden="1" customWidth="1"/>
    <col min="9457" max="9457" width="7" style="47" customWidth="1"/>
    <col min="9458" max="9459" width="11.44140625" style="47" hidden="1" customWidth="1"/>
    <col min="9460" max="9460" width="7" style="47" customWidth="1"/>
    <col min="9461" max="9461" width="11.44140625" style="47" hidden="1" customWidth="1"/>
    <col min="9462" max="9462" width="6.44140625" style="47" customWidth="1"/>
    <col min="9463" max="9472" width="11.44140625" style="47" hidden="1" customWidth="1"/>
    <col min="9473" max="9507" width="11.44140625" style="47" hidden="1"/>
    <col min="9508" max="9508" width="41.44140625" style="47" customWidth="1"/>
    <col min="9509" max="9509" width="6.44140625" style="47" customWidth="1"/>
    <col min="9510" max="9510" width="14.5546875" style="47" customWidth="1"/>
    <col min="9511" max="9511" width="11.44140625" style="47" customWidth="1"/>
    <col min="9512" max="9512" width="13" style="47" customWidth="1"/>
    <col min="9513" max="9513" width="25.44140625" style="47" customWidth="1"/>
    <col min="9514" max="9523" width="9.44140625" style="47" customWidth="1"/>
    <col min="9524" max="9524" width="10.5546875" style="47" customWidth="1"/>
    <col min="9525" max="9525" width="9.44140625" style="47" customWidth="1"/>
    <col min="9526" max="9526" width="10.109375" style="47" customWidth="1"/>
    <col min="9527" max="9538" width="11.44140625" style="47" hidden="1" customWidth="1"/>
    <col min="9539" max="9539" width="19.5546875" style="47" customWidth="1"/>
    <col min="9540" max="9540" width="11.44140625" style="47" customWidth="1"/>
    <col min="9541" max="9541" width="56.88671875" style="47" customWidth="1"/>
    <col min="9542" max="9542" width="9.109375" style="47" customWidth="1"/>
    <col min="9543" max="9543" width="24.44140625" style="47" customWidth="1"/>
    <col min="9544" max="9544" width="30.44140625" style="47" customWidth="1"/>
    <col min="9545" max="9545" width="23.5546875" style="47" customWidth="1"/>
    <col min="9546" max="9546" width="5" style="47" customWidth="1"/>
    <col min="9547" max="9548" width="11.44140625" style="47" hidden="1" customWidth="1"/>
    <col min="9549" max="9549" width="5" style="47" customWidth="1"/>
    <col min="9550" max="9551" width="11.44140625" style="47" hidden="1" customWidth="1"/>
    <col min="9552" max="9552" width="5" style="47" customWidth="1"/>
    <col min="9553" max="9554" width="11.44140625" style="47" hidden="1" customWidth="1"/>
    <col min="9555" max="9555" width="5" style="47" customWidth="1"/>
    <col min="9556" max="9623" width="11.44140625" style="47" hidden="1" customWidth="1"/>
    <col min="9624" max="9624" width="9.44140625" style="47" customWidth="1"/>
    <col min="9625" max="9625" width="11.44140625" style="47" hidden="1" customWidth="1"/>
    <col min="9626" max="9626" width="5" style="47" customWidth="1"/>
    <col min="9627" max="9642" width="11.44140625" style="47" hidden="1" customWidth="1"/>
    <col min="9643" max="9643" width="6.44140625" style="47" customWidth="1"/>
    <col min="9644" max="9644" width="11.44140625" style="47" hidden="1" customWidth="1"/>
    <col min="9645" max="9645" width="7.109375" style="47" customWidth="1"/>
    <col min="9646" max="9647" width="11.44140625" style="47" hidden="1" customWidth="1"/>
    <col min="9648" max="9648" width="7.109375" style="47" customWidth="1"/>
    <col min="9649" max="9650" width="11.44140625" style="47" hidden="1" customWidth="1"/>
    <col min="9651" max="9651" width="7.109375" style="47" customWidth="1"/>
    <col min="9652" max="9653" width="11.44140625" style="47" hidden="1" customWidth="1"/>
    <col min="9654" max="9654" width="7.109375" style="47" customWidth="1"/>
    <col min="9655" max="9656" width="11.44140625" style="47" hidden="1" customWidth="1"/>
    <col min="9657" max="9657" width="7.109375" style="47" customWidth="1"/>
    <col min="9658" max="9659" width="11.44140625" style="47" hidden="1" customWidth="1"/>
    <col min="9660" max="9660" width="7.109375" style="47" customWidth="1"/>
    <col min="9661" max="9662" width="11.44140625" style="47" hidden="1" customWidth="1"/>
    <col min="9663" max="9663" width="7.109375" style="47" customWidth="1"/>
    <col min="9664" max="9665" width="11.44140625" style="47" hidden="1" customWidth="1"/>
    <col min="9666" max="9666" width="7.109375" style="47" customWidth="1"/>
    <col min="9667" max="9667" width="11.44140625" style="47" hidden="1" customWidth="1"/>
    <col min="9668" max="9668" width="6.44140625" style="47" customWidth="1"/>
    <col min="9669" max="9670" width="11.44140625" style="47" hidden="1" customWidth="1"/>
    <col min="9671" max="9671" width="6.88671875" style="47" customWidth="1"/>
    <col min="9672" max="9673" width="11.44140625" style="47" hidden="1" customWidth="1"/>
    <col min="9674" max="9674" width="6.88671875" style="47" customWidth="1"/>
    <col min="9675" max="9676" width="11.44140625" style="47" hidden="1" customWidth="1"/>
    <col min="9677" max="9677" width="6.44140625" style="47" customWidth="1"/>
    <col min="9678" max="9682" width="11.44140625" style="47" hidden="1" customWidth="1"/>
    <col min="9683" max="9683" width="6.44140625" style="47" customWidth="1"/>
    <col min="9684" max="9685" width="11.44140625" style="47" hidden="1" customWidth="1"/>
    <col min="9686" max="9686" width="7.44140625" style="47" customWidth="1"/>
    <col min="9687" max="9687" width="11.44140625" style="47" hidden="1" customWidth="1"/>
    <col min="9688" max="9688" width="9.44140625" style="47" customWidth="1"/>
    <col min="9689" max="9689" width="11.44140625" style="47" hidden="1" customWidth="1"/>
    <col min="9690" max="9690" width="9" style="47" customWidth="1"/>
    <col min="9691" max="9692" width="11.44140625" style="47" hidden="1" customWidth="1"/>
    <col min="9693" max="9693" width="8.44140625" style="47" customWidth="1"/>
    <col min="9694" max="9695" width="11.44140625" style="47" hidden="1" customWidth="1"/>
    <col min="9696" max="9696" width="6.44140625" style="47" customWidth="1"/>
    <col min="9697" max="9698" width="11.44140625" style="47" hidden="1" customWidth="1"/>
    <col min="9699" max="9699" width="7" style="47" customWidth="1"/>
    <col min="9700" max="9701" width="11.44140625" style="47" hidden="1" customWidth="1"/>
    <col min="9702" max="9704" width="7" style="47" customWidth="1"/>
    <col min="9705" max="9706" width="11.44140625" style="47" hidden="1" customWidth="1"/>
    <col min="9707" max="9707" width="7.44140625" style="47" customWidth="1"/>
    <col min="9708" max="9709" width="11.44140625" style="47" hidden="1" customWidth="1"/>
    <col min="9710" max="9710" width="7" style="47" customWidth="1"/>
    <col min="9711" max="9712" width="11.44140625" style="47" hidden="1" customWidth="1"/>
    <col min="9713" max="9713" width="7" style="47" customWidth="1"/>
    <col min="9714" max="9715" width="11.44140625" style="47" hidden="1" customWidth="1"/>
    <col min="9716" max="9716" width="7" style="47" customWidth="1"/>
    <col min="9717" max="9717" width="11.44140625" style="47" hidden="1" customWidth="1"/>
    <col min="9718" max="9718" width="6.44140625" style="47" customWidth="1"/>
    <col min="9719" max="9728" width="11.44140625" style="47" hidden="1" customWidth="1"/>
    <col min="9729" max="9763" width="11.44140625" style="47" hidden="1"/>
    <col min="9764" max="9764" width="41.44140625" style="47" customWidth="1"/>
    <col min="9765" max="9765" width="6.44140625" style="47" customWidth="1"/>
    <col min="9766" max="9766" width="14.5546875" style="47" customWidth="1"/>
    <col min="9767" max="9767" width="11.44140625" style="47" customWidth="1"/>
    <col min="9768" max="9768" width="13" style="47" customWidth="1"/>
    <col min="9769" max="9769" width="25.44140625" style="47" customWidth="1"/>
    <col min="9770" max="9779" width="9.44140625" style="47" customWidth="1"/>
    <col min="9780" max="9780" width="10.5546875" style="47" customWidth="1"/>
    <col min="9781" max="9781" width="9.44140625" style="47" customWidth="1"/>
    <col min="9782" max="9782" width="10.109375" style="47" customWidth="1"/>
    <col min="9783" max="9794" width="11.44140625" style="47" hidden="1" customWidth="1"/>
    <col min="9795" max="9795" width="19.5546875" style="47" customWidth="1"/>
    <col min="9796" max="9796" width="11.44140625" style="47" customWidth="1"/>
    <col min="9797" max="9797" width="56.88671875" style="47" customWidth="1"/>
    <col min="9798" max="9798" width="9.109375" style="47" customWidth="1"/>
    <col min="9799" max="9799" width="24.44140625" style="47" customWidth="1"/>
    <col min="9800" max="9800" width="30.44140625" style="47" customWidth="1"/>
    <col min="9801" max="9801" width="23.5546875" style="47" customWidth="1"/>
    <col min="9802" max="9802" width="5" style="47" customWidth="1"/>
    <col min="9803" max="9804" width="11.44140625" style="47" hidden="1" customWidth="1"/>
    <col min="9805" max="9805" width="5" style="47" customWidth="1"/>
    <col min="9806" max="9807" width="11.44140625" style="47" hidden="1" customWidth="1"/>
    <col min="9808" max="9808" width="5" style="47" customWidth="1"/>
    <col min="9809" max="9810" width="11.44140625" style="47" hidden="1" customWidth="1"/>
    <col min="9811" max="9811" width="5" style="47" customWidth="1"/>
    <col min="9812" max="9879" width="11.44140625" style="47" hidden="1" customWidth="1"/>
    <col min="9880" max="9880" width="9.44140625" style="47" customWidth="1"/>
    <col min="9881" max="9881" width="11.44140625" style="47" hidden="1" customWidth="1"/>
    <col min="9882" max="9882" width="5" style="47" customWidth="1"/>
    <col min="9883" max="9898" width="11.44140625" style="47" hidden="1" customWidth="1"/>
    <col min="9899" max="9899" width="6.44140625" style="47" customWidth="1"/>
    <col min="9900" max="9900" width="11.44140625" style="47" hidden="1" customWidth="1"/>
    <col min="9901" max="9901" width="7.109375" style="47" customWidth="1"/>
    <col min="9902" max="9903" width="11.44140625" style="47" hidden="1" customWidth="1"/>
    <col min="9904" max="9904" width="7.109375" style="47" customWidth="1"/>
    <col min="9905" max="9906" width="11.44140625" style="47" hidden="1" customWidth="1"/>
    <col min="9907" max="9907" width="7.109375" style="47" customWidth="1"/>
    <col min="9908" max="9909" width="11.44140625" style="47" hidden="1" customWidth="1"/>
    <col min="9910" max="9910" width="7.109375" style="47" customWidth="1"/>
    <col min="9911" max="9912" width="11.44140625" style="47" hidden="1" customWidth="1"/>
    <col min="9913" max="9913" width="7.109375" style="47" customWidth="1"/>
    <col min="9914" max="9915" width="11.44140625" style="47" hidden="1" customWidth="1"/>
    <col min="9916" max="9916" width="7.109375" style="47" customWidth="1"/>
    <col min="9917" max="9918" width="11.44140625" style="47" hidden="1" customWidth="1"/>
    <col min="9919" max="9919" width="7.109375" style="47" customWidth="1"/>
    <col min="9920" max="9921" width="11.44140625" style="47" hidden="1" customWidth="1"/>
    <col min="9922" max="9922" width="7.109375" style="47" customWidth="1"/>
    <col min="9923" max="9923" width="11.44140625" style="47" hidden="1" customWidth="1"/>
    <col min="9924" max="9924" width="6.44140625" style="47" customWidth="1"/>
    <col min="9925" max="9926" width="11.44140625" style="47" hidden="1" customWidth="1"/>
    <col min="9927" max="9927" width="6.88671875" style="47" customWidth="1"/>
    <col min="9928" max="9929" width="11.44140625" style="47" hidden="1" customWidth="1"/>
    <col min="9930" max="9930" width="6.88671875" style="47" customWidth="1"/>
    <col min="9931" max="9932" width="11.44140625" style="47" hidden="1" customWidth="1"/>
    <col min="9933" max="9933" width="6.44140625" style="47" customWidth="1"/>
    <col min="9934" max="9938" width="11.44140625" style="47" hidden="1" customWidth="1"/>
    <col min="9939" max="9939" width="6.44140625" style="47" customWidth="1"/>
    <col min="9940" max="9941" width="11.44140625" style="47" hidden="1" customWidth="1"/>
    <col min="9942" max="9942" width="7.44140625" style="47" customWidth="1"/>
    <col min="9943" max="9943" width="11.44140625" style="47" hidden="1" customWidth="1"/>
    <col min="9944" max="9944" width="9.44140625" style="47" customWidth="1"/>
    <col min="9945" max="9945" width="11.44140625" style="47" hidden="1" customWidth="1"/>
    <col min="9946" max="9946" width="9" style="47" customWidth="1"/>
    <col min="9947" max="9948" width="11.44140625" style="47" hidden="1" customWidth="1"/>
    <col min="9949" max="9949" width="8.44140625" style="47" customWidth="1"/>
    <col min="9950" max="9951" width="11.44140625" style="47" hidden="1" customWidth="1"/>
    <col min="9952" max="9952" width="6.44140625" style="47" customWidth="1"/>
    <col min="9953" max="9954" width="11.44140625" style="47" hidden="1" customWidth="1"/>
    <col min="9955" max="9955" width="7" style="47" customWidth="1"/>
    <col min="9956" max="9957" width="11.44140625" style="47" hidden="1" customWidth="1"/>
    <col min="9958" max="9960" width="7" style="47" customWidth="1"/>
    <col min="9961" max="9962" width="11.44140625" style="47" hidden="1" customWidth="1"/>
    <col min="9963" max="9963" width="7.44140625" style="47" customWidth="1"/>
    <col min="9964" max="9965" width="11.44140625" style="47" hidden="1" customWidth="1"/>
    <col min="9966" max="9966" width="7" style="47" customWidth="1"/>
    <col min="9967" max="9968" width="11.44140625" style="47" hidden="1" customWidth="1"/>
    <col min="9969" max="9969" width="7" style="47" customWidth="1"/>
    <col min="9970" max="9971" width="11.44140625" style="47" hidden="1" customWidth="1"/>
    <col min="9972" max="9972" width="7" style="47" customWidth="1"/>
    <col min="9973" max="9973" width="11.44140625" style="47" hidden="1" customWidth="1"/>
    <col min="9974" max="9974" width="6.44140625" style="47" customWidth="1"/>
    <col min="9975" max="9984" width="11.44140625" style="47" hidden="1" customWidth="1"/>
    <col min="9985" max="10019" width="11.44140625" style="47" hidden="1"/>
    <col min="10020" max="10020" width="41.44140625" style="47" customWidth="1"/>
    <col min="10021" max="10021" width="6.44140625" style="47" customWidth="1"/>
    <col min="10022" max="10022" width="14.5546875" style="47" customWidth="1"/>
    <col min="10023" max="10023" width="11.44140625" style="47" customWidth="1"/>
    <col min="10024" max="10024" width="13" style="47" customWidth="1"/>
    <col min="10025" max="10025" width="25.44140625" style="47" customWidth="1"/>
    <col min="10026" max="10035" width="9.44140625" style="47" customWidth="1"/>
    <col min="10036" max="10036" width="10.5546875" style="47" customWidth="1"/>
    <col min="10037" max="10037" width="9.44140625" style="47" customWidth="1"/>
    <col min="10038" max="10038" width="10.109375" style="47" customWidth="1"/>
    <col min="10039" max="10050" width="11.44140625" style="47" hidden="1" customWidth="1"/>
    <col min="10051" max="10051" width="19.5546875" style="47" customWidth="1"/>
    <col min="10052" max="10052" width="11.44140625" style="47" customWidth="1"/>
    <col min="10053" max="10053" width="56.88671875" style="47" customWidth="1"/>
    <col min="10054" max="10054" width="9.109375" style="47" customWidth="1"/>
    <col min="10055" max="10055" width="24.44140625" style="47" customWidth="1"/>
    <col min="10056" max="10056" width="30.44140625" style="47" customWidth="1"/>
    <col min="10057" max="10057" width="23.5546875" style="47" customWidth="1"/>
    <col min="10058" max="10058" width="5" style="47" customWidth="1"/>
    <col min="10059" max="10060" width="11.44140625" style="47" hidden="1" customWidth="1"/>
    <col min="10061" max="10061" width="5" style="47" customWidth="1"/>
    <col min="10062" max="10063" width="11.44140625" style="47" hidden="1" customWidth="1"/>
    <col min="10064" max="10064" width="5" style="47" customWidth="1"/>
    <col min="10065" max="10066" width="11.44140625" style="47" hidden="1" customWidth="1"/>
    <col min="10067" max="10067" width="5" style="47" customWidth="1"/>
    <col min="10068" max="10135" width="11.44140625" style="47" hidden="1" customWidth="1"/>
    <col min="10136" max="10136" width="9.44140625" style="47" customWidth="1"/>
    <col min="10137" max="10137" width="11.44140625" style="47" hidden="1" customWidth="1"/>
    <col min="10138" max="10138" width="5" style="47" customWidth="1"/>
    <col min="10139" max="10154" width="11.44140625" style="47" hidden="1" customWidth="1"/>
    <col min="10155" max="10155" width="6.44140625" style="47" customWidth="1"/>
    <col min="10156" max="10156" width="11.44140625" style="47" hidden="1" customWidth="1"/>
    <col min="10157" max="10157" width="7.109375" style="47" customWidth="1"/>
    <col min="10158" max="10159" width="11.44140625" style="47" hidden="1" customWidth="1"/>
    <col min="10160" max="10160" width="7.109375" style="47" customWidth="1"/>
    <col min="10161" max="10162" width="11.44140625" style="47" hidden="1" customWidth="1"/>
    <col min="10163" max="10163" width="7.109375" style="47" customWidth="1"/>
    <col min="10164" max="10165" width="11.44140625" style="47" hidden="1" customWidth="1"/>
    <col min="10166" max="10166" width="7.109375" style="47" customWidth="1"/>
    <col min="10167" max="10168" width="11.44140625" style="47" hidden="1" customWidth="1"/>
    <col min="10169" max="10169" width="7.109375" style="47" customWidth="1"/>
    <col min="10170" max="10171" width="11.44140625" style="47" hidden="1" customWidth="1"/>
    <col min="10172" max="10172" width="7.109375" style="47" customWidth="1"/>
    <col min="10173" max="10174" width="11.44140625" style="47" hidden="1" customWidth="1"/>
    <col min="10175" max="10175" width="7.109375" style="47" customWidth="1"/>
    <col min="10176" max="10177" width="11.44140625" style="47" hidden="1" customWidth="1"/>
    <col min="10178" max="10178" width="7.109375" style="47" customWidth="1"/>
    <col min="10179" max="10179" width="11.44140625" style="47" hidden="1" customWidth="1"/>
    <col min="10180" max="10180" width="6.44140625" style="47" customWidth="1"/>
    <col min="10181" max="10182" width="11.44140625" style="47" hidden="1" customWidth="1"/>
    <col min="10183" max="10183" width="6.88671875" style="47" customWidth="1"/>
    <col min="10184" max="10185" width="11.44140625" style="47" hidden="1" customWidth="1"/>
    <col min="10186" max="10186" width="6.88671875" style="47" customWidth="1"/>
    <col min="10187" max="10188" width="11.44140625" style="47" hidden="1" customWidth="1"/>
    <col min="10189" max="10189" width="6.44140625" style="47" customWidth="1"/>
    <col min="10190" max="10194" width="11.44140625" style="47" hidden="1" customWidth="1"/>
    <col min="10195" max="10195" width="6.44140625" style="47" customWidth="1"/>
    <col min="10196" max="10197" width="11.44140625" style="47" hidden="1" customWidth="1"/>
    <col min="10198" max="10198" width="7.44140625" style="47" customWidth="1"/>
    <col min="10199" max="10199" width="11.44140625" style="47" hidden="1" customWidth="1"/>
    <col min="10200" max="10200" width="9.44140625" style="47" customWidth="1"/>
    <col min="10201" max="10201" width="11.44140625" style="47" hidden="1" customWidth="1"/>
    <col min="10202" max="10202" width="9" style="47" customWidth="1"/>
    <col min="10203" max="10204" width="11.44140625" style="47" hidden="1" customWidth="1"/>
    <col min="10205" max="10205" width="8.44140625" style="47" customWidth="1"/>
    <col min="10206" max="10207" width="11.44140625" style="47" hidden="1" customWidth="1"/>
    <col min="10208" max="10208" width="6.44140625" style="47" customWidth="1"/>
    <col min="10209" max="10210" width="11.44140625" style="47" hidden="1" customWidth="1"/>
    <col min="10211" max="10211" width="7" style="47" customWidth="1"/>
    <col min="10212" max="10213" width="11.44140625" style="47" hidden="1" customWidth="1"/>
    <col min="10214" max="10216" width="7" style="47" customWidth="1"/>
    <col min="10217" max="10218" width="11.44140625" style="47" hidden="1" customWidth="1"/>
    <col min="10219" max="10219" width="7.44140625" style="47" customWidth="1"/>
    <col min="10220" max="10221" width="11.44140625" style="47" hidden="1" customWidth="1"/>
    <col min="10222" max="10222" width="7" style="47" customWidth="1"/>
    <col min="10223" max="10224" width="11.44140625" style="47" hidden="1" customWidth="1"/>
    <col min="10225" max="10225" width="7" style="47" customWidth="1"/>
    <col min="10226" max="10227" width="11.44140625" style="47" hidden="1" customWidth="1"/>
    <col min="10228" max="10228" width="7" style="47" customWidth="1"/>
    <col min="10229" max="10229" width="11.44140625" style="47" hidden="1" customWidth="1"/>
    <col min="10230" max="10230" width="6.44140625" style="47" customWidth="1"/>
    <col min="10231" max="10240" width="11.44140625" style="47" hidden="1" customWidth="1"/>
    <col min="10241" max="10275" width="11.44140625" style="47" hidden="1"/>
    <col min="10276" max="10276" width="41.44140625" style="47" customWidth="1"/>
    <col min="10277" max="10277" width="6.44140625" style="47" customWidth="1"/>
    <col min="10278" max="10278" width="14.5546875" style="47" customWidth="1"/>
    <col min="10279" max="10279" width="11.44140625" style="47" customWidth="1"/>
    <col min="10280" max="10280" width="13" style="47" customWidth="1"/>
    <col min="10281" max="10281" width="25.44140625" style="47" customWidth="1"/>
    <col min="10282" max="10291" width="9.44140625" style="47" customWidth="1"/>
    <col min="10292" max="10292" width="10.5546875" style="47" customWidth="1"/>
    <col min="10293" max="10293" width="9.44140625" style="47" customWidth="1"/>
    <col min="10294" max="10294" width="10.109375" style="47" customWidth="1"/>
    <col min="10295" max="10306" width="11.44140625" style="47" hidden="1" customWidth="1"/>
    <col min="10307" max="10307" width="19.5546875" style="47" customWidth="1"/>
    <col min="10308" max="10308" width="11.44140625" style="47" customWidth="1"/>
    <col min="10309" max="10309" width="56.88671875" style="47" customWidth="1"/>
    <col min="10310" max="10310" width="9.109375" style="47" customWidth="1"/>
    <col min="10311" max="10311" width="24.44140625" style="47" customWidth="1"/>
    <col min="10312" max="10312" width="30.44140625" style="47" customWidth="1"/>
    <col min="10313" max="10313" width="23.5546875" style="47" customWidth="1"/>
    <col min="10314" max="10314" width="5" style="47" customWidth="1"/>
    <col min="10315" max="10316" width="11.44140625" style="47" hidden="1" customWidth="1"/>
    <col min="10317" max="10317" width="5" style="47" customWidth="1"/>
    <col min="10318" max="10319" width="11.44140625" style="47" hidden="1" customWidth="1"/>
    <col min="10320" max="10320" width="5" style="47" customWidth="1"/>
    <col min="10321" max="10322" width="11.44140625" style="47" hidden="1" customWidth="1"/>
    <col min="10323" max="10323" width="5" style="47" customWidth="1"/>
    <col min="10324" max="10391" width="11.44140625" style="47" hidden="1" customWidth="1"/>
    <col min="10392" max="10392" width="9.44140625" style="47" customWidth="1"/>
    <col min="10393" max="10393" width="11.44140625" style="47" hidden="1" customWidth="1"/>
    <col min="10394" max="10394" width="5" style="47" customWidth="1"/>
    <col min="10395" max="10410" width="11.44140625" style="47" hidden="1" customWidth="1"/>
    <col min="10411" max="10411" width="6.44140625" style="47" customWidth="1"/>
    <col min="10412" max="10412" width="11.44140625" style="47" hidden="1" customWidth="1"/>
    <col min="10413" max="10413" width="7.109375" style="47" customWidth="1"/>
    <col min="10414" max="10415" width="11.44140625" style="47" hidden="1" customWidth="1"/>
    <col min="10416" max="10416" width="7.109375" style="47" customWidth="1"/>
    <col min="10417" max="10418" width="11.44140625" style="47" hidden="1" customWidth="1"/>
    <col min="10419" max="10419" width="7.109375" style="47" customWidth="1"/>
    <col min="10420" max="10421" width="11.44140625" style="47" hidden="1" customWidth="1"/>
    <col min="10422" max="10422" width="7.109375" style="47" customWidth="1"/>
    <col min="10423" max="10424" width="11.44140625" style="47" hidden="1" customWidth="1"/>
    <col min="10425" max="10425" width="7.109375" style="47" customWidth="1"/>
    <col min="10426" max="10427" width="11.44140625" style="47" hidden="1" customWidth="1"/>
    <col min="10428" max="10428" width="7.109375" style="47" customWidth="1"/>
    <col min="10429" max="10430" width="11.44140625" style="47" hidden="1" customWidth="1"/>
    <col min="10431" max="10431" width="7.109375" style="47" customWidth="1"/>
    <col min="10432" max="10433" width="11.44140625" style="47" hidden="1" customWidth="1"/>
    <col min="10434" max="10434" width="7.109375" style="47" customWidth="1"/>
    <col min="10435" max="10435" width="11.44140625" style="47" hidden="1" customWidth="1"/>
    <col min="10436" max="10436" width="6.44140625" style="47" customWidth="1"/>
    <col min="10437" max="10438" width="11.44140625" style="47" hidden="1" customWidth="1"/>
    <col min="10439" max="10439" width="6.88671875" style="47" customWidth="1"/>
    <col min="10440" max="10441" width="11.44140625" style="47" hidden="1" customWidth="1"/>
    <col min="10442" max="10442" width="6.88671875" style="47" customWidth="1"/>
    <col min="10443" max="10444" width="11.44140625" style="47" hidden="1" customWidth="1"/>
    <col min="10445" max="10445" width="6.44140625" style="47" customWidth="1"/>
    <col min="10446" max="10450" width="11.44140625" style="47" hidden="1" customWidth="1"/>
    <col min="10451" max="10451" width="6.44140625" style="47" customWidth="1"/>
    <col min="10452" max="10453" width="11.44140625" style="47" hidden="1" customWidth="1"/>
    <col min="10454" max="10454" width="7.44140625" style="47" customWidth="1"/>
    <col min="10455" max="10455" width="11.44140625" style="47" hidden="1" customWidth="1"/>
    <col min="10456" max="10456" width="9.44140625" style="47" customWidth="1"/>
    <col min="10457" max="10457" width="11.44140625" style="47" hidden="1" customWidth="1"/>
    <col min="10458" max="10458" width="9" style="47" customWidth="1"/>
    <col min="10459" max="10460" width="11.44140625" style="47" hidden="1" customWidth="1"/>
    <col min="10461" max="10461" width="8.44140625" style="47" customWidth="1"/>
    <col min="10462" max="10463" width="11.44140625" style="47" hidden="1" customWidth="1"/>
    <col min="10464" max="10464" width="6.44140625" style="47" customWidth="1"/>
    <col min="10465" max="10466" width="11.44140625" style="47" hidden="1" customWidth="1"/>
    <col min="10467" max="10467" width="7" style="47" customWidth="1"/>
    <col min="10468" max="10469" width="11.44140625" style="47" hidden="1" customWidth="1"/>
    <col min="10470" max="10472" width="7" style="47" customWidth="1"/>
    <col min="10473" max="10474" width="11.44140625" style="47" hidden="1" customWidth="1"/>
    <col min="10475" max="10475" width="7.44140625" style="47" customWidth="1"/>
    <col min="10476" max="10477" width="11.44140625" style="47" hidden="1" customWidth="1"/>
    <col min="10478" max="10478" width="7" style="47" customWidth="1"/>
    <col min="10479" max="10480" width="11.44140625" style="47" hidden="1" customWidth="1"/>
    <col min="10481" max="10481" width="7" style="47" customWidth="1"/>
    <col min="10482" max="10483" width="11.44140625" style="47" hidden="1" customWidth="1"/>
    <col min="10484" max="10484" width="7" style="47" customWidth="1"/>
    <col min="10485" max="10485" width="11.44140625" style="47" hidden="1" customWidth="1"/>
    <col min="10486" max="10486" width="6.44140625" style="47" customWidth="1"/>
    <col min="10487" max="10496" width="11.44140625" style="47" hidden="1" customWidth="1"/>
    <col min="10497" max="10531" width="11.44140625" style="47" hidden="1"/>
    <col min="10532" max="10532" width="41.44140625" style="47" customWidth="1"/>
    <col min="10533" max="10533" width="6.44140625" style="47" customWidth="1"/>
    <col min="10534" max="10534" width="14.5546875" style="47" customWidth="1"/>
    <col min="10535" max="10535" width="11.44140625" style="47" customWidth="1"/>
    <col min="10536" max="10536" width="13" style="47" customWidth="1"/>
    <col min="10537" max="10537" width="25.44140625" style="47" customWidth="1"/>
    <col min="10538" max="10547" width="9.44140625" style="47" customWidth="1"/>
    <col min="10548" max="10548" width="10.5546875" style="47" customWidth="1"/>
    <col min="10549" max="10549" width="9.44140625" style="47" customWidth="1"/>
    <col min="10550" max="10550" width="10.109375" style="47" customWidth="1"/>
    <col min="10551" max="10562" width="11.44140625" style="47" hidden="1" customWidth="1"/>
    <col min="10563" max="10563" width="19.5546875" style="47" customWidth="1"/>
    <col min="10564" max="10564" width="11.44140625" style="47" customWidth="1"/>
    <col min="10565" max="10565" width="56.88671875" style="47" customWidth="1"/>
    <col min="10566" max="10566" width="9.109375" style="47" customWidth="1"/>
    <col min="10567" max="10567" width="24.44140625" style="47" customWidth="1"/>
    <col min="10568" max="10568" width="30.44140625" style="47" customWidth="1"/>
    <col min="10569" max="10569" width="23.5546875" style="47" customWidth="1"/>
    <col min="10570" max="10570" width="5" style="47" customWidth="1"/>
    <col min="10571" max="10572" width="11.44140625" style="47" hidden="1" customWidth="1"/>
    <col min="10573" max="10573" width="5" style="47" customWidth="1"/>
    <col min="10574" max="10575" width="11.44140625" style="47" hidden="1" customWidth="1"/>
    <col min="10576" max="10576" width="5" style="47" customWidth="1"/>
    <col min="10577" max="10578" width="11.44140625" style="47" hidden="1" customWidth="1"/>
    <col min="10579" max="10579" width="5" style="47" customWidth="1"/>
    <col min="10580" max="10647" width="11.44140625" style="47" hidden="1" customWidth="1"/>
    <col min="10648" max="10648" width="9.44140625" style="47" customWidth="1"/>
    <col min="10649" max="10649" width="11.44140625" style="47" hidden="1" customWidth="1"/>
    <col min="10650" max="10650" width="5" style="47" customWidth="1"/>
    <col min="10651" max="10666" width="11.44140625" style="47" hidden="1" customWidth="1"/>
    <col min="10667" max="10667" width="6.44140625" style="47" customWidth="1"/>
    <col min="10668" max="10668" width="11.44140625" style="47" hidden="1" customWidth="1"/>
    <col min="10669" max="10669" width="7.109375" style="47" customWidth="1"/>
    <col min="10670" max="10671" width="11.44140625" style="47" hidden="1" customWidth="1"/>
    <col min="10672" max="10672" width="7.109375" style="47" customWidth="1"/>
    <col min="10673" max="10674" width="11.44140625" style="47" hidden="1" customWidth="1"/>
    <col min="10675" max="10675" width="7.109375" style="47" customWidth="1"/>
    <col min="10676" max="10677" width="11.44140625" style="47" hidden="1" customWidth="1"/>
    <col min="10678" max="10678" width="7.109375" style="47" customWidth="1"/>
    <col min="10679" max="10680" width="11.44140625" style="47" hidden="1" customWidth="1"/>
    <col min="10681" max="10681" width="7.109375" style="47" customWidth="1"/>
    <col min="10682" max="10683" width="11.44140625" style="47" hidden="1" customWidth="1"/>
    <col min="10684" max="10684" width="7.109375" style="47" customWidth="1"/>
    <col min="10685" max="10686" width="11.44140625" style="47" hidden="1" customWidth="1"/>
    <col min="10687" max="10687" width="7.109375" style="47" customWidth="1"/>
    <col min="10688" max="10689" width="11.44140625" style="47" hidden="1" customWidth="1"/>
    <col min="10690" max="10690" width="7.109375" style="47" customWidth="1"/>
    <col min="10691" max="10691" width="11.44140625" style="47" hidden="1" customWidth="1"/>
    <col min="10692" max="10692" width="6.44140625" style="47" customWidth="1"/>
    <col min="10693" max="10694" width="11.44140625" style="47" hidden="1" customWidth="1"/>
    <col min="10695" max="10695" width="6.88671875" style="47" customWidth="1"/>
    <col min="10696" max="10697" width="11.44140625" style="47" hidden="1" customWidth="1"/>
    <col min="10698" max="10698" width="6.88671875" style="47" customWidth="1"/>
    <col min="10699" max="10700" width="11.44140625" style="47" hidden="1" customWidth="1"/>
    <col min="10701" max="10701" width="6.44140625" style="47" customWidth="1"/>
    <col min="10702" max="10706" width="11.44140625" style="47" hidden="1" customWidth="1"/>
    <col min="10707" max="10707" width="6.44140625" style="47" customWidth="1"/>
    <col min="10708" max="10709" width="11.44140625" style="47" hidden="1" customWidth="1"/>
    <col min="10710" max="10710" width="7.44140625" style="47" customWidth="1"/>
    <col min="10711" max="10711" width="11.44140625" style="47" hidden="1" customWidth="1"/>
    <col min="10712" max="10712" width="9.44140625" style="47" customWidth="1"/>
    <col min="10713" max="10713" width="11.44140625" style="47" hidden="1" customWidth="1"/>
    <col min="10714" max="10714" width="9" style="47" customWidth="1"/>
    <col min="10715" max="10716" width="11.44140625" style="47" hidden="1" customWidth="1"/>
    <col min="10717" max="10717" width="8.44140625" style="47" customWidth="1"/>
    <col min="10718" max="10719" width="11.44140625" style="47" hidden="1" customWidth="1"/>
    <col min="10720" max="10720" width="6.44140625" style="47" customWidth="1"/>
    <col min="10721" max="10722" width="11.44140625" style="47" hidden="1" customWidth="1"/>
    <col min="10723" max="10723" width="7" style="47" customWidth="1"/>
    <col min="10724" max="10725" width="11.44140625" style="47" hidden="1" customWidth="1"/>
    <col min="10726" max="10728" width="7" style="47" customWidth="1"/>
    <col min="10729" max="10730" width="11.44140625" style="47" hidden="1" customWidth="1"/>
    <col min="10731" max="10731" width="7.44140625" style="47" customWidth="1"/>
    <col min="10732" max="10733" width="11.44140625" style="47" hidden="1" customWidth="1"/>
    <col min="10734" max="10734" width="7" style="47" customWidth="1"/>
    <col min="10735" max="10736" width="11.44140625" style="47" hidden="1" customWidth="1"/>
    <col min="10737" max="10737" width="7" style="47" customWidth="1"/>
    <col min="10738" max="10739" width="11.44140625" style="47" hidden="1" customWidth="1"/>
    <col min="10740" max="10740" width="7" style="47" customWidth="1"/>
    <col min="10741" max="10741" width="11.44140625" style="47" hidden="1" customWidth="1"/>
    <col min="10742" max="10742" width="6.44140625" style="47" customWidth="1"/>
    <col min="10743" max="10752" width="11.44140625" style="47" hidden="1" customWidth="1"/>
    <col min="10753" max="10787" width="11.44140625" style="47" hidden="1"/>
    <col min="10788" max="10788" width="41.44140625" style="47" customWidth="1"/>
    <col min="10789" max="10789" width="6.44140625" style="47" customWidth="1"/>
    <col min="10790" max="10790" width="14.5546875" style="47" customWidth="1"/>
    <col min="10791" max="10791" width="11.44140625" style="47" customWidth="1"/>
    <col min="10792" max="10792" width="13" style="47" customWidth="1"/>
    <col min="10793" max="10793" width="25.44140625" style="47" customWidth="1"/>
    <col min="10794" max="10803" width="9.44140625" style="47" customWidth="1"/>
    <col min="10804" max="10804" width="10.5546875" style="47" customWidth="1"/>
    <col min="10805" max="10805" width="9.44140625" style="47" customWidth="1"/>
    <col min="10806" max="10806" width="10.109375" style="47" customWidth="1"/>
    <col min="10807" max="10818" width="11.44140625" style="47" hidden="1" customWidth="1"/>
    <col min="10819" max="10819" width="19.5546875" style="47" customWidth="1"/>
    <col min="10820" max="10820" width="11.44140625" style="47" customWidth="1"/>
    <col min="10821" max="10821" width="56.88671875" style="47" customWidth="1"/>
    <col min="10822" max="10822" width="9.109375" style="47" customWidth="1"/>
    <col min="10823" max="10823" width="24.44140625" style="47" customWidth="1"/>
    <col min="10824" max="10824" width="30.44140625" style="47" customWidth="1"/>
    <col min="10825" max="10825" width="23.5546875" style="47" customWidth="1"/>
    <col min="10826" max="10826" width="5" style="47" customWidth="1"/>
    <col min="10827" max="10828" width="11.44140625" style="47" hidden="1" customWidth="1"/>
    <col min="10829" max="10829" width="5" style="47" customWidth="1"/>
    <col min="10830" max="10831" width="11.44140625" style="47" hidden="1" customWidth="1"/>
    <col min="10832" max="10832" width="5" style="47" customWidth="1"/>
    <col min="10833" max="10834" width="11.44140625" style="47" hidden="1" customWidth="1"/>
    <col min="10835" max="10835" width="5" style="47" customWidth="1"/>
    <col min="10836" max="10903" width="11.44140625" style="47" hidden="1" customWidth="1"/>
    <col min="10904" max="10904" width="9.44140625" style="47" customWidth="1"/>
    <col min="10905" max="10905" width="11.44140625" style="47" hidden="1" customWidth="1"/>
    <col min="10906" max="10906" width="5" style="47" customWidth="1"/>
    <col min="10907" max="10922" width="11.44140625" style="47" hidden="1" customWidth="1"/>
    <col min="10923" max="10923" width="6.44140625" style="47" customWidth="1"/>
    <col min="10924" max="10924" width="11.44140625" style="47" hidden="1" customWidth="1"/>
    <col min="10925" max="10925" width="7.109375" style="47" customWidth="1"/>
    <col min="10926" max="10927" width="11.44140625" style="47" hidden="1" customWidth="1"/>
    <col min="10928" max="10928" width="7.109375" style="47" customWidth="1"/>
    <col min="10929" max="10930" width="11.44140625" style="47" hidden="1" customWidth="1"/>
    <col min="10931" max="10931" width="7.109375" style="47" customWidth="1"/>
    <col min="10932" max="10933" width="11.44140625" style="47" hidden="1" customWidth="1"/>
    <col min="10934" max="10934" width="7.109375" style="47" customWidth="1"/>
    <col min="10935" max="10936" width="11.44140625" style="47" hidden="1" customWidth="1"/>
    <col min="10937" max="10937" width="7.109375" style="47" customWidth="1"/>
    <col min="10938" max="10939" width="11.44140625" style="47" hidden="1" customWidth="1"/>
    <col min="10940" max="10940" width="7.109375" style="47" customWidth="1"/>
    <col min="10941" max="10942" width="11.44140625" style="47" hidden="1" customWidth="1"/>
    <col min="10943" max="10943" width="7.109375" style="47" customWidth="1"/>
    <col min="10944" max="10945" width="11.44140625" style="47" hidden="1" customWidth="1"/>
    <col min="10946" max="10946" width="7.109375" style="47" customWidth="1"/>
    <col min="10947" max="10947" width="11.44140625" style="47" hidden="1" customWidth="1"/>
    <col min="10948" max="10948" width="6.44140625" style="47" customWidth="1"/>
    <col min="10949" max="10950" width="11.44140625" style="47" hidden="1" customWidth="1"/>
    <col min="10951" max="10951" width="6.88671875" style="47" customWidth="1"/>
    <col min="10952" max="10953" width="11.44140625" style="47" hidden="1" customWidth="1"/>
    <col min="10954" max="10954" width="6.88671875" style="47" customWidth="1"/>
    <col min="10955" max="10956" width="11.44140625" style="47" hidden="1" customWidth="1"/>
    <col min="10957" max="10957" width="6.44140625" style="47" customWidth="1"/>
    <col min="10958" max="10962" width="11.44140625" style="47" hidden="1" customWidth="1"/>
    <col min="10963" max="10963" width="6.44140625" style="47" customWidth="1"/>
    <col min="10964" max="10965" width="11.44140625" style="47" hidden="1" customWidth="1"/>
    <col min="10966" max="10966" width="7.44140625" style="47" customWidth="1"/>
    <col min="10967" max="10967" width="11.44140625" style="47" hidden="1" customWidth="1"/>
    <col min="10968" max="10968" width="9.44140625" style="47" customWidth="1"/>
    <col min="10969" max="10969" width="11.44140625" style="47" hidden="1" customWidth="1"/>
    <col min="10970" max="10970" width="9" style="47" customWidth="1"/>
    <col min="10971" max="10972" width="11.44140625" style="47" hidden="1" customWidth="1"/>
    <col min="10973" max="10973" width="8.44140625" style="47" customWidth="1"/>
    <col min="10974" max="10975" width="11.44140625" style="47" hidden="1" customWidth="1"/>
    <col min="10976" max="10976" width="6.44140625" style="47" customWidth="1"/>
    <col min="10977" max="10978" width="11.44140625" style="47" hidden="1" customWidth="1"/>
    <col min="10979" max="10979" width="7" style="47" customWidth="1"/>
    <col min="10980" max="10981" width="11.44140625" style="47" hidden="1" customWidth="1"/>
    <col min="10982" max="10984" width="7" style="47" customWidth="1"/>
    <col min="10985" max="10986" width="11.44140625" style="47" hidden="1" customWidth="1"/>
    <col min="10987" max="10987" width="7.44140625" style="47" customWidth="1"/>
    <col min="10988" max="10989" width="11.44140625" style="47" hidden="1" customWidth="1"/>
    <col min="10990" max="10990" width="7" style="47" customWidth="1"/>
    <col min="10991" max="10992" width="11.44140625" style="47" hidden="1" customWidth="1"/>
    <col min="10993" max="10993" width="7" style="47" customWidth="1"/>
    <col min="10994" max="10995" width="11.44140625" style="47" hidden="1" customWidth="1"/>
    <col min="10996" max="10996" width="7" style="47" customWidth="1"/>
    <col min="10997" max="10997" width="11.44140625" style="47" hidden="1" customWidth="1"/>
    <col min="10998" max="10998" width="6.44140625" style="47" customWidth="1"/>
    <col min="10999" max="11008" width="11.44140625" style="47" hidden="1" customWidth="1"/>
    <col min="11009" max="11043" width="11.44140625" style="47" hidden="1"/>
    <col min="11044" max="11044" width="41.44140625" style="47" customWidth="1"/>
    <col min="11045" max="11045" width="6.44140625" style="47" customWidth="1"/>
    <col min="11046" max="11046" width="14.5546875" style="47" customWidth="1"/>
    <col min="11047" max="11047" width="11.44140625" style="47" customWidth="1"/>
    <col min="11048" max="11048" width="13" style="47" customWidth="1"/>
    <col min="11049" max="11049" width="25.44140625" style="47" customWidth="1"/>
    <col min="11050" max="11059" width="9.44140625" style="47" customWidth="1"/>
    <col min="11060" max="11060" width="10.5546875" style="47" customWidth="1"/>
    <col min="11061" max="11061" width="9.44140625" style="47" customWidth="1"/>
    <col min="11062" max="11062" width="10.109375" style="47" customWidth="1"/>
    <col min="11063" max="11074" width="11.44140625" style="47" hidden="1" customWidth="1"/>
    <col min="11075" max="11075" width="19.5546875" style="47" customWidth="1"/>
    <col min="11076" max="11076" width="11.44140625" style="47" customWidth="1"/>
    <col min="11077" max="11077" width="56.88671875" style="47" customWidth="1"/>
    <col min="11078" max="11078" width="9.109375" style="47" customWidth="1"/>
    <col min="11079" max="11079" width="24.44140625" style="47" customWidth="1"/>
    <col min="11080" max="11080" width="30.44140625" style="47" customWidth="1"/>
    <col min="11081" max="11081" width="23.5546875" style="47" customWidth="1"/>
    <col min="11082" max="11082" width="5" style="47" customWidth="1"/>
    <col min="11083" max="11084" width="11.44140625" style="47" hidden="1" customWidth="1"/>
    <col min="11085" max="11085" width="5" style="47" customWidth="1"/>
    <col min="11086" max="11087" width="11.44140625" style="47" hidden="1" customWidth="1"/>
    <col min="11088" max="11088" width="5" style="47" customWidth="1"/>
    <col min="11089" max="11090" width="11.44140625" style="47" hidden="1" customWidth="1"/>
    <col min="11091" max="11091" width="5" style="47" customWidth="1"/>
    <col min="11092" max="11159" width="11.44140625" style="47" hidden="1" customWidth="1"/>
    <col min="11160" max="11160" width="9.44140625" style="47" customWidth="1"/>
    <col min="11161" max="11161" width="11.44140625" style="47" hidden="1" customWidth="1"/>
    <col min="11162" max="11162" width="5" style="47" customWidth="1"/>
    <col min="11163" max="11178" width="11.44140625" style="47" hidden="1" customWidth="1"/>
    <col min="11179" max="11179" width="6.44140625" style="47" customWidth="1"/>
    <col min="11180" max="11180" width="11.44140625" style="47" hidden="1" customWidth="1"/>
    <col min="11181" max="11181" width="7.109375" style="47" customWidth="1"/>
    <col min="11182" max="11183" width="11.44140625" style="47" hidden="1" customWidth="1"/>
    <col min="11184" max="11184" width="7.109375" style="47" customWidth="1"/>
    <col min="11185" max="11186" width="11.44140625" style="47" hidden="1" customWidth="1"/>
    <col min="11187" max="11187" width="7.109375" style="47" customWidth="1"/>
    <col min="11188" max="11189" width="11.44140625" style="47" hidden="1" customWidth="1"/>
    <col min="11190" max="11190" width="7.109375" style="47" customWidth="1"/>
    <col min="11191" max="11192" width="11.44140625" style="47" hidden="1" customWidth="1"/>
    <col min="11193" max="11193" width="7.109375" style="47" customWidth="1"/>
    <col min="11194" max="11195" width="11.44140625" style="47" hidden="1" customWidth="1"/>
    <col min="11196" max="11196" width="7.109375" style="47" customWidth="1"/>
    <col min="11197" max="11198" width="11.44140625" style="47" hidden="1" customWidth="1"/>
    <col min="11199" max="11199" width="7.109375" style="47" customWidth="1"/>
    <col min="11200" max="11201" width="11.44140625" style="47" hidden="1" customWidth="1"/>
    <col min="11202" max="11202" width="7.109375" style="47" customWidth="1"/>
    <col min="11203" max="11203" width="11.44140625" style="47" hidden="1" customWidth="1"/>
    <col min="11204" max="11204" width="6.44140625" style="47" customWidth="1"/>
    <col min="11205" max="11206" width="11.44140625" style="47" hidden="1" customWidth="1"/>
    <col min="11207" max="11207" width="6.88671875" style="47" customWidth="1"/>
    <col min="11208" max="11209" width="11.44140625" style="47" hidden="1" customWidth="1"/>
    <col min="11210" max="11210" width="6.88671875" style="47" customWidth="1"/>
    <col min="11211" max="11212" width="11.44140625" style="47" hidden="1" customWidth="1"/>
    <col min="11213" max="11213" width="6.44140625" style="47" customWidth="1"/>
    <col min="11214" max="11218" width="11.44140625" style="47" hidden="1" customWidth="1"/>
    <col min="11219" max="11219" width="6.44140625" style="47" customWidth="1"/>
    <col min="11220" max="11221" width="11.44140625" style="47" hidden="1" customWidth="1"/>
    <col min="11222" max="11222" width="7.44140625" style="47" customWidth="1"/>
    <col min="11223" max="11223" width="11.44140625" style="47" hidden="1" customWidth="1"/>
    <col min="11224" max="11224" width="9.44140625" style="47" customWidth="1"/>
    <col min="11225" max="11225" width="11.44140625" style="47" hidden="1" customWidth="1"/>
    <col min="11226" max="11226" width="9" style="47" customWidth="1"/>
    <col min="11227" max="11228" width="11.44140625" style="47" hidden="1" customWidth="1"/>
    <col min="11229" max="11229" width="8.44140625" style="47" customWidth="1"/>
    <col min="11230" max="11231" width="11.44140625" style="47" hidden="1" customWidth="1"/>
    <col min="11232" max="11232" width="6.44140625" style="47" customWidth="1"/>
    <col min="11233" max="11234" width="11.44140625" style="47" hidden="1" customWidth="1"/>
    <col min="11235" max="11235" width="7" style="47" customWidth="1"/>
    <col min="11236" max="11237" width="11.44140625" style="47" hidden="1" customWidth="1"/>
    <col min="11238" max="11240" width="7" style="47" customWidth="1"/>
    <col min="11241" max="11242" width="11.44140625" style="47" hidden="1" customWidth="1"/>
    <col min="11243" max="11243" width="7.44140625" style="47" customWidth="1"/>
    <col min="11244" max="11245" width="11.44140625" style="47" hidden="1" customWidth="1"/>
    <col min="11246" max="11246" width="7" style="47" customWidth="1"/>
    <col min="11247" max="11248" width="11.44140625" style="47" hidden="1" customWidth="1"/>
    <col min="11249" max="11249" width="7" style="47" customWidth="1"/>
    <col min="11250" max="11251" width="11.44140625" style="47" hidden="1" customWidth="1"/>
    <col min="11252" max="11252" width="7" style="47" customWidth="1"/>
    <col min="11253" max="11253" width="11.44140625" style="47" hidden="1" customWidth="1"/>
    <col min="11254" max="11254" width="6.44140625" style="47" customWidth="1"/>
    <col min="11255" max="11264" width="11.44140625" style="47" hidden="1" customWidth="1"/>
    <col min="11265" max="11299" width="11.44140625" style="47" hidden="1"/>
    <col min="11300" max="11300" width="41.44140625" style="47" customWidth="1"/>
    <col min="11301" max="11301" width="6.44140625" style="47" customWidth="1"/>
    <col min="11302" max="11302" width="14.5546875" style="47" customWidth="1"/>
    <col min="11303" max="11303" width="11.44140625" style="47" customWidth="1"/>
    <col min="11304" max="11304" width="13" style="47" customWidth="1"/>
    <col min="11305" max="11305" width="25.44140625" style="47" customWidth="1"/>
    <col min="11306" max="11315" width="9.44140625" style="47" customWidth="1"/>
    <col min="11316" max="11316" width="10.5546875" style="47" customWidth="1"/>
    <col min="11317" max="11317" width="9.44140625" style="47" customWidth="1"/>
    <col min="11318" max="11318" width="10.109375" style="47" customWidth="1"/>
    <col min="11319" max="11330" width="11.44140625" style="47" hidden="1" customWidth="1"/>
    <col min="11331" max="11331" width="19.5546875" style="47" customWidth="1"/>
    <col min="11332" max="11332" width="11.44140625" style="47" customWidth="1"/>
    <col min="11333" max="11333" width="56.88671875" style="47" customWidth="1"/>
    <col min="11334" max="11334" width="9.109375" style="47" customWidth="1"/>
    <col min="11335" max="11335" width="24.44140625" style="47" customWidth="1"/>
    <col min="11336" max="11336" width="30.44140625" style="47" customWidth="1"/>
    <col min="11337" max="11337" width="23.5546875" style="47" customWidth="1"/>
    <col min="11338" max="11338" width="5" style="47" customWidth="1"/>
    <col min="11339" max="11340" width="11.44140625" style="47" hidden="1" customWidth="1"/>
    <col min="11341" max="11341" width="5" style="47" customWidth="1"/>
    <col min="11342" max="11343" width="11.44140625" style="47" hidden="1" customWidth="1"/>
    <col min="11344" max="11344" width="5" style="47" customWidth="1"/>
    <col min="11345" max="11346" width="11.44140625" style="47" hidden="1" customWidth="1"/>
    <col min="11347" max="11347" width="5" style="47" customWidth="1"/>
    <col min="11348" max="11415" width="11.44140625" style="47" hidden="1" customWidth="1"/>
    <col min="11416" max="11416" width="9.44140625" style="47" customWidth="1"/>
    <col min="11417" max="11417" width="11.44140625" style="47" hidden="1" customWidth="1"/>
    <col min="11418" max="11418" width="5" style="47" customWidth="1"/>
    <col min="11419" max="11434" width="11.44140625" style="47" hidden="1" customWidth="1"/>
    <col min="11435" max="11435" width="6.44140625" style="47" customWidth="1"/>
    <col min="11436" max="11436" width="11.44140625" style="47" hidden="1" customWidth="1"/>
    <col min="11437" max="11437" width="7.109375" style="47" customWidth="1"/>
    <col min="11438" max="11439" width="11.44140625" style="47" hidden="1" customWidth="1"/>
    <col min="11440" max="11440" width="7.109375" style="47" customWidth="1"/>
    <col min="11441" max="11442" width="11.44140625" style="47" hidden="1" customWidth="1"/>
    <col min="11443" max="11443" width="7.109375" style="47" customWidth="1"/>
    <col min="11444" max="11445" width="11.44140625" style="47" hidden="1" customWidth="1"/>
    <col min="11446" max="11446" width="7.109375" style="47" customWidth="1"/>
    <col min="11447" max="11448" width="11.44140625" style="47" hidden="1" customWidth="1"/>
    <col min="11449" max="11449" width="7.109375" style="47" customWidth="1"/>
    <col min="11450" max="11451" width="11.44140625" style="47" hidden="1" customWidth="1"/>
    <col min="11452" max="11452" width="7.109375" style="47" customWidth="1"/>
    <col min="11453" max="11454" width="11.44140625" style="47" hidden="1" customWidth="1"/>
    <col min="11455" max="11455" width="7.109375" style="47" customWidth="1"/>
    <col min="11456" max="11457" width="11.44140625" style="47" hidden="1" customWidth="1"/>
    <col min="11458" max="11458" width="7.109375" style="47" customWidth="1"/>
    <col min="11459" max="11459" width="11.44140625" style="47" hidden="1" customWidth="1"/>
    <col min="11460" max="11460" width="6.44140625" style="47" customWidth="1"/>
    <col min="11461" max="11462" width="11.44140625" style="47" hidden="1" customWidth="1"/>
    <col min="11463" max="11463" width="6.88671875" style="47" customWidth="1"/>
    <col min="11464" max="11465" width="11.44140625" style="47" hidden="1" customWidth="1"/>
    <col min="11466" max="11466" width="6.88671875" style="47" customWidth="1"/>
    <col min="11467" max="11468" width="11.44140625" style="47" hidden="1" customWidth="1"/>
    <col min="11469" max="11469" width="6.44140625" style="47" customWidth="1"/>
    <col min="11470" max="11474" width="11.44140625" style="47" hidden="1" customWidth="1"/>
    <col min="11475" max="11475" width="6.44140625" style="47" customWidth="1"/>
    <col min="11476" max="11477" width="11.44140625" style="47" hidden="1" customWidth="1"/>
    <col min="11478" max="11478" width="7.44140625" style="47" customWidth="1"/>
    <col min="11479" max="11479" width="11.44140625" style="47" hidden="1" customWidth="1"/>
    <col min="11480" max="11480" width="9.44140625" style="47" customWidth="1"/>
    <col min="11481" max="11481" width="11.44140625" style="47" hidden="1" customWidth="1"/>
    <col min="11482" max="11482" width="9" style="47" customWidth="1"/>
    <col min="11483" max="11484" width="11.44140625" style="47" hidden="1" customWidth="1"/>
    <col min="11485" max="11485" width="8.44140625" style="47" customWidth="1"/>
    <col min="11486" max="11487" width="11.44140625" style="47" hidden="1" customWidth="1"/>
    <col min="11488" max="11488" width="6.44140625" style="47" customWidth="1"/>
    <col min="11489" max="11490" width="11.44140625" style="47" hidden="1" customWidth="1"/>
    <col min="11491" max="11491" width="7" style="47" customWidth="1"/>
    <col min="11492" max="11493" width="11.44140625" style="47" hidden="1" customWidth="1"/>
    <col min="11494" max="11496" width="7" style="47" customWidth="1"/>
    <col min="11497" max="11498" width="11.44140625" style="47" hidden="1" customWidth="1"/>
    <col min="11499" max="11499" width="7.44140625" style="47" customWidth="1"/>
    <col min="11500" max="11501" width="11.44140625" style="47" hidden="1" customWidth="1"/>
    <col min="11502" max="11502" width="7" style="47" customWidth="1"/>
    <col min="11503" max="11504" width="11.44140625" style="47" hidden="1" customWidth="1"/>
    <col min="11505" max="11505" width="7" style="47" customWidth="1"/>
    <col min="11506" max="11507" width="11.44140625" style="47" hidden="1" customWidth="1"/>
    <col min="11508" max="11508" width="7" style="47" customWidth="1"/>
    <col min="11509" max="11509" width="11.44140625" style="47" hidden="1" customWidth="1"/>
    <col min="11510" max="11510" width="6.44140625" style="47" customWidth="1"/>
    <col min="11511" max="11520" width="11.44140625" style="47" hidden="1" customWidth="1"/>
    <col min="11521" max="11555" width="11.44140625" style="47" hidden="1"/>
    <col min="11556" max="11556" width="41.44140625" style="47" customWidth="1"/>
    <col min="11557" max="11557" width="6.44140625" style="47" customWidth="1"/>
    <col min="11558" max="11558" width="14.5546875" style="47" customWidth="1"/>
    <col min="11559" max="11559" width="11.44140625" style="47" customWidth="1"/>
    <col min="11560" max="11560" width="13" style="47" customWidth="1"/>
    <col min="11561" max="11561" width="25.44140625" style="47" customWidth="1"/>
    <col min="11562" max="11571" width="9.44140625" style="47" customWidth="1"/>
    <col min="11572" max="11572" width="10.5546875" style="47" customWidth="1"/>
    <col min="11573" max="11573" width="9.44140625" style="47" customWidth="1"/>
    <col min="11574" max="11574" width="10.109375" style="47" customWidth="1"/>
    <col min="11575" max="11586" width="11.44140625" style="47" hidden="1" customWidth="1"/>
    <col min="11587" max="11587" width="19.5546875" style="47" customWidth="1"/>
    <col min="11588" max="11588" width="11.44140625" style="47" customWidth="1"/>
    <col min="11589" max="11589" width="56.88671875" style="47" customWidth="1"/>
    <col min="11590" max="11590" width="9.109375" style="47" customWidth="1"/>
    <col min="11591" max="11591" width="24.44140625" style="47" customWidth="1"/>
    <col min="11592" max="11592" width="30.44140625" style="47" customWidth="1"/>
    <col min="11593" max="11593" width="23.5546875" style="47" customWidth="1"/>
    <col min="11594" max="11594" width="5" style="47" customWidth="1"/>
    <col min="11595" max="11596" width="11.44140625" style="47" hidden="1" customWidth="1"/>
    <col min="11597" max="11597" width="5" style="47" customWidth="1"/>
    <col min="11598" max="11599" width="11.44140625" style="47" hidden="1" customWidth="1"/>
    <col min="11600" max="11600" width="5" style="47" customWidth="1"/>
    <col min="11601" max="11602" width="11.44140625" style="47" hidden="1" customWidth="1"/>
    <col min="11603" max="11603" width="5" style="47" customWidth="1"/>
    <col min="11604" max="11671" width="11.44140625" style="47" hidden="1" customWidth="1"/>
    <col min="11672" max="11672" width="9.44140625" style="47" customWidth="1"/>
    <col min="11673" max="11673" width="11.44140625" style="47" hidden="1" customWidth="1"/>
    <col min="11674" max="11674" width="5" style="47" customWidth="1"/>
    <col min="11675" max="11690" width="11.44140625" style="47" hidden="1" customWidth="1"/>
    <col min="11691" max="11691" width="6.44140625" style="47" customWidth="1"/>
    <col min="11692" max="11692" width="11.44140625" style="47" hidden="1" customWidth="1"/>
    <col min="11693" max="11693" width="7.109375" style="47" customWidth="1"/>
    <col min="11694" max="11695" width="11.44140625" style="47" hidden="1" customWidth="1"/>
    <col min="11696" max="11696" width="7.109375" style="47" customWidth="1"/>
    <col min="11697" max="11698" width="11.44140625" style="47" hidden="1" customWidth="1"/>
    <col min="11699" max="11699" width="7.109375" style="47" customWidth="1"/>
    <col min="11700" max="11701" width="11.44140625" style="47" hidden="1" customWidth="1"/>
    <col min="11702" max="11702" width="7.109375" style="47" customWidth="1"/>
    <col min="11703" max="11704" width="11.44140625" style="47" hidden="1" customWidth="1"/>
    <col min="11705" max="11705" width="7.109375" style="47" customWidth="1"/>
    <col min="11706" max="11707" width="11.44140625" style="47" hidden="1" customWidth="1"/>
    <col min="11708" max="11708" width="7.109375" style="47" customWidth="1"/>
    <col min="11709" max="11710" width="11.44140625" style="47" hidden="1" customWidth="1"/>
    <col min="11711" max="11711" width="7.109375" style="47" customWidth="1"/>
    <col min="11712" max="11713" width="11.44140625" style="47" hidden="1" customWidth="1"/>
    <col min="11714" max="11714" width="7.109375" style="47" customWidth="1"/>
    <col min="11715" max="11715" width="11.44140625" style="47" hidden="1" customWidth="1"/>
    <col min="11716" max="11716" width="6.44140625" style="47" customWidth="1"/>
    <col min="11717" max="11718" width="11.44140625" style="47" hidden="1" customWidth="1"/>
    <col min="11719" max="11719" width="6.88671875" style="47" customWidth="1"/>
    <col min="11720" max="11721" width="11.44140625" style="47" hidden="1" customWidth="1"/>
    <col min="11722" max="11722" width="6.88671875" style="47" customWidth="1"/>
    <col min="11723" max="11724" width="11.44140625" style="47" hidden="1" customWidth="1"/>
    <col min="11725" max="11725" width="6.44140625" style="47" customWidth="1"/>
    <col min="11726" max="11730" width="11.44140625" style="47" hidden="1" customWidth="1"/>
    <col min="11731" max="11731" width="6.44140625" style="47" customWidth="1"/>
    <col min="11732" max="11733" width="11.44140625" style="47" hidden="1" customWidth="1"/>
    <col min="11734" max="11734" width="7.44140625" style="47" customWidth="1"/>
    <col min="11735" max="11735" width="11.44140625" style="47" hidden="1" customWidth="1"/>
    <col min="11736" max="11736" width="9.44140625" style="47" customWidth="1"/>
    <col min="11737" max="11737" width="11.44140625" style="47" hidden="1" customWidth="1"/>
    <col min="11738" max="11738" width="9" style="47" customWidth="1"/>
    <col min="11739" max="11740" width="11.44140625" style="47" hidden="1" customWidth="1"/>
    <col min="11741" max="11741" width="8.44140625" style="47" customWidth="1"/>
    <col min="11742" max="11743" width="11.44140625" style="47" hidden="1" customWidth="1"/>
    <col min="11744" max="11744" width="6.44140625" style="47" customWidth="1"/>
    <col min="11745" max="11746" width="11.44140625" style="47" hidden="1" customWidth="1"/>
    <col min="11747" max="11747" width="7" style="47" customWidth="1"/>
    <col min="11748" max="11749" width="11.44140625" style="47" hidden="1" customWidth="1"/>
    <col min="11750" max="11752" width="7" style="47" customWidth="1"/>
    <col min="11753" max="11754" width="11.44140625" style="47" hidden="1" customWidth="1"/>
    <col min="11755" max="11755" width="7.44140625" style="47" customWidth="1"/>
    <col min="11756" max="11757" width="11.44140625" style="47" hidden="1" customWidth="1"/>
    <col min="11758" max="11758" width="7" style="47" customWidth="1"/>
    <col min="11759" max="11760" width="11.44140625" style="47" hidden="1" customWidth="1"/>
    <col min="11761" max="11761" width="7" style="47" customWidth="1"/>
    <col min="11762" max="11763" width="11.44140625" style="47" hidden="1" customWidth="1"/>
    <col min="11764" max="11764" width="7" style="47" customWidth="1"/>
    <col min="11765" max="11765" width="11.44140625" style="47" hidden="1" customWidth="1"/>
    <col min="11766" max="11766" width="6.44140625" style="47" customWidth="1"/>
    <col min="11767" max="11776" width="11.44140625" style="47" hidden="1" customWidth="1"/>
    <col min="11777" max="11811" width="11.44140625" style="47" hidden="1"/>
    <col min="11812" max="11812" width="41.44140625" style="47" customWidth="1"/>
    <col min="11813" max="11813" width="6.44140625" style="47" customWidth="1"/>
    <col min="11814" max="11814" width="14.5546875" style="47" customWidth="1"/>
    <col min="11815" max="11815" width="11.44140625" style="47" customWidth="1"/>
    <col min="11816" max="11816" width="13" style="47" customWidth="1"/>
    <col min="11817" max="11817" width="25.44140625" style="47" customWidth="1"/>
    <col min="11818" max="11827" width="9.44140625" style="47" customWidth="1"/>
    <col min="11828" max="11828" width="10.5546875" style="47" customWidth="1"/>
    <col min="11829" max="11829" width="9.44140625" style="47" customWidth="1"/>
    <col min="11830" max="11830" width="10.109375" style="47" customWidth="1"/>
    <col min="11831" max="11842" width="11.44140625" style="47" hidden="1" customWidth="1"/>
    <col min="11843" max="11843" width="19.5546875" style="47" customWidth="1"/>
    <col min="11844" max="11844" width="11.44140625" style="47" customWidth="1"/>
    <col min="11845" max="11845" width="56.88671875" style="47" customWidth="1"/>
    <col min="11846" max="11846" width="9.109375" style="47" customWidth="1"/>
    <col min="11847" max="11847" width="24.44140625" style="47" customWidth="1"/>
    <col min="11848" max="11848" width="30.44140625" style="47" customWidth="1"/>
    <col min="11849" max="11849" width="23.5546875" style="47" customWidth="1"/>
    <col min="11850" max="11850" width="5" style="47" customWidth="1"/>
    <col min="11851" max="11852" width="11.44140625" style="47" hidden="1" customWidth="1"/>
    <col min="11853" max="11853" width="5" style="47" customWidth="1"/>
    <col min="11854" max="11855" width="11.44140625" style="47" hidden="1" customWidth="1"/>
    <col min="11856" max="11856" width="5" style="47" customWidth="1"/>
    <col min="11857" max="11858" width="11.44140625" style="47" hidden="1" customWidth="1"/>
    <col min="11859" max="11859" width="5" style="47" customWidth="1"/>
    <col min="11860" max="11927" width="11.44140625" style="47" hidden="1" customWidth="1"/>
    <col min="11928" max="11928" width="9.44140625" style="47" customWidth="1"/>
    <col min="11929" max="11929" width="11.44140625" style="47" hidden="1" customWidth="1"/>
    <col min="11930" max="11930" width="5" style="47" customWidth="1"/>
    <col min="11931" max="11946" width="11.44140625" style="47" hidden="1" customWidth="1"/>
    <col min="11947" max="11947" width="6.44140625" style="47" customWidth="1"/>
    <col min="11948" max="11948" width="11.44140625" style="47" hidden="1" customWidth="1"/>
    <col min="11949" max="11949" width="7.109375" style="47" customWidth="1"/>
    <col min="11950" max="11951" width="11.44140625" style="47" hidden="1" customWidth="1"/>
    <col min="11952" max="11952" width="7.109375" style="47" customWidth="1"/>
    <col min="11953" max="11954" width="11.44140625" style="47" hidden="1" customWidth="1"/>
    <col min="11955" max="11955" width="7.109375" style="47" customWidth="1"/>
    <col min="11956" max="11957" width="11.44140625" style="47" hidden="1" customWidth="1"/>
    <col min="11958" max="11958" width="7.109375" style="47" customWidth="1"/>
    <col min="11959" max="11960" width="11.44140625" style="47" hidden="1" customWidth="1"/>
    <col min="11961" max="11961" width="7.109375" style="47" customWidth="1"/>
    <col min="11962" max="11963" width="11.44140625" style="47" hidden="1" customWidth="1"/>
    <col min="11964" max="11964" width="7.109375" style="47" customWidth="1"/>
    <col min="11965" max="11966" width="11.44140625" style="47" hidden="1" customWidth="1"/>
    <col min="11967" max="11967" width="7.109375" style="47" customWidth="1"/>
    <col min="11968" max="11969" width="11.44140625" style="47" hidden="1" customWidth="1"/>
    <col min="11970" max="11970" width="7.109375" style="47" customWidth="1"/>
    <col min="11971" max="11971" width="11.44140625" style="47" hidden="1" customWidth="1"/>
    <col min="11972" max="11972" width="6.44140625" style="47" customWidth="1"/>
    <col min="11973" max="11974" width="11.44140625" style="47" hidden="1" customWidth="1"/>
    <col min="11975" max="11975" width="6.88671875" style="47" customWidth="1"/>
    <col min="11976" max="11977" width="11.44140625" style="47" hidden="1" customWidth="1"/>
    <col min="11978" max="11978" width="6.88671875" style="47" customWidth="1"/>
    <col min="11979" max="11980" width="11.44140625" style="47" hidden="1" customWidth="1"/>
    <col min="11981" max="11981" width="6.44140625" style="47" customWidth="1"/>
    <col min="11982" max="11986" width="11.44140625" style="47" hidden="1" customWidth="1"/>
    <col min="11987" max="11987" width="6.44140625" style="47" customWidth="1"/>
    <col min="11988" max="11989" width="11.44140625" style="47" hidden="1" customWidth="1"/>
    <col min="11990" max="11990" width="7.44140625" style="47" customWidth="1"/>
    <col min="11991" max="11991" width="11.44140625" style="47" hidden="1" customWidth="1"/>
    <col min="11992" max="11992" width="9.44140625" style="47" customWidth="1"/>
    <col min="11993" max="11993" width="11.44140625" style="47" hidden="1" customWidth="1"/>
    <col min="11994" max="11994" width="9" style="47" customWidth="1"/>
    <col min="11995" max="11996" width="11.44140625" style="47" hidden="1" customWidth="1"/>
    <col min="11997" max="11997" width="8.44140625" style="47" customWidth="1"/>
    <col min="11998" max="11999" width="11.44140625" style="47" hidden="1" customWidth="1"/>
    <col min="12000" max="12000" width="6.44140625" style="47" customWidth="1"/>
    <col min="12001" max="12002" width="11.44140625" style="47" hidden="1" customWidth="1"/>
    <col min="12003" max="12003" width="7" style="47" customWidth="1"/>
    <col min="12004" max="12005" width="11.44140625" style="47" hidden="1" customWidth="1"/>
    <col min="12006" max="12008" width="7" style="47" customWidth="1"/>
    <col min="12009" max="12010" width="11.44140625" style="47" hidden="1" customWidth="1"/>
    <col min="12011" max="12011" width="7.44140625" style="47" customWidth="1"/>
    <col min="12012" max="12013" width="11.44140625" style="47" hidden="1" customWidth="1"/>
    <col min="12014" max="12014" width="7" style="47" customWidth="1"/>
    <col min="12015" max="12016" width="11.44140625" style="47" hidden="1" customWidth="1"/>
    <col min="12017" max="12017" width="7" style="47" customWidth="1"/>
    <col min="12018" max="12019" width="11.44140625" style="47" hidden="1" customWidth="1"/>
    <col min="12020" max="12020" width="7" style="47" customWidth="1"/>
    <col min="12021" max="12021" width="11.44140625" style="47" hidden="1" customWidth="1"/>
    <col min="12022" max="12022" width="6.44140625" style="47" customWidth="1"/>
    <col min="12023" max="12032" width="11.44140625" style="47" hidden="1" customWidth="1"/>
    <col min="12033" max="12067" width="11.44140625" style="47" hidden="1"/>
    <col min="12068" max="12068" width="41.44140625" style="47" customWidth="1"/>
    <col min="12069" max="12069" width="6.44140625" style="47" customWidth="1"/>
    <col min="12070" max="12070" width="14.5546875" style="47" customWidth="1"/>
    <col min="12071" max="12071" width="11.44140625" style="47" customWidth="1"/>
    <col min="12072" max="12072" width="13" style="47" customWidth="1"/>
    <col min="12073" max="12073" width="25.44140625" style="47" customWidth="1"/>
    <col min="12074" max="12083" width="9.44140625" style="47" customWidth="1"/>
    <col min="12084" max="12084" width="10.5546875" style="47" customWidth="1"/>
    <col min="12085" max="12085" width="9.44140625" style="47" customWidth="1"/>
    <col min="12086" max="12086" width="10.109375" style="47" customWidth="1"/>
    <col min="12087" max="12098" width="11.44140625" style="47" hidden="1" customWidth="1"/>
    <col min="12099" max="12099" width="19.5546875" style="47" customWidth="1"/>
    <col min="12100" max="12100" width="11.44140625" style="47" customWidth="1"/>
    <col min="12101" max="12101" width="56.88671875" style="47" customWidth="1"/>
    <col min="12102" max="12102" width="9.109375" style="47" customWidth="1"/>
    <col min="12103" max="12103" width="24.44140625" style="47" customWidth="1"/>
    <col min="12104" max="12104" width="30.44140625" style="47" customWidth="1"/>
    <col min="12105" max="12105" width="23.5546875" style="47" customWidth="1"/>
    <col min="12106" max="12106" width="5" style="47" customWidth="1"/>
    <col min="12107" max="12108" width="11.44140625" style="47" hidden="1" customWidth="1"/>
    <col min="12109" max="12109" width="5" style="47" customWidth="1"/>
    <col min="12110" max="12111" width="11.44140625" style="47" hidden="1" customWidth="1"/>
    <col min="12112" max="12112" width="5" style="47" customWidth="1"/>
    <col min="12113" max="12114" width="11.44140625" style="47" hidden="1" customWidth="1"/>
    <col min="12115" max="12115" width="5" style="47" customWidth="1"/>
    <col min="12116" max="12183" width="11.44140625" style="47" hidden="1" customWidth="1"/>
    <col min="12184" max="12184" width="9.44140625" style="47" customWidth="1"/>
    <col min="12185" max="12185" width="11.44140625" style="47" hidden="1" customWidth="1"/>
    <col min="12186" max="12186" width="5" style="47" customWidth="1"/>
    <col min="12187" max="12202" width="11.44140625" style="47" hidden="1" customWidth="1"/>
    <col min="12203" max="12203" width="6.44140625" style="47" customWidth="1"/>
    <col min="12204" max="12204" width="11.44140625" style="47" hidden="1" customWidth="1"/>
    <col min="12205" max="12205" width="7.109375" style="47" customWidth="1"/>
    <col min="12206" max="12207" width="11.44140625" style="47" hidden="1" customWidth="1"/>
    <col min="12208" max="12208" width="7.109375" style="47" customWidth="1"/>
    <col min="12209" max="12210" width="11.44140625" style="47" hidden="1" customWidth="1"/>
    <col min="12211" max="12211" width="7.109375" style="47" customWidth="1"/>
    <col min="12212" max="12213" width="11.44140625" style="47" hidden="1" customWidth="1"/>
    <col min="12214" max="12214" width="7.109375" style="47" customWidth="1"/>
    <col min="12215" max="12216" width="11.44140625" style="47" hidden="1" customWidth="1"/>
    <col min="12217" max="12217" width="7.109375" style="47" customWidth="1"/>
    <col min="12218" max="12219" width="11.44140625" style="47" hidden="1" customWidth="1"/>
    <col min="12220" max="12220" width="7.109375" style="47" customWidth="1"/>
    <col min="12221" max="12222" width="11.44140625" style="47" hidden="1" customWidth="1"/>
    <col min="12223" max="12223" width="7.109375" style="47" customWidth="1"/>
    <col min="12224" max="12225" width="11.44140625" style="47" hidden="1" customWidth="1"/>
    <col min="12226" max="12226" width="7.109375" style="47" customWidth="1"/>
    <col min="12227" max="12227" width="11.44140625" style="47" hidden="1" customWidth="1"/>
    <col min="12228" max="12228" width="6.44140625" style="47" customWidth="1"/>
    <col min="12229" max="12230" width="11.44140625" style="47" hidden="1" customWidth="1"/>
    <col min="12231" max="12231" width="6.88671875" style="47" customWidth="1"/>
    <col min="12232" max="12233" width="11.44140625" style="47" hidden="1" customWidth="1"/>
    <col min="12234" max="12234" width="6.88671875" style="47" customWidth="1"/>
    <col min="12235" max="12236" width="11.44140625" style="47" hidden="1" customWidth="1"/>
    <col min="12237" max="12237" width="6.44140625" style="47" customWidth="1"/>
    <col min="12238" max="12242" width="11.44140625" style="47" hidden="1" customWidth="1"/>
    <col min="12243" max="12243" width="6.44140625" style="47" customWidth="1"/>
    <col min="12244" max="12245" width="11.44140625" style="47" hidden="1" customWidth="1"/>
    <col min="12246" max="12246" width="7.44140625" style="47" customWidth="1"/>
    <col min="12247" max="12247" width="11.44140625" style="47" hidden="1" customWidth="1"/>
    <col min="12248" max="12248" width="9.44140625" style="47" customWidth="1"/>
    <col min="12249" max="12249" width="11.44140625" style="47" hidden="1" customWidth="1"/>
    <col min="12250" max="12250" width="9" style="47" customWidth="1"/>
    <col min="12251" max="12252" width="11.44140625" style="47" hidden="1" customWidth="1"/>
    <col min="12253" max="12253" width="8.44140625" style="47" customWidth="1"/>
    <col min="12254" max="12255" width="11.44140625" style="47" hidden="1" customWidth="1"/>
    <col min="12256" max="12256" width="6.44140625" style="47" customWidth="1"/>
    <col min="12257" max="12258" width="11.44140625" style="47" hidden="1" customWidth="1"/>
    <col min="12259" max="12259" width="7" style="47" customWidth="1"/>
    <col min="12260" max="12261" width="11.44140625" style="47" hidden="1" customWidth="1"/>
    <col min="12262" max="12264" width="7" style="47" customWidth="1"/>
    <col min="12265" max="12266" width="11.44140625" style="47" hidden="1" customWidth="1"/>
    <col min="12267" max="12267" width="7.44140625" style="47" customWidth="1"/>
    <col min="12268" max="12269" width="11.44140625" style="47" hidden="1" customWidth="1"/>
    <col min="12270" max="12270" width="7" style="47" customWidth="1"/>
    <col min="12271" max="12272" width="11.44140625" style="47" hidden="1" customWidth="1"/>
    <col min="12273" max="12273" width="7" style="47" customWidth="1"/>
    <col min="12274" max="12275" width="11.44140625" style="47" hidden="1" customWidth="1"/>
    <col min="12276" max="12276" width="7" style="47" customWidth="1"/>
    <col min="12277" max="12277" width="11.44140625" style="47" hidden="1" customWidth="1"/>
    <col min="12278" max="12278" width="6.44140625" style="47" customWidth="1"/>
    <col min="12279" max="12288" width="11.44140625" style="47" hidden="1" customWidth="1"/>
    <col min="12289" max="12323" width="11.44140625" style="47" hidden="1"/>
    <col min="12324" max="12324" width="41.44140625" style="47" customWidth="1"/>
    <col min="12325" max="12325" width="6.44140625" style="47" customWidth="1"/>
    <col min="12326" max="12326" width="14.5546875" style="47" customWidth="1"/>
    <col min="12327" max="12327" width="11.44140625" style="47" customWidth="1"/>
    <col min="12328" max="12328" width="13" style="47" customWidth="1"/>
    <col min="12329" max="12329" width="25.44140625" style="47" customWidth="1"/>
    <col min="12330" max="12339" width="9.44140625" style="47" customWidth="1"/>
    <col min="12340" max="12340" width="10.5546875" style="47" customWidth="1"/>
    <col min="12341" max="12341" width="9.44140625" style="47" customWidth="1"/>
    <col min="12342" max="12342" width="10.109375" style="47" customWidth="1"/>
    <col min="12343" max="12354" width="11.44140625" style="47" hidden="1" customWidth="1"/>
    <col min="12355" max="12355" width="19.5546875" style="47" customWidth="1"/>
    <col min="12356" max="12356" width="11.44140625" style="47" customWidth="1"/>
    <col min="12357" max="12357" width="56.88671875" style="47" customWidth="1"/>
    <col min="12358" max="12358" width="9.109375" style="47" customWidth="1"/>
    <col min="12359" max="12359" width="24.44140625" style="47" customWidth="1"/>
    <col min="12360" max="12360" width="30.44140625" style="47" customWidth="1"/>
    <col min="12361" max="12361" width="23.5546875" style="47" customWidth="1"/>
    <col min="12362" max="12362" width="5" style="47" customWidth="1"/>
    <col min="12363" max="12364" width="11.44140625" style="47" hidden="1" customWidth="1"/>
    <col min="12365" max="12365" width="5" style="47" customWidth="1"/>
    <col min="12366" max="12367" width="11.44140625" style="47" hidden="1" customWidth="1"/>
    <col min="12368" max="12368" width="5" style="47" customWidth="1"/>
    <col min="12369" max="12370" width="11.44140625" style="47" hidden="1" customWidth="1"/>
    <col min="12371" max="12371" width="5" style="47" customWidth="1"/>
    <col min="12372" max="12439" width="11.44140625" style="47" hidden="1" customWidth="1"/>
    <col min="12440" max="12440" width="9.44140625" style="47" customWidth="1"/>
    <col min="12441" max="12441" width="11.44140625" style="47" hidden="1" customWidth="1"/>
    <col min="12442" max="12442" width="5" style="47" customWidth="1"/>
    <col min="12443" max="12458" width="11.44140625" style="47" hidden="1" customWidth="1"/>
    <col min="12459" max="12459" width="6.44140625" style="47" customWidth="1"/>
    <col min="12460" max="12460" width="11.44140625" style="47" hidden="1" customWidth="1"/>
    <col min="12461" max="12461" width="7.109375" style="47" customWidth="1"/>
    <col min="12462" max="12463" width="11.44140625" style="47" hidden="1" customWidth="1"/>
    <col min="12464" max="12464" width="7.109375" style="47" customWidth="1"/>
    <col min="12465" max="12466" width="11.44140625" style="47" hidden="1" customWidth="1"/>
    <col min="12467" max="12467" width="7.109375" style="47" customWidth="1"/>
    <col min="12468" max="12469" width="11.44140625" style="47" hidden="1" customWidth="1"/>
    <col min="12470" max="12470" width="7.109375" style="47" customWidth="1"/>
    <col min="12471" max="12472" width="11.44140625" style="47" hidden="1" customWidth="1"/>
    <col min="12473" max="12473" width="7.109375" style="47" customWidth="1"/>
    <col min="12474" max="12475" width="11.44140625" style="47" hidden="1" customWidth="1"/>
    <col min="12476" max="12476" width="7.109375" style="47" customWidth="1"/>
    <col min="12477" max="12478" width="11.44140625" style="47" hidden="1" customWidth="1"/>
    <col min="12479" max="12479" width="7.109375" style="47" customWidth="1"/>
    <col min="12480" max="12481" width="11.44140625" style="47" hidden="1" customWidth="1"/>
    <col min="12482" max="12482" width="7.109375" style="47" customWidth="1"/>
    <col min="12483" max="12483" width="11.44140625" style="47" hidden="1" customWidth="1"/>
    <col min="12484" max="12484" width="6.44140625" style="47" customWidth="1"/>
    <col min="12485" max="12486" width="11.44140625" style="47" hidden="1" customWidth="1"/>
    <col min="12487" max="12487" width="6.88671875" style="47" customWidth="1"/>
    <col min="12488" max="12489" width="11.44140625" style="47" hidden="1" customWidth="1"/>
    <col min="12490" max="12490" width="6.88671875" style="47" customWidth="1"/>
    <col min="12491" max="12492" width="11.44140625" style="47" hidden="1" customWidth="1"/>
    <col min="12493" max="12493" width="6.44140625" style="47" customWidth="1"/>
    <col min="12494" max="12498" width="11.44140625" style="47" hidden="1" customWidth="1"/>
    <col min="12499" max="12499" width="6.44140625" style="47" customWidth="1"/>
    <col min="12500" max="12501" width="11.44140625" style="47" hidden="1" customWidth="1"/>
    <col min="12502" max="12502" width="7.44140625" style="47" customWidth="1"/>
    <col min="12503" max="12503" width="11.44140625" style="47" hidden="1" customWidth="1"/>
    <col min="12504" max="12504" width="9.44140625" style="47" customWidth="1"/>
    <col min="12505" max="12505" width="11.44140625" style="47" hidden="1" customWidth="1"/>
    <col min="12506" max="12506" width="9" style="47" customWidth="1"/>
    <col min="12507" max="12508" width="11.44140625" style="47" hidden="1" customWidth="1"/>
    <col min="12509" max="12509" width="8.44140625" style="47" customWidth="1"/>
    <col min="12510" max="12511" width="11.44140625" style="47" hidden="1" customWidth="1"/>
    <col min="12512" max="12512" width="6.44140625" style="47" customWidth="1"/>
    <col min="12513" max="12514" width="11.44140625" style="47" hidden="1" customWidth="1"/>
    <col min="12515" max="12515" width="7" style="47" customWidth="1"/>
    <col min="12516" max="12517" width="11.44140625" style="47" hidden="1" customWidth="1"/>
    <col min="12518" max="12520" width="7" style="47" customWidth="1"/>
    <col min="12521" max="12522" width="11.44140625" style="47" hidden="1" customWidth="1"/>
    <col min="12523" max="12523" width="7.44140625" style="47" customWidth="1"/>
    <col min="12524" max="12525" width="11.44140625" style="47" hidden="1" customWidth="1"/>
    <col min="12526" max="12526" width="7" style="47" customWidth="1"/>
    <col min="12527" max="12528" width="11.44140625" style="47" hidden="1" customWidth="1"/>
    <col min="12529" max="12529" width="7" style="47" customWidth="1"/>
    <col min="12530" max="12531" width="11.44140625" style="47" hidden="1" customWidth="1"/>
    <col min="12532" max="12532" width="7" style="47" customWidth="1"/>
    <col min="12533" max="12533" width="11.44140625" style="47" hidden="1" customWidth="1"/>
    <col min="12534" max="12534" width="6.44140625" style="47" customWidth="1"/>
    <col min="12535" max="12544" width="11.44140625" style="47" hidden="1" customWidth="1"/>
    <col min="12545" max="12579" width="11.44140625" style="47" hidden="1"/>
    <col min="12580" max="12580" width="41.44140625" style="47" customWidth="1"/>
    <col min="12581" max="12581" width="6.44140625" style="47" customWidth="1"/>
    <col min="12582" max="12582" width="14.5546875" style="47" customWidth="1"/>
    <col min="12583" max="12583" width="11.44140625" style="47" customWidth="1"/>
    <col min="12584" max="12584" width="13" style="47" customWidth="1"/>
    <col min="12585" max="12585" width="25.44140625" style="47" customWidth="1"/>
    <col min="12586" max="12595" width="9.44140625" style="47" customWidth="1"/>
    <col min="12596" max="12596" width="10.5546875" style="47" customWidth="1"/>
    <col min="12597" max="12597" width="9.44140625" style="47" customWidth="1"/>
    <col min="12598" max="12598" width="10.109375" style="47" customWidth="1"/>
    <col min="12599" max="12610" width="11.44140625" style="47" hidden="1" customWidth="1"/>
    <col min="12611" max="12611" width="19.5546875" style="47" customWidth="1"/>
    <col min="12612" max="12612" width="11.44140625" style="47" customWidth="1"/>
    <col min="12613" max="12613" width="56.88671875" style="47" customWidth="1"/>
    <col min="12614" max="12614" width="9.109375" style="47" customWidth="1"/>
    <col min="12615" max="12615" width="24.44140625" style="47" customWidth="1"/>
    <col min="12616" max="12616" width="30.44140625" style="47" customWidth="1"/>
    <col min="12617" max="12617" width="23.5546875" style="47" customWidth="1"/>
    <col min="12618" max="12618" width="5" style="47" customWidth="1"/>
    <col min="12619" max="12620" width="11.44140625" style="47" hidden="1" customWidth="1"/>
    <col min="12621" max="12621" width="5" style="47" customWidth="1"/>
    <col min="12622" max="12623" width="11.44140625" style="47" hidden="1" customWidth="1"/>
    <col min="12624" max="12624" width="5" style="47" customWidth="1"/>
    <col min="12625" max="12626" width="11.44140625" style="47" hidden="1" customWidth="1"/>
    <col min="12627" max="12627" width="5" style="47" customWidth="1"/>
    <col min="12628" max="12695" width="11.44140625" style="47" hidden="1" customWidth="1"/>
    <col min="12696" max="12696" width="9.44140625" style="47" customWidth="1"/>
    <col min="12697" max="12697" width="11.44140625" style="47" hidden="1" customWidth="1"/>
    <col min="12698" max="12698" width="5" style="47" customWidth="1"/>
    <col min="12699" max="12714" width="11.44140625" style="47" hidden="1" customWidth="1"/>
    <col min="12715" max="12715" width="6.44140625" style="47" customWidth="1"/>
    <col min="12716" max="12716" width="11.44140625" style="47" hidden="1" customWidth="1"/>
    <col min="12717" max="12717" width="7.109375" style="47" customWidth="1"/>
    <col min="12718" max="12719" width="11.44140625" style="47" hidden="1" customWidth="1"/>
    <col min="12720" max="12720" width="7.109375" style="47" customWidth="1"/>
    <col min="12721" max="12722" width="11.44140625" style="47" hidden="1" customWidth="1"/>
    <col min="12723" max="12723" width="7.109375" style="47" customWidth="1"/>
    <col min="12724" max="12725" width="11.44140625" style="47" hidden="1" customWidth="1"/>
    <col min="12726" max="12726" width="7.109375" style="47" customWidth="1"/>
    <col min="12727" max="12728" width="11.44140625" style="47" hidden="1" customWidth="1"/>
    <col min="12729" max="12729" width="7.109375" style="47" customWidth="1"/>
    <col min="12730" max="12731" width="11.44140625" style="47" hidden="1" customWidth="1"/>
    <col min="12732" max="12732" width="7.109375" style="47" customWidth="1"/>
    <col min="12733" max="12734" width="11.44140625" style="47" hidden="1" customWidth="1"/>
    <col min="12735" max="12735" width="7.109375" style="47" customWidth="1"/>
    <col min="12736" max="12737" width="11.44140625" style="47" hidden="1" customWidth="1"/>
    <col min="12738" max="12738" width="7.109375" style="47" customWidth="1"/>
    <col min="12739" max="12739" width="11.44140625" style="47" hidden="1" customWidth="1"/>
    <col min="12740" max="12740" width="6.44140625" style="47" customWidth="1"/>
    <col min="12741" max="12742" width="11.44140625" style="47" hidden="1" customWidth="1"/>
    <col min="12743" max="12743" width="6.88671875" style="47" customWidth="1"/>
    <col min="12744" max="12745" width="11.44140625" style="47" hidden="1" customWidth="1"/>
    <col min="12746" max="12746" width="6.88671875" style="47" customWidth="1"/>
    <col min="12747" max="12748" width="11.44140625" style="47" hidden="1" customWidth="1"/>
    <col min="12749" max="12749" width="6.44140625" style="47" customWidth="1"/>
    <col min="12750" max="12754" width="11.44140625" style="47" hidden="1" customWidth="1"/>
    <col min="12755" max="12755" width="6.44140625" style="47" customWidth="1"/>
    <col min="12756" max="12757" width="11.44140625" style="47" hidden="1" customWidth="1"/>
    <col min="12758" max="12758" width="7.44140625" style="47" customWidth="1"/>
    <col min="12759" max="12759" width="11.44140625" style="47" hidden="1" customWidth="1"/>
    <col min="12760" max="12760" width="9.44140625" style="47" customWidth="1"/>
    <col min="12761" max="12761" width="11.44140625" style="47" hidden="1" customWidth="1"/>
    <col min="12762" max="12762" width="9" style="47" customWidth="1"/>
    <col min="12763" max="12764" width="11.44140625" style="47" hidden="1" customWidth="1"/>
    <col min="12765" max="12765" width="8.44140625" style="47" customWidth="1"/>
    <col min="12766" max="12767" width="11.44140625" style="47" hidden="1" customWidth="1"/>
    <col min="12768" max="12768" width="6.44140625" style="47" customWidth="1"/>
    <col min="12769" max="12770" width="11.44140625" style="47" hidden="1" customWidth="1"/>
    <col min="12771" max="12771" width="7" style="47" customWidth="1"/>
    <col min="12772" max="12773" width="11.44140625" style="47" hidden="1" customWidth="1"/>
    <col min="12774" max="12776" width="7" style="47" customWidth="1"/>
    <col min="12777" max="12778" width="11.44140625" style="47" hidden="1" customWidth="1"/>
    <col min="12779" max="12779" width="7.44140625" style="47" customWidth="1"/>
    <col min="12780" max="12781" width="11.44140625" style="47" hidden="1" customWidth="1"/>
    <col min="12782" max="12782" width="7" style="47" customWidth="1"/>
    <col min="12783" max="12784" width="11.44140625" style="47" hidden="1" customWidth="1"/>
    <col min="12785" max="12785" width="7" style="47" customWidth="1"/>
    <col min="12786" max="12787" width="11.44140625" style="47" hidden="1" customWidth="1"/>
    <col min="12788" max="12788" width="7" style="47" customWidth="1"/>
    <col min="12789" max="12789" width="11.44140625" style="47" hidden="1" customWidth="1"/>
    <col min="12790" max="12790" width="6.44140625" style="47" customWidth="1"/>
    <col min="12791" max="12800" width="11.44140625" style="47" hidden="1" customWidth="1"/>
    <col min="12801" max="12835" width="11.44140625" style="47" hidden="1"/>
    <col min="12836" max="12836" width="41.44140625" style="47" customWidth="1"/>
    <col min="12837" max="12837" width="6.44140625" style="47" customWidth="1"/>
    <col min="12838" max="12838" width="14.5546875" style="47" customWidth="1"/>
    <col min="12839" max="12839" width="11.44140625" style="47" customWidth="1"/>
    <col min="12840" max="12840" width="13" style="47" customWidth="1"/>
    <col min="12841" max="12841" width="25.44140625" style="47" customWidth="1"/>
    <col min="12842" max="12851" width="9.44140625" style="47" customWidth="1"/>
    <col min="12852" max="12852" width="10.5546875" style="47" customWidth="1"/>
    <col min="12853" max="12853" width="9.44140625" style="47" customWidth="1"/>
    <col min="12854" max="12854" width="10.109375" style="47" customWidth="1"/>
    <col min="12855" max="12866" width="11.44140625" style="47" hidden="1" customWidth="1"/>
    <col min="12867" max="12867" width="19.5546875" style="47" customWidth="1"/>
    <col min="12868" max="12868" width="11.44140625" style="47" customWidth="1"/>
    <col min="12869" max="12869" width="56.88671875" style="47" customWidth="1"/>
    <col min="12870" max="12870" width="9.109375" style="47" customWidth="1"/>
    <col min="12871" max="12871" width="24.44140625" style="47" customWidth="1"/>
    <col min="12872" max="12872" width="30.44140625" style="47" customWidth="1"/>
    <col min="12873" max="12873" width="23.5546875" style="47" customWidth="1"/>
    <col min="12874" max="12874" width="5" style="47" customWidth="1"/>
    <col min="12875" max="12876" width="11.44140625" style="47" hidden="1" customWidth="1"/>
    <col min="12877" max="12877" width="5" style="47" customWidth="1"/>
    <col min="12878" max="12879" width="11.44140625" style="47" hidden="1" customWidth="1"/>
    <col min="12880" max="12880" width="5" style="47" customWidth="1"/>
    <col min="12881" max="12882" width="11.44140625" style="47" hidden="1" customWidth="1"/>
    <col min="12883" max="12883" width="5" style="47" customWidth="1"/>
    <col min="12884" max="12951" width="11.44140625" style="47" hidden="1" customWidth="1"/>
    <col min="12952" max="12952" width="9.44140625" style="47" customWidth="1"/>
    <col min="12953" max="12953" width="11.44140625" style="47" hidden="1" customWidth="1"/>
    <col min="12954" max="12954" width="5" style="47" customWidth="1"/>
    <col min="12955" max="12970" width="11.44140625" style="47" hidden="1" customWidth="1"/>
    <col min="12971" max="12971" width="6.44140625" style="47" customWidth="1"/>
    <col min="12972" max="12972" width="11.44140625" style="47" hidden="1" customWidth="1"/>
    <col min="12973" max="12973" width="7.109375" style="47" customWidth="1"/>
    <col min="12974" max="12975" width="11.44140625" style="47" hidden="1" customWidth="1"/>
    <col min="12976" max="12976" width="7.109375" style="47" customWidth="1"/>
    <col min="12977" max="12978" width="11.44140625" style="47" hidden="1" customWidth="1"/>
    <col min="12979" max="12979" width="7.109375" style="47" customWidth="1"/>
    <col min="12980" max="12981" width="11.44140625" style="47" hidden="1" customWidth="1"/>
    <col min="12982" max="12982" width="7.109375" style="47" customWidth="1"/>
    <col min="12983" max="12984" width="11.44140625" style="47" hidden="1" customWidth="1"/>
    <col min="12985" max="12985" width="7.109375" style="47" customWidth="1"/>
    <col min="12986" max="12987" width="11.44140625" style="47" hidden="1" customWidth="1"/>
    <col min="12988" max="12988" width="7.109375" style="47" customWidth="1"/>
    <col min="12989" max="12990" width="11.44140625" style="47" hidden="1" customWidth="1"/>
    <col min="12991" max="12991" width="7.109375" style="47" customWidth="1"/>
    <col min="12992" max="12993" width="11.44140625" style="47" hidden="1" customWidth="1"/>
    <col min="12994" max="12994" width="7.109375" style="47" customWidth="1"/>
    <col min="12995" max="12995" width="11.44140625" style="47" hidden="1" customWidth="1"/>
    <col min="12996" max="12996" width="6.44140625" style="47" customWidth="1"/>
    <col min="12997" max="12998" width="11.44140625" style="47" hidden="1" customWidth="1"/>
    <col min="12999" max="12999" width="6.88671875" style="47" customWidth="1"/>
    <col min="13000" max="13001" width="11.44140625" style="47" hidden="1" customWidth="1"/>
    <col min="13002" max="13002" width="6.88671875" style="47" customWidth="1"/>
    <col min="13003" max="13004" width="11.44140625" style="47" hidden="1" customWidth="1"/>
    <col min="13005" max="13005" width="6.44140625" style="47" customWidth="1"/>
    <col min="13006" max="13010" width="11.44140625" style="47" hidden="1" customWidth="1"/>
    <col min="13011" max="13011" width="6.44140625" style="47" customWidth="1"/>
    <col min="13012" max="13013" width="11.44140625" style="47" hidden="1" customWidth="1"/>
    <col min="13014" max="13014" width="7.44140625" style="47" customWidth="1"/>
    <col min="13015" max="13015" width="11.44140625" style="47" hidden="1" customWidth="1"/>
    <col min="13016" max="13016" width="9.44140625" style="47" customWidth="1"/>
    <col min="13017" max="13017" width="11.44140625" style="47" hidden="1" customWidth="1"/>
    <col min="13018" max="13018" width="9" style="47" customWidth="1"/>
    <col min="13019" max="13020" width="11.44140625" style="47" hidden="1" customWidth="1"/>
    <col min="13021" max="13021" width="8.44140625" style="47" customWidth="1"/>
    <col min="13022" max="13023" width="11.44140625" style="47" hidden="1" customWidth="1"/>
    <col min="13024" max="13024" width="6.44140625" style="47" customWidth="1"/>
    <col min="13025" max="13026" width="11.44140625" style="47" hidden="1" customWidth="1"/>
    <col min="13027" max="13027" width="7" style="47" customWidth="1"/>
    <col min="13028" max="13029" width="11.44140625" style="47" hidden="1" customWidth="1"/>
    <col min="13030" max="13032" width="7" style="47" customWidth="1"/>
    <col min="13033" max="13034" width="11.44140625" style="47" hidden="1" customWidth="1"/>
    <col min="13035" max="13035" width="7.44140625" style="47" customWidth="1"/>
    <col min="13036" max="13037" width="11.44140625" style="47" hidden="1" customWidth="1"/>
    <col min="13038" max="13038" width="7" style="47" customWidth="1"/>
    <col min="13039" max="13040" width="11.44140625" style="47" hidden="1" customWidth="1"/>
    <col min="13041" max="13041" width="7" style="47" customWidth="1"/>
    <col min="13042" max="13043" width="11.44140625" style="47" hidden="1" customWidth="1"/>
    <col min="13044" max="13044" width="7" style="47" customWidth="1"/>
    <col min="13045" max="13045" width="11.44140625" style="47" hidden="1" customWidth="1"/>
    <col min="13046" max="13046" width="6.44140625" style="47" customWidth="1"/>
    <col min="13047" max="13056" width="11.44140625" style="47" hidden="1" customWidth="1"/>
    <col min="13057" max="13091" width="11.44140625" style="47" hidden="1"/>
    <col min="13092" max="13092" width="41.44140625" style="47" customWidth="1"/>
    <col min="13093" max="13093" width="6.44140625" style="47" customWidth="1"/>
    <col min="13094" max="13094" width="14.5546875" style="47" customWidth="1"/>
    <col min="13095" max="13095" width="11.44140625" style="47" customWidth="1"/>
    <col min="13096" max="13096" width="13" style="47" customWidth="1"/>
    <col min="13097" max="13097" width="25.44140625" style="47" customWidth="1"/>
    <col min="13098" max="13107" width="9.44140625" style="47" customWidth="1"/>
    <col min="13108" max="13108" width="10.5546875" style="47" customWidth="1"/>
    <col min="13109" max="13109" width="9.44140625" style="47" customWidth="1"/>
    <col min="13110" max="13110" width="10.109375" style="47" customWidth="1"/>
    <col min="13111" max="13122" width="11.44140625" style="47" hidden="1" customWidth="1"/>
    <col min="13123" max="13123" width="19.5546875" style="47" customWidth="1"/>
    <col min="13124" max="13124" width="11.44140625" style="47" customWidth="1"/>
    <col min="13125" max="13125" width="56.88671875" style="47" customWidth="1"/>
    <col min="13126" max="13126" width="9.109375" style="47" customWidth="1"/>
    <col min="13127" max="13127" width="24.44140625" style="47" customWidth="1"/>
    <col min="13128" max="13128" width="30.44140625" style="47" customWidth="1"/>
    <col min="13129" max="13129" width="23.5546875" style="47" customWidth="1"/>
    <col min="13130" max="13130" width="5" style="47" customWidth="1"/>
    <col min="13131" max="13132" width="11.44140625" style="47" hidden="1" customWidth="1"/>
    <col min="13133" max="13133" width="5" style="47" customWidth="1"/>
    <col min="13134" max="13135" width="11.44140625" style="47" hidden="1" customWidth="1"/>
    <col min="13136" max="13136" width="5" style="47" customWidth="1"/>
    <col min="13137" max="13138" width="11.44140625" style="47" hidden="1" customWidth="1"/>
    <col min="13139" max="13139" width="5" style="47" customWidth="1"/>
    <col min="13140" max="13207" width="11.44140625" style="47" hidden="1" customWidth="1"/>
    <col min="13208" max="13208" width="9.44140625" style="47" customWidth="1"/>
    <col min="13209" max="13209" width="11.44140625" style="47" hidden="1" customWidth="1"/>
    <col min="13210" max="13210" width="5" style="47" customWidth="1"/>
    <col min="13211" max="13226" width="11.44140625" style="47" hidden="1" customWidth="1"/>
    <col min="13227" max="13227" width="6.44140625" style="47" customWidth="1"/>
    <col min="13228" max="13228" width="11.44140625" style="47" hidden="1" customWidth="1"/>
    <col min="13229" max="13229" width="7.109375" style="47" customWidth="1"/>
    <col min="13230" max="13231" width="11.44140625" style="47" hidden="1" customWidth="1"/>
    <col min="13232" max="13232" width="7.109375" style="47" customWidth="1"/>
    <col min="13233" max="13234" width="11.44140625" style="47" hidden="1" customWidth="1"/>
    <col min="13235" max="13235" width="7.109375" style="47" customWidth="1"/>
    <col min="13236" max="13237" width="11.44140625" style="47" hidden="1" customWidth="1"/>
    <col min="13238" max="13238" width="7.109375" style="47" customWidth="1"/>
    <col min="13239" max="13240" width="11.44140625" style="47" hidden="1" customWidth="1"/>
    <col min="13241" max="13241" width="7.109375" style="47" customWidth="1"/>
    <col min="13242" max="13243" width="11.44140625" style="47" hidden="1" customWidth="1"/>
    <col min="13244" max="13244" width="7.109375" style="47" customWidth="1"/>
    <col min="13245" max="13246" width="11.44140625" style="47" hidden="1" customWidth="1"/>
    <col min="13247" max="13247" width="7.109375" style="47" customWidth="1"/>
    <col min="13248" max="13249" width="11.44140625" style="47" hidden="1" customWidth="1"/>
    <col min="13250" max="13250" width="7.109375" style="47" customWidth="1"/>
    <col min="13251" max="13251" width="11.44140625" style="47" hidden="1" customWidth="1"/>
    <col min="13252" max="13252" width="6.44140625" style="47" customWidth="1"/>
    <col min="13253" max="13254" width="11.44140625" style="47" hidden="1" customWidth="1"/>
    <col min="13255" max="13255" width="6.88671875" style="47" customWidth="1"/>
    <col min="13256" max="13257" width="11.44140625" style="47" hidden="1" customWidth="1"/>
    <col min="13258" max="13258" width="6.88671875" style="47" customWidth="1"/>
    <col min="13259" max="13260" width="11.44140625" style="47" hidden="1" customWidth="1"/>
    <col min="13261" max="13261" width="6.44140625" style="47" customWidth="1"/>
    <col min="13262" max="13266" width="11.44140625" style="47" hidden="1" customWidth="1"/>
    <col min="13267" max="13267" width="6.44140625" style="47" customWidth="1"/>
    <col min="13268" max="13269" width="11.44140625" style="47" hidden="1" customWidth="1"/>
    <col min="13270" max="13270" width="7.44140625" style="47" customWidth="1"/>
    <col min="13271" max="13271" width="11.44140625" style="47" hidden="1" customWidth="1"/>
    <col min="13272" max="13272" width="9.44140625" style="47" customWidth="1"/>
    <col min="13273" max="13273" width="11.44140625" style="47" hidden="1" customWidth="1"/>
    <col min="13274" max="13274" width="9" style="47" customWidth="1"/>
    <col min="13275" max="13276" width="11.44140625" style="47" hidden="1" customWidth="1"/>
    <col min="13277" max="13277" width="8.44140625" style="47" customWidth="1"/>
    <col min="13278" max="13279" width="11.44140625" style="47" hidden="1" customWidth="1"/>
    <col min="13280" max="13280" width="6.44140625" style="47" customWidth="1"/>
    <col min="13281" max="13282" width="11.44140625" style="47" hidden="1" customWidth="1"/>
    <col min="13283" max="13283" width="7" style="47" customWidth="1"/>
    <col min="13284" max="13285" width="11.44140625" style="47" hidden="1" customWidth="1"/>
    <col min="13286" max="13288" width="7" style="47" customWidth="1"/>
    <col min="13289" max="13290" width="11.44140625" style="47" hidden="1" customWidth="1"/>
    <col min="13291" max="13291" width="7.44140625" style="47" customWidth="1"/>
    <col min="13292" max="13293" width="11.44140625" style="47" hidden="1" customWidth="1"/>
    <col min="13294" max="13294" width="7" style="47" customWidth="1"/>
    <col min="13295" max="13296" width="11.44140625" style="47" hidden="1" customWidth="1"/>
    <col min="13297" max="13297" width="7" style="47" customWidth="1"/>
    <col min="13298" max="13299" width="11.44140625" style="47" hidden="1" customWidth="1"/>
    <col min="13300" max="13300" width="7" style="47" customWidth="1"/>
    <col min="13301" max="13301" width="11.44140625" style="47" hidden="1" customWidth="1"/>
    <col min="13302" max="13302" width="6.44140625" style="47" customWidth="1"/>
    <col min="13303" max="13312" width="11.44140625" style="47" hidden="1" customWidth="1"/>
    <col min="13313" max="13347" width="11.44140625" style="47" hidden="1"/>
    <col min="13348" max="13348" width="41.44140625" style="47" customWidth="1"/>
    <col min="13349" max="13349" width="6.44140625" style="47" customWidth="1"/>
    <col min="13350" max="13350" width="14.5546875" style="47" customWidth="1"/>
    <col min="13351" max="13351" width="11.44140625" style="47" customWidth="1"/>
    <col min="13352" max="13352" width="13" style="47" customWidth="1"/>
    <col min="13353" max="13353" width="25.44140625" style="47" customWidth="1"/>
    <col min="13354" max="13363" width="9.44140625" style="47" customWidth="1"/>
    <col min="13364" max="13364" width="10.5546875" style="47" customWidth="1"/>
    <col min="13365" max="13365" width="9.44140625" style="47" customWidth="1"/>
    <col min="13366" max="13366" width="10.109375" style="47" customWidth="1"/>
    <col min="13367" max="13378" width="11.44140625" style="47" hidden="1" customWidth="1"/>
    <col min="13379" max="13379" width="19.5546875" style="47" customWidth="1"/>
    <col min="13380" max="13380" width="11.44140625" style="47" customWidth="1"/>
    <col min="13381" max="13381" width="56.88671875" style="47" customWidth="1"/>
    <col min="13382" max="13382" width="9.109375" style="47" customWidth="1"/>
    <col min="13383" max="13383" width="24.44140625" style="47" customWidth="1"/>
    <col min="13384" max="13384" width="30.44140625" style="47" customWidth="1"/>
    <col min="13385" max="13385" width="23.5546875" style="47" customWidth="1"/>
    <col min="13386" max="13386" width="5" style="47" customWidth="1"/>
    <col min="13387" max="13388" width="11.44140625" style="47" hidden="1" customWidth="1"/>
    <col min="13389" max="13389" width="5" style="47" customWidth="1"/>
    <col min="13390" max="13391" width="11.44140625" style="47" hidden="1" customWidth="1"/>
    <col min="13392" max="13392" width="5" style="47" customWidth="1"/>
    <col min="13393" max="13394" width="11.44140625" style="47" hidden="1" customWidth="1"/>
    <col min="13395" max="13395" width="5" style="47" customWidth="1"/>
    <col min="13396" max="13463" width="11.44140625" style="47" hidden="1" customWidth="1"/>
    <col min="13464" max="13464" width="9.44140625" style="47" customWidth="1"/>
    <col min="13465" max="13465" width="11.44140625" style="47" hidden="1" customWidth="1"/>
    <col min="13466" max="13466" width="5" style="47" customWidth="1"/>
    <col min="13467" max="13482" width="11.44140625" style="47" hidden="1" customWidth="1"/>
    <col min="13483" max="13483" width="6.44140625" style="47" customWidth="1"/>
    <col min="13484" max="13484" width="11.44140625" style="47" hidden="1" customWidth="1"/>
    <col min="13485" max="13485" width="7.109375" style="47" customWidth="1"/>
    <col min="13486" max="13487" width="11.44140625" style="47" hidden="1" customWidth="1"/>
    <col min="13488" max="13488" width="7.109375" style="47" customWidth="1"/>
    <col min="13489" max="13490" width="11.44140625" style="47" hidden="1" customWidth="1"/>
    <col min="13491" max="13491" width="7.109375" style="47" customWidth="1"/>
    <col min="13492" max="13493" width="11.44140625" style="47" hidden="1" customWidth="1"/>
    <col min="13494" max="13494" width="7.109375" style="47" customWidth="1"/>
    <col min="13495" max="13496" width="11.44140625" style="47" hidden="1" customWidth="1"/>
    <col min="13497" max="13497" width="7.109375" style="47" customWidth="1"/>
    <col min="13498" max="13499" width="11.44140625" style="47" hidden="1" customWidth="1"/>
    <col min="13500" max="13500" width="7.109375" style="47" customWidth="1"/>
    <col min="13501" max="13502" width="11.44140625" style="47" hidden="1" customWidth="1"/>
    <col min="13503" max="13503" width="7.109375" style="47" customWidth="1"/>
    <col min="13504" max="13505" width="11.44140625" style="47" hidden="1" customWidth="1"/>
    <col min="13506" max="13506" width="7.109375" style="47" customWidth="1"/>
    <col min="13507" max="13507" width="11.44140625" style="47" hidden="1" customWidth="1"/>
    <col min="13508" max="13508" width="6.44140625" style="47" customWidth="1"/>
    <col min="13509" max="13510" width="11.44140625" style="47" hidden="1" customWidth="1"/>
    <col min="13511" max="13511" width="6.88671875" style="47" customWidth="1"/>
    <col min="13512" max="13513" width="11.44140625" style="47" hidden="1" customWidth="1"/>
    <col min="13514" max="13514" width="6.88671875" style="47" customWidth="1"/>
    <col min="13515" max="13516" width="11.44140625" style="47" hidden="1" customWidth="1"/>
    <col min="13517" max="13517" width="6.44140625" style="47" customWidth="1"/>
    <col min="13518" max="13522" width="11.44140625" style="47" hidden="1" customWidth="1"/>
    <col min="13523" max="13523" width="6.44140625" style="47" customWidth="1"/>
    <col min="13524" max="13525" width="11.44140625" style="47" hidden="1" customWidth="1"/>
    <col min="13526" max="13526" width="7.44140625" style="47" customWidth="1"/>
    <col min="13527" max="13527" width="11.44140625" style="47" hidden="1" customWidth="1"/>
    <col min="13528" max="13528" width="9.44140625" style="47" customWidth="1"/>
    <col min="13529" max="13529" width="11.44140625" style="47" hidden="1" customWidth="1"/>
    <col min="13530" max="13530" width="9" style="47" customWidth="1"/>
    <col min="13531" max="13532" width="11.44140625" style="47" hidden="1" customWidth="1"/>
    <col min="13533" max="13533" width="8.44140625" style="47" customWidth="1"/>
    <col min="13534" max="13535" width="11.44140625" style="47" hidden="1" customWidth="1"/>
    <col min="13536" max="13536" width="6.44140625" style="47" customWidth="1"/>
    <col min="13537" max="13538" width="11.44140625" style="47" hidden="1" customWidth="1"/>
    <col min="13539" max="13539" width="7" style="47" customWidth="1"/>
    <col min="13540" max="13541" width="11.44140625" style="47" hidden="1" customWidth="1"/>
    <col min="13542" max="13544" width="7" style="47" customWidth="1"/>
    <col min="13545" max="13546" width="11.44140625" style="47" hidden="1" customWidth="1"/>
    <col min="13547" max="13547" width="7.44140625" style="47" customWidth="1"/>
    <col min="13548" max="13549" width="11.44140625" style="47" hidden="1" customWidth="1"/>
    <col min="13550" max="13550" width="7" style="47" customWidth="1"/>
    <col min="13551" max="13552" width="11.44140625" style="47" hidden="1" customWidth="1"/>
    <col min="13553" max="13553" width="7" style="47" customWidth="1"/>
    <col min="13554" max="13555" width="11.44140625" style="47" hidden="1" customWidth="1"/>
    <col min="13556" max="13556" width="7" style="47" customWidth="1"/>
    <col min="13557" max="13557" width="11.44140625" style="47" hidden="1" customWidth="1"/>
    <col min="13558" max="13558" width="6.44140625" style="47" customWidth="1"/>
    <col min="13559" max="13568" width="11.44140625" style="47" hidden="1" customWidth="1"/>
    <col min="13569" max="13603" width="11.44140625" style="47" hidden="1"/>
    <col min="13604" max="13604" width="41.44140625" style="47" customWidth="1"/>
    <col min="13605" max="13605" width="6.44140625" style="47" customWidth="1"/>
    <col min="13606" max="13606" width="14.5546875" style="47" customWidth="1"/>
    <col min="13607" max="13607" width="11.44140625" style="47" customWidth="1"/>
    <col min="13608" max="13608" width="13" style="47" customWidth="1"/>
    <col min="13609" max="13609" width="25.44140625" style="47" customWidth="1"/>
    <col min="13610" max="13619" width="9.44140625" style="47" customWidth="1"/>
    <col min="13620" max="13620" width="10.5546875" style="47" customWidth="1"/>
    <col min="13621" max="13621" width="9.44140625" style="47" customWidth="1"/>
    <col min="13622" max="13622" width="10.109375" style="47" customWidth="1"/>
    <col min="13623" max="13634" width="11.44140625" style="47" hidden="1" customWidth="1"/>
    <col min="13635" max="13635" width="19.5546875" style="47" customWidth="1"/>
    <col min="13636" max="13636" width="11.44140625" style="47" customWidth="1"/>
    <col min="13637" max="13637" width="56.88671875" style="47" customWidth="1"/>
    <col min="13638" max="13638" width="9.109375" style="47" customWidth="1"/>
    <col min="13639" max="13639" width="24.44140625" style="47" customWidth="1"/>
    <col min="13640" max="13640" width="30.44140625" style="47" customWidth="1"/>
    <col min="13641" max="13641" width="23.5546875" style="47" customWidth="1"/>
    <col min="13642" max="13642" width="5" style="47" customWidth="1"/>
    <col min="13643" max="13644" width="11.44140625" style="47" hidden="1" customWidth="1"/>
    <col min="13645" max="13645" width="5" style="47" customWidth="1"/>
    <col min="13646" max="13647" width="11.44140625" style="47" hidden="1" customWidth="1"/>
    <col min="13648" max="13648" width="5" style="47" customWidth="1"/>
    <col min="13649" max="13650" width="11.44140625" style="47" hidden="1" customWidth="1"/>
    <col min="13651" max="13651" width="5" style="47" customWidth="1"/>
    <col min="13652" max="13719" width="11.44140625" style="47" hidden="1" customWidth="1"/>
    <col min="13720" max="13720" width="9.44140625" style="47" customWidth="1"/>
    <col min="13721" max="13721" width="11.44140625" style="47" hidden="1" customWidth="1"/>
    <col min="13722" max="13722" width="5" style="47" customWidth="1"/>
    <col min="13723" max="13738" width="11.44140625" style="47" hidden="1" customWidth="1"/>
    <col min="13739" max="13739" width="6.44140625" style="47" customWidth="1"/>
    <col min="13740" max="13740" width="11.44140625" style="47" hidden="1" customWidth="1"/>
    <col min="13741" max="13741" width="7.109375" style="47" customWidth="1"/>
    <col min="13742" max="13743" width="11.44140625" style="47" hidden="1" customWidth="1"/>
    <col min="13744" max="13744" width="7.109375" style="47" customWidth="1"/>
    <col min="13745" max="13746" width="11.44140625" style="47" hidden="1" customWidth="1"/>
    <col min="13747" max="13747" width="7.109375" style="47" customWidth="1"/>
    <col min="13748" max="13749" width="11.44140625" style="47" hidden="1" customWidth="1"/>
    <col min="13750" max="13750" width="7.109375" style="47" customWidth="1"/>
    <col min="13751" max="13752" width="11.44140625" style="47" hidden="1" customWidth="1"/>
    <col min="13753" max="13753" width="7.109375" style="47" customWidth="1"/>
    <col min="13754" max="13755" width="11.44140625" style="47" hidden="1" customWidth="1"/>
    <col min="13756" max="13756" width="7.109375" style="47" customWidth="1"/>
    <col min="13757" max="13758" width="11.44140625" style="47" hidden="1" customWidth="1"/>
    <col min="13759" max="13759" width="7.109375" style="47" customWidth="1"/>
    <col min="13760" max="13761" width="11.44140625" style="47" hidden="1" customWidth="1"/>
    <col min="13762" max="13762" width="7.109375" style="47" customWidth="1"/>
    <col min="13763" max="13763" width="11.44140625" style="47" hidden="1" customWidth="1"/>
    <col min="13764" max="13764" width="6.44140625" style="47" customWidth="1"/>
    <col min="13765" max="13766" width="11.44140625" style="47" hidden="1" customWidth="1"/>
    <col min="13767" max="13767" width="6.88671875" style="47" customWidth="1"/>
    <col min="13768" max="13769" width="11.44140625" style="47" hidden="1" customWidth="1"/>
    <col min="13770" max="13770" width="6.88671875" style="47" customWidth="1"/>
    <col min="13771" max="13772" width="11.44140625" style="47" hidden="1" customWidth="1"/>
    <col min="13773" max="13773" width="6.44140625" style="47" customWidth="1"/>
    <col min="13774" max="13778" width="11.44140625" style="47" hidden="1" customWidth="1"/>
    <col min="13779" max="13779" width="6.44140625" style="47" customWidth="1"/>
    <col min="13780" max="13781" width="11.44140625" style="47" hidden="1" customWidth="1"/>
    <col min="13782" max="13782" width="7.44140625" style="47" customWidth="1"/>
    <col min="13783" max="13783" width="11.44140625" style="47" hidden="1" customWidth="1"/>
    <col min="13784" max="13784" width="9.44140625" style="47" customWidth="1"/>
    <col min="13785" max="13785" width="11.44140625" style="47" hidden="1" customWidth="1"/>
    <col min="13786" max="13786" width="9" style="47" customWidth="1"/>
    <col min="13787" max="13788" width="11.44140625" style="47" hidden="1" customWidth="1"/>
    <col min="13789" max="13789" width="8.44140625" style="47" customWidth="1"/>
    <col min="13790" max="13791" width="11.44140625" style="47" hidden="1" customWidth="1"/>
    <col min="13792" max="13792" width="6.44140625" style="47" customWidth="1"/>
    <col min="13793" max="13794" width="11.44140625" style="47" hidden="1" customWidth="1"/>
    <col min="13795" max="13795" width="7" style="47" customWidth="1"/>
    <col min="13796" max="13797" width="11.44140625" style="47" hidden="1" customWidth="1"/>
    <col min="13798" max="13800" width="7" style="47" customWidth="1"/>
    <col min="13801" max="13802" width="11.44140625" style="47" hidden="1" customWidth="1"/>
    <col min="13803" max="13803" width="7.44140625" style="47" customWidth="1"/>
    <col min="13804" max="13805" width="11.44140625" style="47" hidden="1" customWidth="1"/>
    <col min="13806" max="13806" width="7" style="47" customWidth="1"/>
    <col min="13807" max="13808" width="11.44140625" style="47" hidden="1" customWidth="1"/>
    <col min="13809" max="13809" width="7" style="47" customWidth="1"/>
    <col min="13810" max="13811" width="11.44140625" style="47" hidden="1" customWidth="1"/>
    <col min="13812" max="13812" width="7" style="47" customWidth="1"/>
    <col min="13813" max="13813" width="11.44140625" style="47" hidden="1" customWidth="1"/>
    <col min="13814" max="13814" width="6.44140625" style="47" customWidth="1"/>
    <col min="13815" max="13824" width="11.44140625" style="47" hidden="1" customWidth="1"/>
    <col min="13825" max="13859" width="11.44140625" style="47" hidden="1"/>
    <col min="13860" max="13860" width="41.44140625" style="47" customWidth="1"/>
    <col min="13861" max="13861" width="6.44140625" style="47" customWidth="1"/>
    <col min="13862" max="13862" width="14.5546875" style="47" customWidth="1"/>
    <col min="13863" max="13863" width="11.44140625" style="47" customWidth="1"/>
    <col min="13864" max="13864" width="13" style="47" customWidth="1"/>
    <col min="13865" max="13865" width="25.44140625" style="47" customWidth="1"/>
    <col min="13866" max="13875" width="9.44140625" style="47" customWidth="1"/>
    <col min="13876" max="13876" width="10.5546875" style="47" customWidth="1"/>
    <col min="13877" max="13877" width="9.44140625" style="47" customWidth="1"/>
    <col min="13878" max="13878" width="10.109375" style="47" customWidth="1"/>
    <col min="13879" max="13890" width="11.44140625" style="47" hidden="1" customWidth="1"/>
    <col min="13891" max="13891" width="19.5546875" style="47" customWidth="1"/>
    <col min="13892" max="13892" width="11.44140625" style="47" customWidth="1"/>
    <col min="13893" max="13893" width="56.88671875" style="47" customWidth="1"/>
    <col min="13894" max="13894" width="9.109375" style="47" customWidth="1"/>
    <col min="13895" max="13895" width="24.44140625" style="47" customWidth="1"/>
    <col min="13896" max="13896" width="30.44140625" style="47" customWidth="1"/>
    <col min="13897" max="13897" width="23.5546875" style="47" customWidth="1"/>
    <col min="13898" max="13898" width="5" style="47" customWidth="1"/>
    <col min="13899" max="13900" width="11.44140625" style="47" hidden="1" customWidth="1"/>
    <col min="13901" max="13901" width="5" style="47" customWidth="1"/>
    <col min="13902" max="13903" width="11.44140625" style="47" hidden="1" customWidth="1"/>
    <col min="13904" max="13904" width="5" style="47" customWidth="1"/>
    <col min="13905" max="13906" width="11.44140625" style="47" hidden="1" customWidth="1"/>
    <col min="13907" max="13907" width="5" style="47" customWidth="1"/>
    <col min="13908" max="13975" width="11.44140625" style="47" hidden="1" customWidth="1"/>
    <col min="13976" max="13976" width="9.44140625" style="47" customWidth="1"/>
    <col min="13977" max="13977" width="11.44140625" style="47" hidden="1" customWidth="1"/>
    <col min="13978" max="13978" width="5" style="47" customWidth="1"/>
    <col min="13979" max="13994" width="11.44140625" style="47" hidden="1" customWidth="1"/>
    <col min="13995" max="13995" width="6.44140625" style="47" customWidth="1"/>
    <col min="13996" max="13996" width="11.44140625" style="47" hidden="1" customWidth="1"/>
    <col min="13997" max="13997" width="7.109375" style="47" customWidth="1"/>
    <col min="13998" max="13999" width="11.44140625" style="47" hidden="1" customWidth="1"/>
    <col min="14000" max="14000" width="7.109375" style="47" customWidth="1"/>
    <col min="14001" max="14002" width="11.44140625" style="47" hidden="1" customWidth="1"/>
    <col min="14003" max="14003" width="7.109375" style="47" customWidth="1"/>
    <col min="14004" max="14005" width="11.44140625" style="47" hidden="1" customWidth="1"/>
    <col min="14006" max="14006" width="7.109375" style="47" customWidth="1"/>
    <col min="14007" max="14008" width="11.44140625" style="47" hidden="1" customWidth="1"/>
    <col min="14009" max="14009" width="7.109375" style="47" customWidth="1"/>
    <col min="14010" max="14011" width="11.44140625" style="47" hidden="1" customWidth="1"/>
    <col min="14012" max="14012" width="7.109375" style="47" customWidth="1"/>
    <col min="14013" max="14014" width="11.44140625" style="47" hidden="1" customWidth="1"/>
    <col min="14015" max="14015" width="7.109375" style="47" customWidth="1"/>
    <col min="14016" max="14017" width="11.44140625" style="47" hidden="1" customWidth="1"/>
    <col min="14018" max="14018" width="7.109375" style="47" customWidth="1"/>
    <col min="14019" max="14019" width="11.44140625" style="47" hidden="1" customWidth="1"/>
    <col min="14020" max="14020" width="6.44140625" style="47" customWidth="1"/>
    <col min="14021" max="14022" width="11.44140625" style="47" hidden="1" customWidth="1"/>
    <col min="14023" max="14023" width="6.88671875" style="47" customWidth="1"/>
    <col min="14024" max="14025" width="11.44140625" style="47" hidden="1" customWidth="1"/>
    <col min="14026" max="14026" width="6.88671875" style="47" customWidth="1"/>
    <col min="14027" max="14028" width="11.44140625" style="47" hidden="1" customWidth="1"/>
    <col min="14029" max="14029" width="6.44140625" style="47" customWidth="1"/>
    <col min="14030" max="14034" width="11.44140625" style="47" hidden="1" customWidth="1"/>
    <col min="14035" max="14035" width="6.44140625" style="47" customWidth="1"/>
    <col min="14036" max="14037" width="11.44140625" style="47" hidden="1" customWidth="1"/>
    <col min="14038" max="14038" width="7.44140625" style="47" customWidth="1"/>
    <col min="14039" max="14039" width="11.44140625" style="47" hidden="1" customWidth="1"/>
    <col min="14040" max="14040" width="9.44140625" style="47" customWidth="1"/>
    <col min="14041" max="14041" width="11.44140625" style="47" hidden="1" customWidth="1"/>
    <col min="14042" max="14042" width="9" style="47" customWidth="1"/>
    <col min="14043" max="14044" width="11.44140625" style="47" hidden="1" customWidth="1"/>
    <col min="14045" max="14045" width="8.44140625" style="47" customWidth="1"/>
    <col min="14046" max="14047" width="11.44140625" style="47" hidden="1" customWidth="1"/>
    <col min="14048" max="14048" width="6.44140625" style="47" customWidth="1"/>
    <col min="14049" max="14050" width="11.44140625" style="47" hidden="1" customWidth="1"/>
    <col min="14051" max="14051" width="7" style="47" customWidth="1"/>
    <col min="14052" max="14053" width="11.44140625" style="47" hidden="1" customWidth="1"/>
    <col min="14054" max="14056" width="7" style="47" customWidth="1"/>
    <col min="14057" max="14058" width="11.44140625" style="47" hidden="1" customWidth="1"/>
    <col min="14059" max="14059" width="7.44140625" style="47" customWidth="1"/>
    <col min="14060" max="14061" width="11.44140625" style="47" hidden="1" customWidth="1"/>
    <col min="14062" max="14062" width="7" style="47" customWidth="1"/>
    <col min="14063" max="14064" width="11.44140625" style="47" hidden="1" customWidth="1"/>
    <col min="14065" max="14065" width="7" style="47" customWidth="1"/>
    <col min="14066" max="14067" width="11.44140625" style="47" hidden="1" customWidth="1"/>
    <col min="14068" max="14068" width="7" style="47" customWidth="1"/>
    <col min="14069" max="14069" width="11.44140625" style="47" hidden="1" customWidth="1"/>
    <col min="14070" max="14070" width="6.44140625" style="47" customWidth="1"/>
    <col min="14071" max="14080" width="11.44140625" style="47" hidden="1" customWidth="1"/>
    <col min="14081" max="14115" width="11.44140625" style="47" hidden="1"/>
    <col min="14116" max="14116" width="41.44140625" style="47" customWidth="1"/>
    <col min="14117" max="14117" width="6.44140625" style="47" customWidth="1"/>
    <col min="14118" max="14118" width="14.5546875" style="47" customWidth="1"/>
    <col min="14119" max="14119" width="11.44140625" style="47" customWidth="1"/>
    <col min="14120" max="14120" width="13" style="47" customWidth="1"/>
    <col min="14121" max="14121" width="25.44140625" style="47" customWidth="1"/>
    <col min="14122" max="14131" width="9.44140625" style="47" customWidth="1"/>
    <col min="14132" max="14132" width="10.5546875" style="47" customWidth="1"/>
    <col min="14133" max="14133" width="9.44140625" style="47" customWidth="1"/>
    <col min="14134" max="14134" width="10.109375" style="47" customWidth="1"/>
    <col min="14135" max="14146" width="11.44140625" style="47" hidden="1" customWidth="1"/>
    <col min="14147" max="14147" width="19.5546875" style="47" customWidth="1"/>
    <col min="14148" max="14148" width="11.44140625" style="47" customWidth="1"/>
    <col min="14149" max="14149" width="56.88671875" style="47" customWidth="1"/>
    <col min="14150" max="14150" width="9.109375" style="47" customWidth="1"/>
    <col min="14151" max="14151" width="24.44140625" style="47" customWidth="1"/>
    <col min="14152" max="14152" width="30.44140625" style="47" customWidth="1"/>
    <col min="14153" max="14153" width="23.5546875" style="47" customWidth="1"/>
    <col min="14154" max="14154" width="5" style="47" customWidth="1"/>
    <col min="14155" max="14156" width="11.44140625" style="47" hidden="1" customWidth="1"/>
    <col min="14157" max="14157" width="5" style="47" customWidth="1"/>
    <col min="14158" max="14159" width="11.44140625" style="47" hidden="1" customWidth="1"/>
    <col min="14160" max="14160" width="5" style="47" customWidth="1"/>
    <col min="14161" max="14162" width="11.44140625" style="47" hidden="1" customWidth="1"/>
    <col min="14163" max="14163" width="5" style="47" customWidth="1"/>
    <col min="14164" max="14231" width="11.44140625" style="47" hidden="1" customWidth="1"/>
    <col min="14232" max="14232" width="9.44140625" style="47" customWidth="1"/>
    <col min="14233" max="14233" width="11.44140625" style="47" hidden="1" customWidth="1"/>
    <col min="14234" max="14234" width="5" style="47" customWidth="1"/>
    <col min="14235" max="14250" width="11.44140625" style="47" hidden="1" customWidth="1"/>
    <col min="14251" max="14251" width="6.44140625" style="47" customWidth="1"/>
    <col min="14252" max="14252" width="11.44140625" style="47" hidden="1" customWidth="1"/>
    <col min="14253" max="14253" width="7.109375" style="47" customWidth="1"/>
    <col min="14254" max="14255" width="11.44140625" style="47" hidden="1" customWidth="1"/>
    <col min="14256" max="14256" width="7.109375" style="47" customWidth="1"/>
    <col min="14257" max="14258" width="11.44140625" style="47" hidden="1" customWidth="1"/>
    <col min="14259" max="14259" width="7.109375" style="47" customWidth="1"/>
    <col min="14260" max="14261" width="11.44140625" style="47" hidden="1" customWidth="1"/>
    <col min="14262" max="14262" width="7.109375" style="47" customWidth="1"/>
    <col min="14263" max="14264" width="11.44140625" style="47" hidden="1" customWidth="1"/>
    <col min="14265" max="14265" width="7.109375" style="47" customWidth="1"/>
    <col min="14266" max="14267" width="11.44140625" style="47" hidden="1" customWidth="1"/>
    <col min="14268" max="14268" width="7.109375" style="47" customWidth="1"/>
    <col min="14269" max="14270" width="11.44140625" style="47" hidden="1" customWidth="1"/>
    <col min="14271" max="14271" width="7.109375" style="47" customWidth="1"/>
    <col min="14272" max="14273" width="11.44140625" style="47" hidden="1" customWidth="1"/>
    <col min="14274" max="14274" width="7.109375" style="47" customWidth="1"/>
    <col min="14275" max="14275" width="11.44140625" style="47" hidden="1" customWidth="1"/>
    <col min="14276" max="14276" width="6.44140625" style="47" customWidth="1"/>
    <col min="14277" max="14278" width="11.44140625" style="47" hidden="1" customWidth="1"/>
    <col min="14279" max="14279" width="6.88671875" style="47" customWidth="1"/>
    <col min="14280" max="14281" width="11.44140625" style="47" hidden="1" customWidth="1"/>
    <col min="14282" max="14282" width="6.88671875" style="47" customWidth="1"/>
    <col min="14283" max="14284" width="11.44140625" style="47" hidden="1" customWidth="1"/>
    <col min="14285" max="14285" width="6.44140625" style="47" customWidth="1"/>
    <col min="14286" max="14290" width="11.44140625" style="47" hidden="1" customWidth="1"/>
    <col min="14291" max="14291" width="6.44140625" style="47" customWidth="1"/>
    <col min="14292" max="14293" width="11.44140625" style="47" hidden="1" customWidth="1"/>
    <col min="14294" max="14294" width="7.44140625" style="47" customWidth="1"/>
    <col min="14295" max="14295" width="11.44140625" style="47" hidden="1" customWidth="1"/>
    <col min="14296" max="14296" width="9.44140625" style="47" customWidth="1"/>
    <col min="14297" max="14297" width="11.44140625" style="47" hidden="1" customWidth="1"/>
    <col min="14298" max="14298" width="9" style="47" customWidth="1"/>
    <col min="14299" max="14300" width="11.44140625" style="47" hidden="1" customWidth="1"/>
    <col min="14301" max="14301" width="8.44140625" style="47" customWidth="1"/>
    <col min="14302" max="14303" width="11.44140625" style="47" hidden="1" customWidth="1"/>
    <col min="14304" max="14304" width="6.44140625" style="47" customWidth="1"/>
    <col min="14305" max="14306" width="11.44140625" style="47" hidden="1" customWidth="1"/>
    <col min="14307" max="14307" width="7" style="47" customWidth="1"/>
    <col min="14308" max="14309" width="11.44140625" style="47" hidden="1" customWidth="1"/>
    <col min="14310" max="14312" width="7" style="47" customWidth="1"/>
    <col min="14313" max="14314" width="11.44140625" style="47" hidden="1" customWidth="1"/>
    <col min="14315" max="14315" width="7.44140625" style="47" customWidth="1"/>
    <col min="14316" max="14317" width="11.44140625" style="47" hidden="1" customWidth="1"/>
    <col min="14318" max="14318" width="7" style="47" customWidth="1"/>
    <col min="14319" max="14320" width="11.44140625" style="47" hidden="1" customWidth="1"/>
    <col min="14321" max="14321" width="7" style="47" customWidth="1"/>
    <col min="14322" max="14323" width="11.44140625" style="47" hidden="1" customWidth="1"/>
    <col min="14324" max="14324" width="7" style="47" customWidth="1"/>
    <col min="14325" max="14325" width="11.44140625" style="47" hidden="1" customWidth="1"/>
    <col min="14326" max="14326" width="6.44140625" style="47" customWidth="1"/>
    <col min="14327" max="14336" width="11.44140625" style="47" hidden="1" customWidth="1"/>
    <col min="14337" max="14371" width="11.44140625" style="47" hidden="1"/>
    <col min="14372" max="14372" width="41.44140625" style="47" customWidth="1"/>
    <col min="14373" max="14373" width="6.44140625" style="47" customWidth="1"/>
    <col min="14374" max="14374" width="14.5546875" style="47" customWidth="1"/>
    <col min="14375" max="14375" width="11.44140625" style="47" customWidth="1"/>
    <col min="14376" max="14376" width="13" style="47" customWidth="1"/>
    <col min="14377" max="14377" width="25.44140625" style="47" customWidth="1"/>
    <col min="14378" max="14387" width="9.44140625" style="47" customWidth="1"/>
    <col min="14388" max="14388" width="10.5546875" style="47" customWidth="1"/>
    <col min="14389" max="14389" width="9.44140625" style="47" customWidth="1"/>
    <col min="14390" max="14390" width="10.109375" style="47" customWidth="1"/>
    <col min="14391" max="14402" width="11.44140625" style="47" hidden="1" customWidth="1"/>
    <col min="14403" max="14403" width="19.5546875" style="47" customWidth="1"/>
    <col min="14404" max="14404" width="11.44140625" style="47" customWidth="1"/>
    <col min="14405" max="14405" width="56.88671875" style="47" customWidth="1"/>
    <col min="14406" max="14406" width="9.109375" style="47" customWidth="1"/>
    <col min="14407" max="14407" width="24.44140625" style="47" customWidth="1"/>
    <col min="14408" max="14408" width="30.44140625" style="47" customWidth="1"/>
    <col min="14409" max="14409" width="23.5546875" style="47" customWidth="1"/>
    <col min="14410" max="14410" width="5" style="47" customWidth="1"/>
    <col min="14411" max="14412" width="11.44140625" style="47" hidden="1" customWidth="1"/>
    <col min="14413" max="14413" width="5" style="47" customWidth="1"/>
    <col min="14414" max="14415" width="11.44140625" style="47" hidden="1" customWidth="1"/>
    <col min="14416" max="14416" width="5" style="47" customWidth="1"/>
    <col min="14417" max="14418" width="11.44140625" style="47" hidden="1" customWidth="1"/>
    <col min="14419" max="14419" width="5" style="47" customWidth="1"/>
    <col min="14420" max="14487" width="11.44140625" style="47" hidden="1" customWidth="1"/>
    <col min="14488" max="14488" width="9.44140625" style="47" customWidth="1"/>
    <col min="14489" max="14489" width="11.44140625" style="47" hidden="1" customWidth="1"/>
    <col min="14490" max="14490" width="5" style="47" customWidth="1"/>
    <col min="14491" max="14506" width="11.44140625" style="47" hidden="1" customWidth="1"/>
    <col min="14507" max="14507" width="6.44140625" style="47" customWidth="1"/>
    <col min="14508" max="14508" width="11.44140625" style="47" hidden="1" customWidth="1"/>
    <col min="14509" max="14509" width="7.109375" style="47" customWidth="1"/>
    <col min="14510" max="14511" width="11.44140625" style="47" hidden="1" customWidth="1"/>
    <col min="14512" max="14512" width="7.109375" style="47" customWidth="1"/>
    <col min="14513" max="14514" width="11.44140625" style="47" hidden="1" customWidth="1"/>
    <col min="14515" max="14515" width="7.109375" style="47" customWidth="1"/>
    <col min="14516" max="14517" width="11.44140625" style="47" hidden="1" customWidth="1"/>
    <col min="14518" max="14518" width="7.109375" style="47" customWidth="1"/>
    <col min="14519" max="14520" width="11.44140625" style="47" hidden="1" customWidth="1"/>
    <col min="14521" max="14521" width="7.109375" style="47" customWidth="1"/>
    <col min="14522" max="14523" width="11.44140625" style="47" hidden="1" customWidth="1"/>
    <col min="14524" max="14524" width="7.109375" style="47" customWidth="1"/>
    <col min="14525" max="14526" width="11.44140625" style="47" hidden="1" customWidth="1"/>
    <col min="14527" max="14527" width="7.109375" style="47" customWidth="1"/>
    <col min="14528" max="14529" width="11.44140625" style="47" hidden="1" customWidth="1"/>
    <col min="14530" max="14530" width="7.109375" style="47" customWidth="1"/>
    <col min="14531" max="14531" width="11.44140625" style="47" hidden="1" customWidth="1"/>
    <col min="14532" max="14532" width="6.44140625" style="47" customWidth="1"/>
    <col min="14533" max="14534" width="11.44140625" style="47" hidden="1" customWidth="1"/>
    <col min="14535" max="14535" width="6.88671875" style="47" customWidth="1"/>
    <col min="14536" max="14537" width="11.44140625" style="47" hidden="1" customWidth="1"/>
    <col min="14538" max="14538" width="6.88671875" style="47" customWidth="1"/>
    <col min="14539" max="14540" width="11.44140625" style="47" hidden="1" customWidth="1"/>
    <col min="14541" max="14541" width="6.44140625" style="47" customWidth="1"/>
    <col min="14542" max="14546" width="11.44140625" style="47" hidden="1" customWidth="1"/>
    <col min="14547" max="14547" width="6.44140625" style="47" customWidth="1"/>
    <col min="14548" max="14549" width="11.44140625" style="47" hidden="1" customWidth="1"/>
    <col min="14550" max="14550" width="7.44140625" style="47" customWidth="1"/>
    <col min="14551" max="14551" width="11.44140625" style="47" hidden="1" customWidth="1"/>
    <col min="14552" max="14552" width="9.44140625" style="47" customWidth="1"/>
    <col min="14553" max="14553" width="11.44140625" style="47" hidden="1" customWidth="1"/>
    <col min="14554" max="14554" width="9" style="47" customWidth="1"/>
    <col min="14555" max="14556" width="11.44140625" style="47" hidden="1" customWidth="1"/>
    <col min="14557" max="14557" width="8.44140625" style="47" customWidth="1"/>
    <col min="14558" max="14559" width="11.44140625" style="47" hidden="1" customWidth="1"/>
    <col min="14560" max="14560" width="6.44140625" style="47" customWidth="1"/>
    <col min="14561" max="14562" width="11.44140625" style="47" hidden="1" customWidth="1"/>
    <col min="14563" max="14563" width="7" style="47" customWidth="1"/>
    <col min="14564" max="14565" width="11.44140625" style="47" hidden="1" customWidth="1"/>
    <col min="14566" max="14568" width="7" style="47" customWidth="1"/>
    <col min="14569" max="14570" width="11.44140625" style="47" hidden="1" customWidth="1"/>
    <col min="14571" max="14571" width="7.44140625" style="47" customWidth="1"/>
    <col min="14572" max="14573" width="11.44140625" style="47" hidden="1" customWidth="1"/>
    <col min="14574" max="14574" width="7" style="47" customWidth="1"/>
    <col min="14575" max="14576" width="11.44140625" style="47" hidden="1" customWidth="1"/>
    <col min="14577" max="14577" width="7" style="47" customWidth="1"/>
    <col min="14578" max="14579" width="11.44140625" style="47" hidden="1" customWidth="1"/>
    <col min="14580" max="14580" width="7" style="47" customWidth="1"/>
    <col min="14581" max="14581" width="11.44140625" style="47" hidden="1" customWidth="1"/>
    <col min="14582" max="14582" width="6.44140625" style="47" customWidth="1"/>
    <col min="14583" max="14592" width="11.44140625" style="47" hidden="1" customWidth="1"/>
    <col min="14593" max="14627" width="11.44140625" style="47" hidden="1"/>
    <col min="14628" max="14628" width="41.44140625" style="47" customWidth="1"/>
    <col min="14629" max="14629" width="6.44140625" style="47" customWidth="1"/>
    <col min="14630" max="14630" width="14.5546875" style="47" customWidth="1"/>
    <col min="14631" max="14631" width="11.44140625" style="47" customWidth="1"/>
    <col min="14632" max="14632" width="13" style="47" customWidth="1"/>
    <col min="14633" max="14633" width="25.44140625" style="47" customWidth="1"/>
    <col min="14634" max="14643" width="9.44140625" style="47" customWidth="1"/>
    <col min="14644" max="14644" width="10.5546875" style="47" customWidth="1"/>
    <col min="14645" max="14645" width="9.44140625" style="47" customWidth="1"/>
    <col min="14646" max="14646" width="10.109375" style="47" customWidth="1"/>
    <col min="14647" max="14658" width="11.44140625" style="47" hidden="1" customWidth="1"/>
    <col min="14659" max="14659" width="19.5546875" style="47" customWidth="1"/>
    <col min="14660" max="14660" width="11.44140625" style="47" customWidth="1"/>
    <col min="14661" max="14661" width="56.88671875" style="47" customWidth="1"/>
    <col min="14662" max="14662" width="9.109375" style="47" customWidth="1"/>
    <col min="14663" max="14663" width="24.44140625" style="47" customWidth="1"/>
    <col min="14664" max="14664" width="30.44140625" style="47" customWidth="1"/>
    <col min="14665" max="14665" width="23.5546875" style="47" customWidth="1"/>
    <col min="14666" max="14666" width="5" style="47" customWidth="1"/>
    <col min="14667" max="14668" width="11.44140625" style="47" hidden="1" customWidth="1"/>
    <col min="14669" max="14669" width="5" style="47" customWidth="1"/>
    <col min="14670" max="14671" width="11.44140625" style="47" hidden="1" customWidth="1"/>
    <col min="14672" max="14672" width="5" style="47" customWidth="1"/>
    <col min="14673" max="14674" width="11.44140625" style="47" hidden="1" customWidth="1"/>
    <col min="14675" max="14675" width="5" style="47" customWidth="1"/>
    <col min="14676" max="14743" width="11.44140625" style="47" hidden="1" customWidth="1"/>
    <col min="14744" max="14744" width="9.44140625" style="47" customWidth="1"/>
    <col min="14745" max="14745" width="11.44140625" style="47" hidden="1" customWidth="1"/>
    <col min="14746" max="14746" width="5" style="47" customWidth="1"/>
    <col min="14747" max="14762" width="11.44140625" style="47" hidden="1" customWidth="1"/>
    <col min="14763" max="14763" width="6.44140625" style="47" customWidth="1"/>
    <col min="14764" max="14764" width="11.44140625" style="47" hidden="1" customWidth="1"/>
    <col min="14765" max="14765" width="7.109375" style="47" customWidth="1"/>
    <col min="14766" max="14767" width="11.44140625" style="47" hidden="1" customWidth="1"/>
    <col min="14768" max="14768" width="7.109375" style="47" customWidth="1"/>
    <col min="14769" max="14770" width="11.44140625" style="47" hidden="1" customWidth="1"/>
    <col min="14771" max="14771" width="7.109375" style="47" customWidth="1"/>
    <col min="14772" max="14773" width="11.44140625" style="47" hidden="1" customWidth="1"/>
    <col min="14774" max="14774" width="7.109375" style="47" customWidth="1"/>
    <col min="14775" max="14776" width="11.44140625" style="47" hidden="1" customWidth="1"/>
    <col min="14777" max="14777" width="7.109375" style="47" customWidth="1"/>
    <col min="14778" max="14779" width="11.44140625" style="47" hidden="1" customWidth="1"/>
    <col min="14780" max="14780" width="7.109375" style="47" customWidth="1"/>
    <col min="14781" max="14782" width="11.44140625" style="47" hidden="1" customWidth="1"/>
    <col min="14783" max="14783" width="7.109375" style="47" customWidth="1"/>
    <col min="14784" max="14785" width="11.44140625" style="47" hidden="1" customWidth="1"/>
    <col min="14786" max="14786" width="7.109375" style="47" customWidth="1"/>
    <col min="14787" max="14787" width="11.44140625" style="47" hidden="1" customWidth="1"/>
    <col min="14788" max="14788" width="6.44140625" style="47" customWidth="1"/>
    <col min="14789" max="14790" width="11.44140625" style="47" hidden="1" customWidth="1"/>
    <col min="14791" max="14791" width="6.88671875" style="47" customWidth="1"/>
    <col min="14792" max="14793" width="11.44140625" style="47" hidden="1" customWidth="1"/>
    <col min="14794" max="14794" width="6.88671875" style="47" customWidth="1"/>
    <col min="14795" max="14796" width="11.44140625" style="47" hidden="1" customWidth="1"/>
    <col min="14797" max="14797" width="6.44140625" style="47" customWidth="1"/>
    <col min="14798" max="14802" width="11.44140625" style="47" hidden="1" customWidth="1"/>
    <col min="14803" max="14803" width="6.44140625" style="47" customWidth="1"/>
    <col min="14804" max="14805" width="11.44140625" style="47" hidden="1" customWidth="1"/>
    <col min="14806" max="14806" width="7.44140625" style="47" customWidth="1"/>
    <col min="14807" max="14807" width="11.44140625" style="47" hidden="1" customWidth="1"/>
    <col min="14808" max="14808" width="9.44140625" style="47" customWidth="1"/>
    <col min="14809" max="14809" width="11.44140625" style="47" hidden="1" customWidth="1"/>
    <col min="14810" max="14810" width="9" style="47" customWidth="1"/>
    <col min="14811" max="14812" width="11.44140625" style="47" hidden="1" customWidth="1"/>
    <col min="14813" max="14813" width="8.44140625" style="47" customWidth="1"/>
    <col min="14814" max="14815" width="11.44140625" style="47" hidden="1" customWidth="1"/>
    <col min="14816" max="14816" width="6.44140625" style="47" customWidth="1"/>
    <col min="14817" max="14818" width="11.44140625" style="47" hidden="1" customWidth="1"/>
    <col min="14819" max="14819" width="7" style="47" customWidth="1"/>
    <col min="14820" max="14821" width="11.44140625" style="47" hidden="1" customWidth="1"/>
    <col min="14822" max="14824" width="7" style="47" customWidth="1"/>
    <col min="14825" max="14826" width="11.44140625" style="47" hidden="1" customWidth="1"/>
    <col min="14827" max="14827" width="7.44140625" style="47" customWidth="1"/>
    <col min="14828" max="14829" width="11.44140625" style="47" hidden="1" customWidth="1"/>
    <col min="14830" max="14830" width="7" style="47" customWidth="1"/>
    <col min="14831" max="14832" width="11.44140625" style="47" hidden="1" customWidth="1"/>
    <col min="14833" max="14833" width="7" style="47" customWidth="1"/>
    <col min="14834" max="14835" width="11.44140625" style="47" hidden="1" customWidth="1"/>
    <col min="14836" max="14836" width="7" style="47" customWidth="1"/>
    <col min="14837" max="14837" width="11.44140625" style="47" hidden="1" customWidth="1"/>
    <col min="14838" max="14838" width="6.44140625" style="47" customWidth="1"/>
    <col min="14839" max="14848" width="11.44140625" style="47" hidden="1" customWidth="1"/>
    <col min="14849" max="14883" width="11.44140625" style="47" hidden="1"/>
    <col min="14884" max="14884" width="41.44140625" style="47" customWidth="1"/>
    <col min="14885" max="14885" width="6.44140625" style="47" customWidth="1"/>
    <col min="14886" max="14886" width="14.5546875" style="47" customWidth="1"/>
    <col min="14887" max="14887" width="11.44140625" style="47" customWidth="1"/>
    <col min="14888" max="14888" width="13" style="47" customWidth="1"/>
    <col min="14889" max="14889" width="25.44140625" style="47" customWidth="1"/>
    <col min="14890" max="14899" width="9.44140625" style="47" customWidth="1"/>
    <col min="14900" max="14900" width="10.5546875" style="47" customWidth="1"/>
    <col min="14901" max="14901" width="9.44140625" style="47" customWidth="1"/>
    <col min="14902" max="14902" width="10.109375" style="47" customWidth="1"/>
    <col min="14903" max="14914" width="11.44140625" style="47" hidden="1" customWidth="1"/>
    <col min="14915" max="14915" width="19.5546875" style="47" customWidth="1"/>
    <col min="14916" max="14916" width="11.44140625" style="47" customWidth="1"/>
    <col min="14917" max="14917" width="56.88671875" style="47" customWidth="1"/>
    <col min="14918" max="14918" width="9.109375" style="47" customWidth="1"/>
    <col min="14919" max="14919" width="24.44140625" style="47" customWidth="1"/>
    <col min="14920" max="14920" width="30.44140625" style="47" customWidth="1"/>
    <col min="14921" max="14921" width="23.5546875" style="47" customWidth="1"/>
    <col min="14922" max="14922" width="5" style="47" customWidth="1"/>
    <col min="14923" max="14924" width="11.44140625" style="47" hidden="1" customWidth="1"/>
    <col min="14925" max="14925" width="5" style="47" customWidth="1"/>
    <col min="14926" max="14927" width="11.44140625" style="47" hidden="1" customWidth="1"/>
    <col min="14928" max="14928" width="5" style="47" customWidth="1"/>
    <col min="14929" max="14930" width="11.44140625" style="47" hidden="1" customWidth="1"/>
    <col min="14931" max="14931" width="5" style="47" customWidth="1"/>
    <col min="14932" max="14999" width="11.44140625" style="47" hidden="1" customWidth="1"/>
    <col min="15000" max="15000" width="9.44140625" style="47" customWidth="1"/>
    <col min="15001" max="15001" width="11.44140625" style="47" hidden="1" customWidth="1"/>
    <col min="15002" max="15002" width="5" style="47" customWidth="1"/>
    <col min="15003" max="15018" width="11.44140625" style="47" hidden="1" customWidth="1"/>
    <col min="15019" max="15019" width="6.44140625" style="47" customWidth="1"/>
    <col min="15020" max="15020" width="11.44140625" style="47" hidden="1" customWidth="1"/>
    <col min="15021" max="15021" width="7.109375" style="47" customWidth="1"/>
    <col min="15022" max="15023" width="11.44140625" style="47" hidden="1" customWidth="1"/>
    <col min="15024" max="15024" width="7.109375" style="47" customWidth="1"/>
    <col min="15025" max="15026" width="11.44140625" style="47" hidden="1" customWidth="1"/>
    <col min="15027" max="15027" width="7.109375" style="47" customWidth="1"/>
    <col min="15028" max="15029" width="11.44140625" style="47" hidden="1" customWidth="1"/>
    <col min="15030" max="15030" width="7.109375" style="47" customWidth="1"/>
    <col min="15031" max="15032" width="11.44140625" style="47" hidden="1" customWidth="1"/>
    <col min="15033" max="15033" width="7.109375" style="47" customWidth="1"/>
    <col min="15034" max="15035" width="11.44140625" style="47" hidden="1" customWidth="1"/>
    <col min="15036" max="15036" width="7.109375" style="47" customWidth="1"/>
    <col min="15037" max="15038" width="11.44140625" style="47" hidden="1" customWidth="1"/>
    <col min="15039" max="15039" width="7.109375" style="47" customWidth="1"/>
    <col min="15040" max="15041" width="11.44140625" style="47" hidden="1" customWidth="1"/>
    <col min="15042" max="15042" width="7.109375" style="47" customWidth="1"/>
    <col min="15043" max="15043" width="11.44140625" style="47" hidden="1" customWidth="1"/>
    <col min="15044" max="15044" width="6.44140625" style="47" customWidth="1"/>
    <col min="15045" max="15046" width="11.44140625" style="47" hidden="1" customWidth="1"/>
    <col min="15047" max="15047" width="6.88671875" style="47" customWidth="1"/>
    <col min="15048" max="15049" width="11.44140625" style="47" hidden="1" customWidth="1"/>
    <col min="15050" max="15050" width="6.88671875" style="47" customWidth="1"/>
    <col min="15051" max="15052" width="11.44140625" style="47" hidden="1" customWidth="1"/>
    <col min="15053" max="15053" width="6.44140625" style="47" customWidth="1"/>
    <col min="15054" max="15058" width="11.44140625" style="47" hidden="1" customWidth="1"/>
    <col min="15059" max="15059" width="6.44140625" style="47" customWidth="1"/>
    <col min="15060" max="15061" width="11.44140625" style="47" hidden="1" customWidth="1"/>
    <col min="15062" max="15062" width="7.44140625" style="47" customWidth="1"/>
    <col min="15063" max="15063" width="11.44140625" style="47" hidden="1" customWidth="1"/>
    <col min="15064" max="15064" width="9.44140625" style="47" customWidth="1"/>
    <col min="15065" max="15065" width="11.44140625" style="47" hidden="1" customWidth="1"/>
    <col min="15066" max="15066" width="9" style="47" customWidth="1"/>
    <col min="15067" max="15068" width="11.44140625" style="47" hidden="1" customWidth="1"/>
    <col min="15069" max="15069" width="8.44140625" style="47" customWidth="1"/>
    <col min="15070" max="15071" width="11.44140625" style="47" hidden="1" customWidth="1"/>
    <col min="15072" max="15072" width="6.44140625" style="47" customWidth="1"/>
    <col min="15073" max="15074" width="11.44140625" style="47" hidden="1" customWidth="1"/>
    <col min="15075" max="15075" width="7" style="47" customWidth="1"/>
    <col min="15076" max="15077" width="11.44140625" style="47" hidden="1" customWidth="1"/>
    <col min="15078" max="15080" width="7" style="47" customWidth="1"/>
    <col min="15081" max="15082" width="11.44140625" style="47" hidden="1" customWidth="1"/>
    <col min="15083" max="15083" width="7.44140625" style="47" customWidth="1"/>
    <col min="15084" max="15085" width="11.44140625" style="47" hidden="1" customWidth="1"/>
    <col min="15086" max="15086" width="7" style="47" customWidth="1"/>
    <col min="15087" max="15088" width="11.44140625" style="47" hidden="1" customWidth="1"/>
    <col min="15089" max="15089" width="7" style="47" customWidth="1"/>
    <col min="15090" max="15091" width="11.44140625" style="47" hidden="1" customWidth="1"/>
    <col min="15092" max="15092" width="7" style="47" customWidth="1"/>
    <col min="15093" max="15093" width="11.44140625" style="47" hidden="1" customWidth="1"/>
    <col min="15094" max="15094" width="6.44140625" style="47" customWidth="1"/>
    <col min="15095" max="15104" width="11.44140625" style="47" hidden="1" customWidth="1"/>
    <col min="15105" max="15139" width="11.44140625" style="47" hidden="1"/>
    <col min="15140" max="15140" width="41.44140625" style="47" customWidth="1"/>
    <col min="15141" max="15141" width="6.44140625" style="47" customWidth="1"/>
    <col min="15142" max="15142" width="14.5546875" style="47" customWidth="1"/>
    <col min="15143" max="15143" width="11.44140625" style="47" customWidth="1"/>
    <col min="15144" max="15144" width="13" style="47" customWidth="1"/>
    <col min="15145" max="15145" width="25.44140625" style="47" customWidth="1"/>
    <col min="15146" max="15155" width="9.44140625" style="47" customWidth="1"/>
    <col min="15156" max="15156" width="10.5546875" style="47" customWidth="1"/>
    <col min="15157" max="15157" width="9.44140625" style="47" customWidth="1"/>
    <col min="15158" max="15158" width="10.109375" style="47" customWidth="1"/>
    <col min="15159" max="15170" width="11.44140625" style="47" hidden="1" customWidth="1"/>
    <col min="15171" max="15171" width="19.5546875" style="47" customWidth="1"/>
    <col min="15172" max="15172" width="11.44140625" style="47" customWidth="1"/>
    <col min="15173" max="15173" width="56.88671875" style="47" customWidth="1"/>
    <col min="15174" max="15174" width="9.109375" style="47" customWidth="1"/>
    <col min="15175" max="15175" width="24.44140625" style="47" customWidth="1"/>
    <col min="15176" max="15176" width="30.44140625" style="47" customWidth="1"/>
    <col min="15177" max="15177" width="23.5546875" style="47" customWidth="1"/>
    <col min="15178" max="15178" width="5" style="47" customWidth="1"/>
    <col min="15179" max="15180" width="11.44140625" style="47" hidden="1" customWidth="1"/>
    <col min="15181" max="15181" width="5" style="47" customWidth="1"/>
    <col min="15182" max="15183" width="11.44140625" style="47" hidden="1" customWidth="1"/>
    <col min="15184" max="15184" width="5" style="47" customWidth="1"/>
    <col min="15185" max="15186" width="11.44140625" style="47" hidden="1" customWidth="1"/>
    <col min="15187" max="15187" width="5" style="47" customWidth="1"/>
    <col min="15188" max="15255" width="11.44140625" style="47" hidden="1" customWidth="1"/>
    <col min="15256" max="15256" width="9.44140625" style="47" customWidth="1"/>
    <col min="15257" max="15257" width="11.44140625" style="47" hidden="1" customWidth="1"/>
    <col min="15258" max="15258" width="5" style="47" customWidth="1"/>
    <col min="15259" max="15274" width="11.44140625" style="47" hidden="1" customWidth="1"/>
    <col min="15275" max="15275" width="6.44140625" style="47" customWidth="1"/>
    <col min="15276" max="15276" width="11.44140625" style="47" hidden="1" customWidth="1"/>
    <col min="15277" max="15277" width="7.109375" style="47" customWidth="1"/>
    <col min="15278" max="15279" width="11.44140625" style="47" hidden="1" customWidth="1"/>
    <col min="15280" max="15280" width="7.109375" style="47" customWidth="1"/>
    <col min="15281" max="15282" width="11.44140625" style="47" hidden="1" customWidth="1"/>
    <col min="15283" max="15283" width="7.109375" style="47" customWidth="1"/>
    <col min="15284" max="15285" width="11.44140625" style="47" hidden="1" customWidth="1"/>
    <col min="15286" max="15286" width="7.109375" style="47" customWidth="1"/>
    <col min="15287" max="15288" width="11.44140625" style="47" hidden="1" customWidth="1"/>
    <col min="15289" max="15289" width="7.109375" style="47" customWidth="1"/>
    <col min="15290" max="15291" width="11.44140625" style="47" hidden="1" customWidth="1"/>
    <col min="15292" max="15292" width="7.109375" style="47" customWidth="1"/>
    <col min="15293" max="15294" width="11.44140625" style="47" hidden="1" customWidth="1"/>
    <col min="15295" max="15295" width="7.109375" style="47" customWidth="1"/>
    <col min="15296" max="15297" width="11.44140625" style="47" hidden="1" customWidth="1"/>
    <col min="15298" max="15298" width="7.109375" style="47" customWidth="1"/>
    <col min="15299" max="15299" width="11.44140625" style="47" hidden="1" customWidth="1"/>
    <col min="15300" max="15300" width="6.44140625" style="47" customWidth="1"/>
    <col min="15301" max="15302" width="11.44140625" style="47" hidden="1" customWidth="1"/>
    <col min="15303" max="15303" width="6.88671875" style="47" customWidth="1"/>
    <col min="15304" max="15305" width="11.44140625" style="47" hidden="1" customWidth="1"/>
    <col min="15306" max="15306" width="6.88671875" style="47" customWidth="1"/>
    <col min="15307" max="15308" width="11.44140625" style="47" hidden="1" customWidth="1"/>
    <col min="15309" max="15309" width="6.44140625" style="47" customWidth="1"/>
    <col min="15310" max="15314" width="11.44140625" style="47" hidden="1" customWidth="1"/>
    <col min="15315" max="15315" width="6.44140625" style="47" customWidth="1"/>
    <col min="15316" max="15317" width="11.44140625" style="47" hidden="1" customWidth="1"/>
    <col min="15318" max="15318" width="7.44140625" style="47" customWidth="1"/>
    <col min="15319" max="15319" width="11.44140625" style="47" hidden="1" customWidth="1"/>
    <col min="15320" max="15320" width="9.44140625" style="47" customWidth="1"/>
    <col min="15321" max="15321" width="11.44140625" style="47" hidden="1" customWidth="1"/>
    <col min="15322" max="15322" width="9" style="47" customWidth="1"/>
    <col min="15323" max="15324" width="11.44140625" style="47" hidden="1" customWidth="1"/>
    <col min="15325" max="15325" width="8.44140625" style="47" customWidth="1"/>
    <col min="15326" max="15327" width="11.44140625" style="47" hidden="1" customWidth="1"/>
    <col min="15328" max="15328" width="6.44140625" style="47" customWidth="1"/>
    <col min="15329" max="15330" width="11.44140625" style="47" hidden="1" customWidth="1"/>
    <col min="15331" max="15331" width="7" style="47" customWidth="1"/>
    <col min="15332" max="15333" width="11.44140625" style="47" hidden="1" customWidth="1"/>
    <col min="15334" max="15336" width="7" style="47" customWidth="1"/>
    <col min="15337" max="15338" width="11.44140625" style="47" hidden="1" customWidth="1"/>
    <col min="15339" max="15339" width="7.44140625" style="47" customWidth="1"/>
    <col min="15340" max="15341" width="11.44140625" style="47" hidden="1" customWidth="1"/>
    <col min="15342" max="15342" width="7" style="47" customWidth="1"/>
    <col min="15343" max="15344" width="11.44140625" style="47" hidden="1" customWidth="1"/>
    <col min="15345" max="15345" width="7" style="47" customWidth="1"/>
    <col min="15346" max="15347" width="11.44140625" style="47" hidden="1" customWidth="1"/>
    <col min="15348" max="15348" width="7" style="47" customWidth="1"/>
    <col min="15349" max="15349" width="11.44140625" style="47" hidden="1" customWidth="1"/>
    <col min="15350" max="15350" width="6.44140625" style="47" customWidth="1"/>
    <col min="15351" max="15360" width="11.44140625" style="47" hidden="1" customWidth="1"/>
    <col min="15361" max="15395" width="11.44140625" style="47" hidden="1"/>
    <col min="15396" max="15396" width="41.44140625" style="47" customWidth="1"/>
    <col min="15397" max="15397" width="6.44140625" style="47" customWidth="1"/>
    <col min="15398" max="15398" width="14.5546875" style="47" customWidth="1"/>
    <col min="15399" max="15399" width="11.44140625" style="47" customWidth="1"/>
    <col min="15400" max="15400" width="13" style="47" customWidth="1"/>
    <col min="15401" max="15401" width="25.44140625" style="47" customWidth="1"/>
    <col min="15402" max="15411" width="9.44140625" style="47" customWidth="1"/>
    <col min="15412" max="15412" width="10.5546875" style="47" customWidth="1"/>
    <col min="15413" max="15413" width="9.44140625" style="47" customWidth="1"/>
    <col min="15414" max="15414" width="10.109375" style="47" customWidth="1"/>
    <col min="15415" max="15426" width="11.44140625" style="47" hidden="1" customWidth="1"/>
    <col min="15427" max="15427" width="19.5546875" style="47" customWidth="1"/>
    <col min="15428" max="15428" width="11.44140625" style="47" customWidth="1"/>
    <col min="15429" max="15429" width="56.88671875" style="47" customWidth="1"/>
    <col min="15430" max="15430" width="9.109375" style="47" customWidth="1"/>
    <col min="15431" max="15431" width="24.44140625" style="47" customWidth="1"/>
    <col min="15432" max="15432" width="30.44140625" style="47" customWidth="1"/>
    <col min="15433" max="15433" width="23.5546875" style="47" customWidth="1"/>
    <col min="15434" max="15434" width="5" style="47" customWidth="1"/>
    <col min="15435" max="15436" width="11.44140625" style="47" hidden="1" customWidth="1"/>
    <col min="15437" max="15437" width="5" style="47" customWidth="1"/>
    <col min="15438" max="15439" width="11.44140625" style="47" hidden="1" customWidth="1"/>
    <col min="15440" max="15440" width="5" style="47" customWidth="1"/>
    <col min="15441" max="15442" width="11.44140625" style="47" hidden="1" customWidth="1"/>
    <col min="15443" max="15443" width="5" style="47" customWidth="1"/>
    <col min="15444" max="15511" width="11.44140625" style="47" hidden="1" customWidth="1"/>
    <col min="15512" max="15512" width="9.44140625" style="47" customWidth="1"/>
    <col min="15513" max="15513" width="11.44140625" style="47" hidden="1" customWidth="1"/>
    <col min="15514" max="15514" width="5" style="47" customWidth="1"/>
    <col min="15515" max="15530" width="11.44140625" style="47" hidden="1" customWidth="1"/>
    <col min="15531" max="15531" width="6.44140625" style="47" customWidth="1"/>
    <col min="15532" max="15532" width="11.44140625" style="47" hidden="1" customWidth="1"/>
    <col min="15533" max="15533" width="7.109375" style="47" customWidth="1"/>
    <col min="15534" max="15535" width="11.44140625" style="47" hidden="1" customWidth="1"/>
    <col min="15536" max="15536" width="7.109375" style="47" customWidth="1"/>
    <col min="15537" max="15538" width="11.44140625" style="47" hidden="1" customWidth="1"/>
    <col min="15539" max="15539" width="7.109375" style="47" customWidth="1"/>
    <col min="15540" max="15541" width="11.44140625" style="47" hidden="1" customWidth="1"/>
    <col min="15542" max="15542" width="7.109375" style="47" customWidth="1"/>
    <col min="15543" max="15544" width="11.44140625" style="47" hidden="1" customWidth="1"/>
    <col min="15545" max="15545" width="7.109375" style="47" customWidth="1"/>
    <col min="15546" max="15547" width="11.44140625" style="47" hidden="1" customWidth="1"/>
    <col min="15548" max="15548" width="7.109375" style="47" customWidth="1"/>
    <col min="15549" max="15550" width="11.44140625" style="47" hidden="1" customWidth="1"/>
    <col min="15551" max="15551" width="7.109375" style="47" customWidth="1"/>
    <col min="15552" max="15553" width="11.44140625" style="47" hidden="1" customWidth="1"/>
    <col min="15554" max="15554" width="7.109375" style="47" customWidth="1"/>
    <col min="15555" max="15555" width="11.44140625" style="47" hidden="1" customWidth="1"/>
    <col min="15556" max="15556" width="6.44140625" style="47" customWidth="1"/>
    <col min="15557" max="15558" width="11.44140625" style="47" hidden="1" customWidth="1"/>
    <col min="15559" max="15559" width="6.88671875" style="47" customWidth="1"/>
    <col min="15560" max="15561" width="11.44140625" style="47" hidden="1" customWidth="1"/>
    <col min="15562" max="15562" width="6.88671875" style="47" customWidth="1"/>
    <col min="15563" max="15564" width="11.44140625" style="47" hidden="1" customWidth="1"/>
    <col min="15565" max="15565" width="6.44140625" style="47" customWidth="1"/>
    <col min="15566" max="15570" width="11.44140625" style="47" hidden="1" customWidth="1"/>
    <col min="15571" max="15571" width="6.44140625" style="47" customWidth="1"/>
    <col min="15572" max="15573" width="11.44140625" style="47" hidden="1" customWidth="1"/>
    <col min="15574" max="15574" width="7.44140625" style="47" customWidth="1"/>
    <col min="15575" max="15575" width="11.44140625" style="47" hidden="1" customWidth="1"/>
    <col min="15576" max="15576" width="9.44140625" style="47" customWidth="1"/>
    <col min="15577" max="15577" width="11.44140625" style="47" hidden="1" customWidth="1"/>
    <col min="15578" max="15578" width="9" style="47" customWidth="1"/>
    <col min="15579" max="15580" width="11.44140625" style="47" hidden="1" customWidth="1"/>
    <col min="15581" max="15581" width="8.44140625" style="47" customWidth="1"/>
    <col min="15582" max="15583" width="11.44140625" style="47" hidden="1" customWidth="1"/>
    <col min="15584" max="15584" width="6.44140625" style="47" customWidth="1"/>
    <col min="15585" max="15586" width="11.44140625" style="47" hidden="1" customWidth="1"/>
    <col min="15587" max="15587" width="7" style="47" customWidth="1"/>
    <col min="15588" max="15589" width="11.44140625" style="47" hidden="1" customWidth="1"/>
    <col min="15590" max="15592" width="7" style="47" customWidth="1"/>
    <col min="15593" max="15594" width="11.44140625" style="47" hidden="1" customWidth="1"/>
    <col min="15595" max="15595" width="7.44140625" style="47" customWidth="1"/>
    <col min="15596" max="15597" width="11.44140625" style="47" hidden="1" customWidth="1"/>
    <col min="15598" max="15598" width="7" style="47" customWidth="1"/>
    <col min="15599" max="15600" width="11.44140625" style="47" hidden="1" customWidth="1"/>
    <col min="15601" max="15601" width="7" style="47" customWidth="1"/>
    <col min="15602" max="15603" width="11.44140625" style="47" hidden="1" customWidth="1"/>
    <col min="15604" max="15604" width="7" style="47" customWidth="1"/>
    <col min="15605" max="15605" width="11.44140625" style="47" hidden="1" customWidth="1"/>
    <col min="15606" max="15606" width="6.44140625" style="47" customWidth="1"/>
    <col min="15607" max="15616" width="11.44140625" style="47" hidden="1" customWidth="1"/>
    <col min="15617" max="15651" width="11.44140625" style="47" hidden="1"/>
    <col min="15652" max="15652" width="41.44140625" style="47" customWidth="1"/>
    <col min="15653" max="15653" width="6.44140625" style="47" customWidth="1"/>
    <col min="15654" max="15654" width="14.5546875" style="47" customWidth="1"/>
    <col min="15655" max="15655" width="11.44140625" style="47" customWidth="1"/>
    <col min="15656" max="15656" width="13" style="47" customWidth="1"/>
    <col min="15657" max="15657" width="25.44140625" style="47" customWidth="1"/>
    <col min="15658" max="15667" width="9.44140625" style="47" customWidth="1"/>
    <col min="15668" max="15668" width="10.5546875" style="47" customWidth="1"/>
    <col min="15669" max="15669" width="9.44140625" style="47" customWidth="1"/>
    <col min="15670" max="15670" width="10.109375" style="47" customWidth="1"/>
    <col min="15671" max="15682" width="11.44140625" style="47" hidden="1" customWidth="1"/>
    <col min="15683" max="15683" width="19.5546875" style="47" customWidth="1"/>
    <col min="15684" max="15684" width="11.44140625" style="47" customWidth="1"/>
    <col min="15685" max="15685" width="56.88671875" style="47" customWidth="1"/>
    <col min="15686" max="15686" width="9.109375" style="47" customWidth="1"/>
    <col min="15687" max="15687" width="24.44140625" style="47" customWidth="1"/>
    <col min="15688" max="15688" width="30.44140625" style="47" customWidth="1"/>
    <col min="15689" max="15689" width="23.5546875" style="47" customWidth="1"/>
    <col min="15690" max="15690" width="5" style="47" customWidth="1"/>
    <col min="15691" max="15692" width="11.44140625" style="47" hidden="1" customWidth="1"/>
    <col min="15693" max="15693" width="5" style="47" customWidth="1"/>
    <col min="15694" max="15695" width="11.44140625" style="47" hidden="1" customWidth="1"/>
    <col min="15696" max="15696" width="5" style="47" customWidth="1"/>
    <col min="15697" max="15698" width="11.44140625" style="47" hidden="1" customWidth="1"/>
    <col min="15699" max="15699" width="5" style="47" customWidth="1"/>
    <col min="15700" max="15767" width="11.44140625" style="47" hidden="1" customWidth="1"/>
    <col min="15768" max="15768" width="9.44140625" style="47" customWidth="1"/>
    <col min="15769" max="15769" width="11.44140625" style="47" hidden="1" customWidth="1"/>
    <col min="15770" max="15770" width="5" style="47" customWidth="1"/>
    <col min="15771" max="15786" width="11.44140625" style="47" hidden="1" customWidth="1"/>
    <col min="15787" max="15787" width="6.44140625" style="47" customWidth="1"/>
    <col min="15788" max="15788" width="11.44140625" style="47" hidden="1" customWidth="1"/>
    <col min="15789" max="15789" width="7.109375" style="47" customWidth="1"/>
    <col min="15790" max="15791" width="11.44140625" style="47" hidden="1" customWidth="1"/>
    <col min="15792" max="15792" width="7.109375" style="47" customWidth="1"/>
    <col min="15793" max="15794" width="11.44140625" style="47" hidden="1" customWidth="1"/>
    <col min="15795" max="15795" width="7.109375" style="47" customWidth="1"/>
    <col min="15796" max="15797" width="11.44140625" style="47" hidden="1" customWidth="1"/>
    <col min="15798" max="15798" width="7.109375" style="47" customWidth="1"/>
    <col min="15799" max="15800" width="11.44140625" style="47" hidden="1" customWidth="1"/>
    <col min="15801" max="15801" width="7.109375" style="47" customWidth="1"/>
    <col min="15802" max="15803" width="11.44140625" style="47" hidden="1" customWidth="1"/>
    <col min="15804" max="15804" width="7.109375" style="47" customWidth="1"/>
    <col min="15805" max="15806" width="11.44140625" style="47" hidden="1" customWidth="1"/>
    <col min="15807" max="15807" width="7.109375" style="47" customWidth="1"/>
    <col min="15808" max="15809" width="11.44140625" style="47" hidden="1" customWidth="1"/>
    <col min="15810" max="15810" width="7.109375" style="47" customWidth="1"/>
    <col min="15811" max="15811" width="11.44140625" style="47" hidden="1" customWidth="1"/>
    <col min="15812" max="15812" width="6.44140625" style="47" customWidth="1"/>
    <col min="15813" max="15814" width="11.44140625" style="47" hidden="1" customWidth="1"/>
    <col min="15815" max="15815" width="6.88671875" style="47" customWidth="1"/>
    <col min="15816" max="15817" width="11.44140625" style="47" hidden="1" customWidth="1"/>
    <col min="15818" max="15818" width="6.88671875" style="47" customWidth="1"/>
    <col min="15819" max="15820" width="11.44140625" style="47" hidden="1" customWidth="1"/>
    <col min="15821" max="15821" width="6.44140625" style="47" customWidth="1"/>
    <col min="15822" max="15826" width="11.44140625" style="47" hidden="1" customWidth="1"/>
    <col min="15827" max="15827" width="6.44140625" style="47" customWidth="1"/>
    <col min="15828" max="15829" width="11.44140625" style="47" hidden="1" customWidth="1"/>
    <col min="15830" max="15830" width="7.44140625" style="47" customWidth="1"/>
    <col min="15831" max="15831" width="11.44140625" style="47" hidden="1" customWidth="1"/>
    <col min="15832" max="15832" width="9.44140625" style="47" customWidth="1"/>
    <col min="15833" max="15833" width="11.44140625" style="47" hidden="1" customWidth="1"/>
    <col min="15834" max="15834" width="9" style="47" customWidth="1"/>
    <col min="15835" max="15836" width="11.44140625" style="47" hidden="1" customWidth="1"/>
    <col min="15837" max="15837" width="8.44140625" style="47" customWidth="1"/>
    <col min="15838" max="15839" width="11.44140625" style="47" hidden="1" customWidth="1"/>
    <col min="15840" max="15840" width="6.44140625" style="47" customWidth="1"/>
    <col min="15841" max="15842" width="11.44140625" style="47" hidden="1" customWidth="1"/>
    <col min="15843" max="15843" width="7" style="47" customWidth="1"/>
    <col min="15844" max="15845" width="11.44140625" style="47" hidden="1" customWidth="1"/>
    <col min="15846" max="15848" width="7" style="47" customWidth="1"/>
    <col min="15849" max="15850" width="11.44140625" style="47" hidden="1" customWidth="1"/>
    <col min="15851" max="15851" width="7.44140625" style="47" customWidth="1"/>
    <col min="15852" max="15853" width="11.44140625" style="47" hidden="1" customWidth="1"/>
    <col min="15854" max="15854" width="7" style="47" customWidth="1"/>
    <col min="15855" max="15856" width="11.44140625" style="47" hidden="1" customWidth="1"/>
    <col min="15857" max="15857" width="7" style="47" customWidth="1"/>
    <col min="15858" max="15859" width="11.44140625" style="47" hidden="1" customWidth="1"/>
    <col min="15860" max="15860" width="7" style="47" customWidth="1"/>
    <col min="15861" max="15861" width="11.44140625" style="47" hidden="1" customWidth="1"/>
    <col min="15862" max="15862" width="6.44140625" style="47" customWidth="1"/>
    <col min="15863" max="15872" width="11.44140625" style="47" hidden="1" customWidth="1"/>
    <col min="15873" max="15907" width="11.44140625" style="47" hidden="1"/>
    <col min="15908" max="15908" width="41.44140625" style="47" customWidth="1"/>
    <col min="15909" max="15909" width="6.44140625" style="47" customWidth="1"/>
    <col min="15910" max="15910" width="14.5546875" style="47" customWidth="1"/>
    <col min="15911" max="15911" width="11.44140625" style="47" customWidth="1"/>
    <col min="15912" max="15912" width="13" style="47" customWidth="1"/>
    <col min="15913" max="15913" width="25.44140625" style="47" customWidth="1"/>
    <col min="15914" max="15923" width="9.44140625" style="47" customWidth="1"/>
    <col min="15924" max="15924" width="10.5546875" style="47" customWidth="1"/>
    <col min="15925" max="15925" width="9.44140625" style="47" customWidth="1"/>
    <col min="15926" max="15926" width="10.109375" style="47" customWidth="1"/>
    <col min="15927" max="15938" width="11.44140625" style="47" hidden="1" customWidth="1"/>
    <col min="15939" max="15939" width="19.5546875" style="47" customWidth="1"/>
    <col min="15940" max="15940" width="11.44140625" style="47" customWidth="1"/>
    <col min="15941" max="15941" width="56.88671875" style="47" customWidth="1"/>
    <col min="15942" max="15942" width="9.109375" style="47" customWidth="1"/>
    <col min="15943" max="15943" width="24.44140625" style="47" customWidth="1"/>
    <col min="15944" max="15944" width="30.44140625" style="47" customWidth="1"/>
    <col min="15945" max="15945" width="23.5546875" style="47" customWidth="1"/>
    <col min="15946" max="15946" width="5" style="47" customWidth="1"/>
    <col min="15947" max="15948" width="11.44140625" style="47" hidden="1" customWidth="1"/>
    <col min="15949" max="15949" width="5" style="47" customWidth="1"/>
    <col min="15950" max="15951" width="11.44140625" style="47" hidden="1" customWidth="1"/>
    <col min="15952" max="15952" width="5" style="47" customWidth="1"/>
    <col min="15953" max="15954" width="11.44140625" style="47" hidden="1" customWidth="1"/>
    <col min="15955" max="15955" width="5" style="47" customWidth="1"/>
    <col min="15956" max="16023" width="11.44140625" style="47" hidden="1" customWidth="1"/>
    <col min="16024" max="16024" width="9.44140625" style="47" customWidth="1"/>
    <col min="16025" max="16025" width="11.44140625" style="47" hidden="1" customWidth="1"/>
    <col min="16026" max="16026" width="5" style="47" customWidth="1"/>
    <col min="16027" max="16042" width="11.44140625" style="47" hidden="1" customWidth="1"/>
    <col min="16043" max="16043" width="6.44140625" style="47" customWidth="1"/>
    <col min="16044" max="16044" width="11.44140625" style="47" hidden="1" customWidth="1"/>
    <col min="16045" max="16045" width="7.109375" style="47" customWidth="1"/>
    <col min="16046" max="16047" width="11.44140625" style="47" hidden="1" customWidth="1"/>
    <col min="16048" max="16048" width="7.109375" style="47" customWidth="1"/>
    <col min="16049" max="16050" width="11.44140625" style="47" hidden="1" customWidth="1"/>
    <col min="16051" max="16051" width="7.109375" style="47" customWidth="1"/>
    <col min="16052" max="16053" width="11.44140625" style="47" hidden="1" customWidth="1"/>
    <col min="16054" max="16054" width="7.109375" style="47" customWidth="1"/>
    <col min="16055" max="16056" width="11.44140625" style="47" hidden="1" customWidth="1"/>
    <col min="16057" max="16057" width="7.109375" style="47" customWidth="1"/>
    <col min="16058" max="16059" width="11.44140625" style="47" hidden="1" customWidth="1"/>
    <col min="16060" max="16060" width="7.109375" style="47" customWidth="1"/>
    <col min="16061" max="16062" width="11.44140625" style="47" hidden="1" customWidth="1"/>
    <col min="16063" max="16063" width="7.109375" style="47" customWidth="1"/>
    <col min="16064" max="16065" width="11.44140625" style="47" hidden="1" customWidth="1"/>
    <col min="16066" max="16066" width="7.109375" style="47" customWidth="1"/>
    <col min="16067" max="16067" width="11.44140625" style="47" hidden="1" customWidth="1"/>
    <col min="16068" max="16068" width="6.44140625" style="47" customWidth="1"/>
    <col min="16069" max="16070" width="11.44140625" style="47" hidden="1" customWidth="1"/>
    <col min="16071" max="16071" width="6.88671875" style="47" customWidth="1"/>
    <col min="16072" max="16073" width="11.44140625" style="47" hidden="1" customWidth="1"/>
    <col min="16074" max="16074" width="6.88671875" style="47" customWidth="1"/>
    <col min="16075" max="16076" width="11.44140625" style="47" hidden="1" customWidth="1"/>
    <col min="16077" max="16077" width="6.44140625" style="47" customWidth="1"/>
    <col min="16078" max="16082" width="11.44140625" style="47" hidden="1" customWidth="1"/>
    <col min="16083" max="16083" width="6.44140625" style="47" customWidth="1"/>
    <col min="16084" max="16085" width="11.44140625" style="47" hidden="1" customWidth="1"/>
    <col min="16086" max="16086" width="7.44140625" style="47" customWidth="1"/>
    <col min="16087" max="16087" width="11.44140625" style="47" hidden="1" customWidth="1"/>
    <col min="16088" max="16088" width="9.44140625" style="47" customWidth="1"/>
    <col min="16089" max="16089" width="11.44140625" style="47" hidden="1" customWidth="1"/>
    <col min="16090" max="16090" width="9" style="47" customWidth="1"/>
    <col min="16091" max="16092" width="11.44140625" style="47" hidden="1" customWidth="1"/>
    <col min="16093" max="16093" width="8.44140625" style="47" customWidth="1"/>
    <col min="16094" max="16095" width="11.44140625" style="47" hidden="1" customWidth="1"/>
    <col min="16096" max="16096" width="6.44140625" style="47" customWidth="1"/>
    <col min="16097" max="16098" width="11.44140625" style="47" hidden="1" customWidth="1"/>
    <col min="16099" max="16099" width="7" style="47" customWidth="1"/>
    <col min="16100" max="16101" width="11.44140625" style="47" hidden="1" customWidth="1"/>
    <col min="16102" max="16104" width="7" style="47" customWidth="1"/>
    <col min="16105" max="16106" width="11.44140625" style="47" hidden="1" customWidth="1"/>
    <col min="16107" max="16107" width="7.44140625" style="47" customWidth="1"/>
    <col min="16108" max="16109" width="11.44140625" style="47" hidden="1" customWidth="1"/>
    <col min="16110" max="16110" width="7" style="47" customWidth="1"/>
    <col min="16111" max="16112" width="11.44140625" style="47" hidden="1" customWidth="1"/>
    <col min="16113" max="16113" width="7" style="47" customWidth="1"/>
    <col min="16114" max="16115" width="11.44140625" style="47" hidden="1" customWidth="1"/>
    <col min="16116" max="16116" width="7" style="47" customWidth="1"/>
    <col min="16117" max="16117" width="11.44140625" style="47" hidden="1" customWidth="1"/>
    <col min="16118" max="16118" width="6.44140625" style="47" customWidth="1"/>
    <col min="16119" max="16128" width="11.44140625" style="47" hidden="1" customWidth="1"/>
    <col min="16129" max="16384" width="11.44140625" style="47" hidden="1"/>
  </cols>
  <sheetData>
    <row r="1" spans="1:5" s="41" customFormat="1" ht="18.75" customHeight="1">
      <c r="A1" s="51">
        <v>45475</v>
      </c>
      <c r="B1" s="52"/>
      <c r="C1" s="2" t="s">
        <v>0</v>
      </c>
      <c r="D1" s="53"/>
      <c r="E1" s="53"/>
    </row>
    <row r="2" spans="1:5" s="42" customFormat="1" ht="43.5" customHeight="1">
      <c r="A2" s="205" t="s">
        <v>1</v>
      </c>
      <c r="B2" s="54" t="s">
        <v>2</v>
      </c>
      <c r="C2" s="55" t="s">
        <v>3</v>
      </c>
      <c r="D2" s="56" t="s">
        <v>4</v>
      </c>
      <c r="E2" s="57" t="s">
        <v>5</v>
      </c>
    </row>
    <row r="3" spans="1:5" s="43" customFormat="1" hidden="1">
      <c r="A3" s="206"/>
      <c r="B3" s="58"/>
      <c r="C3" s="37"/>
      <c r="D3" s="59"/>
      <c r="E3" s="60"/>
    </row>
    <row r="4" spans="1:5" s="44" customFormat="1" ht="21" customHeight="1">
      <c r="A4" s="87" t="s">
        <v>6</v>
      </c>
      <c r="B4" s="64" t="s">
        <v>7</v>
      </c>
      <c r="C4" s="65">
        <v>4</v>
      </c>
      <c r="D4" s="66">
        <v>16000</v>
      </c>
      <c r="E4" s="67">
        <f>+D4*C4</f>
        <v>64000</v>
      </c>
    </row>
    <row r="5" spans="1:5" s="44" customFormat="1" ht="36" hidden="1" customHeight="1">
      <c r="A5" s="7" t="s">
        <v>8</v>
      </c>
      <c r="B5" s="61" t="s">
        <v>9</v>
      </c>
      <c r="C5" s="6"/>
      <c r="D5" s="62"/>
      <c r="E5" s="63"/>
    </row>
    <row r="6" spans="1:5" s="44" customFormat="1" ht="21.75" hidden="1" customHeight="1">
      <c r="A6" s="5" t="s">
        <v>10</v>
      </c>
      <c r="B6" s="61" t="s">
        <v>7</v>
      </c>
      <c r="C6" s="6"/>
      <c r="D6" s="62"/>
      <c r="E6" s="63"/>
    </row>
    <row r="7" spans="1:5" s="44" customFormat="1" ht="18" hidden="1" customHeight="1">
      <c r="A7" s="5" t="s">
        <v>11</v>
      </c>
      <c r="B7" s="61" t="s">
        <v>7</v>
      </c>
      <c r="C7" s="6"/>
      <c r="D7" s="62"/>
      <c r="E7" s="63"/>
    </row>
    <row r="8" spans="1:5" s="44" customFormat="1" ht="40.200000000000003" hidden="1" customHeight="1">
      <c r="A8" s="8" t="s">
        <v>12</v>
      </c>
      <c r="B8" s="61" t="s">
        <v>9</v>
      </c>
      <c r="C8" s="6"/>
      <c r="D8" s="62"/>
      <c r="E8" s="63"/>
    </row>
    <row r="9" spans="1:5" s="44" customFormat="1" ht="21.75" hidden="1" customHeight="1">
      <c r="A9" s="9" t="s">
        <v>13</v>
      </c>
      <c r="B9" s="61" t="s">
        <v>7</v>
      </c>
      <c r="C9" s="6"/>
      <c r="D9" s="62"/>
      <c r="E9" s="63"/>
    </row>
    <row r="10" spans="1:5" s="44" customFormat="1" ht="21.75" hidden="1" customHeight="1">
      <c r="A10" s="5" t="s">
        <v>14</v>
      </c>
      <c r="B10" s="61" t="s">
        <v>7</v>
      </c>
      <c r="C10" s="6"/>
      <c r="D10" s="62"/>
      <c r="E10" s="63"/>
    </row>
    <row r="11" spans="1:5" s="44" customFormat="1" ht="32.4" hidden="1" customHeight="1">
      <c r="A11" s="5" t="s">
        <v>15</v>
      </c>
      <c r="B11" s="61" t="s">
        <v>7</v>
      </c>
      <c r="C11" s="6"/>
      <c r="D11" s="62"/>
      <c r="E11" s="63"/>
    </row>
    <row r="12" spans="1:5" s="44" customFormat="1" ht="20.25" hidden="1" customHeight="1">
      <c r="A12" s="10" t="s">
        <v>16</v>
      </c>
      <c r="B12" s="61" t="s">
        <v>17</v>
      </c>
      <c r="C12" s="6"/>
      <c r="D12" s="62"/>
      <c r="E12" s="63"/>
    </row>
    <row r="13" spans="1:5" s="44" customFormat="1" ht="65.400000000000006" hidden="1" customHeight="1">
      <c r="A13" s="8" t="s">
        <v>18</v>
      </c>
      <c r="B13" s="61" t="s">
        <v>7</v>
      </c>
      <c r="C13" s="6"/>
      <c r="D13" s="62"/>
      <c r="E13" s="63"/>
    </row>
    <row r="14" spans="1:5" s="44" customFormat="1" ht="20.25" hidden="1" customHeight="1">
      <c r="A14" s="8" t="s">
        <v>19</v>
      </c>
      <c r="B14" s="61" t="s">
        <v>7</v>
      </c>
      <c r="C14" s="6"/>
      <c r="D14" s="62"/>
      <c r="E14" s="63"/>
    </row>
    <row r="15" spans="1:5" s="44" customFormat="1" ht="39.9" hidden="1" customHeight="1">
      <c r="A15" s="11" t="s">
        <v>20</v>
      </c>
      <c r="B15" s="61" t="s">
        <v>21</v>
      </c>
      <c r="C15" s="6"/>
      <c r="D15" s="62"/>
      <c r="E15" s="63"/>
    </row>
    <row r="16" spans="1:5" s="44" customFormat="1" ht="21" customHeight="1">
      <c r="A16" s="10" t="s">
        <v>22</v>
      </c>
      <c r="B16" s="64" t="s">
        <v>7</v>
      </c>
      <c r="C16" s="65">
        <v>15</v>
      </c>
      <c r="D16" s="66">
        <v>18000</v>
      </c>
      <c r="E16" s="67">
        <f>+D16*C16</f>
        <v>270000</v>
      </c>
    </row>
    <row r="17" spans="1:5" s="44" customFormat="1" ht="21.75" hidden="1" customHeight="1">
      <c r="A17" s="8" t="s">
        <v>23</v>
      </c>
      <c r="B17" s="61" t="s">
        <v>7</v>
      </c>
      <c r="C17" s="6"/>
      <c r="D17" s="62"/>
      <c r="E17" s="63"/>
    </row>
    <row r="18" spans="1:5" s="44" customFormat="1" ht="22.8" hidden="1">
      <c r="A18" s="8" t="s">
        <v>24</v>
      </c>
      <c r="B18" s="61" t="s">
        <v>7</v>
      </c>
      <c r="C18" s="6"/>
      <c r="D18" s="68"/>
      <c r="E18" s="63"/>
    </row>
    <row r="19" spans="1:5" s="44" customFormat="1" ht="20.25" hidden="1" customHeight="1">
      <c r="A19" s="12" t="s">
        <v>25</v>
      </c>
      <c r="B19" s="61" t="s">
        <v>21</v>
      </c>
      <c r="C19" s="6"/>
      <c r="D19" s="62"/>
      <c r="E19" s="63"/>
    </row>
    <row r="20" spans="1:5" s="44" customFormat="1" ht="21" customHeight="1">
      <c r="A20" s="10" t="s">
        <v>26</v>
      </c>
      <c r="B20" s="64" t="s">
        <v>7</v>
      </c>
      <c r="C20" s="65">
        <v>6</v>
      </c>
      <c r="D20" s="66">
        <v>13000</v>
      </c>
      <c r="E20" s="67">
        <f t="shared" ref="E20:E21" si="0">+D20*C20</f>
        <v>78000</v>
      </c>
    </row>
    <row r="21" spans="1:5" s="44" customFormat="1" ht="21" customHeight="1">
      <c r="A21" s="19" t="s">
        <v>27</v>
      </c>
      <c r="B21" s="64" t="s">
        <v>7</v>
      </c>
      <c r="C21" s="65">
        <v>100</v>
      </c>
      <c r="D21" s="66">
        <v>13000</v>
      </c>
      <c r="E21" s="67">
        <f t="shared" si="0"/>
        <v>1300000</v>
      </c>
    </row>
    <row r="22" spans="1:5" s="44" customFormat="1" ht="21.75" hidden="1" customHeight="1">
      <c r="A22" s="11" t="s">
        <v>28</v>
      </c>
      <c r="B22" s="61" t="s">
        <v>21</v>
      </c>
      <c r="C22" s="6"/>
      <c r="D22" s="62"/>
      <c r="E22" s="63"/>
    </row>
    <row r="23" spans="1:5" s="44" customFormat="1" ht="20.25" hidden="1" customHeight="1">
      <c r="A23" s="11" t="s">
        <v>29</v>
      </c>
      <c r="B23" s="61" t="s">
        <v>7</v>
      </c>
      <c r="C23" s="6"/>
      <c r="D23" s="62"/>
      <c r="E23" s="63"/>
    </row>
    <row r="24" spans="1:5" s="44" customFormat="1" ht="21.75" hidden="1" customHeight="1">
      <c r="A24" s="8" t="s">
        <v>30</v>
      </c>
      <c r="B24" s="61" t="s">
        <v>7</v>
      </c>
      <c r="C24" s="6"/>
      <c r="D24" s="62"/>
      <c r="E24" s="63"/>
    </row>
    <row r="25" spans="1:5" s="44" customFormat="1" ht="21.75" hidden="1" customHeight="1">
      <c r="A25" s="8" t="s">
        <v>31</v>
      </c>
      <c r="B25" s="61" t="s">
        <v>21</v>
      </c>
      <c r="C25" s="6"/>
      <c r="D25" s="62"/>
      <c r="E25" s="63"/>
    </row>
    <row r="26" spans="1:5" s="44" customFormat="1" ht="21" customHeight="1">
      <c r="A26" s="19" t="s">
        <v>32</v>
      </c>
      <c r="B26" s="64" t="s">
        <v>7</v>
      </c>
      <c r="C26" s="65">
        <v>120</v>
      </c>
      <c r="D26" s="66">
        <v>13000</v>
      </c>
      <c r="E26" s="67">
        <f t="shared" ref="E26:E27" si="1">+D26*C26</f>
        <v>1560000</v>
      </c>
    </row>
    <row r="27" spans="1:5" s="44" customFormat="1" ht="21" customHeight="1">
      <c r="A27" s="19" t="s">
        <v>33</v>
      </c>
      <c r="B27" s="64" t="s">
        <v>21</v>
      </c>
      <c r="C27" s="65">
        <v>135</v>
      </c>
      <c r="D27" s="66">
        <v>3900</v>
      </c>
      <c r="E27" s="67">
        <f t="shared" si="1"/>
        <v>526500</v>
      </c>
    </row>
    <row r="28" spans="1:5" s="44" customFormat="1" ht="21.75" hidden="1" customHeight="1">
      <c r="A28" s="8" t="s">
        <v>34</v>
      </c>
      <c r="B28" s="61" t="s">
        <v>7</v>
      </c>
      <c r="C28" s="6"/>
      <c r="D28" s="62"/>
      <c r="E28" s="63"/>
    </row>
    <row r="29" spans="1:5" s="44" customFormat="1" ht="21" customHeight="1">
      <c r="A29" s="19" t="s">
        <v>35</v>
      </c>
      <c r="B29" s="64" t="s">
        <v>7</v>
      </c>
      <c r="C29" s="65">
        <v>69</v>
      </c>
      <c r="D29" s="66">
        <v>12500</v>
      </c>
      <c r="E29" s="67">
        <f>+D29*C29</f>
        <v>862500</v>
      </c>
    </row>
    <row r="30" spans="1:5" s="44" customFormat="1" ht="20.25" hidden="1" customHeight="1">
      <c r="A30" s="10" t="s">
        <v>36</v>
      </c>
      <c r="B30" s="61" t="s">
        <v>7</v>
      </c>
      <c r="C30" s="14"/>
      <c r="D30" s="62"/>
      <c r="E30" s="63"/>
    </row>
    <row r="31" spans="1:5" s="44" customFormat="1" ht="21.75" hidden="1" customHeight="1">
      <c r="A31" s="11" t="s">
        <v>37</v>
      </c>
      <c r="B31" s="61" t="s">
        <v>7</v>
      </c>
      <c r="C31" s="6"/>
      <c r="D31" s="62"/>
      <c r="E31" s="63"/>
    </row>
    <row r="32" spans="1:5" s="44" customFormat="1" ht="21.75" hidden="1" customHeight="1">
      <c r="A32" s="10" t="s">
        <v>38</v>
      </c>
      <c r="B32" s="61" t="s">
        <v>39</v>
      </c>
      <c r="C32" s="6"/>
      <c r="D32" s="62"/>
      <c r="E32" s="63"/>
    </row>
    <row r="33" spans="1:5" s="44" customFormat="1" ht="21.75" hidden="1" customHeight="1">
      <c r="A33" s="10" t="s">
        <v>40</v>
      </c>
      <c r="B33" s="61" t="s">
        <v>39</v>
      </c>
      <c r="C33" s="6"/>
      <c r="D33" s="62"/>
      <c r="E33" s="63"/>
    </row>
    <row r="34" spans="1:5" s="44" customFormat="1" ht="21.75" hidden="1" customHeight="1">
      <c r="A34" s="10" t="s">
        <v>41</v>
      </c>
      <c r="B34" s="61" t="s">
        <v>39</v>
      </c>
      <c r="C34" s="6"/>
      <c r="D34" s="62"/>
      <c r="E34" s="63"/>
    </row>
    <row r="35" spans="1:5" s="44" customFormat="1" ht="21.75" hidden="1" customHeight="1">
      <c r="A35" s="11" t="s">
        <v>42</v>
      </c>
      <c r="B35" s="61" t="s">
        <v>39</v>
      </c>
      <c r="C35" s="6"/>
      <c r="D35" s="62"/>
      <c r="E35" s="63"/>
    </row>
    <row r="36" spans="1:5" s="44" customFormat="1" ht="20.25" hidden="1" customHeight="1">
      <c r="A36" s="10" t="s">
        <v>43</v>
      </c>
      <c r="B36" s="61" t="s">
        <v>39</v>
      </c>
      <c r="C36" s="6"/>
      <c r="D36" s="62"/>
      <c r="E36" s="63"/>
    </row>
    <row r="37" spans="1:5" s="44" customFormat="1" ht="21.75" hidden="1" customHeight="1">
      <c r="A37" s="10" t="s">
        <v>44</v>
      </c>
      <c r="B37" s="61" t="s">
        <v>39</v>
      </c>
      <c r="C37" s="6"/>
      <c r="D37" s="62"/>
      <c r="E37" s="63"/>
    </row>
    <row r="38" spans="1:5" s="44" customFormat="1" ht="20.25" hidden="1" customHeight="1">
      <c r="A38" s="10" t="s">
        <v>45</v>
      </c>
      <c r="B38" s="61" t="s">
        <v>39</v>
      </c>
      <c r="C38" s="6"/>
      <c r="D38" s="62"/>
      <c r="E38" s="63"/>
    </row>
    <row r="39" spans="1:5" s="44" customFormat="1" ht="21" customHeight="1">
      <c r="A39" s="10" t="s">
        <v>46</v>
      </c>
      <c r="B39" s="64" t="s">
        <v>7</v>
      </c>
      <c r="C39" s="65">
        <v>29</v>
      </c>
      <c r="D39" s="66">
        <v>11000</v>
      </c>
      <c r="E39" s="67">
        <f>+D39*C39</f>
        <v>319000</v>
      </c>
    </row>
    <row r="40" spans="1:5" s="44" customFormat="1" ht="21.75" hidden="1" customHeight="1">
      <c r="A40" s="8" t="s">
        <v>47</v>
      </c>
      <c r="B40" s="61" t="s">
        <v>7</v>
      </c>
      <c r="C40" s="6"/>
      <c r="D40" s="62"/>
      <c r="E40" s="63"/>
    </row>
    <row r="41" spans="1:5" s="44" customFormat="1" ht="21.75" hidden="1" customHeight="1">
      <c r="A41" s="8" t="s">
        <v>48</v>
      </c>
      <c r="B41" s="61" t="s">
        <v>49</v>
      </c>
      <c r="C41" s="6"/>
      <c r="D41" s="62"/>
      <c r="E41" s="63"/>
    </row>
    <row r="42" spans="1:5" s="44" customFormat="1" ht="21.75" hidden="1" customHeight="1">
      <c r="A42" s="10" t="s">
        <v>50</v>
      </c>
      <c r="B42" s="61" t="s">
        <v>7</v>
      </c>
      <c r="C42" s="14"/>
      <c r="D42" s="62"/>
      <c r="E42" s="63"/>
    </row>
    <row r="43" spans="1:5" s="44" customFormat="1" ht="20.25" hidden="1" customHeight="1">
      <c r="A43" s="8" t="s">
        <v>51</v>
      </c>
      <c r="B43" s="61" t="s">
        <v>7</v>
      </c>
      <c r="C43" s="6"/>
      <c r="D43" s="62"/>
      <c r="E43" s="63"/>
    </row>
    <row r="44" spans="1:5" s="44" customFormat="1" ht="20.25" hidden="1" customHeight="1">
      <c r="A44" s="8" t="s">
        <v>52</v>
      </c>
      <c r="B44" s="61" t="s">
        <v>7</v>
      </c>
      <c r="C44" s="6"/>
      <c r="D44" s="62"/>
      <c r="E44" s="63"/>
    </row>
    <row r="45" spans="1:5" s="44" customFormat="1" ht="20.25" hidden="1" customHeight="1">
      <c r="A45" s="15" t="s">
        <v>53</v>
      </c>
      <c r="B45" s="61" t="s">
        <v>54</v>
      </c>
      <c r="C45" s="6"/>
      <c r="D45" s="62"/>
      <c r="E45" s="63"/>
    </row>
    <row r="46" spans="1:5" s="44" customFormat="1" ht="20.25" hidden="1" customHeight="1">
      <c r="A46" s="8" t="s">
        <v>55</v>
      </c>
      <c r="B46" s="61" t="s">
        <v>7</v>
      </c>
      <c r="C46" s="6"/>
      <c r="D46" s="62"/>
      <c r="E46" s="63"/>
    </row>
    <row r="47" spans="1:5" s="44" customFormat="1" ht="21.75" hidden="1" customHeight="1">
      <c r="A47" s="8" t="s">
        <v>56</v>
      </c>
      <c r="B47" s="61" t="s">
        <v>57</v>
      </c>
      <c r="C47" s="6"/>
      <c r="D47" s="62"/>
      <c r="E47" s="63"/>
    </row>
    <row r="48" spans="1:5" s="44" customFormat="1" ht="21.75" hidden="1" customHeight="1">
      <c r="A48" s="8" t="s">
        <v>58</v>
      </c>
      <c r="B48" s="61" t="s">
        <v>7</v>
      </c>
      <c r="C48" s="6"/>
      <c r="D48" s="62"/>
      <c r="E48" s="63"/>
    </row>
    <row r="49" spans="1:5" s="44" customFormat="1" ht="21.75" hidden="1" customHeight="1">
      <c r="A49" s="16" t="s">
        <v>59</v>
      </c>
      <c r="B49" s="61" t="s">
        <v>7</v>
      </c>
      <c r="C49" s="6"/>
      <c r="D49" s="69"/>
      <c r="E49" s="63"/>
    </row>
    <row r="50" spans="1:5" s="44" customFormat="1" ht="21.75" hidden="1" customHeight="1">
      <c r="A50" s="12" t="s">
        <v>60</v>
      </c>
      <c r="B50" s="61" t="s">
        <v>57</v>
      </c>
      <c r="C50" s="6"/>
      <c r="D50" s="62"/>
      <c r="E50" s="63"/>
    </row>
    <row r="51" spans="1:5" s="44" customFormat="1" ht="21.75" hidden="1" customHeight="1">
      <c r="A51" s="10" t="s">
        <v>61</v>
      </c>
      <c r="B51" s="61" t="s">
        <v>7</v>
      </c>
      <c r="C51" s="6"/>
      <c r="D51" s="62"/>
      <c r="E51" s="63"/>
    </row>
    <row r="52" spans="1:5" s="44" customFormat="1" ht="21.75" hidden="1" customHeight="1">
      <c r="A52" s="12" t="s">
        <v>62</v>
      </c>
      <c r="B52" s="61" t="s">
        <v>54</v>
      </c>
      <c r="C52" s="6"/>
      <c r="D52" s="62"/>
      <c r="E52" s="63"/>
    </row>
    <row r="53" spans="1:5" s="44" customFormat="1" ht="20.25" hidden="1" customHeight="1">
      <c r="A53" s="8" t="s">
        <v>63</v>
      </c>
      <c r="B53" s="61" t="s">
        <v>7</v>
      </c>
      <c r="C53" s="6"/>
      <c r="D53" s="62"/>
      <c r="E53" s="63"/>
    </row>
    <row r="54" spans="1:5" s="44" customFormat="1" ht="20.25" hidden="1" customHeight="1">
      <c r="A54" s="8" t="s">
        <v>64</v>
      </c>
      <c r="B54" s="61" t="s">
        <v>7</v>
      </c>
      <c r="C54" s="6"/>
      <c r="D54" s="62"/>
      <c r="E54" s="63"/>
    </row>
    <row r="55" spans="1:5" s="44" customFormat="1" ht="20.25" hidden="1" customHeight="1">
      <c r="A55" s="11" t="s">
        <v>65</v>
      </c>
      <c r="B55" s="61" t="s">
        <v>7</v>
      </c>
      <c r="C55" s="6"/>
      <c r="D55" s="62"/>
      <c r="E55" s="70"/>
    </row>
    <row r="56" spans="1:5" s="44" customFormat="1" ht="20.25" hidden="1" customHeight="1">
      <c r="A56" s="8" t="s">
        <v>66</v>
      </c>
      <c r="B56" s="61" t="s">
        <v>7</v>
      </c>
      <c r="C56" s="6"/>
      <c r="D56" s="62"/>
      <c r="E56" s="70"/>
    </row>
    <row r="57" spans="1:5" s="44" customFormat="1" ht="20.25" hidden="1" customHeight="1">
      <c r="A57" s="15" t="s">
        <v>67</v>
      </c>
      <c r="B57" s="61" t="s">
        <v>68</v>
      </c>
      <c r="C57" s="6"/>
      <c r="D57" s="62"/>
      <c r="E57" s="63"/>
    </row>
    <row r="58" spans="1:5" s="44" customFormat="1" ht="20.25" hidden="1" customHeight="1">
      <c r="A58" s="15" t="s">
        <v>69</v>
      </c>
      <c r="B58" s="61" t="s">
        <v>68</v>
      </c>
      <c r="C58" s="6"/>
      <c r="D58" s="62"/>
      <c r="E58" s="63"/>
    </row>
    <row r="59" spans="1:5" s="44" customFormat="1" ht="20.25" hidden="1" customHeight="1">
      <c r="A59" s="15" t="s">
        <v>70</v>
      </c>
      <c r="B59" s="61" t="s">
        <v>7</v>
      </c>
      <c r="C59" s="6"/>
      <c r="D59" s="62"/>
      <c r="E59" s="70"/>
    </row>
    <row r="60" spans="1:5" s="44" customFormat="1" ht="21.75" hidden="1" customHeight="1">
      <c r="A60" s="8" t="s">
        <v>71</v>
      </c>
      <c r="B60" s="61" t="s">
        <v>7</v>
      </c>
      <c r="C60" s="6"/>
      <c r="D60" s="62"/>
      <c r="E60" s="70"/>
    </row>
    <row r="61" spans="1:5" s="44" customFormat="1" ht="21.75" hidden="1" customHeight="1">
      <c r="A61" s="10" t="s">
        <v>72</v>
      </c>
      <c r="B61" s="61" t="s">
        <v>7</v>
      </c>
      <c r="C61" s="6"/>
      <c r="D61" s="62"/>
      <c r="E61" s="63"/>
    </row>
    <row r="62" spans="1:5" s="44" customFormat="1" ht="21.75" hidden="1" customHeight="1">
      <c r="A62" s="8" t="s">
        <v>73</v>
      </c>
      <c r="B62" s="61" t="s">
        <v>7</v>
      </c>
      <c r="C62" s="6"/>
      <c r="D62" s="62"/>
      <c r="E62" s="70"/>
    </row>
    <row r="63" spans="1:5" s="44" customFormat="1" ht="21.75" hidden="1" customHeight="1">
      <c r="A63" s="16" t="s">
        <v>74</v>
      </c>
      <c r="B63" s="61" t="s">
        <v>7</v>
      </c>
      <c r="C63" s="6"/>
      <c r="D63" s="62"/>
      <c r="E63" s="63"/>
    </row>
    <row r="64" spans="1:5" s="44" customFormat="1" ht="21" customHeight="1">
      <c r="A64" s="15" t="s">
        <v>75</v>
      </c>
      <c r="B64" s="64" t="s">
        <v>68</v>
      </c>
      <c r="C64" s="65">
        <v>5</v>
      </c>
      <c r="D64" s="66">
        <v>15600</v>
      </c>
      <c r="E64" s="67">
        <f t="shared" ref="E64:E65" si="2">+D64*C64</f>
        <v>78000</v>
      </c>
    </row>
    <row r="65" spans="1:5" s="44" customFormat="1" ht="21" customHeight="1">
      <c r="A65" s="19" t="s">
        <v>76</v>
      </c>
      <c r="B65" s="64" t="s">
        <v>49</v>
      </c>
      <c r="C65" s="65">
        <v>200</v>
      </c>
      <c r="D65" s="66">
        <v>10000</v>
      </c>
      <c r="E65" s="67">
        <f t="shared" si="2"/>
        <v>2000000</v>
      </c>
    </row>
    <row r="66" spans="1:5" s="44" customFormat="1" ht="21.75" hidden="1" customHeight="1">
      <c r="A66" s="17" t="s">
        <v>77</v>
      </c>
      <c r="B66" s="61" t="s">
        <v>7</v>
      </c>
      <c r="C66" s="6"/>
      <c r="D66" s="62"/>
      <c r="E66" s="63"/>
    </row>
    <row r="67" spans="1:5" s="44" customFormat="1" ht="20.25" hidden="1" customHeight="1">
      <c r="A67" s="8" t="s">
        <v>78</v>
      </c>
      <c r="B67" s="61" t="s">
        <v>7</v>
      </c>
      <c r="C67" s="6"/>
      <c r="D67" s="62"/>
      <c r="E67" s="70"/>
    </row>
    <row r="68" spans="1:5" s="44" customFormat="1" ht="21.75" hidden="1" customHeight="1">
      <c r="A68" s="8" t="s">
        <v>79</v>
      </c>
      <c r="B68" s="61" t="s">
        <v>7</v>
      </c>
      <c r="C68" s="6"/>
      <c r="D68" s="62"/>
      <c r="E68" s="70"/>
    </row>
    <row r="69" spans="1:5" s="44" customFormat="1" ht="20.25" hidden="1" customHeight="1">
      <c r="A69" s="18" t="s">
        <v>80</v>
      </c>
      <c r="B69" s="61" t="s">
        <v>7</v>
      </c>
      <c r="C69" s="6"/>
      <c r="D69" s="62"/>
      <c r="E69" s="70"/>
    </row>
    <row r="70" spans="1:5" s="44" customFormat="1" ht="20.25" hidden="1" customHeight="1">
      <c r="A70" s="11" t="s">
        <v>81</v>
      </c>
      <c r="B70" s="61" t="s">
        <v>7</v>
      </c>
      <c r="C70" s="6"/>
      <c r="D70" s="62"/>
      <c r="E70" s="63"/>
    </row>
    <row r="71" spans="1:5" s="44" customFormat="1" ht="21.75" hidden="1" customHeight="1">
      <c r="A71" s="11" t="s">
        <v>82</v>
      </c>
      <c r="B71" s="61" t="s">
        <v>68</v>
      </c>
      <c r="C71" s="6"/>
      <c r="D71" s="102"/>
      <c r="E71" s="63"/>
    </row>
    <row r="72" spans="1:5" s="44" customFormat="1" ht="20.25" hidden="1" customHeight="1">
      <c r="A72" s="10" t="s">
        <v>83</v>
      </c>
      <c r="B72" s="61" t="s">
        <v>7</v>
      </c>
      <c r="C72" s="6"/>
      <c r="D72" s="62"/>
      <c r="E72" s="63"/>
    </row>
    <row r="73" spans="1:5" s="44" customFormat="1" ht="21" customHeight="1">
      <c r="A73" s="10" t="s">
        <v>84</v>
      </c>
      <c r="B73" s="64" t="s">
        <v>7</v>
      </c>
      <c r="C73" s="65">
        <v>3</v>
      </c>
      <c r="D73" s="66">
        <v>40000</v>
      </c>
      <c r="E73" s="67">
        <f>+D73*C73</f>
        <v>120000</v>
      </c>
    </row>
    <row r="74" spans="1:5" s="44" customFormat="1" ht="22.8" hidden="1">
      <c r="A74" s="11" t="s">
        <v>85</v>
      </c>
      <c r="B74" s="61" t="s">
        <v>7</v>
      </c>
      <c r="C74" s="6"/>
      <c r="D74" s="62"/>
      <c r="E74" s="63"/>
    </row>
    <row r="75" spans="1:5" s="44" customFormat="1" ht="22.8" hidden="1">
      <c r="A75" s="11" t="s">
        <v>86</v>
      </c>
      <c r="B75" s="61" t="s">
        <v>68</v>
      </c>
      <c r="C75" s="6"/>
      <c r="D75" s="62"/>
      <c r="E75" s="63"/>
    </row>
    <row r="76" spans="1:5" s="44" customFormat="1" ht="22.8" hidden="1">
      <c r="A76" s="18" t="s">
        <v>87</v>
      </c>
      <c r="B76" s="61" t="s">
        <v>7</v>
      </c>
      <c r="C76" s="6"/>
      <c r="D76" s="62"/>
      <c r="E76" s="63"/>
    </row>
    <row r="77" spans="1:5" s="44" customFormat="1" ht="20.25" hidden="1" customHeight="1">
      <c r="A77" s="8" t="s">
        <v>88</v>
      </c>
      <c r="B77" s="61" t="s">
        <v>68</v>
      </c>
      <c r="C77" s="6"/>
      <c r="D77" s="62"/>
      <c r="E77" s="63"/>
    </row>
    <row r="78" spans="1:5" s="44" customFormat="1" ht="21.75" hidden="1" customHeight="1">
      <c r="A78" s="8" t="s">
        <v>89</v>
      </c>
      <c r="B78" s="61" t="s">
        <v>54</v>
      </c>
      <c r="C78" s="6"/>
      <c r="D78" s="62"/>
      <c r="E78" s="63"/>
    </row>
    <row r="79" spans="1:5" s="44" customFormat="1" ht="21.75" hidden="1" customHeight="1">
      <c r="A79" s="8" t="s">
        <v>90</v>
      </c>
      <c r="B79" s="61" t="s">
        <v>7</v>
      </c>
      <c r="C79" s="6"/>
      <c r="D79" s="62"/>
      <c r="E79" s="63"/>
    </row>
    <row r="80" spans="1:5" s="44" customFormat="1" ht="21.75" hidden="1" customHeight="1">
      <c r="A80" s="12" t="s">
        <v>91</v>
      </c>
      <c r="B80" s="61" t="s">
        <v>54</v>
      </c>
      <c r="C80" s="6"/>
      <c r="D80" s="62"/>
      <c r="E80" s="63"/>
    </row>
    <row r="81" spans="1:33" s="44" customFormat="1" ht="21.75" hidden="1" customHeight="1">
      <c r="A81" s="8" t="s">
        <v>92</v>
      </c>
      <c r="B81" s="61" t="s">
        <v>93</v>
      </c>
      <c r="C81" s="6"/>
      <c r="D81" s="62"/>
      <c r="E81" s="63"/>
    </row>
    <row r="82" spans="1:33" s="44" customFormat="1" ht="21" customHeight="1">
      <c r="A82" s="19" t="s">
        <v>94</v>
      </c>
      <c r="B82" s="64" t="s">
        <v>7</v>
      </c>
      <c r="C82" s="65">
        <v>11</v>
      </c>
      <c r="D82" s="66">
        <v>23000</v>
      </c>
      <c r="E82" s="67">
        <f>+D82*C82</f>
        <v>253000</v>
      </c>
    </row>
    <row r="83" spans="1:33" s="44" customFormat="1" ht="20.25" hidden="1" customHeight="1">
      <c r="A83" s="8" t="s">
        <v>95</v>
      </c>
      <c r="B83" s="61" t="s">
        <v>7</v>
      </c>
      <c r="C83" s="6"/>
      <c r="D83" s="62"/>
      <c r="E83" s="63"/>
    </row>
    <row r="84" spans="1:33" s="44" customFormat="1" ht="20.25" hidden="1" customHeight="1">
      <c r="A84" s="11" t="s">
        <v>96</v>
      </c>
      <c r="B84" s="61" t="s">
        <v>7</v>
      </c>
      <c r="C84" s="14"/>
      <c r="D84" s="62"/>
      <c r="E84" s="63"/>
    </row>
    <row r="85" spans="1:33" s="44" customFormat="1" ht="20.25" hidden="1" customHeight="1">
      <c r="A85" s="11" t="s">
        <v>97</v>
      </c>
      <c r="B85" s="61" t="s">
        <v>7</v>
      </c>
      <c r="C85" s="14"/>
      <c r="D85" s="62"/>
      <c r="E85" s="63"/>
    </row>
    <row r="86" spans="1:33" s="44" customFormat="1" ht="21" customHeight="1">
      <c r="A86" s="10" t="s">
        <v>98</v>
      </c>
      <c r="B86" s="64" t="s">
        <v>54</v>
      </c>
      <c r="C86" s="89">
        <v>2</v>
      </c>
      <c r="D86" s="66">
        <v>3600</v>
      </c>
      <c r="E86" s="67">
        <f>+D86*C86</f>
        <v>7200</v>
      </c>
    </row>
    <row r="87" spans="1:33" s="44" customFormat="1" ht="20.25" hidden="1" customHeight="1">
      <c r="A87" s="8" t="s">
        <v>99</v>
      </c>
      <c r="B87" s="61" t="s">
        <v>7</v>
      </c>
      <c r="C87" s="6"/>
      <c r="D87" s="62"/>
      <c r="E87" s="63"/>
    </row>
    <row r="88" spans="1:33" s="44" customFormat="1" ht="21" customHeight="1">
      <c r="A88" s="19" t="s">
        <v>100</v>
      </c>
      <c r="B88" s="64" t="s">
        <v>7</v>
      </c>
      <c r="C88" s="65">
        <v>8</v>
      </c>
      <c r="D88" s="66">
        <v>20000</v>
      </c>
      <c r="E88" s="67">
        <f>+D88*C88</f>
        <v>160000</v>
      </c>
    </row>
    <row r="89" spans="1:33" s="45" customFormat="1" ht="20.25" hidden="1" customHeight="1">
      <c r="A89" s="8" t="s">
        <v>101</v>
      </c>
      <c r="B89" s="61" t="s">
        <v>49</v>
      </c>
      <c r="C89" s="6"/>
      <c r="D89" s="62"/>
      <c r="E89" s="63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spans="1:33" s="45" customFormat="1" ht="20.25" hidden="1" customHeight="1">
      <c r="A90" s="8" t="s">
        <v>102</v>
      </c>
      <c r="B90" s="61" t="s">
        <v>7</v>
      </c>
      <c r="C90" s="6"/>
      <c r="D90" s="62"/>
      <c r="E90" s="63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spans="1:33" s="44" customFormat="1" ht="21.75" hidden="1" customHeight="1">
      <c r="A91" s="8" t="s">
        <v>103</v>
      </c>
      <c r="B91" s="61" t="s">
        <v>49</v>
      </c>
      <c r="C91" s="6"/>
      <c r="D91" s="62"/>
      <c r="E91" s="63"/>
    </row>
    <row r="92" spans="1:33" s="44" customFormat="1" ht="21.75" hidden="1" customHeight="1">
      <c r="A92" s="8" t="s">
        <v>104</v>
      </c>
      <c r="B92" s="61" t="s">
        <v>7</v>
      </c>
      <c r="C92" s="6"/>
      <c r="D92" s="62"/>
      <c r="E92" s="63"/>
    </row>
    <row r="93" spans="1:33" s="44" customFormat="1" ht="21.75" hidden="1" customHeight="1">
      <c r="A93" s="19" t="s">
        <v>105</v>
      </c>
      <c r="B93" s="61" t="s">
        <v>17</v>
      </c>
      <c r="C93" s="6"/>
      <c r="D93" s="62"/>
      <c r="E93" s="63"/>
    </row>
    <row r="94" spans="1:33" s="44" customFormat="1" ht="21.75" hidden="1" customHeight="1">
      <c r="A94" s="19" t="s">
        <v>106</v>
      </c>
      <c r="B94" s="61" t="s">
        <v>68</v>
      </c>
      <c r="C94" s="6"/>
      <c r="D94" s="62"/>
      <c r="E94" s="63"/>
    </row>
    <row r="95" spans="1:33" s="44" customFormat="1" ht="21.75" hidden="1" customHeight="1">
      <c r="A95" s="19" t="s">
        <v>107</v>
      </c>
      <c r="B95" s="61" t="s">
        <v>68</v>
      </c>
      <c r="C95" s="6"/>
      <c r="D95" s="62"/>
      <c r="E95" s="63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</row>
    <row r="96" spans="1:33" s="44" customFormat="1" ht="21.75" hidden="1" customHeight="1">
      <c r="A96" s="10" t="s">
        <v>108</v>
      </c>
      <c r="B96" s="61" t="s">
        <v>7</v>
      </c>
      <c r="C96" s="6"/>
      <c r="D96" s="62"/>
      <c r="E96" s="63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</row>
    <row r="97" spans="1:5" s="44" customFormat="1" ht="21.75" hidden="1" customHeight="1">
      <c r="A97" s="12" t="s">
        <v>109</v>
      </c>
      <c r="B97" s="61" t="s">
        <v>54</v>
      </c>
      <c r="C97" s="6"/>
      <c r="D97" s="62"/>
      <c r="E97" s="63"/>
    </row>
    <row r="98" spans="1:5" s="44" customFormat="1" ht="21.75" hidden="1" customHeight="1">
      <c r="A98" s="8" t="s">
        <v>110</v>
      </c>
      <c r="B98" s="61" t="s">
        <v>7</v>
      </c>
      <c r="C98" s="6"/>
      <c r="D98" s="62"/>
      <c r="E98" s="63"/>
    </row>
    <row r="99" spans="1:5" s="44" customFormat="1" ht="20.25" hidden="1" customHeight="1">
      <c r="A99" s="8" t="s">
        <v>111</v>
      </c>
      <c r="B99" s="61" t="s">
        <v>49</v>
      </c>
      <c r="C99" s="6"/>
      <c r="D99" s="62"/>
      <c r="E99" s="63"/>
    </row>
    <row r="100" spans="1:5" s="44" customFormat="1" ht="20.25" hidden="1" customHeight="1">
      <c r="A100" s="10" t="s">
        <v>112</v>
      </c>
      <c r="B100" s="61" t="s">
        <v>49</v>
      </c>
      <c r="C100" s="6"/>
      <c r="D100" s="62"/>
      <c r="E100" s="63"/>
    </row>
    <row r="101" spans="1:5" s="44" customFormat="1" ht="20.25" hidden="1" customHeight="1">
      <c r="A101" s="8" t="s">
        <v>113</v>
      </c>
      <c r="B101" s="61" t="s">
        <v>7</v>
      </c>
      <c r="C101" s="14"/>
      <c r="D101" s="62"/>
      <c r="E101" s="63"/>
    </row>
    <row r="102" spans="1:5" s="44" customFormat="1" ht="20.25" hidden="1" customHeight="1">
      <c r="A102" s="10" t="s">
        <v>114</v>
      </c>
      <c r="B102" s="61" t="s">
        <v>49</v>
      </c>
      <c r="C102" s="6"/>
      <c r="D102" s="62"/>
      <c r="E102" s="63"/>
    </row>
    <row r="103" spans="1:5" s="44" customFormat="1" ht="21.75" hidden="1" customHeight="1">
      <c r="A103" s="20" t="s">
        <v>115</v>
      </c>
      <c r="B103" s="61" t="s">
        <v>49</v>
      </c>
      <c r="C103" s="6"/>
      <c r="D103" s="62"/>
      <c r="E103" s="63"/>
    </row>
    <row r="104" spans="1:5" s="44" customFormat="1" ht="20.25" hidden="1" customHeight="1">
      <c r="A104" s="21" t="s">
        <v>116</v>
      </c>
      <c r="B104" s="61" t="s">
        <v>7</v>
      </c>
      <c r="C104" s="6"/>
      <c r="D104" s="62"/>
      <c r="E104" s="63"/>
    </row>
    <row r="105" spans="1:5" s="44" customFormat="1" ht="20.25" hidden="1" customHeight="1">
      <c r="A105" s="22" t="s">
        <v>117</v>
      </c>
      <c r="B105" s="61" t="s">
        <v>7</v>
      </c>
      <c r="C105" s="6"/>
      <c r="D105" s="62"/>
      <c r="E105" s="63"/>
    </row>
    <row r="106" spans="1:5" s="44" customFormat="1" ht="20.25" hidden="1" customHeight="1">
      <c r="A106" s="15" t="s">
        <v>118</v>
      </c>
      <c r="B106" s="61" t="s">
        <v>9</v>
      </c>
      <c r="C106" s="6"/>
      <c r="D106" s="62"/>
      <c r="E106" s="63"/>
    </row>
    <row r="107" spans="1:5" s="44" customFormat="1" ht="20.25" hidden="1" customHeight="1">
      <c r="A107" s="8" t="s">
        <v>119</v>
      </c>
      <c r="B107" s="61" t="s">
        <v>7</v>
      </c>
      <c r="C107" s="6"/>
      <c r="D107" s="62"/>
      <c r="E107" s="63"/>
    </row>
    <row r="108" spans="1:5" s="44" customFormat="1" ht="20.25" hidden="1" customHeight="1">
      <c r="A108" s="8" t="s">
        <v>120</v>
      </c>
      <c r="B108" s="61" t="s">
        <v>9</v>
      </c>
      <c r="C108" s="6"/>
      <c r="D108" s="62"/>
      <c r="E108" s="63"/>
    </row>
    <row r="109" spans="1:5" s="44" customFormat="1" ht="21.75" hidden="1" customHeight="1">
      <c r="A109" s="10" t="s">
        <v>121</v>
      </c>
      <c r="B109" s="61" t="s">
        <v>7</v>
      </c>
      <c r="C109" s="6"/>
      <c r="D109" s="62"/>
      <c r="E109" s="63"/>
    </row>
    <row r="110" spans="1:5" s="44" customFormat="1" ht="21.75" hidden="1" customHeight="1">
      <c r="A110" s="23" t="s">
        <v>122</v>
      </c>
      <c r="B110" s="61" t="s">
        <v>39</v>
      </c>
      <c r="C110" s="6"/>
      <c r="D110" s="62"/>
      <c r="E110" s="63"/>
    </row>
    <row r="111" spans="1:5" s="44" customFormat="1" ht="21.75" hidden="1" customHeight="1">
      <c r="A111" s="8" t="s">
        <v>123</v>
      </c>
      <c r="B111" s="61" t="s">
        <v>7</v>
      </c>
      <c r="C111" s="6"/>
      <c r="D111" s="62"/>
      <c r="E111" s="63"/>
    </row>
    <row r="112" spans="1:5" s="44" customFormat="1" ht="21.75" hidden="1" customHeight="1">
      <c r="A112" s="8" t="s">
        <v>124</v>
      </c>
      <c r="B112" s="61" t="s">
        <v>7</v>
      </c>
      <c r="C112" s="6"/>
      <c r="D112" s="62"/>
      <c r="E112" s="63"/>
    </row>
    <row r="113" spans="1:5" s="44" customFormat="1" ht="21.75" hidden="1" customHeight="1">
      <c r="A113" s="8" t="s">
        <v>125</v>
      </c>
      <c r="B113" s="61" t="s">
        <v>7</v>
      </c>
      <c r="C113" s="6"/>
      <c r="D113" s="62"/>
      <c r="E113" s="63"/>
    </row>
    <row r="114" spans="1:5" s="44" customFormat="1" ht="21.75" hidden="1" customHeight="1">
      <c r="A114" s="8" t="s">
        <v>126</v>
      </c>
      <c r="B114" s="61" t="s">
        <v>57</v>
      </c>
      <c r="C114" s="6"/>
      <c r="D114" s="62"/>
      <c r="E114" s="63"/>
    </row>
    <row r="115" spans="1:5" s="44" customFormat="1" ht="21.75" hidden="1" customHeight="1">
      <c r="A115" s="8" t="s">
        <v>127</v>
      </c>
      <c r="B115" s="61" t="s">
        <v>7</v>
      </c>
      <c r="C115" s="6"/>
      <c r="D115" s="62"/>
      <c r="E115" s="63"/>
    </row>
    <row r="116" spans="1:5" s="44" customFormat="1" ht="21.75" hidden="1" customHeight="1">
      <c r="A116" s="8" t="s">
        <v>128</v>
      </c>
      <c r="B116" s="61" t="s">
        <v>7</v>
      </c>
      <c r="C116" s="6"/>
      <c r="D116" s="62"/>
      <c r="E116" s="63"/>
    </row>
    <row r="117" spans="1:5" s="44" customFormat="1" ht="21.75" hidden="1" customHeight="1">
      <c r="A117" s="8" t="s">
        <v>129</v>
      </c>
      <c r="B117" s="61" t="s">
        <v>54</v>
      </c>
      <c r="C117" s="6"/>
      <c r="D117" s="62"/>
      <c r="E117" s="63"/>
    </row>
    <row r="118" spans="1:5" s="44" customFormat="1" ht="21.75" hidden="1" customHeight="1">
      <c r="A118" s="8" t="s">
        <v>130</v>
      </c>
      <c r="B118" s="61" t="s">
        <v>7</v>
      </c>
      <c r="C118" s="6"/>
      <c r="D118" s="62"/>
      <c r="E118" s="63"/>
    </row>
    <row r="119" spans="1:5" s="44" customFormat="1" ht="21.75" hidden="1" customHeight="1">
      <c r="A119" s="10" t="s">
        <v>131</v>
      </c>
      <c r="B119" s="61" t="s">
        <v>7</v>
      </c>
      <c r="C119" s="6"/>
      <c r="D119" s="62"/>
      <c r="E119" s="63"/>
    </row>
    <row r="120" spans="1:5" s="44" customFormat="1" ht="21.75" hidden="1" customHeight="1">
      <c r="A120" s="19" t="s">
        <v>132</v>
      </c>
      <c r="B120" s="61" t="s">
        <v>21</v>
      </c>
      <c r="C120" s="6"/>
      <c r="D120" s="62"/>
      <c r="E120" s="63"/>
    </row>
    <row r="121" spans="1:5" s="44" customFormat="1" ht="20.25" hidden="1" customHeight="1">
      <c r="A121" s="8" t="s">
        <v>133</v>
      </c>
      <c r="B121" s="61" t="s">
        <v>134</v>
      </c>
      <c r="C121" s="6"/>
      <c r="D121" s="62"/>
      <c r="E121" s="63"/>
    </row>
    <row r="122" spans="1:5" s="44" customFormat="1" ht="21.75" hidden="1" customHeight="1">
      <c r="A122" s="10" t="s">
        <v>135</v>
      </c>
      <c r="B122" s="61" t="s">
        <v>134</v>
      </c>
      <c r="C122" s="6"/>
      <c r="D122" s="62"/>
      <c r="E122" s="63"/>
    </row>
    <row r="123" spans="1:5" s="44" customFormat="1" ht="21.75" hidden="1" customHeight="1">
      <c r="A123" s="10" t="s">
        <v>136</v>
      </c>
      <c r="B123" s="61" t="s">
        <v>134</v>
      </c>
      <c r="C123" s="6"/>
      <c r="D123" s="62"/>
      <c r="E123" s="63"/>
    </row>
    <row r="124" spans="1:5" s="44" customFormat="1" ht="48.6" hidden="1" customHeight="1">
      <c r="A124" s="8" t="s">
        <v>137</v>
      </c>
      <c r="B124" s="61" t="s">
        <v>7</v>
      </c>
      <c r="C124" s="6"/>
      <c r="D124" s="62"/>
      <c r="E124" s="63"/>
    </row>
    <row r="125" spans="1:5" s="44" customFormat="1" ht="21.75" hidden="1" customHeight="1">
      <c r="A125" s="8" t="s">
        <v>138</v>
      </c>
      <c r="B125" s="61" t="s">
        <v>54</v>
      </c>
      <c r="C125" s="6"/>
      <c r="D125" s="62"/>
      <c r="E125" s="63"/>
    </row>
    <row r="126" spans="1:5" s="44" customFormat="1" ht="22.8" hidden="1">
      <c r="A126" s="9" t="s">
        <v>139</v>
      </c>
      <c r="B126" s="61" t="s">
        <v>7</v>
      </c>
      <c r="C126" s="6"/>
      <c r="D126" s="62"/>
      <c r="E126" s="63"/>
    </row>
    <row r="127" spans="1:5" s="44" customFormat="1" ht="20.25" hidden="1" customHeight="1">
      <c r="A127" s="12" t="s">
        <v>140</v>
      </c>
      <c r="B127" s="61" t="s">
        <v>68</v>
      </c>
      <c r="C127" s="6"/>
      <c r="D127" s="62"/>
      <c r="E127" s="63"/>
    </row>
    <row r="128" spans="1:5" s="44" customFormat="1" ht="21.75" hidden="1" customHeight="1">
      <c r="A128" s="11" t="s">
        <v>141</v>
      </c>
      <c r="B128" s="61" t="s">
        <v>68</v>
      </c>
      <c r="C128" s="14"/>
      <c r="D128" s="62"/>
      <c r="E128" s="63"/>
    </row>
    <row r="129" spans="1:5" s="44" customFormat="1" ht="21.75" hidden="1" customHeight="1">
      <c r="A129" s="11" t="s">
        <v>142</v>
      </c>
      <c r="B129" s="61" t="s">
        <v>7</v>
      </c>
      <c r="C129" s="14"/>
      <c r="D129" s="62"/>
      <c r="E129" s="63"/>
    </row>
    <row r="130" spans="1:5" s="44" customFormat="1" ht="20.25" hidden="1" customHeight="1">
      <c r="A130" s="11" t="s">
        <v>143</v>
      </c>
      <c r="B130" s="61" t="s">
        <v>7</v>
      </c>
      <c r="C130" s="14"/>
      <c r="D130" s="62"/>
      <c r="E130" s="63"/>
    </row>
    <row r="131" spans="1:5" s="44" customFormat="1" ht="20.25" hidden="1" customHeight="1">
      <c r="A131" s="11" t="s">
        <v>144</v>
      </c>
      <c r="B131" s="61" t="s">
        <v>7</v>
      </c>
      <c r="C131" s="24"/>
      <c r="D131" s="62"/>
      <c r="E131" s="63"/>
    </row>
    <row r="132" spans="1:5" s="44" customFormat="1" ht="21.75" hidden="1" customHeight="1">
      <c r="A132" s="25" t="s">
        <v>145</v>
      </c>
      <c r="B132" s="61" t="s">
        <v>54</v>
      </c>
      <c r="C132" s="6"/>
      <c r="D132" s="62"/>
      <c r="E132" s="63"/>
    </row>
    <row r="133" spans="1:5" s="44" customFormat="1" ht="20.25" hidden="1" customHeight="1">
      <c r="A133" s="11" t="s">
        <v>146</v>
      </c>
      <c r="B133" s="61" t="s">
        <v>7</v>
      </c>
      <c r="C133" s="14"/>
      <c r="D133" s="62"/>
      <c r="E133" s="63"/>
    </row>
    <row r="134" spans="1:5" s="44" customFormat="1" ht="20.25" hidden="1" customHeight="1">
      <c r="A134" s="8" t="s">
        <v>147</v>
      </c>
      <c r="B134" s="61" t="s">
        <v>7</v>
      </c>
      <c r="C134" s="6"/>
      <c r="D134" s="62"/>
      <c r="E134" s="63"/>
    </row>
    <row r="135" spans="1:5" s="44" customFormat="1" ht="21.75" hidden="1" customHeight="1">
      <c r="A135" s="8" t="s">
        <v>148</v>
      </c>
      <c r="B135" s="61" t="s">
        <v>17</v>
      </c>
      <c r="C135" s="6"/>
      <c r="D135" s="62"/>
      <c r="E135" s="63"/>
    </row>
    <row r="136" spans="1:5" s="44" customFormat="1" ht="36.6" hidden="1" customHeight="1">
      <c r="A136" s="8" t="s">
        <v>149</v>
      </c>
      <c r="B136" s="61" t="s">
        <v>54</v>
      </c>
      <c r="C136" s="6"/>
      <c r="D136" s="62"/>
      <c r="E136" s="63"/>
    </row>
    <row r="137" spans="1:5" s="44" customFormat="1" ht="20.25" hidden="1" customHeight="1">
      <c r="A137" s="8" t="s">
        <v>150</v>
      </c>
      <c r="B137" s="61" t="s">
        <v>7</v>
      </c>
      <c r="C137" s="6"/>
      <c r="D137" s="62"/>
      <c r="E137" s="63"/>
    </row>
    <row r="138" spans="1:5" s="44" customFormat="1" ht="22.8" hidden="1">
      <c r="A138" s="15" t="s">
        <v>151</v>
      </c>
      <c r="B138" s="61" t="s">
        <v>49</v>
      </c>
      <c r="C138" s="6"/>
      <c r="D138" s="62"/>
      <c r="E138" s="63"/>
    </row>
    <row r="139" spans="1:5" s="44" customFormat="1" ht="21" customHeight="1">
      <c r="A139" s="10" t="s">
        <v>152</v>
      </c>
      <c r="B139" s="64" t="s">
        <v>7</v>
      </c>
      <c r="C139" s="65">
        <v>3</v>
      </c>
      <c r="D139" s="66">
        <v>42000</v>
      </c>
      <c r="E139" s="67">
        <f>+D139*C139</f>
        <v>126000</v>
      </c>
    </row>
    <row r="140" spans="1:5" s="44" customFormat="1" ht="20.25" hidden="1" customHeight="1">
      <c r="A140" s="11" t="s">
        <v>153</v>
      </c>
      <c r="B140" s="61" t="s">
        <v>49</v>
      </c>
      <c r="C140" s="6"/>
      <c r="D140" s="62"/>
      <c r="E140" s="63"/>
    </row>
    <row r="141" spans="1:5" s="44" customFormat="1" ht="20.25" hidden="1" customHeight="1">
      <c r="A141" s="8" t="s">
        <v>154</v>
      </c>
      <c r="B141" s="61" t="s">
        <v>7</v>
      </c>
      <c r="C141" s="6"/>
      <c r="D141" s="62"/>
      <c r="E141" s="63"/>
    </row>
    <row r="142" spans="1:5" s="44" customFormat="1" ht="20.25" hidden="1" customHeight="1">
      <c r="A142" s="8" t="s">
        <v>155</v>
      </c>
      <c r="B142" s="61" t="s">
        <v>7</v>
      </c>
      <c r="C142" s="6"/>
      <c r="D142" s="62"/>
      <c r="E142" s="63"/>
    </row>
    <row r="143" spans="1:5" s="44" customFormat="1" ht="20.25" hidden="1" customHeight="1">
      <c r="A143" s="8" t="s">
        <v>156</v>
      </c>
      <c r="B143" s="61" t="s">
        <v>7</v>
      </c>
      <c r="C143" s="14"/>
      <c r="D143" s="62"/>
      <c r="E143" s="63"/>
    </row>
    <row r="144" spans="1:5" s="44" customFormat="1" ht="41.4" hidden="1" customHeight="1">
      <c r="A144" s="8" t="s">
        <v>157</v>
      </c>
      <c r="B144" s="61" t="s">
        <v>54</v>
      </c>
      <c r="C144" s="14"/>
      <c r="D144" s="62"/>
      <c r="E144" s="63"/>
    </row>
    <row r="145" spans="1:5" s="44" customFormat="1" ht="41.4" hidden="1" customHeight="1">
      <c r="A145" s="8" t="s">
        <v>158</v>
      </c>
      <c r="B145" s="61"/>
      <c r="C145" s="6"/>
      <c r="D145" s="62"/>
      <c r="E145" s="63"/>
    </row>
    <row r="146" spans="1:5" s="44" customFormat="1" ht="21.75" hidden="1" customHeight="1">
      <c r="A146" s="8" t="s">
        <v>159</v>
      </c>
      <c r="B146" s="61" t="s">
        <v>7</v>
      </c>
      <c r="C146" s="14"/>
      <c r="D146" s="62"/>
      <c r="E146" s="63"/>
    </row>
    <row r="147" spans="1:5" s="44" customFormat="1" ht="21.75" hidden="1" customHeight="1">
      <c r="A147" s="8" t="s">
        <v>160</v>
      </c>
      <c r="B147" s="61" t="s">
        <v>54</v>
      </c>
      <c r="C147" s="14"/>
      <c r="D147" s="62"/>
      <c r="E147" s="63"/>
    </row>
    <row r="148" spans="1:5" s="44" customFormat="1" ht="21.75" hidden="1" customHeight="1">
      <c r="A148" s="8" t="s">
        <v>161</v>
      </c>
      <c r="B148" s="61" t="s">
        <v>7</v>
      </c>
      <c r="C148" s="14"/>
      <c r="D148" s="62"/>
      <c r="E148" s="63"/>
    </row>
    <row r="149" spans="1:5" s="44" customFormat="1" ht="21.75" hidden="1" customHeight="1">
      <c r="A149" s="8" t="s">
        <v>162</v>
      </c>
      <c r="B149" s="61" t="s">
        <v>54</v>
      </c>
      <c r="C149" s="14"/>
      <c r="D149" s="62"/>
      <c r="E149" s="63"/>
    </row>
    <row r="150" spans="1:5" s="44" customFormat="1" ht="20.25" hidden="1" customHeight="1">
      <c r="A150" s="8" t="s">
        <v>163</v>
      </c>
      <c r="B150" s="61" t="s">
        <v>7</v>
      </c>
      <c r="C150" s="14"/>
      <c r="D150" s="62"/>
      <c r="E150" s="63"/>
    </row>
    <row r="151" spans="1:5" s="44" customFormat="1" ht="20.25" hidden="1" customHeight="1">
      <c r="A151" s="8" t="s">
        <v>164</v>
      </c>
      <c r="B151" s="61" t="s">
        <v>7</v>
      </c>
      <c r="C151" s="14"/>
      <c r="D151" s="62"/>
      <c r="E151" s="63"/>
    </row>
    <row r="152" spans="1:5" s="44" customFormat="1" ht="21.75" hidden="1" customHeight="1">
      <c r="A152" s="8" t="s">
        <v>165</v>
      </c>
      <c r="B152" s="61" t="s">
        <v>7</v>
      </c>
      <c r="C152" s="14"/>
      <c r="D152" s="62"/>
      <c r="E152" s="63"/>
    </row>
    <row r="153" spans="1:5" s="44" customFormat="1" ht="20.25" hidden="1" customHeight="1">
      <c r="A153" s="8" t="s">
        <v>166</v>
      </c>
      <c r="B153" s="61" t="s">
        <v>54</v>
      </c>
      <c r="C153" s="14"/>
      <c r="D153" s="62"/>
      <c r="E153" s="63"/>
    </row>
    <row r="154" spans="1:5" s="44" customFormat="1" ht="22.8" hidden="1">
      <c r="A154" s="8" t="s">
        <v>167</v>
      </c>
      <c r="B154" s="61" t="s">
        <v>7</v>
      </c>
      <c r="C154" s="6"/>
      <c r="D154" s="62"/>
      <c r="E154" s="63"/>
    </row>
    <row r="155" spans="1:5" s="44" customFormat="1" ht="21.75" hidden="1" customHeight="1">
      <c r="A155" s="8" t="s">
        <v>168</v>
      </c>
      <c r="B155" s="61" t="s">
        <v>7</v>
      </c>
      <c r="C155" s="6"/>
      <c r="D155" s="62"/>
      <c r="E155" s="63"/>
    </row>
    <row r="156" spans="1:5" s="44" customFormat="1" ht="63" hidden="1" customHeight="1">
      <c r="A156" s="8" t="s">
        <v>169</v>
      </c>
      <c r="B156" s="61" t="s">
        <v>49</v>
      </c>
      <c r="C156" s="6"/>
      <c r="D156" s="62"/>
      <c r="E156" s="63"/>
    </row>
    <row r="157" spans="1:5" s="44" customFormat="1" ht="57" hidden="1" customHeight="1">
      <c r="A157" s="8" t="s">
        <v>170</v>
      </c>
      <c r="B157" s="61" t="s">
        <v>49</v>
      </c>
      <c r="C157" s="6"/>
      <c r="D157" s="62"/>
      <c r="E157" s="63"/>
    </row>
    <row r="158" spans="1:5" s="44" customFormat="1" ht="21.75" hidden="1" customHeight="1">
      <c r="A158" s="15" t="s">
        <v>171</v>
      </c>
      <c r="B158" s="61" t="s">
        <v>49</v>
      </c>
      <c r="C158" s="6"/>
      <c r="D158" s="62"/>
      <c r="E158" s="63"/>
    </row>
    <row r="159" spans="1:5" s="44" customFormat="1" ht="21.75" hidden="1" customHeight="1">
      <c r="A159" s="16" t="s">
        <v>172</v>
      </c>
      <c r="B159" s="61" t="s">
        <v>7</v>
      </c>
      <c r="C159" s="6"/>
      <c r="D159" s="62"/>
      <c r="E159" s="63"/>
    </row>
    <row r="160" spans="1:5" s="44" customFormat="1" ht="20.25" hidden="1" customHeight="1">
      <c r="A160" s="8" t="s">
        <v>173</v>
      </c>
      <c r="B160" s="61" t="s">
        <v>7</v>
      </c>
      <c r="C160" s="6"/>
      <c r="D160" s="62"/>
      <c r="E160" s="63"/>
    </row>
    <row r="161" spans="1:33" s="44" customFormat="1" ht="21.75" hidden="1" customHeight="1">
      <c r="A161" s="8" t="s">
        <v>174</v>
      </c>
      <c r="B161" s="61" t="s">
        <v>49</v>
      </c>
      <c r="C161" s="6"/>
      <c r="D161" s="62"/>
      <c r="E161" s="63"/>
    </row>
    <row r="162" spans="1:33" s="44" customFormat="1" ht="21.75" hidden="1" customHeight="1">
      <c r="A162" s="8" t="s">
        <v>175</v>
      </c>
      <c r="B162" s="61" t="s">
        <v>49</v>
      </c>
      <c r="C162" s="6"/>
      <c r="D162" s="62"/>
      <c r="E162" s="63"/>
    </row>
    <row r="163" spans="1:33" s="44" customFormat="1" ht="21.75" hidden="1" customHeight="1">
      <c r="A163" s="8" t="s">
        <v>176</v>
      </c>
      <c r="B163" s="61" t="s">
        <v>49</v>
      </c>
      <c r="C163" s="14"/>
      <c r="D163" s="62"/>
      <c r="E163" s="63"/>
    </row>
    <row r="164" spans="1:33" s="44" customFormat="1" ht="54" hidden="1" customHeight="1">
      <c r="A164" s="8" t="s">
        <v>177</v>
      </c>
      <c r="B164" s="61" t="s">
        <v>7</v>
      </c>
      <c r="C164" s="14"/>
      <c r="D164" s="62"/>
      <c r="E164" s="63"/>
    </row>
    <row r="165" spans="1:33" s="46" customFormat="1" ht="22.8" hidden="1">
      <c r="A165" s="8" t="s">
        <v>178</v>
      </c>
      <c r="B165" s="61" t="s">
        <v>54</v>
      </c>
      <c r="C165" s="14"/>
      <c r="D165" s="62"/>
      <c r="E165" s="63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spans="1:33" s="44" customFormat="1" ht="41.4" hidden="1" customHeight="1">
      <c r="A166" s="8" t="s">
        <v>179</v>
      </c>
      <c r="B166" s="61" t="s">
        <v>54</v>
      </c>
      <c r="C166" s="6"/>
      <c r="D166" s="62"/>
      <c r="E166" s="63"/>
    </row>
    <row r="167" spans="1:33" s="44" customFormat="1" ht="20.25" hidden="1" customHeight="1">
      <c r="A167" s="8" t="s">
        <v>180</v>
      </c>
      <c r="B167" s="61" t="s">
        <v>7</v>
      </c>
      <c r="C167" s="6"/>
      <c r="D167" s="62"/>
      <c r="E167" s="63"/>
    </row>
    <row r="168" spans="1:33" s="44" customFormat="1" ht="33.6" hidden="1" customHeight="1">
      <c r="A168" s="15" t="s">
        <v>181</v>
      </c>
      <c r="B168" s="61" t="s">
        <v>54</v>
      </c>
      <c r="C168" s="6"/>
      <c r="D168" s="62"/>
      <c r="E168" s="63"/>
    </row>
    <row r="169" spans="1:33" s="44" customFormat="1" ht="20.25" hidden="1" customHeight="1">
      <c r="A169" s="11" t="s">
        <v>182</v>
      </c>
      <c r="B169" s="61" t="s">
        <v>7</v>
      </c>
      <c r="C169" s="6"/>
      <c r="D169" s="62"/>
      <c r="E169" s="63"/>
    </row>
    <row r="170" spans="1:33" s="44" customFormat="1" ht="22.8" hidden="1">
      <c r="A170" s="8" t="s">
        <v>183</v>
      </c>
      <c r="B170" s="61" t="s">
        <v>54</v>
      </c>
      <c r="C170" s="6"/>
      <c r="D170" s="83"/>
      <c r="E170" s="78"/>
    </row>
    <row r="171" spans="1:33" s="44" customFormat="1" ht="21.75" hidden="1" customHeight="1">
      <c r="A171" s="27" t="s">
        <v>184</v>
      </c>
      <c r="B171" s="61" t="s">
        <v>54</v>
      </c>
      <c r="C171" s="6"/>
      <c r="D171" s="68"/>
      <c r="E171" s="63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</row>
    <row r="172" spans="1:33" s="44" customFormat="1" ht="22.8" hidden="1">
      <c r="A172" s="8" t="s">
        <v>185</v>
      </c>
      <c r="B172" s="61" t="s">
        <v>7</v>
      </c>
      <c r="C172" s="6"/>
      <c r="D172" s="68"/>
      <c r="E172" s="63"/>
    </row>
    <row r="173" spans="1:33" s="44" customFormat="1" ht="21.75" hidden="1" customHeight="1">
      <c r="A173" s="8" t="s">
        <v>186</v>
      </c>
      <c r="B173" s="61" t="s">
        <v>7</v>
      </c>
      <c r="C173" s="6"/>
      <c r="D173" s="62"/>
      <c r="E173" s="63"/>
    </row>
    <row r="174" spans="1:33" s="44" customFormat="1" ht="20.25" hidden="1" customHeight="1">
      <c r="A174" s="18" t="s">
        <v>187</v>
      </c>
      <c r="B174" s="61" t="s">
        <v>7</v>
      </c>
      <c r="C174" s="6"/>
      <c r="D174" s="62"/>
      <c r="E174" s="63"/>
    </row>
    <row r="175" spans="1:33" s="44" customFormat="1" ht="21.75" hidden="1" customHeight="1">
      <c r="A175" s="8" t="s">
        <v>188</v>
      </c>
      <c r="B175" s="61" t="s">
        <v>49</v>
      </c>
      <c r="C175" s="6"/>
      <c r="D175" s="62"/>
      <c r="E175" s="63"/>
    </row>
    <row r="176" spans="1:33" s="44" customFormat="1" ht="21" customHeight="1">
      <c r="A176" s="12" t="s">
        <v>189</v>
      </c>
      <c r="B176" s="90" t="s">
        <v>7</v>
      </c>
      <c r="C176" s="91">
        <v>7</v>
      </c>
      <c r="D176" s="66">
        <v>17000</v>
      </c>
      <c r="E176" s="67">
        <f>+D176*C176</f>
        <v>119000</v>
      </c>
    </row>
    <row r="177" spans="1:5" s="44" customFormat="1" ht="21.75" hidden="1" customHeight="1">
      <c r="A177" s="10" t="s">
        <v>190</v>
      </c>
      <c r="B177" s="61" t="s">
        <v>7</v>
      </c>
      <c r="C177" s="6"/>
      <c r="D177" s="62"/>
      <c r="E177" s="63"/>
    </row>
    <row r="178" spans="1:5" s="44" customFormat="1" ht="21.75" hidden="1" customHeight="1">
      <c r="A178" s="8" t="s">
        <v>191</v>
      </c>
      <c r="B178" s="61" t="s">
        <v>7</v>
      </c>
      <c r="C178" s="6"/>
      <c r="D178" s="62"/>
      <c r="E178" s="63"/>
    </row>
    <row r="179" spans="1:5" s="44" customFormat="1" ht="21.75" hidden="1" customHeight="1">
      <c r="A179" s="8" t="s">
        <v>192</v>
      </c>
      <c r="B179" s="61" t="s">
        <v>7</v>
      </c>
      <c r="C179" s="6"/>
      <c r="D179" s="62"/>
      <c r="E179" s="63"/>
    </row>
    <row r="180" spans="1:5" s="44" customFormat="1" ht="20.25" hidden="1" customHeight="1">
      <c r="A180" s="11" t="s">
        <v>193</v>
      </c>
      <c r="B180" s="61" t="s">
        <v>7</v>
      </c>
      <c r="C180" s="6"/>
      <c r="D180" s="62"/>
      <c r="E180" s="63"/>
    </row>
    <row r="181" spans="1:5" s="44" customFormat="1" ht="21.75" hidden="1" customHeight="1">
      <c r="A181" s="8" t="s">
        <v>194</v>
      </c>
      <c r="B181" s="61" t="s">
        <v>7</v>
      </c>
      <c r="C181" s="6"/>
      <c r="D181" s="62"/>
      <c r="E181" s="63"/>
    </row>
    <row r="182" spans="1:5" s="44" customFormat="1" ht="21.75" hidden="1" customHeight="1">
      <c r="A182" s="8" t="s">
        <v>195</v>
      </c>
      <c r="B182" s="61" t="s">
        <v>7</v>
      </c>
      <c r="C182" s="6"/>
      <c r="D182" s="62"/>
      <c r="E182" s="63"/>
    </row>
    <row r="183" spans="1:5" s="44" customFormat="1" ht="20.25" hidden="1" customHeight="1">
      <c r="A183" s="11" t="s">
        <v>196</v>
      </c>
      <c r="B183" s="61" t="s">
        <v>7</v>
      </c>
      <c r="C183" s="6"/>
      <c r="D183" s="62"/>
      <c r="E183" s="63"/>
    </row>
    <row r="184" spans="1:5" s="44" customFormat="1" ht="20.25" hidden="1" customHeight="1">
      <c r="A184" s="11" t="s">
        <v>197</v>
      </c>
      <c r="B184" s="61" t="s">
        <v>7</v>
      </c>
      <c r="C184" s="6"/>
      <c r="D184" s="62"/>
      <c r="E184" s="63"/>
    </row>
    <row r="185" spans="1:5" s="44" customFormat="1" ht="21" customHeight="1">
      <c r="A185" s="10" t="s">
        <v>198</v>
      </c>
      <c r="B185" s="64" t="s">
        <v>7</v>
      </c>
      <c r="C185" s="65">
        <v>200</v>
      </c>
      <c r="D185" s="66">
        <v>7000</v>
      </c>
      <c r="E185" s="67">
        <f t="shared" ref="E185:E186" si="3">+D185*C185</f>
        <v>1400000</v>
      </c>
    </row>
    <row r="186" spans="1:5" s="44" customFormat="1" ht="21" customHeight="1">
      <c r="A186" s="19" t="s">
        <v>199</v>
      </c>
      <c r="B186" s="64" t="s">
        <v>49</v>
      </c>
      <c r="C186" s="65">
        <v>177</v>
      </c>
      <c r="D186" s="66">
        <v>1800</v>
      </c>
      <c r="E186" s="67">
        <f t="shared" si="3"/>
        <v>318600</v>
      </c>
    </row>
    <row r="187" spans="1:5" s="44" customFormat="1" ht="20.25" hidden="1" customHeight="1">
      <c r="A187" s="11" t="s">
        <v>200</v>
      </c>
      <c r="B187" s="61" t="s">
        <v>7</v>
      </c>
      <c r="C187" s="6"/>
      <c r="D187" s="62"/>
      <c r="E187" s="63"/>
    </row>
    <row r="188" spans="1:5" s="44" customFormat="1" ht="21" customHeight="1">
      <c r="A188" s="10" t="s">
        <v>201</v>
      </c>
      <c r="B188" s="64" t="s">
        <v>7</v>
      </c>
      <c r="C188" s="65">
        <v>6</v>
      </c>
      <c r="D188" s="66">
        <v>20000</v>
      </c>
      <c r="E188" s="67">
        <f>+D188*C188</f>
        <v>120000</v>
      </c>
    </row>
    <row r="189" spans="1:5" s="44" customFormat="1" ht="21.75" hidden="1" customHeight="1">
      <c r="A189" s="11" t="s">
        <v>202</v>
      </c>
      <c r="B189" s="61" t="s">
        <v>49</v>
      </c>
      <c r="C189" s="6"/>
      <c r="D189" s="62"/>
      <c r="E189" s="63"/>
    </row>
    <row r="190" spans="1:5" s="44" customFormat="1" ht="21.75" hidden="1" customHeight="1">
      <c r="A190" s="8" t="s">
        <v>203</v>
      </c>
      <c r="B190" s="61" t="s">
        <v>49</v>
      </c>
      <c r="C190" s="6"/>
      <c r="D190" s="62"/>
      <c r="E190" s="63"/>
    </row>
    <row r="191" spans="1:5" s="44" customFormat="1" ht="21.75" hidden="1" customHeight="1">
      <c r="A191" s="15" t="s">
        <v>204</v>
      </c>
      <c r="B191" s="61" t="s">
        <v>7</v>
      </c>
      <c r="C191" s="6"/>
      <c r="D191" s="62"/>
      <c r="E191" s="63"/>
    </row>
    <row r="192" spans="1:5" s="44" customFormat="1" ht="20.25" hidden="1" customHeight="1">
      <c r="A192" s="15" t="s">
        <v>205</v>
      </c>
      <c r="B192" s="61" t="s">
        <v>7</v>
      </c>
      <c r="C192" s="6"/>
      <c r="D192" s="62"/>
      <c r="E192" s="63"/>
    </row>
    <row r="193" spans="1:5" s="44" customFormat="1" ht="20.25" hidden="1" customHeight="1">
      <c r="A193" s="15" t="s">
        <v>206</v>
      </c>
      <c r="B193" s="61" t="s">
        <v>7</v>
      </c>
      <c r="C193" s="6"/>
      <c r="D193" s="62"/>
      <c r="E193" s="63"/>
    </row>
    <row r="194" spans="1:5" s="44" customFormat="1" ht="20.25" hidden="1" customHeight="1">
      <c r="A194" s="15" t="s">
        <v>207</v>
      </c>
      <c r="B194" s="61" t="s">
        <v>49</v>
      </c>
      <c r="C194" s="6"/>
      <c r="D194" s="62"/>
      <c r="E194" s="63"/>
    </row>
    <row r="195" spans="1:5" s="44" customFormat="1" ht="20.25" hidden="1" customHeight="1">
      <c r="A195" s="11" t="s">
        <v>208</v>
      </c>
      <c r="B195" s="61" t="s">
        <v>7</v>
      </c>
      <c r="C195" s="6"/>
      <c r="D195" s="62"/>
      <c r="E195" s="63"/>
    </row>
    <row r="196" spans="1:5" s="44" customFormat="1" ht="21.75" hidden="1" customHeight="1">
      <c r="A196" s="8" t="s">
        <v>209</v>
      </c>
      <c r="B196" s="61" t="s">
        <v>49</v>
      </c>
      <c r="C196" s="6"/>
      <c r="D196" s="62"/>
      <c r="E196" s="63"/>
    </row>
    <row r="197" spans="1:5" s="44" customFormat="1" ht="21.75" hidden="1" customHeight="1">
      <c r="A197" s="30" t="s">
        <v>210</v>
      </c>
      <c r="B197" s="61" t="s">
        <v>49</v>
      </c>
      <c r="C197" s="6"/>
      <c r="D197" s="62"/>
      <c r="E197" s="63"/>
    </row>
    <row r="198" spans="1:5" s="44" customFormat="1" ht="21.75" hidden="1" customHeight="1">
      <c r="A198" s="30" t="s">
        <v>211</v>
      </c>
      <c r="B198" s="61" t="s">
        <v>49</v>
      </c>
      <c r="C198" s="6"/>
      <c r="D198" s="62"/>
      <c r="E198" s="63"/>
    </row>
    <row r="199" spans="1:5" s="44" customFormat="1" ht="22.8" hidden="1">
      <c r="A199" s="30" t="s">
        <v>212</v>
      </c>
      <c r="B199" s="61" t="s">
        <v>49</v>
      </c>
      <c r="C199" s="6"/>
      <c r="D199" s="62"/>
      <c r="E199" s="63"/>
    </row>
    <row r="200" spans="1:5" s="44" customFormat="1" ht="21.75" hidden="1" customHeight="1">
      <c r="A200" s="30" t="s">
        <v>213</v>
      </c>
      <c r="B200" s="61" t="s">
        <v>49</v>
      </c>
      <c r="C200" s="6"/>
      <c r="D200" s="62"/>
      <c r="E200" s="63"/>
    </row>
    <row r="201" spans="1:5" s="44" customFormat="1" ht="22.8" hidden="1">
      <c r="A201" s="8" t="s">
        <v>214</v>
      </c>
      <c r="B201" s="61" t="s">
        <v>7</v>
      </c>
      <c r="C201" s="6"/>
      <c r="D201" s="62"/>
      <c r="E201" s="63"/>
    </row>
    <row r="202" spans="1:5" s="44" customFormat="1" ht="20.25" hidden="1" customHeight="1">
      <c r="A202" s="31" t="s">
        <v>215</v>
      </c>
      <c r="B202" s="61" t="s">
        <v>54</v>
      </c>
      <c r="C202" s="6"/>
      <c r="D202" s="62"/>
      <c r="E202" s="63"/>
    </row>
    <row r="203" spans="1:5" s="44" customFormat="1" ht="21" customHeight="1">
      <c r="A203" s="19" t="s">
        <v>216</v>
      </c>
      <c r="B203" s="64" t="s">
        <v>7</v>
      </c>
      <c r="C203" s="65">
        <v>280</v>
      </c>
      <c r="D203" s="66">
        <v>19000</v>
      </c>
      <c r="E203" s="67">
        <f t="shared" ref="E203:E204" si="4">+D203*C203</f>
        <v>5320000</v>
      </c>
    </row>
    <row r="204" spans="1:5" s="44" customFormat="1" ht="21" customHeight="1">
      <c r="A204" s="10" t="s">
        <v>217</v>
      </c>
      <c r="B204" s="64" t="s">
        <v>7</v>
      </c>
      <c r="C204" s="65">
        <v>335</v>
      </c>
      <c r="D204" s="66">
        <v>19000</v>
      </c>
      <c r="E204" s="67">
        <f t="shared" si="4"/>
        <v>6365000</v>
      </c>
    </row>
    <row r="205" spans="1:5" s="44" customFormat="1" ht="21.75" hidden="1" customHeight="1">
      <c r="A205" s="8" t="s">
        <v>218</v>
      </c>
      <c r="B205" s="61" t="s">
        <v>49</v>
      </c>
      <c r="C205" s="6"/>
      <c r="D205" s="74"/>
      <c r="E205" s="63"/>
    </row>
    <row r="206" spans="1:5" s="44" customFormat="1" ht="21" customHeight="1">
      <c r="A206" s="19" t="s">
        <v>219</v>
      </c>
      <c r="B206" s="64" t="s">
        <v>7</v>
      </c>
      <c r="C206" s="65">
        <v>200</v>
      </c>
      <c r="D206" s="66">
        <v>13000</v>
      </c>
      <c r="E206" s="67">
        <f>+D206*C206</f>
        <v>2600000</v>
      </c>
    </row>
    <row r="207" spans="1:5" s="44" customFormat="1" ht="21.6" hidden="1" customHeight="1">
      <c r="A207" s="32" t="s">
        <v>220</v>
      </c>
      <c r="B207" s="61" t="s">
        <v>49</v>
      </c>
      <c r="C207" s="6"/>
      <c r="D207" s="74"/>
      <c r="E207" s="63"/>
    </row>
    <row r="208" spans="1:5" s="44" customFormat="1" ht="36" hidden="1" customHeight="1">
      <c r="A208" s="32" t="s">
        <v>221</v>
      </c>
      <c r="B208" s="61" t="s">
        <v>49</v>
      </c>
      <c r="C208" s="6"/>
      <c r="D208" s="74"/>
      <c r="E208" s="63"/>
    </row>
    <row r="209" spans="1:5" s="44" customFormat="1" ht="20.25" hidden="1" customHeight="1">
      <c r="A209" s="8" t="s">
        <v>222</v>
      </c>
      <c r="B209" s="61" t="s">
        <v>7</v>
      </c>
      <c r="C209" s="6"/>
      <c r="D209" s="62"/>
      <c r="E209" s="63"/>
    </row>
    <row r="210" spans="1:5" s="44" customFormat="1" ht="21.75" hidden="1" customHeight="1">
      <c r="A210" s="10" t="s">
        <v>223</v>
      </c>
      <c r="B210" s="61" t="s">
        <v>7</v>
      </c>
      <c r="C210" s="6"/>
      <c r="D210" s="62"/>
      <c r="E210" s="63"/>
    </row>
    <row r="211" spans="1:5" s="44" customFormat="1" ht="21.75" hidden="1" customHeight="1">
      <c r="A211" s="8" t="s">
        <v>224</v>
      </c>
      <c r="B211" s="61" t="s">
        <v>7</v>
      </c>
      <c r="C211" s="6"/>
      <c r="D211" s="62"/>
      <c r="E211" s="63"/>
    </row>
    <row r="212" spans="1:5" s="44" customFormat="1" ht="21.75" hidden="1" customHeight="1">
      <c r="A212" s="8" t="s">
        <v>225</v>
      </c>
      <c r="B212" s="61" t="s">
        <v>7</v>
      </c>
      <c r="C212" s="6"/>
      <c r="D212" s="62"/>
      <c r="E212" s="63"/>
    </row>
    <row r="213" spans="1:5" s="44" customFormat="1" ht="21.75" hidden="1" customHeight="1">
      <c r="A213" s="8" t="s">
        <v>226</v>
      </c>
      <c r="B213" s="61" t="s">
        <v>49</v>
      </c>
      <c r="C213" s="6"/>
      <c r="D213" s="62"/>
      <c r="E213" s="63"/>
    </row>
    <row r="214" spans="1:5" s="44" customFormat="1" ht="21.75" hidden="1" customHeight="1">
      <c r="A214" s="8" t="s">
        <v>227</v>
      </c>
      <c r="B214" s="61" t="s">
        <v>7</v>
      </c>
      <c r="C214" s="6"/>
      <c r="D214" s="62"/>
      <c r="E214" s="63"/>
    </row>
    <row r="215" spans="1:5" s="44" customFormat="1" ht="21.75" hidden="1" customHeight="1">
      <c r="A215" s="33" t="s">
        <v>228</v>
      </c>
      <c r="B215" s="61" t="s">
        <v>49</v>
      </c>
      <c r="C215" s="6"/>
      <c r="D215" s="62"/>
      <c r="E215" s="63"/>
    </row>
    <row r="216" spans="1:5" s="44" customFormat="1" ht="21.75" hidden="1" customHeight="1">
      <c r="A216" s="8" t="s">
        <v>229</v>
      </c>
      <c r="B216" s="61" t="s">
        <v>7</v>
      </c>
      <c r="C216" s="6"/>
      <c r="D216" s="62"/>
      <c r="E216" s="63"/>
    </row>
    <row r="217" spans="1:5" s="44" customFormat="1" ht="21" customHeight="1">
      <c r="A217" s="19" t="s">
        <v>230</v>
      </c>
      <c r="B217" s="64" t="s">
        <v>7</v>
      </c>
      <c r="C217" s="65">
        <v>150</v>
      </c>
      <c r="D217" s="66">
        <v>16000</v>
      </c>
      <c r="E217" s="67">
        <f>+D217*C217</f>
        <v>2400000</v>
      </c>
    </row>
    <row r="218" spans="1:5" s="44" customFormat="1" ht="21.75" hidden="1" customHeight="1">
      <c r="A218" s="8" t="s">
        <v>231</v>
      </c>
      <c r="B218" s="61" t="s">
        <v>49</v>
      </c>
      <c r="C218" s="6"/>
      <c r="D218" s="62"/>
      <c r="E218" s="63"/>
    </row>
    <row r="219" spans="1:5" s="44" customFormat="1" ht="21" customHeight="1">
      <c r="A219" s="19" t="s">
        <v>232</v>
      </c>
      <c r="B219" s="64" t="s">
        <v>49</v>
      </c>
      <c r="C219" s="65">
        <v>36</v>
      </c>
      <c r="D219" s="66">
        <v>13000</v>
      </c>
      <c r="E219" s="67">
        <f>+D219*C219</f>
        <v>468000</v>
      </c>
    </row>
    <row r="220" spans="1:5" s="44" customFormat="1" ht="21.75" hidden="1" customHeight="1">
      <c r="A220" s="15" t="s">
        <v>233</v>
      </c>
      <c r="B220" s="61" t="s">
        <v>7</v>
      </c>
      <c r="C220" s="6"/>
      <c r="D220" s="62"/>
      <c r="E220" s="63"/>
    </row>
    <row r="221" spans="1:5" s="44" customFormat="1" ht="20.25" hidden="1" customHeight="1">
      <c r="A221" s="15" t="s">
        <v>234</v>
      </c>
      <c r="B221" s="61" t="s">
        <v>49</v>
      </c>
      <c r="C221" s="6"/>
      <c r="D221" s="62"/>
      <c r="E221" s="63"/>
    </row>
    <row r="222" spans="1:5" s="44" customFormat="1" ht="20.25" hidden="1" customHeight="1">
      <c r="A222" s="15" t="s">
        <v>235</v>
      </c>
      <c r="B222" s="61" t="s">
        <v>7</v>
      </c>
      <c r="C222" s="6"/>
      <c r="D222" s="62"/>
      <c r="E222" s="63"/>
    </row>
    <row r="223" spans="1:5" s="44" customFormat="1" ht="21.75" hidden="1" customHeight="1">
      <c r="A223" s="15" t="s">
        <v>236</v>
      </c>
      <c r="B223" s="61" t="s">
        <v>49</v>
      </c>
      <c r="C223" s="6"/>
      <c r="D223" s="62"/>
      <c r="E223" s="63"/>
    </row>
    <row r="224" spans="1:5" s="44" customFormat="1" ht="20.25" hidden="1" customHeight="1">
      <c r="A224" s="8" t="s">
        <v>237</v>
      </c>
      <c r="B224" s="61" t="s">
        <v>7</v>
      </c>
      <c r="C224" s="6"/>
      <c r="D224" s="62"/>
      <c r="E224" s="63"/>
    </row>
    <row r="225" spans="1:5" s="44" customFormat="1" ht="40.200000000000003" hidden="1" customHeight="1">
      <c r="A225" s="8" t="s">
        <v>238</v>
      </c>
      <c r="B225" s="61" t="s">
        <v>7</v>
      </c>
      <c r="C225" s="6"/>
      <c r="D225" s="62"/>
      <c r="E225" s="63"/>
    </row>
    <row r="226" spans="1:5" s="44" customFormat="1" ht="50.4" hidden="1" customHeight="1">
      <c r="A226" s="15" t="s">
        <v>239</v>
      </c>
      <c r="B226" s="61" t="s">
        <v>49</v>
      </c>
      <c r="C226" s="6"/>
      <c r="D226" s="62"/>
      <c r="E226" s="63"/>
    </row>
    <row r="227" spans="1:5" s="44" customFormat="1" ht="20.25" hidden="1" customHeight="1">
      <c r="A227" s="15" t="s">
        <v>240</v>
      </c>
      <c r="B227" s="61" t="s">
        <v>49</v>
      </c>
      <c r="C227" s="6"/>
      <c r="D227" s="62"/>
      <c r="E227" s="63"/>
    </row>
    <row r="228" spans="1:5" s="44" customFormat="1" ht="21" customHeight="1">
      <c r="A228" s="10" t="s">
        <v>241</v>
      </c>
      <c r="B228" s="64" t="s">
        <v>7</v>
      </c>
      <c r="C228" s="65">
        <v>945</v>
      </c>
      <c r="D228" s="66">
        <v>37000</v>
      </c>
      <c r="E228" s="67">
        <f>+D228*C228</f>
        <v>34965000</v>
      </c>
    </row>
    <row r="229" spans="1:5" s="44" customFormat="1" ht="22.8" hidden="1">
      <c r="A229" s="11" t="s">
        <v>242</v>
      </c>
      <c r="B229" s="61" t="s">
        <v>68</v>
      </c>
      <c r="C229" s="6"/>
      <c r="D229" s="62"/>
      <c r="E229" s="63"/>
    </row>
    <row r="230" spans="1:5" s="44" customFormat="1" ht="22.8" hidden="1">
      <c r="A230" s="10" t="s">
        <v>243</v>
      </c>
      <c r="B230" s="61" t="s">
        <v>68</v>
      </c>
      <c r="C230" s="6"/>
      <c r="D230" s="62"/>
      <c r="E230" s="63"/>
    </row>
    <row r="231" spans="1:5" s="44" customFormat="1" ht="21.75" hidden="1" customHeight="1">
      <c r="A231" s="15" t="s">
        <v>244</v>
      </c>
      <c r="B231" s="61" t="s">
        <v>7</v>
      </c>
      <c r="C231" s="6"/>
      <c r="D231" s="62"/>
      <c r="E231" s="63"/>
    </row>
    <row r="232" spans="1:5" s="44" customFormat="1" ht="20.25" hidden="1" customHeight="1">
      <c r="A232" s="10" t="s">
        <v>245</v>
      </c>
      <c r="B232" s="61" t="s">
        <v>7</v>
      </c>
      <c r="C232" s="6"/>
      <c r="D232" s="62"/>
      <c r="E232" s="63"/>
    </row>
    <row r="233" spans="1:5" s="44" customFormat="1" ht="20.25" hidden="1" customHeight="1">
      <c r="A233" s="10" t="s">
        <v>246</v>
      </c>
      <c r="B233" s="61" t="s">
        <v>7</v>
      </c>
      <c r="C233" s="6"/>
      <c r="D233" s="62"/>
      <c r="E233" s="63"/>
    </row>
    <row r="234" spans="1:5" s="44" customFormat="1" ht="47.4" hidden="1" customHeight="1">
      <c r="A234" s="10" t="s">
        <v>247</v>
      </c>
      <c r="B234" s="61" t="s">
        <v>39</v>
      </c>
      <c r="C234" s="6"/>
      <c r="D234" s="62"/>
      <c r="E234" s="63"/>
    </row>
    <row r="235" spans="1:5" s="44" customFormat="1" ht="22.8" hidden="1">
      <c r="A235" s="8" t="s">
        <v>248</v>
      </c>
      <c r="B235" s="61" t="s">
        <v>7</v>
      </c>
      <c r="C235" s="6"/>
      <c r="D235" s="62"/>
      <c r="E235" s="63"/>
    </row>
    <row r="236" spans="1:5" s="44" customFormat="1" ht="21.75" hidden="1" customHeight="1">
      <c r="A236" s="8" t="s">
        <v>249</v>
      </c>
      <c r="B236" s="61" t="s">
        <v>7</v>
      </c>
      <c r="C236" s="6"/>
      <c r="D236" s="62"/>
      <c r="E236" s="63"/>
    </row>
    <row r="237" spans="1:5" s="44" customFormat="1" ht="21.75" hidden="1" customHeight="1">
      <c r="A237" s="10" t="s">
        <v>250</v>
      </c>
      <c r="B237" s="61" t="s">
        <v>7</v>
      </c>
      <c r="C237" s="6"/>
      <c r="D237" s="62"/>
      <c r="E237" s="63"/>
    </row>
    <row r="238" spans="1:5" s="44" customFormat="1" ht="20.25" hidden="1" customHeight="1">
      <c r="A238" s="32" t="s">
        <v>251</v>
      </c>
      <c r="B238" s="61" t="s">
        <v>7</v>
      </c>
      <c r="C238" s="6"/>
      <c r="D238" s="62"/>
      <c r="E238" s="63"/>
    </row>
    <row r="239" spans="1:5" s="44" customFormat="1" ht="20.25" hidden="1" customHeight="1">
      <c r="A239" s="8" t="s">
        <v>252</v>
      </c>
      <c r="B239" s="61" t="s">
        <v>7</v>
      </c>
      <c r="C239" s="6"/>
      <c r="D239" s="62"/>
      <c r="E239" s="63"/>
    </row>
    <row r="240" spans="1:5" s="44" customFormat="1" ht="20.25" hidden="1" customHeight="1">
      <c r="A240" s="8" t="s">
        <v>253</v>
      </c>
      <c r="B240" s="61" t="s">
        <v>21</v>
      </c>
      <c r="C240" s="6"/>
      <c r="D240" s="62"/>
      <c r="E240" s="63"/>
    </row>
    <row r="241" spans="1:5" s="44" customFormat="1" ht="22.8" hidden="1">
      <c r="A241" s="12" t="s">
        <v>254</v>
      </c>
      <c r="B241" s="61" t="s">
        <v>68</v>
      </c>
      <c r="C241" s="6"/>
      <c r="D241" s="62"/>
      <c r="E241" s="63"/>
    </row>
    <row r="242" spans="1:5" s="44" customFormat="1" ht="21.75" hidden="1" customHeight="1">
      <c r="A242" s="12" t="s">
        <v>255</v>
      </c>
      <c r="B242" s="61" t="s">
        <v>68</v>
      </c>
      <c r="C242" s="6"/>
      <c r="D242" s="62"/>
      <c r="E242" s="63"/>
    </row>
    <row r="243" spans="1:5" s="44" customFormat="1" ht="20.25" hidden="1" customHeight="1">
      <c r="A243" s="30" t="s">
        <v>256</v>
      </c>
      <c r="B243" s="61" t="s">
        <v>49</v>
      </c>
      <c r="C243" s="6"/>
      <c r="D243" s="62"/>
      <c r="E243" s="63"/>
    </row>
    <row r="244" spans="1:5" s="44" customFormat="1" ht="21.75" hidden="1" customHeight="1">
      <c r="A244" s="8" t="s">
        <v>257</v>
      </c>
      <c r="B244" s="61" t="s">
        <v>7</v>
      </c>
      <c r="C244" s="6"/>
      <c r="D244" s="62"/>
      <c r="E244" s="63"/>
    </row>
    <row r="245" spans="1:5" s="44" customFormat="1" ht="20.25" hidden="1" customHeight="1">
      <c r="A245" s="8" t="s">
        <v>258</v>
      </c>
      <c r="B245" s="61" t="s">
        <v>49</v>
      </c>
      <c r="C245" s="6"/>
      <c r="D245" s="62"/>
      <c r="E245" s="63"/>
    </row>
    <row r="246" spans="1:5" s="44" customFormat="1" ht="33" hidden="1" customHeight="1">
      <c r="A246" s="8" t="s">
        <v>259</v>
      </c>
      <c r="B246" s="61" t="s">
        <v>7</v>
      </c>
      <c r="C246" s="14"/>
      <c r="D246" s="62"/>
      <c r="E246" s="63"/>
    </row>
    <row r="247" spans="1:5" s="44" customFormat="1" ht="22.8" hidden="1">
      <c r="A247" s="30" t="s">
        <v>260</v>
      </c>
      <c r="B247" s="61" t="s">
        <v>49</v>
      </c>
      <c r="C247" s="6"/>
      <c r="D247" s="62"/>
      <c r="E247" s="63"/>
    </row>
    <row r="248" spans="1:5" s="44" customFormat="1" ht="21.75" hidden="1" customHeight="1">
      <c r="A248" s="8" t="s">
        <v>261</v>
      </c>
      <c r="B248" s="61" t="s">
        <v>49</v>
      </c>
      <c r="C248" s="14"/>
      <c r="D248" s="75"/>
      <c r="E248" s="63"/>
    </row>
    <row r="249" spans="1:5" s="44" customFormat="1" ht="21" customHeight="1">
      <c r="A249" s="19" t="s">
        <v>262</v>
      </c>
      <c r="B249" s="64" t="s">
        <v>7</v>
      </c>
      <c r="C249" s="65">
        <v>6</v>
      </c>
      <c r="D249" s="66">
        <v>14000</v>
      </c>
      <c r="E249" s="67">
        <f>+D249*C249</f>
        <v>84000</v>
      </c>
    </row>
    <row r="250" spans="1:5" s="44" customFormat="1" ht="57" hidden="1" customHeight="1">
      <c r="A250" s="10" t="s">
        <v>263</v>
      </c>
      <c r="B250" s="61" t="s">
        <v>7</v>
      </c>
      <c r="C250" s="6"/>
      <c r="D250" s="62"/>
      <c r="E250" s="63"/>
    </row>
    <row r="251" spans="1:5" s="44" customFormat="1" ht="39.9" hidden="1" customHeight="1">
      <c r="A251" s="10" t="s">
        <v>264</v>
      </c>
      <c r="B251" s="61" t="s">
        <v>54</v>
      </c>
      <c r="C251" s="6"/>
      <c r="D251" s="62"/>
      <c r="E251" s="63"/>
    </row>
    <row r="252" spans="1:5" s="44" customFormat="1" ht="21" customHeight="1">
      <c r="A252" s="19" t="s">
        <v>265</v>
      </c>
      <c r="B252" s="64" t="s">
        <v>7</v>
      </c>
      <c r="C252" s="65">
        <v>98</v>
      </c>
      <c r="D252" s="66">
        <v>26000</v>
      </c>
      <c r="E252" s="67">
        <f>+D252*C252</f>
        <v>2548000</v>
      </c>
    </row>
    <row r="253" spans="1:5" s="44" customFormat="1" ht="20.25" hidden="1" customHeight="1">
      <c r="A253" s="8" t="s">
        <v>266</v>
      </c>
      <c r="B253" s="61" t="s">
        <v>7</v>
      </c>
      <c r="C253" s="6"/>
      <c r="D253" s="62"/>
      <c r="E253" s="63"/>
    </row>
    <row r="254" spans="1:5" s="44" customFormat="1" ht="22.8" hidden="1">
      <c r="A254" s="8" t="s">
        <v>267</v>
      </c>
      <c r="B254" s="61" t="s">
        <v>21</v>
      </c>
      <c r="C254" s="6"/>
      <c r="D254" s="62"/>
      <c r="E254" s="63"/>
    </row>
    <row r="255" spans="1:5" s="44" customFormat="1" ht="21" customHeight="1">
      <c r="A255" s="19" t="s">
        <v>268</v>
      </c>
      <c r="B255" s="64" t="s">
        <v>54</v>
      </c>
      <c r="C255" s="65">
        <v>8</v>
      </c>
      <c r="D255" s="66">
        <v>10000</v>
      </c>
      <c r="E255" s="67">
        <f>+D255*C255</f>
        <v>80000</v>
      </c>
    </row>
    <row r="256" spans="1:5" s="44" customFormat="1" ht="20.25" hidden="1" customHeight="1">
      <c r="A256" s="8" t="s">
        <v>269</v>
      </c>
      <c r="B256" s="61" t="s">
        <v>7</v>
      </c>
      <c r="C256" s="6"/>
      <c r="D256" s="62"/>
      <c r="E256" s="63"/>
    </row>
    <row r="257" spans="1:5" s="44" customFormat="1" ht="20.25" hidden="1" customHeight="1">
      <c r="A257" s="15" t="s">
        <v>270</v>
      </c>
      <c r="B257" s="61" t="s">
        <v>7</v>
      </c>
      <c r="C257" s="6"/>
      <c r="D257" s="62"/>
      <c r="E257" s="63"/>
    </row>
    <row r="258" spans="1:5" s="44" customFormat="1" ht="20.25" hidden="1" customHeight="1">
      <c r="A258" s="19" t="s">
        <v>271</v>
      </c>
      <c r="B258" s="61" t="s">
        <v>7</v>
      </c>
      <c r="C258" s="6"/>
      <c r="D258" s="62"/>
      <c r="E258" s="63"/>
    </row>
    <row r="259" spans="1:5" s="44" customFormat="1" ht="20.25" hidden="1" customHeight="1">
      <c r="A259" s="19" t="s">
        <v>272</v>
      </c>
      <c r="B259" s="61" t="s">
        <v>7</v>
      </c>
      <c r="C259" s="6"/>
      <c r="D259" s="62"/>
      <c r="E259" s="63"/>
    </row>
    <row r="260" spans="1:5" s="44" customFormat="1" ht="21" customHeight="1">
      <c r="A260" s="19" t="s">
        <v>273</v>
      </c>
      <c r="B260" s="64" t="s">
        <v>7</v>
      </c>
      <c r="C260" s="65">
        <v>73</v>
      </c>
      <c r="D260" s="66">
        <v>34000</v>
      </c>
      <c r="E260" s="67">
        <f>+D260*C260</f>
        <v>2482000</v>
      </c>
    </row>
    <row r="261" spans="1:5" s="44" customFormat="1" ht="21.75" hidden="1" customHeight="1">
      <c r="A261" s="8" t="s">
        <v>274</v>
      </c>
      <c r="B261" s="61" t="s">
        <v>7</v>
      </c>
      <c r="C261" s="6"/>
      <c r="D261" s="62"/>
      <c r="E261" s="63"/>
    </row>
    <row r="262" spans="1:5" s="44" customFormat="1" ht="21.75" hidden="1" customHeight="1">
      <c r="A262" s="8" t="s">
        <v>275</v>
      </c>
      <c r="B262" s="61" t="s">
        <v>21</v>
      </c>
      <c r="C262" s="6"/>
      <c r="D262" s="62"/>
      <c r="E262" s="63"/>
    </row>
    <row r="263" spans="1:5" s="44" customFormat="1" ht="20.25" hidden="1" customHeight="1">
      <c r="A263" s="8" t="s">
        <v>276</v>
      </c>
      <c r="B263" s="61" t="s">
        <v>54</v>
      </c>
      <c r="C263" s="6"/>
      <c r="D263" s="62"/>
      <c r="E263" s="63"/>
    </row>
    <row r="264" spans="1:5" s="44" customFormat="1" ht="21" customHeight="1">
      <c r="A264" s="19" t="s">
        <v>277</v>
      </c>
      <c r="B264" s="64" t="s">
        <v>7</v>
      </c>
      <c r="C264" s="65">
        <v>80</v>
      </c>
      <c r="D264" s="66">
        <v>18000</v>
      </c>
      <c r="E264" s="67">
        <f>+D264*C264</f>
        <v>1440000</v>
      </c>
    </row>
    <row r="265" spans="1:5" s="44" customFormat="1" ht="20.25" hidden="1" customHeight="1">
      <c r="A265" s="8" t="s">
        <v>278</v>
      </c>
      <c r="B265" s="61" t="s">
        <v>7</v>
      </c>
      <c r="C265" s="6"/>
      <c r="D265" s="62"/>
      <c r="E265" s="63"/>
    </row>
    <row r="266" spans="1:5" s="44" customFormat="1" ht="20.25" hidden="1" customHeight="1">
      <c r="A266" s="8" t="s">
        <v>279</v>
      </c>
      <c r="B266" s="61" t="s">
        <v>21</v>
      </c>
      <c r="C266" s="6"/>
      <c r="D266" s="62"/>
      <c r="E266" s="63"/>
    </row>
    <row r="267" spans="1:5" s="44" customFormat="1" ht="20.25" hidden="1" customHeight="1">
      <c r="A267" s="8" t="s">
        <v>280</v>
      </c>
      <c r="B267" s="61" t="s">
        <v>7</v>
      </c>
      <c r="C267" s="14"/>
      <c r="D267" s="62"/>
      <c r="E267" s="63"/>
    </row>
    <row r="268" spans="1:5" s="44" customFormat="1" ht="21.75" hidden="1" customHeight="1">
      <c r="A268" s="12" t="s">
        <v>281</v>
      </c>
      <c r="B268" s="61" t="s">
        <v>7</v>
      </c>
      <c r="C268" s="6"/>
      <c r="D268" s="62"/>
      <c r="E268" s="63"/>
    </row>
    <row r="269" spans="1:5" s="44" customFormat="1" ht="20.25" hidden="1" customHeight="1">
      <c r="A269" s="8" t="s">
        <v>282</v>
      </c>
      <c r="B269" s="61" t="s">
        <v>7</v>
      </c>
      <c r="C269" s="6"/>
      <c r="D269" s="62"/>
      <c r="E269" s="63"/>
    </row>
    <row r="270" spans="1:5" s="44" customFormat="1" ht="21.75" hidden="1" customHeight="1">
      <c r="A270" s="10" t="s">
        <v>283</v>
      </c>
      <c r="B270" s="61" t="s">
        <v>7</v>
      </c>
      <c r="C270" s="6"/>
      <c r="D270" s="62"/>
      <c r="E270" s="63"/>
    </row>
    <row r="271" spans="1:5" s="44" customFormat="1" ht="20.25" hidden="1" customHeight="1">
      <c r="A271" s="8" t="s">
        <v>284</v>
      </c>
      <c r="B271" s="61" t="s">
        <v>49</v>
      </c>
      <c r="C271" s="6"/>
      <c r="D271" s="76"/>
      <c r="E271" s="63"/>
    </row>
    <row r="272" spans="1:5" s="44" customFormat="1" ht="20.25" hidden="1" customHeight="1">
      <c r="A272" s="8" t="s">
        <v>285</v>
      </c>
      <c r="B272" s="61" t="s">
        <v>7</v>
      </c>
      <c r="C272" s="6"/>
      <c r="D272" s="62"/>
      <c r="E272" s="63"/>
    </row>
    <row r="273" spans="1:5" s="44" customFormat="1" ht="21.75" hidden="1" customHeight="1">
      <c r="A273" s="8" t="s">
        <v>286</v>
      </c>
      <c r="B273" s="61" t="s">
        <v>7</v>
      </c>
      <c r="C273" s="6"/>
      <c r="D273" s="62"/>
      <c r="E273" s="63"/>
    </row>
    <row r="274" spans="1:5" s="44" customFormat="1" ht="21.75" hidden="1" customHeight="1">
      <c r="A274" s="8" t="s">
        <v>287</v>
      </c>
      <c r="B274" s="61" t="s">
        <v>68</v>
      </c>
      <c r="C274" s="6"/>
      <c r="D274" s="62"/>
      <c r="E274" s="63"/>
    </row>
    <row r="275" spans="1:5" s="44" customFormat="1" ht="21" customHeight="1">
      <c r="A275" s="19" t="s">
        <v>288</v>
      </c>
      <c r="B275" s="64" t="s">
        <v>7</v>
      </c>
      <c r="C275" s="65">
        <v>10</v>
      </c>
      <c r="D275" s="66">
        <v>14000</v>
      </c>
      <c r="E275" s="67">
        <f>+D275*C275</f>
        <v>140000</v>
      </c>
    </row>
    <row r="276" spans="1:5" s="44" customFormat="1" ht="20.25" hidden="1" customHeight="1">
      <c r="A276" s="8" t="s">
        <v>289</v>
      </c>
      <c r="B276" s="61" t="s">
        <v>57</v>
      </c>
      <c r="C276" s="6"/>
      <c r="D276" s="62"/>
      <c r="E276" s="63"/>
    </row>
    <row r="277" spans="1:5" s="44" customFormat="1" ht="20.25" hidden="1" customHeight="1">
      <c r="A277" s="8" t="s">
        <v>290</v>
      </c>
      <c r="B277" s="61" t="s">
        <v>7</v>
      </c>
      <c r="C277" s="6"/>
      <c r="D277" s="62"/>
      <c r="E277" s="63"/>
    </row>
    <row r="278" spans="1:5" s="44" customFormat="1" ht="21.75" hidden="1" customHeight="1">
      <c r="A278" s="30" t="s">
        <v>291</v>
      </c>
      <c r="B278" s="61" t="s">
        <v>49</v>
      </c>
      <c r="C278" s="6"/>
      <c r="D278" s="62"/>
      <c r="E278" s="63"/>
    </row>
    <row r="279" spans="1:5" s="44" customFormat="1" ht="21.75" hidden="1" customHeight="1">
      <c r="A279" s="8" t="s">
        <v>292</v>
      </c>
      <c r="B279" s="61" t="s">
        <v>49</v>
      </c>
      <c r="C279" s="6"/>
      <c r="D279" s="62"/>
      <c r="E279" s="63"/>
    </row>
    <row r="280" spans="1:5" s="44" customFormat="1" ht="20.25" hidden="1" customHeight="1">
      <c r="A280" s="30" t="s">
        <v>293</v>
      </c>
      <c r="B280" s="61" t="s">
        <v>49</v>
      </c>
      <c r="C280" s="6"/>
      <c r="D280" s="62"/>
      <c r="E280" s="63"/>
    </row>
    <row r="281" spans="1:5" s="44" customFormat="1" ht="20.25" hidden="1" customHeight="1">
      <c r="A281" s="30" t="s">
        <v>294</v>
      </c>
      <c r="B281" s="61" t="s">
        <v>49</v>
      </c>
      <c r="C281" s="6"/>
      <c r="D281" s="62"/>
      <c r="E281" s="63"/>
    </row>
    <row r="282" spans="1:5" s="44" customFormat="1" ht="21.75" hidden="1" customHeight="1">
      <c r="A282" s="11" t="s">
        <v>295</v>
      </c>
      <c r="B282" s="61" t="s">
        <v>7</v>
      </c>
      <c r="C282" s="14"/>
      <c r="D282" s="62"/>
      <c r="E282" s="63"/>
    </row>
    <row r="283" spans="1:5" s="44" customFormat="1" ht="21.75" hidden="1" customHeight="1">
      <c r="A283" s="11" t="s">
        <v>296</v>
      </c>
      <c r="B283" s="61" t="s">
        <v>49</v>
      </c>
      <c r="C283" s="6"/>
      <c r="D283" s="76"/>
      <c r="E283" s="63"/>
    </row>
    <row r="284" spans="1:5" s="44" customFormat="1" ht="21.75" hidden="1" customHeight="1">
      <c r="A284" s="10" t="s">
        <v>297</v>
      </c>
      <c r="B284" s="61" t="s">
        <v>7</v>
      </c>
      <c r="C284" s="6"/>
      <c r="D284" s="62"/>
      <c r="E284" s="63"/>
    </row>
    <row r="285" spans="1:5" s="44" customFormat="1" ht="22.8" hidden="1">
      <c r="A285" s="10" t="s">
        <v>298</v>
      </c>
      <c r="B285" s="61" t="s">
        <v>7</v>
      </c>
      <c r="C285" s="6"/>
      <c r="D285" s="62"/>
      <c r="E285" s="63"/>
    </row>
    <row r="286" spans="1:5" s="44" customFormat="1" ht="22.8" hidden="1">
      <c r="A286" s="15" t="s">
        <v>299</v>
      </c>
      <c r="B286" s="61" t="s">
        <v>68</v>
      </c>
      <c r="C286" s="6"/>
      <c r="D286" s="62"/>
      <c r="E286" s="63"/>
    </row>
    <row r="287" spans="1:5" s="44" customFormat="1" ht="20.25" hidden="1" customHeight="1">
      <c r="A287" s="15" t="s">
        <v>300</v>
      </c>
      <c r="B287" s="61" t="s">
        <v>54</v>
      </c>
      <c r="C287" s="6"/>
      <c r="D287" s="62"/>
      <c r="E287" s="63"/>
    </row>
    <row r="288" spans="1:5" s="44" customFormat="1" ht="37.950000000000003" hidden="1" customHeight="1">
      <c r="A288" s="15" t="s">
        <v>301</v>
      </c>
      <c r="B288" s="61" t="s">
        <v>54</v>
      </c>
      <c r="C288" s="6"/>
      <c r="D288" s="62"/>
      <c r="E288" s="63"/>
    </row>
    <row r="289" spans="1:5" s="44" customFormat="1" ht="21" customHeight="1">
      <c r="A289" s="19" t="s">
        <v>302</v>
      </c>
      <c r="B289" s="64" t="s">
        <v>7</v>
      </c>
      <c r="C289" s="65">
        <v>5</v>
      </c>
      <c r="D289" s="66">
        <v>10000</v>
      </c>
      <c r="E289" s="67">
        <f>+D289*C289</f>
        <v>50000</v>
      </c>
    </row>
    <row r="290" spans="1:5" s="44" customFormat="1" ht="36" hidden="1" customHeight="1">
      <c r="A290" s="15" t="s">
        <v>303</v>
      </c>
      <c r="B290" s="61" t="s">
        <v>49</v>
      </c>
      <c r="C290" s="6"/>
      <c r="D290" s="62"/>
      <c r="E290" s="63"/>
    </row>
    <row r="291" spans="1:5" s="44" customFormat="1" ht="21.6" hidden="1" customHeight="1">
      <c r="A291" s="8" t="s">
        <v>304</v>
      </c>
      <c r="B291" s="61" t="s">
        <v>7</v>
      </c>
      <c r="C291" s="6"/>
      <c r="D291" s="77"/>
      <c r="E291" s="63"/>
    </row>
    <row r="292" spans="1:5" s="44" customFormat="1" ht="20.25" hidden="1" customHeight="1">
      <c r="A292" s="8" t="s">
        <v>305</v>
      </c>
      <c r="B292" s="61" t="s">
        <v>7</v>
      </c>
      <c r="C292" s="6"/>
      <c r="D292" s="68"/>
      <c r="E292" s="63"/>
    </row>
    <row r="293" spans="1:5" s="44" customFormat="1" ht="21.75" hidden="1" customHeight="1">
      <c r="A293" s="15" t="s">
        <v>306</v>
      </c>
      <c r="B293" s="61" t="s">
        <v>54</v>
      </c>
      <c r="C293" s="6"/>
      <c r="D293" s="62"/>
      <c r="E293" s="63"/>
    </row>
    <row r="294" spans="1:5" s="44" customFormat="1" ht="21.75" hidden="1" customHeight="1">
      <c r="A294" s="23" t="s">
        <v>307</v>
      </c>
      <c r="B294" s="61" t="s">
        <v>7</v>
      </c>
      <c r="C294" s="6"/>
      <c r="D294" s="62"/>
      <c r="E294" s="63"/>
    </row>
    <row r="295" spans="1:5" s="44" customFormat="1" ht="21.75" hidden="1" customHeight="1">
      <c r="A295" s="8" t="s">
        <v>308</v>
      </c>
      <c r="B295" s="61" t="s">
        <v>7</v>
      </c>
      <c r="C295" s="6"/>
      <c r="D295" s="62"/>
      <c r="E295" s="63"/>
    </row>
    <row r="296" spans="1:5" s="44" customFormat="1" ht="21.75" hidden="1" customHeight="1">
      <c r="A296" s="12" t="s">
        <v>309</v>
      </c>
      <c r="B296" s="61" t="s">
        <v>9</v>
      </c>
      <c r="C296" s="6"/>
      <c r="D296" s="62"/>
      <c r="E296" s="63"/>
    </row>
    <row r="297" spans="1:5" s="44" customFormat="1" ht="21.75" hidden="1" customHeight="1">
      <c r="A297" s="12" t="s">
        <v>310</v>
      </c>
      <c r="B297" s="61" t="s">
        <v>68</v>
      </c>
      <c r="C297" s="6"/>
      <c r="D297" s="62"/>
      <c r="E297" s="63"/>
    </row>
    <row r="298" spans="1:5" s="44" customFormat="1" ht="21.75" hidden="1" customHeight="1">
      <c r="A298" s="11" t="s">
        <v>311</v>
      </c>
      <c r="B298" s="61" t="s">
        <v>7</v>
      </c>
      <c r="C298" s="6"/>
      <c r="D298" s="74"/>
      <c r="E298" s="63"/>
    </row>
    <row r="299" spans="1:5" s="44" customFormat="1" ht="21.75" hidden="1" customHeight="1">
      <c r="A299" s="15" t="s">
        <v>312</v>
      </c>
      <c r="B299" s="61" t="s">
        <v>49</v>
      </c>
      <c r="C299" s="6"/>
      <c r="D299" s="74"/>
      <c r="E299" s="63"/>
    </row>
    <row r="300" spans="1:5" s="44" customFormat="1" ht="21.75" hidden="1" customHeight="1">
      <c r="A300" s="12" t="s">
        <v>313</v>
      </c>
      <c r="B300" s="61" t="s">
        <v>49</v>
      </c>
      <c r="C300" s="6"/>
      <c r="D300" s="62"/>
      <c r="E300" s="63"/>
    </row>
    <row r="301" spans="1:5" s="44" customFormat="1" ht="21.75" hidden="1" customHeight="1">
      <c r="A301" s="8" t="s">
        <v>314</v>
      </c>
      <c r="B301" s="61" t="s">
        <v>7</v>
      </c>
      <c r="C301" s="6"/>
      <c r="D301" s="62"/>
      <c r="E301" s="63"/>
    </row>
    <row r="302" spans="1:5" s="44" customFormat="1" ht="38.4" hidden="1" customHeight="1">
      <c r="A302" s="15" t="s">
        <v>315</v>
      </c>
      <c r="B302" s="61" t="s">
        <v>68</v>
      </c>
      <c r="C302" s="6"/>
      <c r="D302" s="62"/>
      <c r="E302" s="63"/>
    </row>
    <row r="303" spans="1:5" s="44" customFormat="1" ht="21.75" hidden="1" customHeight="1">
      <c r="A303" s="8" t="s">
        <v>316</v>
      </c>
      <c r="B303" s="61" t="s">
        <v>7</v>
      </c>
      <c r="C303" s="6"/>
      <c r="D303" s="62"/>
      <c r="E303" s="63"/>
    </row>
    <row r="304" spans="1:5" s="44" customFormat="1" ht="21.75" hidden="1" customHeight="1">
      <c r="A304" s="8" t="s">
        <v>317</v>
      </c>
      <c r="B304" s="61" t="s">
        <v>7</v>
      </c>
      <c r="C304" s="6"/>
      <c r="D304" s="62"/>
      <c r="E304" s="63"/>
    </row>
    <row r="305" spans="1:5" s="44" customFormat="1" ht="21.75" hidden="1" customHeight="1">
      <c r="A305" s="10" t="s">
        <v>318</v>
      </c>
      <c r="B305" s="61" t="s">
        <v>7</v>
      </c>
      <c r="C305" s="6"/>
      <c r="D305" s="62"/>
      <c r="E305" s="63"/>
    </row>
    <row r="306" spans="1:5" s="44" customFormat="1" ht="21.75" hidden="1" customHeight="1">
      <c r="A306" s="11" t="s">
        <v>319</v>
      </c>
      <c r="B306" s="61" t="s">
        <v>7</v>
      </c>
      <c r="C306" s="6"/>
      <c r="D306" s="62"/>
      <c r="E306" s="63"/>
    </row>
    <row r="307" spans="1:5" s="44" customFormat="1" ht="21.75" hidden="1" customHeight="1">
      <c r="A307" s="11" t="s">
        <v>320</v>
      </c>
      <c r="B307" s="61" t="s">
        <v>7</v>
      </c>
      <c r="C307" s="6"/>
      <c r="D307" s="62"/>
      <c r="E307" s="63"/>
    </row>
    <row r="308" spans="1:5" s="44" customFormat="1" ht="21.75" hidden="1" customHeight="1">
      <c r="A308" s="8" t="s">
        <v>321</v>
      </c>
      <c r="B308" s="61" t="s">
        <v>7</v>
      </c>
      <c r="C308" s="6"/>
      <c r="D308" s="62"/>
      <c r="E308" s="63"/>
    </row>
    <row r="309" spans="1:5" s="44" customFormat="1" ht="21.75" hidden="1" customHeight="1">
      <c r="A309" s="8" t="s">
        <v>322</v>
      </c>
      <c r="B309" s="61" t="s">
        <v>93</v>
      </c>
      <c r="C309" s="6"/>
      <c r="D309" s="62"/>
      <c r="E309" s="63"/>
    </row>
    <row r="310" spans="1:5" s="44" customFormat="1" ht="21.75" hidden="1" customHeight="1">
      <c r="A310" s="8" t="s">
        <v>323</v>
      </c>
      <c r="B310" s="61" t="s">
        <v>49</v>
      </c>
      <c r="C310" s="6"/>
      <c r="D310" s="62"/>
      <c r="E310" s="63"/>
    </row>
    <row r="311" spans="1:5" s="44" customFormat="1" ht="21.75" hidden="1" customHeight="1">
      <c r="A311" s="12" t="s">
        <v>324</v>
      </c>
      <c r="B311" s="61" t="s">
        <v>7</v>
      </c>
      <c r="C311" s="6"/>
      <c r="D311" s="62"/>
      <c r="E311" s="63"/>
    </row>
    <row r="312" spans="1:5" s="44" customFormat="1" ht="21.75" hidden="1" customHeight="1">
      <c r="A312" s="12" t="s">
        <v>325</v>
      </c>
      <c r="B312" s="61" t="s">
        <v>7</v>
      </c>
      <c r="C312" s="6"/>
      <c r="D312" s="62"/>
      <c r="E312" s="63"/>
    </row>
    <row r="313" spans="1:5" s="44" customFormat="1" ht="21.75" hidden="1" customHeight="1">
      <c r="A313" s="19" t="s">
        <v>326</v>
      </c>
      <c r="B313" s="61" t="s">
        <v>7</v>
      </c>
      <c r="C313" s="6"/>
      <c r="D313" s="62"/>
      <c r="E313" s="63"/>
    </row>
    <row r="314" spans="1:5" s="44" customFormat="1" ht="21.75" hidden="1" customHeight="1">
      <c r="A314" s="12" t="s">
        <v>327</v>
      </c>
      <c r="B314" s="61" t="s">
        <v>49</v>
      </c>
      <c r="C314" s="6"/>
      <c r="D314" s="62"/>
      <c r="E314" s="63"/>
    </row>
    <row r="315" spans="1:5" s="44" customFormat="1" ht="21.75" hidden="1" customHeight="1">
      <c r="A315" s="8" t="s">
        <v>328</v>
      </c>
      <c r="B315" s="61" t="s">
        <v>57</v>
      </c>
      <c r="C315" s="6"/>
      <c r="D315" s="62"/>
      <c r="E315" s="63"/>
    </row>
    <row r="316" spans="1:5" s="44" customFormat="1" ht="21.75" hidden="1" customHeight="1">
      <c r="A316" s="8" t="s">
        <v>329</v>
      </c>
      <c r="B316" s="61" t="s">
        <v>57</v>
      </c>
      <c r="C316" s="6"/>
      <c r="D316" s="62"/>
      <c r="E316" s="63"/>
    </row>
    <row r="317" spans="1:5" s="44" customFormat="1" ht="21.75" hidden="1" customHeight="1">
      <c r="A317" s="8" t="s">
        <v>330</v>
      </c>
      <c r="B317" s="61" t="s">
        <v>93</v>
      </c>
      <c r="C317" s="6"/>
      <c r="D317" s="62"/>
      <c r="E317" s="78"/>
    </row>
    <row r="318" spans="1:5" s="44" customFormat="1" ht="21.75" hidden="1" customHeight="1">
      <c r="A318" s="8" t="s">
        <v>331</v>
      </c>
      <c r="B318" s="61" t="s">
        <v>7</v>
      </c>
      <c r="C318" s="6"/>
      <c r="D318" s="62"/>
      <c r="E318" s="63"/>
    </row>
    <row r="319" spans="1:5" s="44" customFormat="1" ht="21.75" hidden="1" customHeight="1">
      <c r="A319" s="19" t="s">
        <v>332</v>
      </c>
      <c r="B319" s="61" t="s">
        <v>7</v>
      </c>
      <c r="C319" s="6"/>
      <c r="D319" s="62"/>
      <c r="E319" s="63"/>
    </row>
    <row r="320" spans="1:5" s="44" customFormat="1" ht="21.75" hidden="1" customHeight="1">
      <c r="A320" s="8" t="s">
        <v>333</v>
      </c>
      <c r="B320" s="61" t="s">
        <v>57</v>
      </c>
      <c r="C320" s="6"/>
      <c r="D320" s="62"/>
      <c r="E320" s="63"/>
    </row>
    <row r="321" spans="1:5" s="44" customFormat="1" ht="21.75" hidden="1" customHeight="1">
      <c r="A321" s="8" t="s">
        <v>334</v>
      </c>
      <c r="B321" s="61" t="s">
        <v>7</v>
      </c>
      <c r="C321" s="6"/>
      <c r="D321" s="62"/>
      <c r="E321" s="63"/>
    </row>
    <row r="322" spans="1:5" s="44" customFormat="1" ht="21.75" hidden="1" customHeight="1">
      <c r="A322" s="11" t="s">
        <v>335</v>
      </c>
      <c r="B322" s="61" t="s">
        <v>7</v>
      </c>
      <c r="C322" s="6"/>
      <c r="D322" s="62"/>
      <c r="E322" s="63"/>
    </row>
    <row r="323" spans="1:5" s="44" customFormat="1" ht="21.75" hidden="1" customHeight="1">
      <c r="A323" s="8" t="s">
        <v>336</v>
      </c>
      <c r="B323" s="61" t="s">
        <v>7</v>
      </c>
      <c r="C323" s="34"/>
      <c r="D323" s="62"/>
      <c r="E323" s="63"/>
    </row>
    <row r="324" spans="1:5" s="44" customFormat="1" ht="21.75" hidden="1" customHeight="1">
      <c r="A324" s="8" t="s">
        <v>337</v>
      </c>
      <c r="B324" s="61" t="s">
        <v>57</v>
      </c>
      <c r="C324" s="6"/>
      <c r="D324" s="62"/>
      <c r="E324" s="63"/>
    </row>
    <row r="325" spans="1:5" s="44" customFormat="1" ht="21.75" hidden="1" customHeight="1">
      <c r="A325" s="8" t="s">
        <v>338</v>
      </c>
      <c r="B325" s="61" t="s">
        <v>49</v>
      </c>
      <c r="C325" s="6"/>
      <c r="D325" s="62"/>
      <c r="E325" s="63"/>
    </row>
    <row r="326" spans="1:5" s="44" customFormat="1" ht="21.75" hidden="1" customHeight="1">
      <c r="A326" s="19" t="s">
        <v>339</v>
      </c>
      <c r="B326" s="61" t="s">
        <v>7</v>
      </c>
      <c r="C326" s="6"/>
      <c r="D326" s="62"/>
      <c r="E326" s="63"/>
    </row>
    <row r="327" spans="1:5" s="44" customFormat="1" ht="21.75" hidden="1" customHeight="1">
      <c r="A327" s="19" t="s">
        <v>340</v>
      </c>
      <c r="B327" s="61" t="s">
        <v>7</v>
      </c>
      <c r="C327" s="6"/>
      <c r="D327" s="62"/>
      <c r="E327" s="63"/>
    </row>
    <row r="328" spans="1:5" s="44" customFormat="1" ht="21.75" hidden="1" customHeight="1">
      <c r="A328" s="8" t="s">
        <v>341</v>
      </c>
      <c r="B328" s="61" t="s">
        <v>7</v>
      </c>
      <c r="C328" s="6"/>
      <c r="D328" s="62"/>
      <c r="E328" s="63"/>
    </row>
    <row r="329" spans="1:5" s="44" customFormat="1" ht="21.75" hidden="1" customHeight="1">
      <c r="A329" s="8" t="s">
        <v>342</v>
      </c>
      <c r="B329" s="61" t="s">
        <v>7</v>
      </c>
      <c r="C329" s="6"/>
      <c r="D329" s="62"/>
      <c r="E329" s="63"/>
    </row>
    <row r="330" spans="1:5" s="44" customFormat="1" ht="21.75" hidden="1" customHeight="1">
      <c r="A330" s="19" t="s">
        <v>343</v>
      </c>
      <c r="B330" s="61" t="s">
        <v>7</v>
      </c>
      <c r="C330" s="6"/>
      <c r="D330" s="62"/>
      <c r="E330" s="63"/>
    </row>
    <row r="331" spans="1:5" s="44" customFormat="1" ht="21.75" hidden="1" customHeight="1">
      <c r="A331" s="8" t="s">
        <v>344</v>
      </c>
      <c r="B331" s="61" t="s">
        <v>57</v>
      </c>
      <c r="C331" s="6"/>
      <c r="D331" s="62"/>
      <c r="E331" s="63"/>
    </row>
    <row r="332" spans="1:5" s="44" customFormat="1" ht="21.75" hidden="1" customHeight="1">
      <c r="A332" s="8" t="s">
        <v>345</v>
      </c>
      <c r="B332" s="61" t="s">
        <v>57</v>
      </c>
      <c r="C332" s="6"/>
      <c r="D332" s="62"/>
      <c r="E332" s="63"/>
    </row>
    <row r="333" spans="1:5" s="44" customFormat="1" ht="21.75" hidden="1" customHeight="1">
      <c r="A333" s="8" t="s">
        <v>346</v>
      </c>
      <c r="B333" s="61" t="s">
        <v>57</v>
      </c>
      <c r="C333" s="6"/>
      <c r="D333" s="62"/>
      <c r="E333" s="63"/>
    </row>
    <row r="334" spans="1:5" s="44" customFormat="1" ht="21.75" hidden="1" customHeight="1">
      <c r="A334" s="8" t="s">
        <v>347</v>
      </c>
      <c r="B334" s="61" t="s">
        <v>57</v>
      </c>
      <c r="C334" s="6"/>
      <c r="D334" s="62"/>
      <c r="E334" s="63"/>
    </row>
    <row r="335" spans="1:5" s="44" customFormat="1" ht="21.75" hidden="1" customHeight="1">
      <c r="A335" s="8" t="s">
        <v>348</v>
      </c>
      <c r="B335" s="61" t="s">
        <v>57</v>
      </c>
      <c r="C335" s="6"/>
      <c r="D335" s="62"/>
      <c r="E335" s="63"/>
    </row>
    <row r="336" spans="1:5" s="44" customFormat="1" ht="21.75" hidden="1" customHeight="1">
      <c r="A336" s="8" t="s">
        <v>349</v>
      </c>
      <c r="B336" s="61" t="s">
        <v>93</v>
      </c>
      <c r="C336" s="6"/>
      <c r="D336" s="62"/>
      <c r="E336" s="63"/>
    </row>
    <row r="337" spans="1:5" s="44" customFormat="1" ht="21.75" hidden="1" customHeight="1">
      <c r="A337" s="8" t="s">
        <v>350</v>
      </c>
      <c r="B337" s="61" t="s">
        <v>7</v>
      </c>
      <c r="C337" s="6"/>
      <c r="D337" s="62"/>
      <c r="E337" s="63"/>
    </row>
    <row r="338" spans="1:5" s="44" customFormat="1" ht="21.75" hidden="1" customHeight="1">
      <c r="A338" s="8" t="s">
        <v>351</v>
      </c>
      <c r="B338" s="61" t="s">
        <v>7</v>
      </c>
      <c r="C338" s="6"/>
      <c r="D338" s="62"/>
      <c r="E338" s="63"/>
    </row>
    <row r="339" spans="1:5" s="44" customFormat="1" ht="21.75" hidden="1" customHeight="1">
      <c r="A339" s="10" t="s">
        <v>352</v>
      </c>
      <c r="B339" s="61" t="s">
        <v>54</v>
      </c>
      <c r="C339" s="6"/>
      <c r="D339" s="62"/>
      <c r="E339" s="63"/>
    </row>
    <row r="340" spans="1:5" s="44" customFormat="1" ht="21.75" hidden="1" customHeight="1">
      <c r="A340" s="10" t="s">
        <v>353</v>
      </c>
      <c r="B340" s="61" t="s">
        <v>7</v>
      </c>
      <c r="C340" s="6"/>
      <c r="D340" s="62"/>
      <c r="E340" s="63"/>
    </row>
    <row r="341" spans="1:5" s="44" customFormat="1" ht="21" customHeight="1">
      <c r="A341" s="79"/>
      <c r="B341" s="80">
        <v>0</v>
      </c>
      <c r="C341" s="80">
        <v>3326</v>
      </c>
      <c r="D341" s="81"/>
      <c r="E341" s="82">
        <f>SUBTOTAL(9,E4:E289)</f>
        <v>68623800</v>
      </c>
    </row>
    <row r="342" spans="1:5" ht="42.75" customHeight="1">
      <c r="A342" s="205" t="s">
        <v>354</v>
      </c>
      <c r="B342" s="54" t="s">
        <v>2</v>
      </c>
      <c r="C342" s="55" t="s">
        <v>3</v>
      </c>
      <c r="D342" s="56" t="s">
        <v>4</v>
      </c>
      <c r="E342" s="57" t="s">
        <v>5</v>
      </c>
    </row>
    <row r="343" spans="1:5" ht="18.75" hidden="1" customHeight="1">
      <c r="A343" s="206"/>
      <c r="B343" s="58"/>
      <c r="C343" s="37"/>
      <c r="D343" s="59"/>
      <c r="E343" s="60"/>
    </row>
    <row r="344" spans="1:5" ht="18.75" hidden="1" customHeight="1">
      <c r="A344" s="5" t="s">
        <v>6</v>
      </c>
      <c r="B344" s="61" t="s">
        <v>7</v>
      </c>
      <c r="C344" s="6"/>
      <c r="D344" s="62"/>
      <c r="E344" s="63"/>
    </row>
    <row r="345" spans="1:5" ht="18" hidden="1">
      <c r="A345" s="7" t="s">
        <v>8</v>
      </c>
      <c r="B345" s="61" t="s">
        <v>9</v>
      </c>
      <c r="C345" s="6"/>
      <c r="D345" s="62"/>
      <c r="E345" s="63"/>
    </row>
    <row r="346" spans="1:5" ht="18" hidden="1">
      <c r="A346" s="5" t="s">
        <v>10</v>
      </c>
      <c r="B346" s="61" t="s">
        <v>7</v>
      </c>
      <c r="C346" s="6"/>
      <c r="D346" s="62"/>
      <c r="E346" s="63"/>
    </row>
    <row r="347" spans="1:5" ht="21" customHeight="1">
      <c r="A347" s="87" t="s">
        <v>11</v>
      </c>
      <c r="B347" s="64" t="s">
        <v>7</v>
      </c>
      <c r="C347" s="65">
        <v>95</v>
      </c>
      <c r="D347" s="66">
        <v>4500</v>
      </c>
      <c r="E347" s="67">
        <f>+D347*C347</f>
        <v>427500</v>
      </c>
    </row>
    <row r="348" spans="1:5" ht="18" hidden="1">
      <c r="A348" s="8" t="s">
        <v>12</v>
      </c>
      <c r="B348" s="61" t="s">
        <v>9</v>
      </c>
      <c r="C348" s="6"/>
      <c r="D348" s="62"/>
      <c r="E348" s="63"/>
    </row>
    <row r="349" spans="1:5" ht="18" hidden="1">
      <c r="A349" s="9" t="s">
        <v>13</v>
      </c>
      <c r="B349" s="61" t="s">
        <v>7</v>
      </c>
      <c r="C349" s="6"/>
      <c r="D349" s="62"/>
      <c r="E349" s="63"/>
    </row>
    <row r="350" spans="1:5" ht="18" hidden="1">
      <c r="A350" s="5" t="s">
        <v>14</v>
      </c>
      <c r="B350" s="61" t="s">
        <v>7</v>
      </c>
      <c r="C350" s="6"/>
      <c r="D350" s="62"/>
      <c r="E350" s="63"/>
    </row>
    <row r="351" spans="1:5" ht="18" hidden="1">
      <c r="A351" s="5" t="s">
        <v>15</v>
      </c>
      <c r="B351" s="61" t="s">
        <v>7</v>
      </c>
      <c r="C351" s="6"/>
      <c r="D351" s="62"/>
      <c r="E351" s="63"/>
    </row>
    <row r="352" spans="1:5" ht="18" hidden="1">
      <c r="A352" s="10" t="s">
        <v>355</v>
      </c>
      <c r="B352" s="61" t="s">
        <v>7</v>
      </c>
      <c r="C352" s="6"/>
      <c r="D352" s="62"/>
      <c r="E352" s="63"/>
    </row>
    <row r="353" spans="1:5" ht="18" hidden="1">
      <c r="A353" s="8" t="s">
        <v>18</v>
      </c>
      <c r="B353" s="61" t="s">
        <v>7</v>
      </c>
      <c r="C353" s="6"/>
      <c r="D353" s="62"/>
      <c r="E353" s="63"/>
    </row>
    <row r="354" spans="1:5" ht="21" customHeight="1">
      <c r="A354" s="19" t="s">
        <v>19</v>
      </c>
      <c r="B354" s="64" t="s">
        <v>7</v>
      </c>
      <c r="C354" s="65">
        <v>15</v>
      </c>
      <c r="D354" s="66">
        <v>10000</v>
      </c>
      <c r="E354" s="67">
        <f>+D354*C354</f>
        <v>150000</v>
      </c>
    </row>
    <row r="355" spans="1:5" ht="18" hidden="1">
      <c r="A355" s="11" t="s">
        <v>20</v>
      </c>
      <c r="B355" s="61" t="s">
        <v>21</v>
      </c>
      <c r="C355" s="6"/>
      <c r="D355" s="62"/>
      <c r="E355" s="63"/>
    </row>
    <row r="356" spans="1:5" ht="18" hidden="1">
      <c r="A356" s="11" t="s">
        <v>22</v>
      </c>
      <c r="B356" s="61" t="s">
        <v>7</v>
      </c>
      <c r="C356" s="6"/>
      <c r="D356" s="62"/>
      <c r="E356" s="63"/>
    </row>
    <row r="357" spans="1:5" ht="18" hidden="1">
      <c r="A357" s="8" t="s">
        <v>23</v>
      </c>
      <c r="B357" s="61" t="s">
        <v>7</v>
      </c>
      <c r="C357" s="6"/>
      <c r="D357" s="62"/>
      <c r="E357" s="63"/>
    </row>
    <row r="358" spans="1:5" ht="18" hidden="1">
      <c r="A358" s="8" t="s">
        <v>24</v>
      </c>
      <c r="B358" s="61" t="s">
        <v>7</v>
      </c>
      <c r="C358" s="6"/>
      <c r="D358" s="68"/>
      <c r="E358" s="63"/>
    </row>
    <row r="359" spans="1:5" ht="18" hidden="1">
      <c r="A359" s="12" t="s">
        <v>25</v>
      </c>
      <c r="B359" s="61" t="s">
        <v>21</v>
      </c>
      <c r="C359" s="6"/>
      <c r="D359" s="62"/>
      <c r="E359" s="63"/>
    </row>
    <row r="360" spans="1:5" ht="18" hidden="1">
      <c r="A360" s="10" t="s">
        <v>26</v>
      </c>
      <c r="B360" s="61" t="s">
        <v>7</v>
      </c>
      <c r="C360" s="6"/>
      <c r="D360" s="62"/>
      <c r="E360" s="63"/>
    </row>
    <row r="361" spans="1:5" ht="21" customHeight="1">
      <c r="A361" s="19" t="s">
        <v>27</v>
      </c>
      <c r="B361" s="64" t="s">
        <v>7</v>
      </c>
      <c r="C361" s="65">
        <v>2200</v>
      </c>
      <c r="D361" s="66">
        <v>13000</v>
      </c>
      <c r="E361" s="67">
        <f>+D361*C361</f>
        <v>28600000</v>
      </c>
    </row>
    <row r="362" spans="1:5" ht="18" hidden="1">
      <c r="A362" s="11" t="s">
        <v>28</v>
      </c>
      <c r="B362" s="61" t="s">
        <v>21</v>
      </c>
      <c r="C362" s="6"/>
      <c r="D362" s="62"/>
      <c r="E362" s="63"/>
    </row>
    <row r="363" spans="1:5" ht="18" hidden="1">
      <c r="A363" s="11" t="s">
        <v>29</v>
      </c>
      <c r="B363" s="61" t="s">
        <v>7</v>
      </c>
      <c r="C363" s="6"/>
      <c r="D363" s="62"/>
      <c r="E363" s="63"/>
    </row>
    <row r="364" spans="1:5" ht="18" hidden="1">
      <c r="A364" s="8" t="s">
        <v>30</v>
      </c>
      <c r="B364" s="61" t="s">
        <v>7</v>
      </c>
      <c r="C364" s="6"/>
      <c r="D364" s="62"/>
      <c r="E364" s="63"/>
    </row>
    <row r="365" spans="1:5" ht="18" hidden="1">
      <c r="A365" s="8" t="s">
        <v>31</v>
      </c>
      <c r="B365" s="61" t="s">
        <v>21</v>
      </c>
      <c r="C365" s="6"/>
      <c r="D365" s="62"/>
      <c r="E365" s="63"/>
    </row>
    <row r="366" spans="1:5" ht="18" hidden="1">
      <c r="A366" s="8" t="s">
        <v>32</v>
      </c>
      <c r="B366" s="61" t="s">
        <v>7</v>
      </c>
      <c r="C366" s="6"/>
      <c r="D366" s="62"/>
      <c r="E366" s="63"/>
    </row>
    <row r="367" spans="1:5" ht="18" hidden="1">
      <c r="A367" s="8" t="s">
        <v>33</v>
      </c>
      <c r="B367" s="61" t="s">
        <v>21</v>
      </c>
      <c r="C367" s="6"/>
      <c r="D367" s="62"/>
      <c r="E367" s="63"/>
    </row>
    <row r="368" spans="1:5" ht="18" hidden="1">
      <c r="A368" s="8" t="s">
        <v>34</v>
      </c>
      <c r="B368" s="61" t="s">
        <v>7</v>
      </c>
      <c r="C368" s="6"/>
      <c r="D368" s="62"/>
      <c r="E368" s="63"/>
    </row>
    <row r="369" spans="1:5" ht="18" hidden="1">
      <c r="A369" s="8" t="s">
        <v>35</v>
      </c>
      <c r="B369" s="61" t="s">
        <v>7</v>
      </c>
      <c r="C369" s="6"/>
      <c r="D369" s="62"/>
      <c r="E369" s="63"/>
    </row>
    <row r="370" spans="1:5" ht="18" hidden="1">
      <c r="A370" s="11" t="s">
        <v>37</v>
      </c>
      <c r="B370" s="61" t="s">
        <v>7</v>
      </c>
      <c r="C370" s="6"/>
      <c r="D370" s="62"/>
      <c r="E370" s="63"/>
    </row>
    <row r="371" spans="1:5" ht="18" hidden="1">
      <c r="A371" s="11" t="s">
        <v>46</v>
      </c>
      <c r="B371" s="61" t="s">
        <v>7</v>
      </c>
      <c r="C371" s="6"/>
      <c r="D371" s="62"/>
      <c r="E371" s="63"/>
    </row>
    <row r="372" spans="1:5" ht="18" hidden="1">
      <c r="A372" s="8" t="s">
        <v>47</v>
      </c>
      <c r="B372" s="61" t="s">
        <v>7</v>
      </c>
      <c r="C372" s="6"/>
      <c r="D372" s="62"/>
      <c r="E372" s="63"/>
    </row>
    <row r="373" spans="1:5" ht="18" hidden="1">
      <c r="A373" s="8" t="s">
        <v>48</v>
      </c>
      <c r="B373" s="61" t="s">
        <v>49</v>
      </c>
      <c r="C373" s="6"/>
      <c r="D373" s="62"/>
      <c r="E373" s="63"/>
    </row>
    <row r="374" spans="1:5" ht="18" hidden="1">
      <c r="A374" s="10" t="s">
        <v>356</v>
      </c>
      <c r="B374" s="61" t="s">
        <v>7</v>
      </c>
      <c r="C374" s="14"/>
      <c r="D374" s="62"/>
      <c r="E374" s="63"/>
    </row>
    <row r="375" spans="1:5" ht="18" hidden="1">
      <c r="A375" s="10" t="s">
        <v>50</v>
      </c>
      <c r="B375" s="61" t="s">
        <v>7</v>
      </c>
      <c r="C375" s="14"/>
      <c r="D375" s="62"/>
      <c r="E375" s="63"/>
    </row>
    <row r="376" spans="1:5" ht="18" hidden="1">
      <c r="A376" s="8" t="s">
        <v>51</v>
      </c>
      <c r="B376" s="61" t="s">
        <v>7</v>
      </c>
      <c r="C376" s="6"/>
      <c r="D376" s="62"/>
      <c r="E376" s="63"/>
    </row>
    <row r="377" spans="1:5" ht="18" hidden="1">
      <c r="A377" s="8" t="s">
        <v>52</v>
      </c>
      <c r="B377" s="61" t="s">
        <v>7</v>
      </c>
      <c r="C377" s="6"/>
      <c r="D377" s="62"/>
      <c r="E377" s="63"/>
    </row>
    <row r="378" spans="1:5" ht="18" hidden="1">
      <c r="A378" s="15" t="s">
        <v>53</v>
      </c>
      <c r="B378" s="61" t="s">
        <v>54</v>
      </c>
      <c r="C378" s="6"/>
      <c r="D378" s="62"/>
      <c r="E378" s="63"/>
    </row>
    <row r="379" spans="1:5" ht="18" hidden="1">
      <c r="A379" s="8" t="s">
        <v>55</v>
      </c>
      <c r="B379" s="61" t="s">
        <v>7</v>
      </c>
      <c r="C379" s="6"/>
      <c r="D379" s="62"/>
      <c r="E379" s="63"/>
    </row>
    <row r="380" spans="1:5" ht="18" hidden="1">
      <c r="A380" s="8" t="s">
        <v>56</v>
      </c>
      <c r="B380" s="61" t="s">
        <v>57</v>
      </c>
      <c r="C380" s="6"/>
      <c r="D380" s="62"/>
      <c r="E380" s="63"/>
    </row>
    <row r="381" spans="1:5" ht="18" hidden="1">
      <c r="A381" s="8" t="s">
        <v>58</v>
      </c>
      <c r="B381" s="61" t="s">
        <v>7</v>
      </c>
      <c r="C381" s="6"/>
      <c r="D381" s="62"/>
      <c r="E381" s="63"/>
    </row>
    <row r="382" spans="1:5" ht="18" hidden="1">
      <c r="A382" s="8" t="s">
        <v>59</v>
      </c>
      <c r="B382" s="61" t="s">
        <v>7</v>
      </c>
      <c r="C382" s="6"/>
      <c r="D382" s="69"/>
      <c r="E382" s="63"/>
    </row>
    <row r="383" spans="1:5" ht="18" hidden="1">
      <c r="A383" s="12" t="s">
        <v>60</v>
      </c>
      <c r="B383" s="61" t="s">
        <v>57</v>
      </c>
      <c r="C383" s="6"/>
      <c r="D383" s="62"/>
      <c r="E383" s="63"/>
    </row>
    <row r="384" spans="1:5" ht="18" hidden="1">
      <c r="A384" s="10" t="s">
        <v>61</v>
      </c>
      <c r="B384" s="61" t="s">
        <v>7</v>
      </c>
      <c r="C384" s="6"/>
      <c r="D384" s="62"/>
      <c r="E384" s="63"/>
    </row>
    <row r="385" spans="1:5" ht="18" hidden="1">
      <c r="A385" s="12" t="s">
        <v>62</v>
      </c>
      <c r="B385" s="61" t="s">
        <v>54</v>
      </c>
      <c r="C385" s="6"/>
      <c r="D385" s="62"/>
      <c r="E385" s="63"/>
    </row>
    <row r="386" spans="1:5" ht="18" hidden="1">
      <c r="A386" s="8" t="s">
        <v>63</v>
      </c>
      <c r="B386" s="61" t="s">
        <v>7</v>
      </c>
      <c r="C386" s="6"/>
      <c r="D386" s="62"/>
      <c r="E386" s="63"/>
    </row>
    <row r="387" spans="1:5" ht="18" hidden="1">
      <c r="A387" s="8" t="s">
        <v>64</v>
      </c>
      <c r="B387" s="61" t="s">
        <v>7</v>
      </c>
      <c r="C387" s="6"/>
      <c r="D387" s="62"/>
      <c r="E387" s="63"/>
    </row>
    <row r="388" spans="1:5" ht="21" customHeight="1">
      <c r="A388" s="10" t="s">
        <v>65</v>
      </c>
      <c r="B388" s="64" t="s">
        <v>7</v>
      </c>
      <c r="C388" s="65">
        <v>1000</v>
      </c>
      <c r="D388" s="66">
        <v>20000</v>
      </c>
      <c r="E388" s="67">
        <f>+D388*C388</f>
        <v>20000000</v>
      </c>
    </row>
    <row r="389" spans="1:5" ht="18" hidden="1">
      <c r="A389" s="16" t="s">
        <v>66</v>
      </c>
      <c r="B389" s="61" t="s">
        <v>7</v>
      </c>
      <c r="C389" s="6"/>
      <c r="D389" s="62"/>
      <c r="E389" s="70"/>
    </row>
    <row r="390" spans="1:5" ht="18" hidden="1">
      <c r="A390" s="15" t="s">
        <v>67</v>
      </c>
      <c r="B390" s="61" t="s">
        <v>68</v>
      </c>
      <c r="C390" s="6"/>
      <c r="D390" s="62"/>
      <c r="E390" s="63"/>
    </row>
    <row r="391" spans="1:5" ht="18" hidden="1">
      <c r="A391" s="15" t="s">
        <v>69</v>
      </c>
      <c r="B391" s="61" t="s">
        <v>68</v>
      </c>
      <c r="C391" s="6"/>
      <c r="D391" s="62"/>
      <c r="E391" s="63"/>
    </row>
    <row r="392" spans="1:5" ht="18" hidden="1">
      <c r="A392" s="15" t="s">
        <v>70</v>
      </c>
      <c r="B392" s="61" t="s">
        <v>7</v>
      </c>
      <c r="C392" s="6"/>
      <c r="D392" s="62"/>
      <c r="E392" s="70"/>
    </row>
    <row r="393" spans="1:5" ht="18" hidden="1">
      <c r="A393" s="8" t="s">
        <v>71</v>
      </c>
      <c r="B393" s="61" t="s">
        <v>7</v>
      </c>
      <c r="C393" s="6"/>
      <c r="D393" s="62"/>
      <c r="E393" s="70"/>
    </row>
    <row r="394" spans="1:5" ht="18" hidden="1">
      <c r="A394" s="10" t="s">
        <v>72</v>
      </c>
      <c r="B394" s="61" t="s">
        <v>7</v>
      </c>
      <c r="C394" s="6"/>
      <c r="D394" s="62"/>
      <c r="E394" s="63"/>
    </row>
    <row r="395" spans="1:5" ht="18" hidden="1">
      <c r="A395" s="8" t="s">
        <v>73</v>
      </c>
      <c r="B395" s="61" t="s">
        <v>7</v>
      </c>
      <c r="C395" s="6"/>
      <c r="D395" s="62"/>
      <c r="E395" s="70"/>
    </row>
    <row r="396" spans="1:5" ht="18" hidden="1">
      <c r="A396" s="8" t="s">
        <v>74</v>
      </c>
      <c r="B396" s="61" t="s">
        <v>7</v>
      </c>
      <c r="C396" s="6"/>
      <c r="D396" s="62"/>
      <c r="E396" s="63"/>
    </row>
    <row r="397" spans="1:5" ht="18" hidden="1">
      <c r="A397" s="15" t="s">
        <v>75</v>
      </c>
      <c r="B397" s="61" t="s">
        <v>68</v>
      </c>
      <c r="C397" s="6"/>
      <c r="D397" s="62"/>
      <c r="E397" s="63"/>
    </row>
    <row r="398" spans="1:5" ht="18" hidden="1">
      <c r="A398" s="8" t="s">
        <v>76</v>
      </c>
      <c r="B398" s="61" t="s">
        <v>49</v>
      </c>
      <c r="C398" s="6"/>
      <c r="D398" s="62"/>
      <c r="E398" s="70"/>
    </row>
    <row r="399" spans="1:5" ht="18" hidden="1">
      <c r="A399" s="17" t="s">
        <v>77</v>
      </c>
      <c r="B399" s="61" t="s">
        <v>7</v>
      </c>
      <c r="C399" s="6"/>
      <c r="D399" s="62"/>
      <c r="E399" s="63"/>
    </row>
    <row r="400" spans="1:5" ht="18" hidden="1">
      <c r="A400" s="8" t="s">
        <v>78</v>
      </c>
      <c r="B400" s="61" t="s">
        <v>7</v>
      </c>
      <c r="C400" s="6"/>
      <c r="D400" s="62"/>
      <c r="E400" s="70"/>
    </row>
    <row r="401" spans="1:5" ht="18" hidden="1">
      <c r="A401" s="8" t="s">
        <v>79</v>
      </c>
      <c r="B401" s="61" t="s">
        <v>7</v>
      </c>
      <c r="C401" s="6"/>
      <c r="D401" s="62"/>
      <c r="E401" s="70"/>
    </row>
    <row r="402" spans="1:5" ht="18" hidden="1">
      <c r="A402" s="18" t="s">
        <v>80</v>
      </c>
      <c r="B402" s="61" t="s">
        <v>7</v>
      </c>
      <c r="C402" s="6"/>
      <c r="D402" s="62"/>
      <c r="E402" s="70"/>
    </row>
    <row r="403" spans="1:5" ht="18" hidden="1">
      <c r="A403" s="38" t="s">
        <v>81</v>
      </c>
      <c r="B403" s="61" t="s">
        <v>7</v>
      </c>
      <c r="C403" s="6"/>
      <c r="D403" s="62"/>
      <c r="E403" s="63"/>
    </row>
    <row r="404" spans="1:5" ht="18" hidden="1">
      <c r="A404" s="11" t="s">
        <v>82</v>
      </c>
      <c r="B404" s="61" t="s">
        <v>68</v>
      </c>
      <c r="C404" s="6"/>
      <c r="D404" s="62"/>
      <c r="E404" s="63"/>
    </row>
    <row r="405" spans="1:5" ht="18" hidden="1">
      <c r="A405" s="10" t="s">
        <v>83</v>
      </c>
      <c r="B405" s="61" t="s">
        <v>7</v>
      </c>
      <c r="C405" s="6"/>
      <c r="D405" s="62"/>
      <c r="E405" s="63"/>
    </row>
    <row r="406" spans="1:5" ht="18" hidden="1">
      <c r="A406" s="11" t="s">
        <v>84</v>
      </c>
      <c r="B406" s="61" t="s">
        <v>7</v>
      </c>
      <c r="C406" s="6"/>
      <c r="D406" s="62"/>
      <c r="E406" s="63"/>
    </row>
    <row r="407" spans="1:5" ht="18" hidden="1">
      <c r="A407" s="11" t="s">
        <v>85</v>
      </c>
      <c r="B407" s="61" t="s">
        <v>7</v>
      </c>
      <c r="C407" s="6"/>
      <c r="D407" s="62"/>
      <c r="E407" s="63"/>
    </row>
    <row r="408" spans="1:5" ht="18" hidden="1">
      <c r="A408" s="11" t="s">
        <v>86</v>
      </c>
      <c r="B408" s="61" t="s">
        <v>68</v>
      </c>
      <c r="C408" s="6"/>
      <c r="D408" s="62"/>
      <c r="E408" s="63"/>
    </row>
    <row r="409" spans="1:5" ht="18" hidden="1">
      <c r="A409" s="18" t="s">
        <v>87</v>
      </c>
      <c r="B409" s="61" t="s">
        <v>7</v>
      </c>
      <c r="C409" s="6"/>
      <c r="D409" s="62"/>
      <c r="E409" s="63"/>
    </row>
    <row r="410" spans="1:5" ht="18" hidden="1">
      <c r="A410" s="8" t="s">
        <v>88</v>
      </c>
      <c r="B410" s="61" t="s">
        <v>68</v>
      </c>
      <c r="C410" s="6"/>
      <c r="D410" s="62"/>
      <c r="E410" s="63"/>
    </row>
    <row r="411" spans="1:5" ht="18" hidden="1">
      <c r="A411" s="8" t="s">
        <v>89</v>
      </c>
      <c r="B411" s="61" t="s">
        <v>54</v>
      </c>
      <c r="C411" s="6"/>
      <c r="D411" s="62"/>
      <c r="E411" s="63"/>
    </row>
    <row r="412" spans="1:5" ht="18" hidden="1">
      <c r="A412" s="11" t="s">
        <v>357</v>
      </c>
      <c r="B412" s="61" t="s">
        <v>7</v>
      </c>
      <c r="C412" s="6"/>
      <c r="D412" s="62"/>
      <c r="E412" s="63"/>
    </row>
    <row r="413" spans="1:5" ht="21" customHeight="1">
      <c r="A413" s="19" t="s">
        <v>90</v>
      </c>
      <c r="B413" s="64" t="s">
        <v>7</v>
      </c>
      <c r="C413" s="65">
        <v>142</v>
      </c>
      <c r="D413" s="66">
        <v>25000</v>
      </c>
      <c r="E413" s="67">
        <f>+D413*C413</f>
        <v>3550000</v>
      </c>
    </row>
    <row r="414" spans="1:5" ht="18" hidden="1">
      <c r="A414" s="12" t="s">
        <v>91</v>
      </c>
      <c r="B414" s="61" t="s">
        <v>54</v>
      </c>
      <c r="C414" s="6"/>
      <c r="D414" s="62"/>
      <c r="E414" s="63"/>
    </row>
    <row r="415" spans="1:5" ht="18" hidden="1">
      <c r="A415" s="8" t="s">
        <v>92</v>
      </c>
      <c r="B415" s="61" t="s">
        <v>93</v>
      </c>
      <c r="C415" s="6"/>
      <c r="D415" s="62"/>
      <c r="E415" s="63"/>
    </row>
    <row r="416" spans="1:5" ht="18" hidden="1">
      <c r="A416" s="8" t="s">
        <v>94</v>
      </c>
      <c r="B416" s="61" t="s">
        <v>7</v>
      </c>
      <c r="C416" s="6"/>
      <c r="D416" s="62"/>
      <c r="E416" s="63"/>
    </row>
    <row r="417" spans="1:5" ht="18" hidden="1">
      <c r="A417" s="8" t="s">
        <v>95</v>
      </c>
      <c r="B417" s="61" t="s">
        <v>7</v>
      </c>
      <c r="C417" s="6"/>
      <c r="D417" s="62"/>
      <c r="E417" s="63"/>
    </row>
    <row r="418" spans="1:5" ht="18" hidden="1">
      <c r="A418" s="11" t="s">
        <v>96</v>
      </c>
      <c r="B418" s="61" t="s">
        <v>7</v>
      </c>
      <c r="C418" s="14"/>
      <c r="D418" s="62"/>
      <c r="E418" s="63"/>
    </row>
    <row r="419" spans="1:5" ht="18" hidden="1">
      <c r="A419" s="11" t="s">
        <v>97</v>
      </c>
      <c r="B419" s="61" t="s">
        <v>7</v>
      </c>
      <c r="C419" s="14"/>
      <c r="D419" s="62"/>
      <c r="E419" s="63"/>
    </row>
    <row r="420" spans="1:5" ht="18" hidden="1">
      <c r="A420" s="11" t="s">
        <v>98</v>
      </c>
      <c r="B420" s="61" t="s">
        <v>54</v>
      </c>
      <c r="C420" s="14"/>
      <c r="D420" s="62"/>
      <c r="E420" s="63"/>
    </row>
    <row r="421" spans="1:5" ht="18" hidden="1">
      <c r="A421" s="8" t="s">
        <v>99</v>
      </c>
      <c r="B421" s="61" t="s">
        <v>7</v>
      </c>
      <c r="C421" s="6"/>
      <c r="D421" s="62"/>
      <c r="E421" s="63"/>
    </row>
    <row r="422" spans="1:5" ht="18" hidden="1">
      <c r="A422" s="8" t="s">
        <v>100</v>
      </c>
      <c r="B422" s="61" t="s">
        <v>7</v>
      </c>
      <c r="C422" s="6"/>
      <c r="D422" s="62"/>
      <c r="E422" s="63"/>
    </row>
    <row r="423" spans="1:5" ht="18" hidden="1">
      <c r="A423" s="8" t="s">
        <v>101</v>
      </c>
      <c r="B423" s="61" t="s">
        <v>49</v>
      </c>
      <c r="C423" s="6"/>
      <c r="D423" s="62"/>
      <c r="E423" s="63"/>
    </row>
    <row r="424" spans="1:5" ht="18" hidden="1">
      <c r="A424" s="8" t="s">
        <v>102</v>
      </c>
      <c r="B424" s="61" t="s">
        <v>7</v>
      </c>
      <c r="C424" s="6"/>
      <c r="D424" s="62"/>
      <c r="E424" s="63"/>
    </row>
    <row r="425" spans="1:5" ht="18" hidden="1">
      <c r="A425" s="8" t="s">
        <v>103</v>
      </c>
      <c r="B425" s="61" t="s">
        <v>49</v>
      </c>
      <c r="C425" s="6"/>
      <c r="D425" s="62"/>
      <c r="E425" s="63"/>
    </row>
    <row r="426" spans="1:5" ht="21" customHeight="1">
      <c r="A426" s="19" t="s">
        <v>104</v>
      </c>
      <c r="B426" s="64" t="s">
        <v>7</v>
      </c>
      <c r="C426" s="65">
        <v>45</v>
      </c>
      <c r="D426" s="66">
        <v>9000</v>
      </c>
      <c r="E426" s="67">
        <f>+D426*C426</f>
        <v>405000</v>
      </c>
    </row>
    <row r="427" spans="1:5" ht="18" hidden="1">
      <c r="A427" s="19" t="s">
        <v>105</v>
      </c>
      <c r="B427" s="61" t="s">
        <v>17</v>
      </c>
      <c r="C427" s="6"/>
      <c r="D427" s="62"/>
      <c r="E427" s="63"/>
    </row>
    <row r="428" spans="1:5" ht="18" hidden="1">
      <c r="A428" s="19" t="s">
        <v>106</v>
      </c>
      <c r="B428" s="61" t="s">
        <v>68</v>
      </c>
      <c r="C428" s="6"/>
      <c r="D428" s="62"/>
      <c r="E428" s="63"/>
    </row>
    <row r="429" spans="1:5" ht="18" hidden="1">
      <c r="A429" s="19" t="s">
        <v>107</v>
      </c>
      <c r="B429" s="61" t="s">
        <v>68</v>
      </c>
      <c r="C429" s="6"/>
      <c r="D429" s="62"/>
      <c r="E429" s="63"/>
    </row>
    <row r="430" spans="1:5" ht="18" hidden="1">
      <c r="A430" s="10" t="s">
        <v>108</v>
      </c>
      <c r="B430" s="61" t="s">
        <v>7</v>
      </c>
      <c r="C430" s="6"/>
      <c r="D430" s="62"/>
      <c r="E430" s="63"/>
    </row>
    <row r="431" spans="1:5" ht="18" hidden="1">
      <c r="A431" s="12" t="s">
        <v>109</v>
      </c>
      <c r="B431" s="61" t="s">
        <v>54</v>
      </c>
      <c r="C431" s="6"/>
      <c r="D431" s="62"/>
      <c r="E431" s="63"/>
    </row>
    <row r="432" spans="1:5" ht="18" hidden="1">
      <c r="A432" s="10" t="s">
        <v>358</v>
      </c>
      <c r="B432" s="61" t="s">
        <v>7</v>
      </c>
      <c r="C432" s="6"/>
      <c r="D432" s="62"/>
      <c r="E432" s="63"/>
    </row>
    <row r="433" spans="1:5" ht="18" hidden="1">
      <c r="A433" s="8" t="s">
        <v>110</v>
      </c>
      <c r="B433" s="61" t="s">
        <v>7</v>
      </c>
      <c r="C433" s="6"/>
      <c r="D433" s="62"/>
      <c r="E433" s="63"/>
    </row>
    <row r="434" spans="1:5" ht="18" hidden="1">
      <c r="A434" s="8" t="s">
        <v>111</v>
      </c>
      <c r="B434" s="61" t="s">
        <v>49</v>
      </c>
      <c r="C434" s="6"/>
      <c r="D434" s="62"/>
      <c r="E434" s="63"/>
    </row>
    <row r="435" spans="1:5" ht="18" hidden="1">
      <c r="A435" s="10" t="s">
        <v>359</v>
      </c>
      <c r="B435" s="61" t="s">
        <v>7</v>
      </c>
      <c r="C435" s="6"/>
      <c r="D435" s="62"/>
      <c r="E435" s="63"/>
    </row>
    <row r="436" spans="1:5" ht="18" hidden="1">
      <c r="A436" s="10" t="s">
        <v>360</v>
      </c>
      <c r="B436" s="61" t="s">
        <v>49</v>
      </c>
      <c r="C436" s="6"/>
      <c r="D436" s="62"/>
      <c r="E436" s="63"/>
    </row>
    <row r="437" spans="1:5" ht="18" hidden="1">
      <c r="A437" s="8" t="s">
        <v>113</v>
      </c>
      <c r="B437" s="61" t="s">
        <v>7</v>
      </c>
      <c r="C437" s="14"/>
      <c r="D437" s="62"/>
      <c r="E437" s="63"/>
    </row>
    <row r="438" spans="1:5" ht="18" hidden="1">
      <c r="A438" s="19" t="s">
        <v>115</v>
      </c>
      <c r="B438" s="61" t="s">
        <v>49</v>
      </c>
      <c r="C438" s="6"/>
      <c r="D438" s="62"/>
      <c r="E438" s="63"/>
    </row>
    <row r="439" spans="1:5" ht="18" hidden="1">
      <c r="A439" s="10" t="s">
        <v>116</v>
      </c>
      <c r="B439" s="61" t="s">
        <v>7</v>
      </c>
      <c r="C439" s="6"/>
      <c r="D439" s="62"/>
      <c r="E439" s="63"/>
    </row>
    <row r="440" spans="1:5" ht="18" hidden="1">
      <c r="A440" s="10" t="s">
        <v>361</v>
      </c>
      <c r="B440" s="61" t="s">
        <v>7</v>
      </c>
      <c r="C440" s="6"/>
      <c r="D440" s="62"/>
      <c r="E440" s="63"/>
    </row>
    <row r="441" spans="1:5" ht="18" hidden="1">
      <c r="A441" s="8" t="s">
        <v>117</v>
      </c>
      <c r="B441" s="61" t="s">
        <v>7</v>
      </c>
      <c r="C441" s="6"/>
      <c r="D441" s="62"/>
      <c r="E441" s="63"/>
    </row>
    <row r="442" spans="1:5" ht="18" hidden="1">
      <c r="A442" s="15" t="s">
        <v>118</v>
      </c>
      <c r="B442" s="61" t="s">
        <v>9</v>
      </c>
      <c r="C442" s="6"/>
      <c r="D442" s="62"/>
      <c r="E442" s="63"/>
    </row>
    <row r="443" spans="1:5" ht="18" hidden="1">
      <c r="A443" s="22" t="s">
        <v>119</v>
      </c>
      <c r="B443" s="61" t="s">
        <v>7</v>
      </c>
      <c r="C443" s="6"/>
      <c r="D443" s="62"/>
      <c r="E443" s="63"/>
    </row>
    <row r="444" spans="1:5" ht="18" hidden="1">
      <c r="A444" s="22" t="s">
        <v>120</v>
      </c>
      <c r="B444" s="61" t="s">
        <v>9</v>
      </c>
      <c r="C444" s="6"/>
      <c r="D444" s="62"/>
      <c r="E444" s="63"/>
    </row>
    <row r="445" spans="1:5" ht="18" hidden="1">
      <c r="A445" s="21" t="s">
        <v>121</v>
      </c>
      <c r="B445" s="61" t="s">
        <v>7</v>
      </c>
      <c r="C445" s="6"/>
      <c r="D445" s="62"/>
      <c r="E445" s="63"/>
    </row>
    <row r="446" spans="1:5" ht="18" hidden="1">
      <c r="A446" s="23" t="s">
        <v>122</v>
      </c>
      <c r="B446" s="61" t="s">
        <v>39</v>
      </c>
      <c r="C446" s="6"/>
      <c r="D446" s="62"/>
      <c r="E446" s="63"/>
    </row>
    <row r="447" spans="1:5" ht="18" hidden="1">
      <c r="A447" s="8" t="s">
        <v>123</v>
      </c>
      <c r="B447" s="61" t="s">
        <v>7</v>
      </c>
      <c r="C447" s="6"/>
      <c r="D447" s="62"/>
      <c r="E447" s="63"/>
    </row>
    <row r="448" spans="1:5" ht="18" hidden="1">
      <c r="A448" s="8" t="s">
        <v>124</v>
      </c>
      <c r="B448" s="61" t="s">
        <v>7</v>
      </c>
      <c r="C448" s="6"/>
      <c r="D448" s="62"/>
      <c r="E448" s="63"/>
    </row>
    <row r="449" spans="1:5" ht="18" hidden="1">
      <c r="A449" s="8" t="s">
        <v>125</v>
      </c>
      <c r="B449" s="61" t="s">
        <v>7</v>
      </c>
      <c r="C449" s="6"/>
      <c r="D449" s="62"/>
      <c r="E449" s="63"/>
    </row>
    <row r="450" spans="1:5" ht="18" hidden="1">
      <c r="A450" s="8" t="s">
        <v>126</v>
      </c>
      <c r="B450" s="61" t="s">
        <v>57</v>
      </c>
      <c r="C450" s="6"/>
      <c r="D450" s="62"/>
      <c r="E450" s="63"/>
    </row>
    <row r="451" spans="1:5" ht="18" hidden="1">
      <c r="A451" s="8" t="s">
        <v>128</v>
      </c>
      <c r="B451" s="61" t="s">
        <v>7</v>
      </c>
      <c r="C451" s="6"/>
      <c r="D451" s="62"/>
      <c r="E451" s="63"/>
    </row>
    <row r="452" spans="1:5" ht="18" hidden="1">
      <c r="A452" s="8" t="s">
        <v>129</v>
      </c>
      <c r="B452" s="61" t="s">
        <v>54</v>
      </c>
      <c r="C452" s="6"/>
      <c r="D452" s="62"/>
      <c r="E452" s="63"/>
    </row>
    <row r="453" spans="1:5" ht="18" hidden="1">
      <c r="A453" s="8" t="s">
        <v>362</v>
      </c>
      <c r="B453" s="61" t="s">
        <v>7</v>
      </c>
      <c r="C453" s="6"/>
      <c r="D453" s="62"/>
      <c r="E453" s="63"/>
    </row>
    <row r="454" spans="1:5" ht="18" hidden="1">
      <c r="A454" s="8" t="s">
        <v>130</v>
      </c>
      <c r="B454" s="61" t="s">
        <v>7</v>
      </c>
      <c r="C454" s="6"/>
      <c r="D454" s="62"/>
      <c r="E454" s="63"/>
    </row>
    <row r="455" spans="1:5" ht="18" hidden="1">
      <c r="A455" s="10" t="s">
        <v>131</v>
      </c>
      <c r="B455" s="61" t="s">
        <v>7</v>
      </c>
      <c r="C455" s="6"/>
      <c r="D455" s="62"/>
      <c r="E455" s="63"/>
    </row>
    <row r="456" spans="1:5" ht="18" hidden="1">
      <c r="A456" s="19" t="s">
        <v>132</v>
      </c>
      <c r="B456" s="61" t="s">
        <v>21</v>
      </c>
      <c r="C456" s="6"/>
      <c r="D456" s="62"/>
      <c r="E456" s="63"/>
    </row>
    <row r="457" spans="1:5" ht="18" hidden="1">
      <c r="A457" s="8" t="s">
        <v>133</v>
      </c>
      <c r="B457" s="61" t="s">
        <v>134</v>
      </c>
      <c r="C457" s="6"/>
      <c r="D457" s="62"/>
      <c r="E457" s="63"/>
    </row>
    <row r="458" spans="1:5" ht="18" hidden="1">
      <c r="A458" s="10" t="s">
        <v>135</v>
      </c>
      <c r="B458" s="61" t="s">
        <v>134</v>
      </c>
      <c r="C458" s="6"/>
      <c r="D458" s="62"/>
      <c r="E458" s="63"/>
    </row>
    <row r="459" spans="1:5" ht="18" hidden="1">
      <c r="A459" s="10" t="s">
        <v>136</v>
      </c>
      <c r="B459" s="61" t="s">
        <v>134</v>
      </c>
      <c r="C459" s="6"/>
      <c r="D459" s="62"/>
      <c r="E459" s="63"/>
    </row>
    <row r="460" spans="1:5" ht="21" customHeight="1">
      <c r="A460" s="19" t="s">
        <v>137</v>
      </c>
      <c r="B460" s="64" t="s">
        <v>7</v>
      </c>
      <c r="C460" s="65">
        <v>8</v>
      </c>
      <c r="D460" s="66">
        <v>10000</v>
      </c>
      <c r="E460" s="67">
        <f>+D460*C460</f>
        <v>80000</v>
      </c>
    </row>
    <row r="461" spans="1:5" ht="18" hidden="1">
      <c r="A461" s="9" t="s">
        <v>139</v>
      </c>
      <c r="B461" s="61" t="s">
        <v>7</v>
      </c>
      <c r="C461" s="6"/>
      <c r="D461" s="62"/>
      <c r="E461" s="63"/>
    </row>
    <row r="462" spans="1:5" ht="18" hidden="1">
      <c r="A462" s="12" t="s">
        <v>140</v>
      </c>
      <c r="B462" s="61" t="s">
        <v>68</v>
      </c>
      <c r="C462" s="6"/>
      <c r="D462" s="62"/>
      <c r="E462" s="63"/>
    </row>
    <row r="463" spans="1:5" ht="18" hidden="1">
      <c r="A463" s="11" t="s">
        <v>141</v>
      </c>
      <c r="B463" s="61" t="s">
        <v>68</v>
      </c>
      <c r="C463" s="14"/>
      <c r="D463" s="62"/>
      <c r="E463" s="63"/>
    </row>
    <row r="464" spans="1:5" ht="18" hidden="1">
      <c r="A464" s="11" t="s">
        <v>142</v>
      </c>
      <c r="B464" s="61" t="s">
        <v>7</v>
      </c>
      <c r="C464" s="14"/>
      <c r="D464" s="62"/>
      <c r="E464" s="63"/>
    </row>
    <row r="465" spans="1:5" ht="18" hidden="1">
      <c r="A465" s="11" t="s">
        <v>143</v>
      </c>
      <c r="B465" s="61" t="s">
        <v>7</v>
      </c>
      <c r="C465" s="14"/>
      <c r="D465" s="62"/>
      <c r="E465" s="63"/>
    </row>
    <row r="466" spans="1:5" ht="18" hidden="1">
      <c r="A466" s="11" t="s">
        <v>144</v>
      </c>
      <c r="B466" s="61" t="s">
        <v>7</v>
      </c>
      <c r="C466" s="24"/>
      <c r="D466" s="62"/>
      <c r="E466" s="63"/>
    </row>
    <row r="467" spans="1:5" ht="18" hidden="1">
      <c r="A467" s="25" t="s">
        <v>145</v>
      </c>
      <c r="B467" s="61" t="s">
        <v>54</v>
      </c>
      <c r="C467" s="6"/>
      <c r="D467" s="62"/>
      <c r="E467" s="63"/>
    </row>
    <row r="468" spans="1:5" ht="18" hidden="1">
      <c r="A468" s="11" t="s">
        <v>146</v>
      </c>
      <c r="B468" s="61" t="s">
        <v>7</v>
      </c>
      <c r="C468" s="14"/>
      <c r="D468" s="62"/>
      <c r="E468" s="63"/>
    </row>
    <row r="469" spans="1:5" ht="18" hidden="1">
      <c r="A469" s="8" t="s">
        <v>147</v>
      </c>
      <c r="B469" s="61" t="s">
        <v>7</v>
      </c>
      <c r="C469" s="6"/>
      <c r="D469" s="62"/>
      <c r="E469" s="63"/>
    </row>
    <row r="470" spans="1:5" ht="18" hidden="1">
      <c r="A470" s="8" t="s">
        <v>148</v>
      </c>
      <c r="B470" s="61" t="s">
        <v>17</v>
      </c>
      <c r="C470" s="6"/>
      <c r="D470" s="62"/>
      <c r="E470" s="63"/>
    </row>
    <row r="471" spans="1:5" ht="21" customHeight="1">
      <c r="A471" s="19" t="s">
        <v>150</v>
      </c>
      <c r="B471" s="64" t="s">
        <v>7</v>
      </c>
      <c r="C471" s="65">
        <v>70</v>
      </c>
      <c r="D471" s="66">
        <v>13000</v>
      </c>
      <c r="E471" s="67">
        <f>+D471*C471</f>
        <v>910000</v>
      </c>
    </row>
    <row r="472" spans="1:5" ht="18" hidden="1">
      <c r="A472" s="15" t="s">
        <v>151</v>
      </c>
      <c r="B472" s="61" t="s">
        <v>49</v>
      </c>
      <c r="C472" s="6"/>
      <c r="D472" s="62"/>
      <c r="E472" s="63"/>
    </row>
    <row r="473" spans="1:5" ht="18" hidden="1">
      <c r="A473" s="11" t="s">
        <v>152</v>
      </c>
      <c r="B473" s="61" t="s">
        <v>7</v>
      </c>
      <c r="C473" s="6"/>
      <c r="D473" s="62"/>
      <c r="E473" s="63"/>
    </row>
    <row r="474" spans="1:5" ht="18" hidden="1">
      <c r="A474" s="11" t="s">
        <v>153</v>
      </c>
      <c r="B474" s="61" t="s">
        <v>49</v>
      </c>
      <c r="C474" s="6"/>
      <c r="D474" s="62"/>
      <c r="E474" s="63"/>
    </row>
    <row r="475" spans="1:5" ht="18" hidden="1">
      <c r="A475" s="8" t="s">
        <v>154</v>
      </c>
      <c r="B475" s="61" t="s">
        <v>7</v>
      </c>
      <c r="C475" s="6"/>
      <c r="D475" s="62"/>
      <c r="E475" s="63"/>
    </row>
    <row r="476" spans="1:5" ht="18" hidden="1">
      <c r="A476" s="8" t="s">
        <v>363</v>
      </c>
      <c r="B476" s="61" t="s">
        <v>7</v>
      </c>
      <c r="C476" s="6"/>
      <c r="D476" s="62"/>
      <c r="E476" s="63"/>
    </row>
    <row r="477" spans="1:5" ht="18" hidden="1">
      <c r="A477" s="8" t="s">
        <v>156</v>
      </c>
      <c r="B477" s="61" t="s">
        <v>7</v>
      </c>
      <c r="C477" s="14"/>
      <c r="D477" s="62"/>
      <c r="E477" s="63"/>
    </row>
    <row r="478" spans="1:5" ht="18" hidden="1">
      <c r="A478" s="8" t="s">
        <v>157</v>
      </c>
      <c r="B478" s="61" t="s">
        <v>54</v>
      </c>
      <c r="C478" s="14"/>
      <c r="D478" s="62"/>
      <c r="E478" s="63"/>
    </row>
    <row r="479" spans="1:5" ht="18" hidden="1">
      <c r="A479" s="8" t="s">
        <v>158</v>
      </c>
      <c r="B479" s="61"/>
      <c r="C479" s="6"/>
      <c r="D479" s="62"/>
      <c r="E479" s="63"/>
    </row>
    <row r="480" spans="1:5" ht="18" hidden="1">
      <c r="A480" s="8" t="s">
        <v>159</v>
      </c>
      <c r="B480" s="61" t="s">
        <v>7</v>
      </c>
      <c r="C480" s="14"/>
      <c r="D480" s="62"/>
      <c r="E480" s="63"/>
    </row>
    <row r="481" spans="1:5" ht="18" hidden="1">
      <c r="A481" s="8" t="s">
        <v>160</v>
      </c>
      <c r="B481" s="61" t="s">
        <v>54</v>
      </c>
      <c r="C481" s="14"/>
      <c r="D481" s="62"/>
      <c r="E481" s="63"/>
    </row>
    <row r="482" spans="1:5" ht="18" hidden="1">
      <c r="A482" s="8" t="s">
        <v>161</v>
      </c>
      <c r="B482" s="61" t="s">
        <v>7</v>
      </c>
      <c r="C482" s="14"/>
      <c r="D482" s="62"/>
      <c r="E482" s="63"/>
    </row>
    <row r="483" spans="1:5" ht="18" hidden="1">
      <c r="A483" s="8" t="s">
        <v>162</v>
      </c>
      <c r="B483" s="61" t="s">
        <v>54</v>
      </c>
      <c r="C483" s="14"/>
      <c r="D483" s="62"/>
      <c r="E483" s="63"/>
    </row>
    <row r="484" spans="1:5" ht="18" hidden="1">
      <c r="A484" s="8" t="s">
        <v>163</v>
      </c>
      <c r="B484" s="61" t="s">
        <v>7</v>
      </c>
      <c r="C484" s="14"/>
      <c r="D484" s="62"/>
      <c r="E484" s="63"/>
    </row>
    <row r="485" spans="1:5" ht="18" hidden="1">
      <c r="A485" s="8" t="s">
        <v>164</v>
      </c>
      <c r="B485" s="61" t="s">
        <v>7</v>
      </c>
      <c r="C485" s="14"/>
      <c r="D485" s="62"/>
      <c r="E485" s="63"/>
    </row>
    <row r="486" spans="1:5" ht="18" hidden="1">
      <c r="A486" s="8" t="s">
        <v>165</v>
      </c>
      <c r="B486" s="61" t="s">
        <v>7</v>
      </c>
      <c r="C486" s="14"/>
      <c r="D486" s="62"/>
      <c r="E486" s="63"/>
    </row>
    <row r="487" spans="1:5" ht="18" hidden="1">
      <c r="A487" s="8" t="s">
        <v>166</v>
      </c>
      <c r="B487" s="61" t="s">
        <v>54</v>
      </c>
      <c r="C487" s="14"/>
      <c r="D487" s="62"/>
      <c r="E487" s="63"/>
    </row>
    <row r="488" spans="1:5" ht="18" hidden="1">
      <c r="A488" s="8" t="s">
        <v>167</v>
      </c>
      <c r="B488" s="61" t="s">
        <v>7</v>
      </c>
      <c r="C488" s="6"/>
      <c r="D488" s="62"/>
      <c r="E488" s="63"/>
    </row>
    <row r="489" spans="1:5" ht="18" hidden="1">
      <c r="A489" s="8" t="s">
        <v>364</v>
      </c>
      <c r="B489" s="61" t="s">
        <v>7</v>
      </c>
      <c r="C489" s="6"/>
      <c r="D489" s="62"/>
      <c r="E489" s="63"/>
    </row>
    <row r="490" spans="1:5" ht="18" hidden="1">
      <c r="A490" s="8" t="s">
        <v>168</v>
      </c>
      <c r="B490" s="61" t="s">
        <v>7</v>
      </c>
      <c r="C490" s="6"/>
      <c r="D490" s="62"/>
      <c r="E490" s="63"/>
    </row>
    <row r="491" spans="1:5" ht="18" hidden="1">
      <c r="A491" s="8" t="s">
        <v>169</v>
      </c>
      <c r="B491" s="61" t="s">
        <v>49</v>
      </c>
      <c r="C491" s="6"/>
      <c r="D491" s="62"/>
      <c r="E491" s="63"/>
    </row>
    <row r="492" spans="1:5" ht="18" hidden="1">
      <c r="A492" s="8" t="s">
        <v>170</v>
      </c>
      <c r="B492" s="61" t="s">
        <v>49</v>
      </c>
      <c r="C492" s="6"/>
      <c r="D492" s="62"/>
      <c r="E492" s="63"/>
    </row>
    <row r="493" spans="1:5" ht="18" hidden="1">
      <c r="A493" s="15" t="s">
        <v>171</v>
      </c>
      <c r="B493" s="61" t="s">
        <v>49</v>
      </c>
      <c r="C493" s="6"/>
      <c r="D493" s="62"/>
      <c r="E493" s="63"/>
    </row>
    <row r="494" spans="1:5" ht="18" hidden="1">
      <c r="A494" s="8" t="s">
        <v>172</v>
      </c>
      <c r="B494" s="61" t="s">
        <v>7</v>
      </c>
      <c r="C494" s="6"/>
      <c r="D494" s="62"/>
      <c r="E494" s="63"/>
    </row>
    <row r="495" spans="1:5" ht="18" hidden="1">
      <c r="A495" s="8" t="s">
        <v>173</v>
      </c>
      <c r="B495" s="61" t="s">
        <v>7</v>
      </c>
      <c r="C495" s="6"/>
      <c r="D495" s="62"/>
      <c r="E495" s="63"/>
    </row>
    <row r="496" spans="1:5" ht="18" hidden="1">
      <c r="A496" s="8" t="s">
        <v>174</v>
      </c>
      <c r="B496" s="61" t="s">
        <v>49</v>
      </c>
      <c r="C496" s="6"/>
      <c r="D496" s="62"/>
      <c r="E496" s="63"/>
    </row>
    <row r="497" spans="1:5" ht="18" hidden="1">
      <c r="A497" s="8" t="s">
        <v>175</v>
      </c>
      <c r="B497" s="61" t="s">
        <v>49</v>
      </c>
      <c r="C497" s="6"/>
      <c r="D497" s="62"/>
      <c r="E497" s="63"/>
    </row>
    <row r="498" spans="1:5" ht="18" hidden="1">
      <c r="A498" s="8" t="s">
        <v>176</v>
      </c>
      <c r="B498" s="61" t="s">
        <v>49</v>
      </c>
      <c r="C498" s="14"/>
      <c r="D498" s="62"/>
      <c r="E498" s="63"/>
    </row>
    <row r="499" spans="1:5" ht="18" hidden="1">
      <c r="A499" s="16" t="s">
        <v>177</v>
      </c>
      <c r="B499" s="61" t="s">
        <v>7</v>
      </c>
      <c r="C499" s="14"/>
      <c r="D499" s="62"/>
      <c r="E499" s="63"/>
    </row>
    <row r="500" spans="1:5" ht="18" hidden="1">
      <c r="A500" s="8" t="s">
        <v>178</v>
      </c>
      <c r="B500" s="61" t="s">
        <v>54</v>
      </c>
      <c r="C500" s="14"/>
      <c r="D500" s="62"/>
      <c r="E500" s="63"/>
    </row>
    <row r="501" spans="1:5" ht="18" hidden="1">
      <c r="A501" s="8" t="s">
        <v>180</v>
      </c>
      <c r="B501" s="61" t="s">
        <v>7</v>
      </c>
      <c r="C501" s="6"/>
      <c r="D501" s="62"/>
      <c r="E501" s="63"/>
    </row>
    <row r="502" spans="1:5" ht="18" hidden="1">
      <c r="A502" s="15" t="s">
        <v>181</v>
      </c>
      <c r="B502" s="61" t="s">
        <v>54</v>
      </c>
      <c r="C502" s="6"/>
      <c r="D502" s="62"/>
      <c r="E502" s="63"/>
    </row>
    <row r="503" spans="1:5" ht="21" customHeight="1">
      <c r="A503" s="19" t="s">
        <v>365</v>
      </c>
      <c r="B503" s="64" t="s">
        <v>54</v>
      </c>
      <c r="C503" s="65">
        <v>171</v>
      </c>
      <c r="D503" s="66">
        <v>7000</v>
      </c>
      <c r="E503" s="67">
        <f>+D503*C503</f>
        <v>1197000</v>
      </c>
    </row>
    <row r="504" spans="1:5" ht="18" hidden="1">
      <c r="A504" s="11" t="s">
        <v>182</v>
      </c>
      <c r="B504" s="61" t="s">
        <v>7</v>
      </c>
      <c r="C504" s="6"/>
      <c r="D504" s="62"/>
      <c r="E504" s="63"/>
    </row>
    <row r="505" spans="1:5" ht="18" hidden="1">
      <c r="A505" s="8" t="s">
        <v>183</v>
      </c>
      <c r="B505" s="61" t="s">
        <v>54</v>
      </c>
      <c r="C505" s="6"/>
      <c r="D505" s="83"/>
      <c r="E505" s="63"/>
    </row>
    <row r="506" spans="1:5" ht="18" hidden="1">
      <c r="A506" s="8" t="s">
        <v>185</v>
      </c>
      <c r="B506" s="61" t="s">
        <v>7</v>
      </c>
      <c r="C506" s="6"/>
      <c r="D506" s="68"/>
      <c r="E506" s="63"/>
    </row>
    <row r="507" spans="1:5" ht="18" hidden="1">
      <c r="A507" s="8" t="s">
        <v>186</v>
      </c>
      <c r="B507" s="61" t="s">
        <v>7</v>
      </c>
      <c r="C507" s="6"/>
      <c r="D507" s="62"/>
      <c r="E507" s="63"/>
    </row>
    <row r="508" spans="1:5" ht="18" hidden="1">
      <c r="A508" s="18" t="s">
        <v>187</v>
      </c>
      <c r="B508" s="61" t="s">
        <v>7</v>
      </c>
      <c r="C508" s="6"/>
      <c r="D508" s="62"/>
      <c r="E508" s="63"/>
    </row>
    <row r="509" spans="1:5" ht="18" hidden="1">
      <c r="A509" s="8" t="s">
        <v>188</v>
      </c>
      <c r="B509" s="61" t="s">
        <v>49</v>
      </c>
      <c r="C509" s="6"/>
      <c r="D509" s="62"/>
      <c r="E509" s="63"/>
    </row>
    <row r="510" spans="1:5" ht="18" hidden="1">
      <c r="A510" s="28" t="s">
        <v>189</v>
      </c>
      <c r="B510" s="71" t="s">
        <v>7</v>
      </c>
      <c r="C510" s="29"/>
      <c r="D510" s="72"/>
      <c r="E510" s="73"/>
    </row>
    <row r="511" spans="1:5" ht="18" hidden="1">
      <c r="A511" s="10" t="s">
        <v>190</v>
      </c>
      <c r="B511" s="61" t="s">
        <v>7</v>
      </c>
      <c r="C511" s="6"/>
      <c r="D511" s="62"/>
      <c r="E511" s="63"/>
    </row>
    <row r="512" spans="1:5" ht="18" hidden="1">
      <c r="A512" s="8" t="s">
        <v>191</v>
      </c>
      <c r="B512" s="61" t="s">
        <v>7</v>
      </c>
      <c r="C512" s="6"/>
      <c r="D512" s="62"/>
      <c r="E512" s="63"/>
    </row>
    <row r="513" spans="1:5" ht="18" hidden="1">
      <c r="A513" s="8" t="s">
        <v>192</v>
      </c>
      <c r="B513" s="61" t="s">
        <v>7</v>
      </c>
      <c r="C513" s="6"/>
      <c r="D513" s="62"/>
      <c r="E513" s="63"/>
    </row>
    <row r="514" spans="1:5" ht="18" hidden="1">
      <c r="A514" s="11" t="s">
        <v>193</v>
      </c>
      <c r="B514" s="61" t="s">
        <v>7</v>
      </c>
      <c r="C514" s="6"/>
      <c r="D514" s="62"/>
      <c r="E514" s="63"/>
    </row>
    <row r="515" spans="1:5" ht="18" hidden="1">
      <c r="A515" s="8" t="s">
        <v>194</v>
      </c>
      <c r="B515" s="61" t="s">
        <v>7</v>
      </c>
      <c r="C515" s="6"/>
      <c r="D515" s="62"/>
      <c r="E515" s="63"/>
    </row>
    <row r="516" spans="1:5" ht="18" hidden="1">
      <c r="A516" s="8" t="s">
        <v>195</v>
      </c>
      <c r="B516" s="61" t="s">
        <v>7</v>
      </c>
      <c r="C516" s="6"/>
      <c r="D516" s="62"/>
      <c r="E516" s="63"/>
    </row>
    <row r="517" spans="1:5" ht="18" hidden="1">
      <c r="A517" s="11" t="s">
        <v>196</v>
      </c>
      <c r="B517" s="61" t="s">
        <v>7</v>
      </c>
      <c r="C517" s="6"/>
      <c r="D517" s="62"/>
      <c r="E517" s="63"/>
    </row>
    <row r="518" spans="1:5" ht="18" hidden="1">
      <c r="A518" s="11" t="s">
        <v>197</v>
      </c>
      <c r="B518" s="61" t="s">
        <v>7</v>
      </c>
      <c r="C518" s="6"/>
      <c r="D518" s="62"/>
      <c r="E518" s="63"/>
    </row>
    <row r="519" spans="1:5" ht="21" customHeight="1">
      <c r="A519" s="10" t="s">
        <v>198</v>
      </c>
      <c r="B519" s="64" t="s">
        <v>7</v>
      </c>
      <c r="C519" s="65">
        <v>1750</v>
      </c>
      <c r="D519" s="66">
        <v>6000</v>
      </c>
      <c r="E519" s="67">
        <f>+D519*C519</f>
        <v>10500000</v>
      </c>
    </row>
    <row r="520" spans="1:5" ht="18" hidden="1">
      <c r="A520" s="8" t="s">
        <v>199</v>
      </c>
      <c r="B520" s="61" t="s">
        <v>49</v>
      </c>
      <c r="C520" s="6"/>
      <c r="D520" s="62"/>
      <c r="E520" s="63"/>
    </row>
    <row r="521" spans="1:5" ht="18" hidden="1">
      <c r="A521" s="11" t="s">
        <v>200</v>
      </c>
      <c r="B521" s="61" t="s">
        <v>7</v>
      </c>
      <c r="C521" s="6"/>
      <c r="D521" s="62"/>
      <c r="E521" s="63"/>
    </row>
    <row r="522" spans="1:5" ht="18" hidden="1">
      <c r="A522" s="11" t="s">
        <v>201</v>
      </c>
      <c r="B522" s="61" t="s">
        <v>7</v>
      </c>
      <c r="C522" s="6"/>
      <c r="D522" s="62"/>
      <c r="E522" s="63"/>
    </row>
    <row r="523" spans="1:5" ht="18" hidden="1">
      <c r="A523" s="11" t="s">
        <v>202</v>
      </c>
      <c r="B523" s="61" t="s">
        <v>49</v>
      </c>
      <c r="C523" s="6"/>
      <c r="D523" s="62"/>
      <c r="E523" s="63"/>
    </row>
    <row r="524" spans="1:5" ht="18" hidden="1">
      <c r="A524" s="8" t="s">
        <v>203</v>
      </c>
      <c r="B524" s="61" t="s">
        <v>49</v>
      </c>
      <c r="C524" s="6"/>
      <c r="D524" s="62"/>
      <c r="E524" s="63"/>
    </row>
    <row r="525" spans="1:5" ht="18" hidden="1">
      <c r="A525" s="15" t="s">
        <v>204</v>
      </c>
      <c r="B525" s="61" t="s">
        <v>7</v>
      </c>
      <c r="C525" s="6"/>
      <c r="D525" s="62"/>
      <c r="E525" s="63"/>
    </row>
    <row r="526" spans="1:5" ht="18" hidden="1">
      <c r="A526" s="15" t="s">
        <v>205</v>
      </c>
      <c r="B526" s="61" t="s">
        <v>7</v>
      </c>
      <c r="C526" s="6"/>
      <c r="D526" s="62"/>
      <c r="E526" s="63"/>
    </row>
    <row r="527" spans="1:5" ht="18" hidden="1">
      <c r="A527" s="15" t="s">
        <v>206</v>
      </c>
      <c r="B527" s="61" t="s">
        <v>7</v>
      </c>
      <c r="C527" s="6"/>
      <c r="D527" s="62"/>
      <c r="E527" s="63"/>
    </row>
    <row r="528" spans="1:5" ht="18" hidden="1">
      <c r="A528" s="15" t="s">
        <v>207</v>
      </c>
      <c r="B528" s="61" t="s">
        <v>49</v>
      </c>
      <c r="C528" s="6"/>
      <c r="D528" s="62"/>
      <c r="E528" s="63"/>
    </row>
    <row r="529" spans="1:5" ht="18" hidden="1">
      <c r="A529" s="11" t="s">
        <v>208</v>
      </c>
      <c r="B529" s="61" t="s">
        <v>7</v>
      </c>
      <c r="C529" s="6"/>
      <c r="D529" s="62"/>
      <c r="E529" s="63"/>
    </row>
    <row r="530" spans="1:5" ht="18" hidden="1">
      <c r="A530" s="8" t="s">
        <v>209</v>
      </c>
      <c r="B530" s="61" t="s">
        <v>49</v>
      </c>
      <c r="C530" s="6"/>
      <c r="D530" s="62"/>
      <c r="E530" s="63"/>
    </row>
    <row r="531" spans="1:5" ht="18" hidden="1">
      <c r="A531" s="30" t="s">
        <v>210</v>
      </c>
      <c r="B531" s="61" t="s">
        <v>49</v>
      </c>
      <c r="C531" s="6"/>
      <c r="D531" s="62"/>
      <c r="E531" s="63"/>
    </row>
    <row r="532" spans="1:5" ht="18" hidden="1">
      <c r="A532" s="30" t="s">
        <v>211</v>
      </c>
      <c r="B532" s="61" t="s">
        <v>49</v>
      </c>
      <c r="C532" s="6"/>
      <c r="D532" s="62"/>
      <c r="E532" s="63"/>
    </row>
    <row r="533" spans="1:5" ht="18" hidden="1">
      <c r="A533" s="30" t="s">
        <v>212</v>
      </c>
      <c r="B533" s="61" t="s">
        <v>49</v>
      </c>
      <c r="C533" s="6"/>
      <c r="D533" s="62"/>
      <c r="E533" s="63"/>
    </row>
    <row r="534" spans="1:5" ht="18" hidden="1">
      <c r="A534" s="30" t="s">
        <v>213</v>
      </c>
      <c r="B534" s="61" t="s">
        <v>49</v>
      </c>
      <c r="C534" s="6"/>
      <c r="D534" s="62"/>
      <c r="E534" s="63"/>
    </row>
    <row r="535" spans="1:5" ht="18" hidden="1">
      <c r="A535" s="8" t="s">
        <v>214</v>
      </c>
      <c r="B535" s="61" t="s">
        <v>7</v>
      </c>
      <c r="C535" s="6"/>
      <c r="D535" s="62"/>
      <c r="E535" s="63"/>
    </row>
    <row r="536" spans="1:5" ht="18" hidden="1">
      <c r="A536" s="31" t="s">
        <v>215</v>
      </c>
      <c r="B536" s="61" t="s">
        <v>54</v>
      </c>
      <c r="C536" s="6"/>
      <c r="D536" s="62"/>
      <c r="E536" s="63"/>
    </row>
    <row r="537" spans="1:5" ht="18" hidden="1">
      <c r="A537" s="8" t="s">
        <v>216</v>
      </c>
      <c r="B537" s="61" t="s">
        <v>7</v>
      </c>
      <c r="C537" s="6"/>
      <c r="D537" s="62"/>
      <c r="E537" s="63"/>
    </row>
    <row r="538" spans="1:5" ht="18" hidden="1">
      <c r="A538" s="11" t="s">
        <v>217</v>
      </c>
      <c r="B538" s="61" t="s">
        <v>7</v>
      </c>
      <c r="C538" s="6"/>
      <c r="D538" s="62"/>
      <c r="E538" s="103"/>
    </row>
    <row r="539" spans="1:5" ht="18" hidden="1">
      <c r="A539" s="8" t="s">
        <v>366</v>
      </c>
      <c r="B539" s="61" t="s">
        <v>49</v>
      </c>
      <c r="C539" s="6"/>
      <c r="D539" s="62"/>
      <c r="E539" s="63"/>
    </row>
    <row r="540" spans="1:5" ht="18" hidden="1">
      <c r="A540" s="8" t="s">
        <v>218</v>
      </c>
      <c r="B540" s="61" t="s">
        <v>49</v>
      </c>
      <c r="C540" s="6"/>
      <c r="D540" s="62"/>
      <c r="E540" s="63"/>
    </row>
    <row r="541" spans="1:5" ht="21" customHeight="1">
      <c r="A541" s="19" t="s">
        <v>219</v>
      </c>
      <c r="B541" s="64" t="s">
        <v>7</v>
      </c>
      <c r="C541" s="65">
        <v>615</v>
      </c>
      <c r="D541" s="66">
        <v>13000</v>
      </c>
      <c r="E541" s="67">
        <f>+D541*C541</f>
        <v>7995000</v>
      </c>
    </row>
    <row r="542" spans="1:5" ht="18" hidden="1">
      <c r="A542" s="32" t="s">
        <v>220</v>
      </c>
      <c r="B542" s="61" t="s">
        <v>49</v>
      </c>
      <c r="C542" s="6"/>
      <c r="D542" s="62"/>
      <c r="E542" s="63"/>
    </row>
    <row r="543" spans="1:5" ht="18" hidden="1">
      <c r="A543" s="32" t="s">
        <v>221</v>
      </c>
      <c r="B543" s="61" t="s">
        <v>49</v>
      </c>
      <c r="C543" s="6"/>
      <c r="D543" s="62"/>
      <c r="E543" s="63"/>
    </row>
    <row r="544" spans="1:5" ht="18" hidden="1">
      <c r="A544" s="8" t="s">
        <v>222</v>
      </c>
      <c r="B544" s="61" t="s">
        <v>7</v>
      </c>
      <c r="C544" s="6"/>
      <c r="D544" s="62"/>
      <c r="E544" s="63"/>
    </row>
    <row r="545" spans="1:5" ht="18" hidden="1">
      <c r="A545" s="10" t="s">
        <v>223</v>
      </c>
      <c r="B545" s="61" t="s">
        <v>7</v>
      </c>
      <c r="C545" s="6"/>
      <c r="D545" s="74"/>
      <c r="E545" s="63"/>
    </row>
    <row r="546" spans="1:5" ht="18" hidden="1">
      <c r="A546" s="8" t="s">
        <v>224</v>
      </c>
      <c r="B546" s="61" t="s">
        <v>7</v>
      </c>
      <c r="C546" s="6"/>
      <c r="D546" s="62"/>
      <c r="E546" s="63"/>
    </row>
    <row r="547" spans="1:5" ht="18" hidden="1">
      <c r="A547" s="10" t="s">
        <v>367</v>
      </c>
      <c r="B547" s="61" t="s">
        <v>7</v>
      </c>
      <c r="C547" s="6"/>
      <c r="D547" s="74"/>
      <c r="E547" s="63"/>
    </row>
    <row r="548" spans="1:5" ht="18" hidden="1">
      <c r="A548" s="8" t="s">
        <v>225</v>
      </c>
      <c r="B548" s="61" t="s">
        <v>7</v>
      </c>
      <c r="C548" s="6"/>
      <c r="D548" s="74"/>
      <c r="E548" s="63"/>
    </row>
    <row r="549" spans="1:5" ht="18" hidden="1">
      <c r="A549" s="8" t="s">
        <v>226</v>
      </c>
      <c r="B549" s="61" t="s">
        <v>49</v>
      </c>
      <c r="C549" s="6"/>
      <c r="D549" s="62"/>
      <c r="E549" s="63"/>
    </row>
    <row r="550" spans="1:5" ht="21" customHeight="1">
      <c r="A550" s="19" t="s">
        <v>368</v>
      </c>
      <c r="B550" s="64" t="s">
        <v>49</v>
      </c>
      <c r="C550" s="65">
        <v>40</v>
      </c>
      <c r="D550" s="66">
        <v>6000</v>
      </c>
      <c r="E550" s="67">
        <f>+D550*C550</f>
        <v>240000</v>
      </c>
    </row>
    <row r="551" spans="1:5" ht="18" hidden="1">
      <c r="A551" s="8" t="s">
        <v>369</v>
      </c>
      <c r="B551" s="61" t="s">
        <v>49</v>
      </c>
      <c r="C551" s="6"/>
      <c r="D551" s="62"/>
      <c r="E551" s="63"/>
    </row>
    <row r="552" spans="1:5" ht="18" hidden="1">
      <c r="A552" s="8" t="s">
        <v>227</v>
      </c>
      <c r="B552" s="61" t="s">
        <v>7</v>
      </c>
      <c r="C552" s="6"/>
      <c r="D552" s="62"/>
      <c r="E552" s="63"/>
    </row>
    <row r="553" spans="1:5" ht="18" hidden="1">
      <c r="A553" s="33" t="s">
        <v>228</v>
      </c>
      <c r="B553" s="61" t="s">
        <v>49</v>
      </c>
      <c r="C553" s="6"/>
      <c r="D553" s="62"/>
      <c r="E553" s="63"/>
    </row>
    <row r="554" spans="1:5" ht="18" hidden="1">
      <c r="A554" s="8" t="s">
        <v>229</v>
      </c>
      <c r="B554" s="61" t="s">
        <v>7</v>
      </c>
      <c r="C554" s="6"/>
      <c r="D554" s="62"/>
      <c r="E554" s="63"/>
    </row>
    <row r="555" spans="1:5" ht="21" customHeight="1">
      <c r="A555" s="19" t="s">
        <v>230</v>
      </c>
      <c r="B555" s="64" t="s">
        <v>7</v>
      </c>
      <c r="C555" s="65">
        <v>480</v>
      </c>
      <c r="D555" s="66">
        <v>16000</v>
      </c>
      <c r="E555" s="67">
        <f>+D555*C555</f>
        <v>7680000</v>
      </c>
    </row>
    <row r="556" spans="1:5" ht="18" hidden="1">
      <c r="A556" s="8" t="s">
        <v>231</v>
      </c>
      <c r="B556" s="61" t="s">
        <v>49</v>
      </c>
      <c r="C556" s="6"/>
      <c r="D556" s="62"/>
      <c r="E556" s="63"/>
    </row>
    <row r="557" spans="1:5" ht="18" hidden="1">
      <c r="A557" s="8" t="s">
        <v>370</v>
      </c>
      <c r="B557" s="61" t="s">
        <v>7</v>
      </c>
      <c r="C557" s="6"/>
      <c r="D557" s="62"/>
      <c r="E557" s="63"/>
    </row>
    <row r="558" spans="1:5" ht="18" hidden="1">
      <c r="A558" s="8" t="s">
        <v>232</v>
      </c>
      <c r="B558" s="61" t="s">
        <v>49</v>
      </c>
      <c r="C558" s="6"/>
      <c r="D558" s="62"/>
      <c r="E558" s="63"/>
    </row>
    <row r="559" spans="1:5" ht="18" hidden="1">
      <c r="A559" s="15" t="s">
        <v>233</v>
      </c>
      <c r="B559" s="61" t="s">
        <v>7</v>
      </c>
      <c r="C559" s="6"/>
      <c r="D559" s="62"/>
      <c r="E559" s="63"/>
    </row>
    <row r="560" spans="1:5" ht="18" hidden="1">
      <c r="A560" s="15" t="s">
        <v>234</v>
      </c>
      <c r="B560" s="61" t="s">
        <v>49</v>
      </c>
      <c r="C560" s="6"/>
      <c r="D560" s="62"/>
      <c r="E560" s="63"/>
    </row>
    <row r="561" spans="1:5" ht="18" hidden="1">
      <c r="A561" s="15" t="s">
        <v>235</v>
      </c>
      <c r="B561" s="61" t="s">
        <v>7</v>
      </c>
      <c r="C561" s="6"/>
      <c r="D561" s="62"/>
      <c r="E561" s="63"/>
    </row>
    <row r="562" spans="1:5" ht="18" hidden="1">
      <c r="A562" s="15" t="s">
        <v>236</v>
      </c>
      <c r="B562" s="61" t="s">
        <v>49</v>
      </c>
      <c r="C562" s="6"/>
      <c r="D562" s="62"/>
      <c r="E562" s="63"/>
    </row>
    <row r="563" spans="1:5" ht="18" hidden="1">
      <c r="A563" s="8" t="s">
        <v>237</v>
      </c>
      <c r="B563" s="61" t="s">
        <v>7</v>
      </c>
      <c r="C563" s="6"/>
      <c r="D563" s="62"/>
      <c r="E563" s="63"/>
    </row>
    <row r="564" spans="1:5" ht="18" hidden="1">
      <c r="A564" s="8" t="s">
        <v>238</v>
      </c>
      <c r="B564" s="61" t="s">
        <v>7</v>
      </c>
      <c r="C564" s="6"/>
      <c r="D564" s="62"/>
      <c r="E564" s="63"/>
    </row>
    <row r="565" spans="1:5" ht="18" hidden="1">
      <c r="A565" s="15" t="s">
        <v>239</v>
      </c>
      <c r="B565" s="61" t="s">
        <v>49</v>
      </c>
      <c r="C565" s="6"/>
      <c r="D565" s="62"/>
      <c r="E565" s="63"/>
    </row>
    <row r="566" spans="1:5" ht="18" hidden="1">
      <c r="A566" s="15" t="s">
        <v>240</v>
      </c>
      <c r="B566" s="61" t="s">
        <v>49</v>
      </c>
      <c r="C566" s="6"/>
      <c r="D566" s="62"/>
      <c r="E566" s="63"/>
    </row>
    <row r="567" spans="1:5" ht="18" hidden="1">
      <c r="A567" s="10" t="s">
        <v>241</v>
      </c>
      <c r="B567" s="61" t="s">
        <v>7</v>
      </c>
      <c r="C567" s="6"/>
      <c r="D567" s="62"/>
      <c r="E567" s="63"/>
    </row>
    <row r="568" spans="1:5" ht="18" hidden="1">
      <c r="A568" s="11" t="s">
        <v>242</v>
      </c>
      <c r="B568" s="61" t="s">
        <v>68</v>
      </c>
      <c r="C568" s="6"/>
      <c r="D568" s="62"/>
      <c r="E568" s="63"/>
    </row>
    <row r="569" spans="1:5" ht="18" hidden="1">
      <c r="A569" s="19" t="s">
        <v>371</v>
      </c>
      <c r="B569" s="61" t="s">
        <v>7</v>
      </c>
      <c r="C569" s="6"/>
      <c r="D569" s="62"/>
      <c r="E569" s="63"/>
    </row>
    <row r="570" spans="1:5" ht="18" hidden="1">
      <c r="A570" s="19" t="s">
        <v>372</v>
      </c>
      <c r="B570" s="61" t="s">
        <v>68</v>
      </c>
      <c r="C570" s="6"/>
      <c r="D570" s="62"/>
      <c r="E570" s="63"/>
    </row>
    <row r="571" spans="1:5" ht="18" hidden="1">
      <c r="A571" s="10" t="s">
        <v>247</v>
      </c>
      <c r="B571" s="61" t="s">
        <v>39</v>
      </c>
      <c r="C571" s="6"/>
      <c r="D571" s="62"/>
      <c r="E571" s="63"/>
    </row>
    <row r="572" spans="1:5" ht="18" hidden="1">
      <c r="A572" s="8" t="s">
        <v>252</v>
      </c>
      <c r="B572" s="61" t="s">
        <v>7</v>
      </c>
      <c r="C572" s="6"/>
      <c r="D572" s="62"/>
      <c r="E572" s="63"/>
    </row>
    <row r="573" spans="1:5" ht="18" hidden="1">
      <c r="A573" s="8" t="s">
        <v>253</v>
      </c>
      <c r="B573" s="61" t="s">
        <v>21</v>
      </c>
      <c r="C573" s="6"/>
      <c r="D573" s="62"/>
      <c r="E573" s="63"/>
    </row>
    <row r="574" spans="1:5" ht="18" hidden="1">
      <c r="A574" s="12" t="s">
        <v>254</v>
      </c>
      <c r="B574" s="61" t="s">
        <v>68</v>
      </c>
      <c r="C574" s="6"/>
      <c r="D574" s="62"/>
      <c r="E574" s="63"/>
    </row>
    <row r="575" spans="1:5" ht="18" hidden="1">
      <c r="A575" s="12" t="s">
        <v>255</v>
      </c>
      <c r="B575" s="61" t="s">
        <v>68</v>
      </c>
      <c r="C575" s="6"/>
      <c r="D575" s="62"/>
      <c r="E575" s="63"/>
    </row>
    <row r="576" spans="1:5" ht="18" hidden="1">
      <c r="A576" s="30" t="s">
        <v>256</v>
      </c>
      <c r="B576" s="61" t="s">
        <v>49</v>
      </c>
      <c r="C576" s="6"/>
      <c r="D576" s="62"/>
      <c r="E576" s="63"/>
    </row>
    <row r="577" spans="1:5" ht="18" hidden="1">
      <c r="A577" s="8" t="s">
        <v>257</v>
      </c>
      <c r="B577" s="61" t="s">
        <v>7</v>
      </c>
      <c r="C577" s="6"/>
      <c r="D577" s="62"/>
      <c r="E577" s="63"/>
    </row>
    <row r="578" spans="1:5" ht="18" hidden="1">
      <c r="A578" s="8" t="s">
        <v>258</v>
      </c>
      <c r="B578" s="61" t="s">
        <v>49</v>
      </c>
      <c r="C578" s="6"/>
      <c r="D578" s="62"/>
      <c r="E578" s="63"/>
    </row>
    <row r="579" spans="1:5" ht="18" hidden="1">
      <c r="A579" s="8" t="s">
        <v>259</v>
      </c>
      <c r="B579" s="61" t="s">
        <v>7</v>
      </c>
      <c r="C579" s="14"/>
      <c r="D579" s="62"/>
      <c r="E579" s="63"/>
    </row>
    <row r="580" spans="1:5" ht="18" hidden="1">
      <c r="A580" s="30" t="s">
        <v>260</v>
      </c>
      <c r="B580" s="61" t="s">
        <v>49</v>
      </c>
      <c r="C580" s="6"/>
      <c r="D580" s="62"/>
      <c r="E580" s="63"/>
    </row>
    <row r="581" spans="1:5" ht="18" hidden="1">
      <c r="A581" s="8" t="s">
        <v>261</v>
      </c>
      <c r="B581" s="61" t="s">
        <v>49</v>
      </c>
      <c r="C581" s="14"/>
      <c r="D581" s="62"/>
      <c r="E581" s="63"/>
    </row>
    <row r="582" spans="1:5" ht="18" hidden="1">
      <c r="A582" s="8" t="s">
        <v>262</v>
      </c>
      <c r="B582" s="61" t="s">
        <v>7</v>
      </c>
      <c r="C582" s="6"/>
      <c r="D582" s="62"/>
      <c r="E582" s="63"/>
    </row>
    <row r="583" spans="1:5" ht="18" hidden="1">
      <c r="A583" s="10" t="s">
        <v>264</v>
      </c>
      <c r="B583" s="61" t="s">
        <v>54</v>
      </c>
      <c r="C583" s="6"/>
      <c r="D583" s="62"/>
      <c r="E583" s="63"/>
    </row>
    <row r="584" spans="1:5" ht="18" hidden="1">
      <c r="A584" s="8" t="s">
        <v>265</v>
      </c>
      <c r="B584" s="61" t="s">
        <v>7</v>
      </c>
      <c r="C584" s="6"/>
      <c r="D584" s="62"/>
      <c r="E584" s="63"/>
    </row>
    <row r="585" spans="1:5" ht="18" hidden="1">
      <c r="A585" s="8" t="s">
        <v>266</v>
      </c>
      <c r="B585" s="61" t="s">
        <v>7</v>
      </c>
      <c r="C585" s="6"/>
      <c r="D585" s="62"/>
      <c r="E585" s="63"/>
    </row>
    <row r="586" spans="1:5" ht="18" hidden="1">
      <c r="A586" s="8" t="s">
        <v>267</v>
      </c>
      <c r="B586" s="61" t="s">
        <v>21</v>
      </c>
      <c r="C586" s="6"/>
      <c r="D586" s="62"/>
      <c r="E586" s="63"/>
    </row>
    <row r="587" spans="1:5" ht="18" hidden="1">
      <c r="A587" s="8" t="s">
        <v>268</v>
      </c>
      <c r="B587" s="61" t="s">
        <v>54</v>
      </c>
      <c r="C587" s="6"/>
      <c r="D587" s="62"/>
      <c r="E587" s="63"/>
    </row>
    <row r="588" spans="1:5" ht="18" hidden="1">
      <c r="A588" s="8" t="s">
        <v>269</v>
      </c>
      <c r="B588" s="61" t="s">
        <v>7</v>
      </c>
      <c r="C588" s="6"/>
      <c r="D588" s="75"/>
      <c r="E588" s="63"/>
    </row>
    <row r="589" spans="1:5" ht="18" hidden="1">
      <c r="A589" s="15" t="s">
        <v>270</v>
      </c>
      <c r="B589" s="61" t="s">
        <v>7</v>
      </c>
      <c r="C589" s="6"/>
      <c r="D589" s="75"/>
      <c r="E589" s="63"/>
    </row>
    <row r="590" spans="1:5" ht="18" hidden="1">
      <c r="A590" s="19" t="s">
        <v>271</v>
      </c>
      <c r="B590" s="61" t="s">
        <v>7</v>
      </c>
      <c r="C590" s="6"/>
      <c r="D590" s="62"/>
      <c r="E590" s="63"/>
    </row>
    <row r="591" spans="1:5" ht="18" hidden="1">
      <c r="A591" s="19" t="s">
        <v>272</v>
      </c>
      <c r="B591" s="61" t="s">
        <v>7</v>
      </c>
      <c r="C591" s="6"/>
      <c r="D591" s="62"/>
      <c r="E591" s="63"/>
    </row>
    <row r="592" spans="1:5" ht="18" hidden="1">
      <c r="A592" s="8" t="s">
        <v>273</v>
      </c>
      <c r="B592" s="61" t="s">
        <v>7</v>
      </c>
      <c r="C592" s="6"/>
      <c r="D592" s="62"/>
      <c r="E592" s="63"/>
    </row>
    <row r="593" spans="1:5" ht="18" hidden="1">
      <c r="A593" s="8" t="s">
        <v>274</v>
      </c>
      <c r="B593" s="61" t="s">
        <v>7</v>
      </c>
      <c r="C593" s="6"/>
      <c r="D593" s="62"/>
      <c r="E593" s="63"/>
    </row>
    <row r="594" spans="1:5" ht="18" hidden="1">
      <c r="A594" s="8" t="s">
        <v>275</v>
      </c>
      <c r="B594" s="61" t="s">
        <v>21</v>
      </c>
      <c r="C594" s="6"/>
      <c r="D594" s="62"/>
      <c r="E594" s="63"/>
    </row>
    <row r="595" spans="1:5" ht="18" hidden="1">
      <c r="A595" s="8" t="s">
        <v>276</v>
      </c>
      <c r="B595" s="61" t="s">
        <v>54</v>
      </c>
      <c r="C595" s="6"/>
      <c r="D595" s="62"/>
      <c r="E595" s="63"/>
    </row>
    <row r="596" spans="1:5" ht="18" hidden="1">
      <c r="A596" s="8" t="s">
        <v>277</v>
      </c>
      <c r="B596" s="61" t="s">
        <v>7</v>
      </c>
      <c r="C596" s="6"/>
      <c r="D596" s="62"/>
      <c r="E596" s="63"/>
    </row>
    <row r="597" spans="1:5" ht="18" hidden="1">
      <c r="A597" s="8" t="s">
        <v>278</v>
      </c>
      <c r="B597" s="61" t="s">
        <v>7</v>
      </c>
      <c r="C597" s="6"/>
      <c r="D597" s="62"/>
      <c r="E597" s="63"/>
    </row>
    <row r="598" spans="1:5" ht="18" hidden="1">
      <c r="A598" s="8" t="s">
        <v>279</v>
      </c>
      <c r="B598" s="61" t="s">
        <v>21</v>
      </c>
      <c r="C598" s="6"/>
      <c r="D598" s="62"/>
      <c r="E598" s="63"/>
    </row>
    <row r="599" spans="1:5" ht="18" hidden="1">
      <c r="A599" s="8" t="s">
        <v>280</v>
      </c>
      <c r="B599" s="61" t="s">
        <v>7</v>
      </c>
      <c r="C599" s="14"/>
      <c r="D599" s="62"/>
      <c r="E599" s="63"/>
    </row>
    <row r="600" spans="1:5" ht="18" hidden="1">
      <c r="A600" s="12" t="s">
        <v>281</v>
      </c>
      <c r="B600" s="61" t="s">
        <v>7</v>
      </c>
      <c r="C600" s="6"/>
      <c r="D600" s="62"/>
      <c r="E600" s="63"/>
    </row>
    <row r="601" spans="1:5" ht="18" hidden="1">
      <c r="A601" s="8" t="s">
        <v>282</v>
      </c>
      <c r="B601" s="61" t="s">
        <v>7</v>
      </c>
      <c r="C601" s="6"/>
      <c r="D601" s="62"/>
      <c r="E601" s="63"/>
    </row>
    <row r="602" spans="1:5" ht="18" hidden="1">
      <c r="A602" s="10" t="s">
        <v>373</v>
      </c>
      <c r="B602" s="61" t="s">
        <v>7</v>
      </c>
      <c r="C602" s="6"/>
      <c r="D602" s="62"/>
      <c r="E602" s="63"/>
    </row>
    <row r="603" spans="1:5" ht="18" hidden="1">
      <c r="A603" s="10" t="s">
        <v>283</v>
      </c>
      <c r="B603" s="61" t="s">
        <v>7</v>
      </c>
      <c r="C603" s="6"/>
      <c r="D603" s="62"/>
      <c r="E603" s="63"/>
    </row>
    <row r="604" spans="1:5" ht="18" hidden="1">
      <c r="A604" s="8" t="s">
        <v>284</v>
      </c>
      <c r="B604" s="61" t="s">
        <v>49</v>
      </c>
      <c r="C604" s="6"/>
      <c r="D604" s="76"/>
      <c r="E604" s="63"/>
    </row>
    <row r="605" spans="1:5" ht="18" hidden="1">
      <c r="A605" s="8" t="s">
        <v>374</v>
      </c>
      <c r="B605" s="61" t="s">
        <v>49</v>
      </c>
      <c r="C605" s="6"/>
      <c r="D605" s="76"/>
      <c r="E605" s="63"/>
    </row>
    <row r="606" spans="1:5" ht="18" hidden="1">
      <c r="A606" s="8" t="s">
        <v>285</v>
      </c>
      <c r="B606" s="61" t="s">
        <v>7</v>
      </c>
      <c r="C606" s="6"/>
      <c r="D606" s="62"/>
      <c r="E606" s="63"/>
    </row>
    <row r="607" spans="1:5" ht="18" hidden="1">
      <c r="A607" s="8" t="s">
        <v>375</v>
      </c>
      <c r="B607" s="61"/>
      <c r="C607" s="6"/>
      <c r="D607" s="62"/>
      <c r="E607" s="63"/>
    </row>
    <row r="608" spans="1:5" ht="18" hidden="1">
      <c r="A608" s="8" t="s">
        <v>287</v>
      </c>
      <c r="B608" s="61" t="s">
        <v>68</v>
      </c>
      <c r="C608" s="6"/>
      <c r="D608" s="62"/>
      <c r="E608" s="63"/>
    </row>
    <row r="609" spans="1:5" ht="18" hidden="1">
      <c r="A609" s="8" t="s">
        <v>288</v>
      </c>
      <c r="B609" s="61" t="s">
        <v>7</v>
      </c>
      <c r="C609" s="6"/>
      <c r="D609" s="62"/>
      <c r="E609" s="63"/>
    </row>
    <row r="610" spans="1:5" ht="18" hidden="1">
      <c r="A610" s="8" t="s">
        <v>289</v>
      </c>
      <c r="B610" s="61" t="s">
        <v>57</v>
      </c>
      <c r="C610" s="6"/>
      <c r="D610" s="62"/>
      <c r="E610" s="63"/>
    </row>
    <row r="611" spans="1:5" ht="18" hidden="1">
      <c r="A611" s="30" t="s">
        <v>291</v>
      </c>
      <c r="B611" s="61" t="s">
        <v>49</v>
      </c>
      <c r="C611" s="6"/>
      <c r="D611" s="62"/>
      <c r="E611" s="63"/>
    </row>
    <row r="612" spans="1:5" ht="18" hidden="1">
      <c r="A612" s="8" t="s">
        <v>292</v>
      </c>
      <c r="B612" s="61" t="s">
        <v>49</v>
      </c>
      <c r="C612" s="6"/>
      <c r="D612" s="62"/>
      <c r="E612" s="63"/>
    </row>
    <row r="613" spans="1:5" ht="18" hidden="1">
      <c r="A613" s="30" t="s">
        <v>293</v>
      </c>
      <c r="B613" s="61" t="s">
        <v>49</v>
      </c>
      <c r="C613" s="6"/>
      <c r="D613" s="62"/>
      <c r="E613" s="63"/>
    </row>
    <row r="614" spans="1:5" ht="18" hidden="1">
      <c r="A614" s="10" t="s">
        <v>376</v>
      </c>
      <c r="B614" s="61" t="s">
        <v>7</v>
      </c>
      <c r="C614" s="6"/>
      <c r="D614" s="62"/>
      <c r="E614" s="63"/>
    </row>
    <row r="615" spans="1:5" ht="18" hidden="1">
      <c r="A615" s="30" t="s">
        <v>294</v>
      </c>
      <c r="B615" s="61" t="s">
        <v>49</v>
      </c>
      <c r="C615" s="6"/>
      <c r="D615" s="62"/>
      <c r="E615" s="63"/>
    </row>
    <row r="616" spans="1:5" ht="18" hidden="1">
      <c r="A616" s="11" t="s">
        <v>295</v>
      </c>
      <c r="B616" s="61" t="s">
        <v>7</v>
      </c>
      <c r="C616" s="14"/>
      <c r="D616" s="62"/>
      <c r="E616" s="63"/>
    </row>
    <row r="617" spans="1:5" ht="18" hidden="1">
      <c r="A617" s="15" t="s">
        <v>299</v>
      </c>
      <c r="B617" s="61" t="s">
        <v>68</v>
      </c>
      <c r="C617" s="6"/>
      <c r="D617" s="62"/>
      <c r="E617" s="63"/>
    </row>
    <row r="618" spans="1:5" ht="18" hidden="1">
      <c r="A618" s="15" t="s">
        <v>300</v>
      </c>
      <c r="B618" s="61" t="s">
        <v>54</v>
      </c>
      <c r="C618" s="6"/>
      <c r="D618" s="62"/>
      <c r="E618" s="63"/>
    </row>
    <row r="619" spans="1:5" ht="18" hidden="1">
      <c r="A619" s="15" t="s">
        <v>301</v>
      </c>
      <c r="B619" s="61" t="s">
        <v>54</v>
      </c>
      <c r="C619" s="6"/>
      <c r="D619" s="62"/>
      <c r="E619" s="63"/>
    </row>
    <row r="620" spans="1:5" ht="18" hidden="1">
      <c r="A620" s="8" t="s">
        <v>302</v>
      </c>
      <c r="B620" s="61" t="s">
        <v>7</v>
      </c>
      <c r="C620" s="6"/>
      <c r="D620" s="62"/>
      <c r="E620" s="63"/>
    </row>
    <row r="621" spans="1:5" ht="18" hidden="1">
      <c r="A621" s="15" t="s">
        <v>303</v>
      </c>
      <c r="B621" s="61" t="s">
        <v>49</v>
      </c>
      <c r="C621" s="6"/>
      <c r="D621" s="62"/>
      <c r="E621" s="63"/>
    </row>
    <row r="622" spans="1:5" ht="18" hidden="1">
      <c r="A622" s="8" t="s">
        <v>304</v>
      </c>
      <c r="B622" s="61" t="s">
        <v>7</v>
      </c>
      <c r="C622" s="6"/>
      <c r="D622" s="62"/>
      <c r="E622" s="63"/>
    </row>
    <row r="623" spans="1:5" ht="18" hidden="1">
      <c r="A623" s="8" t="s">
        <v>305</v>
      </c>
      <c r="B623" s="61" t="s">
        <v>7</v>
      </c>
      <c r="C623" s="6"/>
      <c r="D623" s="68"/>
      <c r="E623" s="63"/>
    </row>
    <row r="624" spans="1:5" ht="18" hidden="1">
      <c r="A624" s="15" t="s">
        <v>306</v>
      </c>
      <c r="B624" s="61" t="s">
        <v>54</v>
      </c>
      <c r="C624" s="6"/>
      <c r="D624" s="62"/>
      <c r="E624" s="63"/>
    </row>
    <row r="625" spans="1:5" ht="18" hidden="1">
      <c r="A625" s="23" t="s">
        <v>307</v>
      </c>
      <c r="B625" s="61" t="s">
        <v>7</v>
      </c>
      <c r="C625" s="6"/>
      <c r="D625" s="62"/>
      <c r="E625" s="63"/>
    </row>
    <row r="626" spans="1:5" ht="18" hidden="1">
      <c r="A626" s="8" t="s">
        <v>308</v>
      </c>
      <c r="B626" s="61" t="s">
        <v>7</v>
      </c>
      <c r="C626" s="6"/>
      <c r="D626" s="62"/>
      <c r="E626" s="63"/>
    </row>
    <row r="627" spans="1:5" ht="18" hidden="1">
      <c r="A627" s="12" t="s">
        <v>309</v>
      </c>
      <c r="B627" s="61" t="s">
        <v>9</v>
      </c>
      <c r="C627" s="6"/>
      <c r="D627" s="62"/>
      <c r="E627" s="63"/>
    </row>
    <row r="628" spans="1:5" ht="18" hidden="1">
      <c r="A628" s="11" t="s">
        <v>311</v>
      </c>
      <c r="B628" s="61" t="s">
        <v>7</v>
      </c>
      <c r="C628" s="6"/>
      <c r="D628" s="77"/>
      <c r="E628" s="63"/>
    </row>
    <row r="629" spans="1:5" ht="18" hidden="1">
      <c r="A629" s="15" t="s">
        <v>312</v>
      </c>
      <c r="B629" s="61" t="s">
        <v>49</v>
      </c>
      <c r="C629" s="6"/>
      <c r="D629" s="62"/>
      <c r="E629" s="63"/>
    </row>
    <row r="630" spans="1:5" ht="18" hidden="1">
      <c r="A630" s="12" t="s">
        <v>313</v>
      </c>
      <c r="B630" s="61" t="s">
        <v>49</v>
      </c>
      <c r="C630" s="6"/>
      <c r="D630" s="77"/>
      <c r="E630" s="63"/>
    </row>
    <row r="631" spans="1:5" ht="18" hidden="1">
      <c r="A631" s="8" t="s">
        <v>314</v>
      </c>
      <c r="B631" s="61" t="s">
        <v>7</v>
      </c>
      <c r="C631" s="6"/>
      <c r="D631" s="62"/>
      <c r="E631" s="63"/>
    </row>
    <row r="632" spans="1:5" ht="18" hidden="1">
      <c r="A632" s="15" t="s">
        <v>315</v>
      </c>
      <c r="B632" s="61" t="s">
        <v>68</v>
      </c>
      <c r="C632" s="6"/>
      <c r="D632" s="62"/>
      <c r="E632" s="63"/>
    </row>
    <row r="633" spans="1:5" ht="18" hidden="1">
      <c r="A633" s="11" t="s">
        <v>377</v>
      </c>
      <c r="B633" s="61" t="s">
        <v>7</v>
      </c>
      <c r="C633" s="6"/>
      <c r="D633" s="62"/>
      <c r="E633" s="63"/>
    </row>
    <row r="634" spans="1:5" ht="18" hidden="1">
      <c r="A634" s="8" t="s">
        <v>378</v>
      </c>
      <c r="B634" s="61" t="s">
        <v>7</v>
      </c>
      <c r="C634" s="6"/>
      <c r="D634" s="62"/>
      <c r="E634" s="63"/>
    </row>
    <row r="635" spans="1:5" ht="18" hidden="1">
      <c r="A635" s="10" t="s">
        <v>318</v>
      </c>
      <c r="B635" s="61" t="s">
        <v>7</v>
      </c>
      <c r="C635" s="6"/>
      <c r="D635" s="62"/>
      <c r="E635" s="63"/>
    </row>
    <row r="636" spans="1:5" ht="18" hidden="1">
      <c r="A636" s="8" t="s">
        <v>379</v>
      </c>
      <c r="B636" s="61" t="s">
        <v>7</v>
      </c>
      <c r="C636" s="6"/>
      <c r="D636" s="62"/>
      <c r="E636" s="63"/>
    </row>
    <row r="637" spans="1:5" ht="18" hidden="1">
      <c r="A637" s="11" t="s">
        <v>319</v>
      </c>
      <c r="B637" s="61" t="s">
        <v>7</v>
      </c>
      <c r="C637" s="6"/>
      <c r="D637" s="74"/>
      <c r="E637" s="63"/>
    </row>
    <row r="638" spans="1:5" ht="18" hidden="1">
      <c r="A638" s="11" t="s">
        <v>320</v>
      </c>
      <c r="B638" s="61" t="s">
        <v>7</v>
      </c>
      <c r="C638" s="6"/>
      <c r="D638" s="74"/>
      <c r="E638" s="63"/>
    </row>
    <row r="639" spans="1:5" ht="18" hidden="1">
      <c r="A639" s="8" t="s">
        <v>321</v>
      </c>
      <c r="B639" s="61" t="s">
        <v>7</v>
      </c>
      <c r="C639" s="6"/>
      <c r="D639" s="62"/>
      <c r="E639" s="63"/>
    </row>
    <row r="640" spans="1:5" ht="18" hidden="1">
      <c r="A640" s="8" t="s">
        <v>322</v>
      </c>
      <c r="B640" s="61" t="s">
        <v>93</v>
      </c>
      <c r="C640" s="6"/>
      <c r="D640" s="62"/>
      <c r="E640" s="63"/>
    </row>
    <row r="641" spans="1:5" ht="18" hidden="1">
      <c r="A641" s="8" t="s">
        <v>323</v>
      </c>
      <c r="B641" s="61" t="s">
        <v>49</v>
      </c>
      <c r="C641" s="6"/>
      <c r="D641" s="62"/>
      <c r="E641" s="63"/>
    </row>
    <row r="642" spans="1:5" ht="18" hidden="1">
      <c r="A642" s="12" t="s">
        <v>324</v>
      </c>
      <c r="B642" s="61" t="s">
        <v>7</v>
      </c>
      <c r="C642" s="6"/>
      <c r="D642" s="62"/>
      <c r="E642" s="63"/>
    </row>
    <row r="643" spans="1:5" ht="18" hidden="1">
      <c r="A643" s="12" t="s">
        <v>325</v>
      </c>
      <c r="B643" s="61" t="s">
        <v>7</v>
      </c>
      <c r="C643" s="6"/>
      <c r="D643" s="62"/>
      <c r="E643" s="63"/>
    </row>
    <row r="644" spans="1:5" ht="18" hidden="1">
      <c r="A644" s="19" t="s">
        <v>326</v>
      </c>
      <c r="B644" s="61" t="s">
        <v>7</v>
      </c>
      <c r="C644" s="6"/>
      <c r="D644" s="62"/>
      <c r="E644" s="63"/>
    </row>
    <row r="645" spans="1:5" ht="18" hidden="1">
      <c r="A645" s="12" t="s">
        <v>327</v>
      </c>
      <c r="B645" s="61" t="s">
        <v>49</v>
      </c>
      <c r="C645" s="6"/>
      <c r="D645" s="62"/>
      <c r="E645" s="63"/>
    </row>
    <row r="646" spans="1:5" ht="18" hidden="1">
      <c r="A646" s="8" t="s">
        <v>328</v>
      </c>
      <c r="B646" s="61" t="s">
        <v>57</v>
      </c>
      <c r="C646" s="6"/>
      <c r="D646" s="62"/>
      <c r="E646" s="63"/>
    </row>
    <row r="647" spans="1:5" ht="18" hidden="1">
      <c r="A647" s="8" t="s">
        <v>329</v>
      </c>
      <c r="B647" s="61" t="s">
        <v>57</v>
      </c>
      <c r="C647" s="6"/>
      <c r="D647" s="62"/>
      <c r="E647" s="63"/>
    </row>
    <row r="648" spans="1:5" ht="18" hidden="1">
      <c r="A648" s="8" t="s">
        <v>330</v>
      </c>
      <c r="B648" s="61" t="s">
        <v>93</v>
      </c>
      <c r="C648" s="6"/>
      <c r="D648" s="62"/>
      <c r="E648" s="63"/>
    </row>
    <row r="649" spans="1:5" ht="18" hidden="1">
      <c r="A649" s="8" t="s">
        <v>331</v>
      </c>
      <c r="B649" s="61" t="s">
        <v>7</v>
      </c>
      <c r="C649" s="6"/>
      <c r="D649" s="62"/>
      <c r="E649" s="63"/>
    </row>
    <row r="650" spans="1:5" ht="18" hidden="1">
      <c r="A650" s="19" t="s">
        <v>332</v>
      </c>
      <c r="B650" s="61" t="s">
        <v>7</v>
      </c>
      <c r="C650" s="6"/>
      <c r="D650" s="62"/>
      <c r="E650" s="63"/>
    </row>
    <row r="651" spans="1:5" ht="18" hidden="1">
      <c r="A651" s="8" t="s">
        <v>333</v>
      </c>
      <c r="B651" s="61" t="s">
        <v>57</v>
      </c>
      <c r="C651" s="6"/>
      <c r="D651" s="62"/>
      <c r="E651" s="63"/>
    </row>
    <row r="652" spans="1:5" ht="18" hidden="1">
      <c r="A652" s="8" t="s">
        <v>334</v>
      </c>
      <c r="B652" s="61" t="s">
        <v>7</v>
      </c>
      <c r="C652" s="6"/>
      <c r="D652" s="62"/>
      <c r="E652" s="63"/>
    </row>
    <row r="653" spans="1:5" ht="18" hidden="1">
      <c r="A653" s="11" t="s">
        <v>335</v>
      </c>
      <c r="B653" s="61" t="s">
        <v>7</v>
      </c>
      <c r="C653" s="6"/>
      <c r="D653" s="62"/>
      <c r="E653" s="63"/>
    </row>
    <row r="654" spans="1:5" ht="18" hidden="1">
      <c r="A654" s="8" t="s">
        <v>336</v>
      </c>
      <c r="B654" s="61" t="s">
        <v>7</v>
      </c>
      <c r="C654" s="34"/>
      <c r="D654" s="62"/>
      <c r="E654" s="63"/>
    </row>
    <row r="655" spans="1:5" ht="18" hidden="1">
      <c r="A655" s="8" t="s">
        <v>337</v>
      </c>
      <c r="B655" s="61" t="s">
        <v>57</v>
      </c>
      <c r="C655" s="6"/>
      <c r="D655" s="62"/>
      <c r="E655" s="63"/>
    </row>
    <row r="656" spans="1:5" ht="18" hidden="1">
      <c r="A656" s="8" t="s">
        <v>338</v>
      </c>
      <c r="B656" s="61" t="s">
        <v>49</v>
      </c>
      <c r="C656" s="6"/>
      <c r="D656" s="62"/>
      <c r="E656" s="63"/>
    </row>
    <row r="657" spans="1:5" ht="18" hidden="1">
      <c r="A657" s="19" t="s">
        <v>339</v>
      </c>
      <c r="B657" s="61" t="s">
        <v>7</v>
      </c>
      <c r="C657" s="6"/>
      <c r="D657" s="62"/>
      <c r="E657" s="63"/>
    </row>
    <row r="658" spans="1:5" ht="18" hidden="1">
      <c r="A658" s="19" t="s">
        <v>340</v>
      </c>
      <c r="B658" s="61" t="s">
        <v>7</v>
      </c>
      <c r="C658" s="6"/>
      <c r="D658" s="62"/>
      <c r="E658" s="63"/>
    </row>
    <row r="659" spans="1:5" ht="18" hidden="1">
      <c r="A659" s="8" t="s">
        <v>341</v>
      </c>
      <c r="B659" s="61" t="s">
        <v>7</v>
      </c>
      <c r="C659" s="6"/>
      <c r="D659" s="62"/>
      <c r="E659" s="63"/>
    </row>
    <row r="660" spans="1:5" ht="18" hidden="1">
      <c r="A660" s="8" t="s">
        <v>342</v>
      </c>
      <c r="B660" s="61" t="s">
        <v>7</v>
      </c>
      <c r="C660" s="6"/>
      <c r="D660" s="62"/>
      <c r="E660" s="63"/>
    </row>
    <row r="661" spans="1:5" ht="18" hidden="1">
      <c r="A661" s="19" t="s">
        <v>343</v>
      </c>
      <c r="B661" s="61" t="s">
        <v>7</v>
      </c>
      <c r="C661" s="6"/>
      <c r="D661" s="62"/>
      <c r="E661" s="63"/>
    </row>
    <row r="662" spans="1:5" ht="18" hidden="1">
      <c r="A662" s="8" t="s">
        <v>344</v>
      </c>
      <c r="B662" s="61" t="s">
        <v>57</v>
      </c>
      <c r="C662" s="6"/>
      <c r="D662" s="62"/>
      <c r="E662" s="63"/>
    </row>
    <row r="663" spans="1:5" ht="18" hidden="1">
      <c r="A663" s="8" t="s">
        <v>345</v>
      </c>
      <c r="B663" s="61" t="s">
        <v>57</v>
      </c>
      <c r="C663" s="6"/>
      <c r="D663" s="62"/>
      <c r="E663" s="63"/>
    </row>
    <row r="664" spans="1:5" ht="18" hidden="1">
      <c r="A664" s="8" t="s">
        <v>346</v>
      </c>
      <c r="B664" s="61" t="s">
        <v>57</v>
      </c>
      <c r="C664" s="6"/>
      <c r="D664" s="62"/>
      <c r="E664" s="63"/>
    </row>
    <row r="665" spans="1:5" ht="18" hidden="1">
      <c r="A665" s="8" t="s">
        <v>347</v>
      </c>
      <c r="B665" s="61" t="s">
        <v>57</v>
      </c>
      <c r="C665" s="6"/>
      <c r="D665" s="62"/>
      <c r="E665" s="63"/>
    </row>
    <row r="666" spans="1:5" ht="18" hidden="1">
      <c r="A666" s="8" t="s">
        <v>348</v>
      </c>
      <c r="B666" s="61" t="s">
        <v>57</v>
      </c>
      <c r="C666" s="6"/>
      <c r="D666" s="62"/>
      <c r="E666" s="63"/>
    </row>
    <row r="667" spans="1:5" ht="18" hidden="1">
      <c r="A667" s="8" t="s">
        <v>349</v>
      </c>
      <c r="B667" s="61" t="s">
        <v>93</v>
      </c>
      <c r="C667" s="6"/>
      <c r="D667" s="62"/>
      <c r="E667" s="63"/>
    </row>
    <row r="668" spans="1:5" ht="18" hidden="1">
      <c r="A668" s="8" t="s">
        <v>350</v>
      </c>
      <c r="B668" s="61" t="s">
        <v>7</v>
      </c>
      <c r="C668" s="6"/>
      <c r="D668" s="62"/>
      <c r="E668" s="63"/>
    </row>
    <row r="669" spans="1:5" ht="18" hidden="1">
      <c r="A669" s="8" t="s">
        <v>351</v>
      </c>
      <c r="B669" s="61" t="s">
        <v>7</v>
      </c>
      <c r="C669" s="6"/>
      <c r="D669" s="62"/>
      <c r="E669" s="63"/>
    </row>
    <row r="670" spans="1:5" ht="18" hidden="1">
      <c r="A670" s="10" t="s">
        <v>353</v>
      </c>
      <c r="B670" s="61" t="s">
        <v>7</v>
      </c>
      <c r="C670" s="6"/>
      <c r="D670" s="62"/>
      <c r="E670" s="63"/>
    </row>
    <row r="671" spans="1:5" ht="15.6">
      <c r="A671" s="79"/>
      <c r="B671" s="80">
        <v>0</v>
      </c>
      <c r="C671" s="80">
        <v>6631</v>
      </c>
      <c r="D671" s="81"/>
      <c r="E671" s="104">
        <f>SUBTOTAL(9,E347:E555)</f>
        <v>81734500</v>
      </c>
    </row>
    <row r="672" spans="1:5" hidden="1">
      <c r="E672" s="100">
        <f>+E671+E341</f>
        <v>150358300</v>
      </c>
    </row>
    <row r="673" spans="5:5">
      <c r="E673" s="105">
        <f>+E341+E671</f>
        <v>150358300</v>
      </c>
    </row>
  </sheetData>
  <protectedRanges>
    <protectedRange password="CF71" sqref="C1:C340 C672:C65536" name="tho"/>
    <protectedRange password="CF19" sqref="F342:AI65536 F1:AI1" name="tho2_2_1_1_1_1_1_2_1"/>
    <protectedRange password="CF19" sqref="F2:AI340" name="tho2_2_1_1_1_1_1_2_1_1"/>
    <protectedRange password="CF71" sqref="C342:C670" name="tho_4"/>
  </protectedRanges>
  <autoFilter ref="A2:IT673" xr:uid="{00000000-0009-0000-0000-000001000000}">
    <filterColumn colId="2">
      <customFilters>
        <customFilter operator="notEqual" val=""/>
      </customFilters>
    </filterColumn>
  </autoFilter>
  <mergeCells count="2">
    <mergeCell ref="A2:A3"/>
    <mergeCell ref="A342:A3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VA673"/>
  <sheetViews>
    <sheetView workbookViewId="0">
      <pane xSplit="1" ySplit="3" topLeftCell="B471" activePane="bottomRight" state="frozen"/>
      <selection pane="topRight"/>
      <selection pane="bottomLeft"/>
      <selection pane="bottomRight" activeCell="D541" sqref="D541"/>
    </sheetView>
  </sheetViews>
  <sheetFormatPr defaultColWidth="0" defaultRowHeight="16.8"/>
  <cols>
    <col min="1" max="1" width="41.44140625" style="47" customWidth="1"/>
    <col min="2" max="2" width="6.44140625" style="48" customWidth="1"/>
    <col min="3" max="3" width="13" style="47" customWidth="1"/>
    <col min="4" max="4" width="18.5546875" style="49" customWidth="1"/>
    <col min="5" max="5" width="22.5546875" style="85" customWidth="1"/>
    <col min="6" max="6" width="7" style="47" customWidth="1"/>
    <col min="7" max="7" width="8.88671875" style="47" customWidth="1"/>
    <col min="8" max="10" width="9.109375" style="47" customWidth="1"/>
    <col min="11" max="11" width="7" style="47" customWidth="1"/>
    <col min="12" max="12" width="8.88671875" style="47" customWidth="1"/>
    <col min="13" max="13" width="9.109375" style="47" customWidth="1"/>
    <col min="14" max="14" width="7" style="47" customWidth="1"/>
    <col min="15" max="15" width="8.88671875" style="47" customWidth="1"/>
    <col min="16" max="16" width="9.109375" style="47" customWidth="1"/>
    <col min="17" max="17" width="7" style="47" customWidth="1"/>
    <col min="18" max="18" width="8.88671875" style="47" customWidth="1"/>
    <col min="19" max="19" width="9.109375" style="47" customWidth="1"/>
    <col min="20" max="20" width="7" style="47" customWidth="1"/>
    <col min="21" max="21" width="8.88671875" style="47" customWidth="1"/>
    <col min="22" max="22" width="9.109375" style="47" customWidth="1"/>
    <col min="23" max="23" width="7" style="47" customWidth="1"/>
    <col min="24" max="24" width="9.109375" style="47" customWidth="1"/>
    <col min="25" max="25" width="8.44140625" style="47" customWidth="1"/>
    <col min="26" max="34" width="11.44140625" style="47" customWidth="1"/>
    <col min="35" max="36" width="7" style="47" customWidth="1"/>
    <col min="37" max="37" width="4.88671875" style="47" customWidth="1"/>
    <col min="38" max="38" width="6.44140625" style="47" customWidth="1"/>
    <col min="39" max="39" width="41.44140625" style="47" customWidth="1"/>
    <col min="40" max="40" width="6.44140625" style="47" customWidth="1"/>
    <col min="41" max="41" width="14.5546875" style="47" customWidth="1"/>
    <col min="42" max="42" width="11.44140625" style="47" customWidth="1"/>
    <col min="43" max="43" width="13" style="47" customWidth="1"/>
    <col min="44" max="44" width="25.44140625" style="47" customWidth="1"/>
    <col min="45" max="54" width="9.44140625" style="47" customWidth="1"/>
    <col min="55" max="55" width="8.88671875" style="47" customWidth="1"/>
    <col min="56" max="56" width="9.44140625" style="47" customWidth="1"/>
    <col min="57" max="57" width="10.109375" style="47" customWidth="1"/>
    <col min="58" max="58" width="5.44140625" style="47" hidden="1" customWidth="1"/>
    <col min="59" max="60" width="6.44140625" style="47" hidden="1" customWidth="1"/>
    <col min="61" max="61" width="6" style="47" hidden="1" customWidth="1"/>
    <col min="62" max="63" width="6.44140625" style="47" hidden="1" customWidth="1"/>
    <col min="64" max="64" width="6.109375" style="47" hidden="1" customWidth="1"/>
    <col min="65" max="65" width="9.109375" style="47" hidden="1" customWidth="1"/>
    <col min="66" max="66" width="6" style="47" hidden="1" customWidth="1"/>
    <col min="67" max="67" width="5" style="47" hidden="1" customWidth="1"/>
    <col min="68" max="69" width="6.44140625" style="47" hidden="1" customWidth="1"/>
    <col min="70" max="71" width="11.44140625" style="47" customWidth="1"/>
    <col min="72" max="72" width="35.44140625" style="47" customWidth="1"/>
    <col min="73" max="73" width="9.109375" style="47" customWidth="1"/>
    <col min="74" max="74" width="24.44140625" style="47" customWidth="1"/>
    <col min="75" max="75" width="18.44140625" style="47" customWidth="1"/>
    <col min="76" max="76" width="22.44140625" style="47" customWidth="1"/>
    <col min="77" max="77" width="5" style="47" customWidth="1"/>
    <col min="78" max="78" width="5" style="47" hidden="1" customWidth="1"/>
    <col min="79" max="79" width="0" style="47" hidden="1" customWidth="1"/>
    <col min="80" max="80" width="5" style="47" customWidth="1"/>
    <col min="81" max="81" width="0" style="47" hidden="1" customWidth="1"/>
    <col min="82" max="82" width="6.44140625" style="47" hidden="1" customWidth="1"/>
    <col min="83" max="83" width="5" style="47" customWidth="1"/>
    <col min="84" max="84" width="0" style="47" hidden="1" customWidth="1"/>
    <col min="85" max="85" width="6.44140625" style="47" hidden="1" customWidth="1"/>
    <col min="86" max="86" width="5" style="47" customWidth="1"/>
    <col min="87" max="87" width="0" style="47" hidden="1" customWidth="1"/>
    <col min="88" max="88" width="6.44140625" style="47" hidden="1" customWidth="1"/>
    <col min="89" max="89" width="5" style="47" customWidth="1"/>
    <col min="90" max="90" width="0" style="47" hidden="1" customWidth="1"/>
    <col min="91" max="92" width="6.44140625" style="47" hidden="1" customWidth="1"/>
    <col min="93" max="93" width="0" style="47" hidden="1" customWidth="1"/>
    <col min="94" max="95" width="6.44140625" style="47" hidden="1" customWidth="1"/>
    <col min="96" max="96" width="0" style="47" hidden="1" customWidth="1"/>
    <col min="97" max="97" width="9.44140625" style="47" hidden="1" customWidth="1"/>
    <col min="98" max="98" width="0" style="47" hidden="1" customWidth="1"/>
    <col min="99" max="99" width="6.44140625" style="47" hidden="1" customWidth="1"/>
    <col min="100" max="100" width="0" style="47" hidden="1" customWidth="1"/>
    <col min="101" max="102" width="6.44140625" style="47" hidden="1" customWidth="1"/>
    <col min="103" max="103" width="0" style="47" hidden="1" customWidth="1"/>
    <col min="104" max="105" width="6.44140625" style="47" hidden="1" customWidth="1"/>
    <col min="106" max="106" width="0" style="47" hidden="1" customWidth="1"/>
    <col min="107" max="108" width="6.44140625" style="47" hidden="1" customWidth="1"/>
    <col min="109" max="109" width="0" style="47" hidden="1" customWidth="1"/>
    <col min="110" max="111" width="6.44140625" style="47" hidden="1" customWidth="1"/>
    <col min="112" max="112" width="0" style="47" hidden="1" customWidth="1"/>
    <col min="113" max="114" width="6.44140625" style="47" hidden="1" customWidth="1"/>
    <col min="115" max="115" width="0" style="47" hidden="1" customWidth="1"/>
    <col min="116" max="117" width="6.44140625" style="47" hidden="1" customWidth="1"/>
    <col min="118" max="118" width="0" style="47" hidden="1" customWidth="1"/>
    <col min="119" max="120" width="6.44140625" style="47" hidden="1" customWidth="1"/>
    <col min="121" max="121" width="0" style="47" hidden="1" customWidth="1"/>
    <col min="122" max="122" width="6.44140625" style="47" hidden="1" customWidth="1"/>
    <col min="123" max="123" width="0" style="47" hidden="1" customWidth="1"/>
    <col min="124" max="125" width="6.44140625" style="47" hidden="1" customWidth="1"/>
    <col min="126" max="126" width="6.88671875" style="47" hidden="1" customWidth="1"/>
    <col min="127" max="127" width="9.44140625" style="47" hidden="1" customWidth="1"/>
    <col min="128" max="128" width="6.44140625" style="47" hidden="1" customWidth="1"/>
    <col min="129" max="129" width="6.88671875" style="47" hidden="1" customWidth="1"/>
    <col min="130" max="130" width="9.44140625" style="47" hidden="1" customWidth="1"/>
    <col min="131" max="132" width="6.44140625" style="47" hidden="1" customWidth="1"/>
    <col min="133" max="133" width="9.44140625" style="47" hidden="1" customWidth="1"/>
    <col min="134" max="134" width="6.44140625" style="47" hidden="1" customWidth="1"/>
    <col min="135" max="135" width="7.44140625" style="47" hidden="1" customWidth="1"/>
    <col min="136" max="136" width="9.44140625" style="47" hidden="1" customWidth="1"/>
    <col min="137" max="138" width="6.44140625" style="47" hidden="1" customWidth="1"/>
    <col min="139" max="139" width="9.44140625" style="47" hidden="1" customWidth="1"/>
    <col min="140" max="140" width="6.44140625" style="47" hidden="1" customWidth="1"/>
    <col min="141" max="141" width="7.44140625" style="47" hidden="1" customWidth="1"/>
    <col min="142" max="143" width="9.44140625" style="47" hidden="1" customWidth="1"/>
    <col min="144" max="144" width="9" style="47" hidden="1" customWidth="1"/>
    <col min="145" max="145" width="0" style="47" hidden="1" customWidth="1"/>
    <col min="146" max="146" width="11" style="47" hidden="1" customWidth="1"/>
    <col min="147" max="147" width="6.44140625" style="47" hidden="1" customWidth="1"/>
    <col min="148" max="148" width="0" style="47" hidden="1" customWidth="1"/>
    <col min="149" max="150" width="6.44140625" style="47" hidden="1" customWidth="1"/>
    <col min="151" max="151" width="0" style="47" hidden="1" customWidth="1"/>
    <col min="152" max="152" width="7" style="47" hidden="1" customWidth="1"/>
    <col min="153" max="153" width="8.88671875" style="47" hidden="1" customWidth="1"/>
    <col min="154" max="154" width="0" style="47" hidden="1" customWidth="1"/>
    <col min="155" max="155" width="9.44140625" style="47" customWidth="1"/>
    <col min="156" max="156" width="8.88671875" style="47" hidden="1" customWidth="1"/>
    <col min="157" max="157" width="5" style="47" customWidth="1"/>
    <col min="158" max="159" width="0" style="47" hidden="1" customWidth="1"/>
    <col min="160" max="160" width="5" style="47" customWidth="1"/>
    <col min="161" max="161" width="8.88671875" style="47" hidden="1" customWidth="1"/>
    <col min="162" max="162" width="0" style="47" hidden="1" customWidth="1"/>
    <col min="163" max="163" width="5" style="47" customWidth="1"/>
    <col min="164" max="164" width="8.88671875" style="47" hidden="1" customWidth="1"/>
    <col min="165" max="165" width="0" style="47" hidden="1" customWidth="1"/>
    <col min="166" max="166" width="5" style="47" customWidth="1"/>
    <col min="167" max="167" width="8.88671875" style="47" hidden="1" customWidth="1"/>
    <col min="168" max="168" width="0" style="47" hidden="1" customWidth="1"/>
    <col min="169" max="169" width="5" style="47" customWidth="1"/>
    <col min="170" max="170" width="8.88671875" style="47" hidden="1" customWidth="1"/>
    <col min="171" max="171" width="0" style="47" hidden="1" customWidth="1"/>
    <col min="172" max="172" width="5" style="47" customWidth="1"/>
    <col min="173" max="173" width="0" style="47" hidden="1" customWidth="1"/>
    <col min="174" max="174" width="6.44140625" style="47" customWidth="1"/>
    <col min="175" max="175" width="11.44140625" style="47" hidden="1" customWidth="1"/>
    <col min="176" max="176" width="7.109375" style="47" customWidth="1"/>
    <col min="177" max="178" width="11.44140625" style="47" hidden="1" customWidth="1"/>
    <col min="179" max="179" width="7.109375" style="47" customWidth="1"/>
    <col min="180" max="181" width="11.44140625" style="47" hidden="1" customWidth="1"/>
    <col min="182" max="182" width="7.109375" style="47" customWidth="1"/>
    <col min="183" max="183" width="11.44140625" style="47" hidden="1" customWidth="1"/>
    <col min="184" max="184" width="7" style="47" hidden="1" customWidth="1"/>
    <col min="185" max="185" width="7.109375" style="47" customWidth="1"/>
    <col min="186" max="186" width="7" style="47" hidden="1" customWidth="1"/>
    <col min="187" max="187" width="8.88671875" style="47" hidden="1" customWidth="1"/>
    <col min="188" max="188" width="7.109375" style="47" customWidth="1"/>
    <col min="189" max="190" width="0" style="47" hidden="1" customWidth="1"/>
    <col min="191" max="191" width="7.109375" style="47" customWidth="1"/>
    <col min="192" max="192" width="8.88671875" style="47" hidden="1" customWidth="1"/>
    <col min="193" max="193" width="0" style="47" hidden="1" customWidth="1"/>
    <col min="194" max="194" width="7.109375" style="47" customWidth="1"/>
    <col min="195" max="195" width="8.88671875" style="47" hidden="1" customWidth="1"/>
    <col min="196" max="196" width="0" style="47" hidden="1" customWidth="1"/>
    <col min="197" max="197" width="7.109375" style="47" customWidth="1"/>
    <col min="198" max="198" width="8.88671875" style="47" hidden="1" customWidth="1"/>
    <col min="199" max="199" width="6.44140625" style="47" customWidth="1"/>
    <col min="200" max="200" width="7" style="47" hidden="1" customWidth="1"/>
    <col min="201" max="201" width="8.88671875" style="47" hidden="1" customWidth="1"/>
    <col min="202" max="202" width="0" style="47" hidden="1" customWidth="1"/>
    <col min="203" max="203" width="7" style="47" hidden="1" customWidth="1"/>
    <col min="204" max="204" width="0" style="47" hidden="1" customWidth="1"/>
    <col min="205" max="205" width="8.44140625" style="47" hidden="1" customWidth="1"/>
    <col min="206" max="214" width="11.44140625" style="47" hidden="1" customWidth="1"/>
    <col min="215" max="217" width="7" style="47" hidden="1" customWidth="1"/>
    <col min="218" max="218" width="8.88671875" style="47" hidden="1" customWidth="1"/>
    <col min="219" max="220" width="0" style="47" hidden="1" customWidth="1"/>
    <col min="221" max="221" width="9" style="47" customWidth="1"/>
    <col min="222" max="222" width="7" style="47" hidden="1" customWidth="1"/>
    <col min="223" max="223" width="8.88671875" style="47" hidden="1" customWidth="1"/>
    <col min="224" max="224" width="8.44140625" style="47" customWidth="1"/>
    <col min="225" max="225" width="7" style="47" hidden="1" customWidth="1"/>
    <col min="226" max="226" width="8.88671875" style="47" hidden="1" customWidth="1"/>
    <col min="227" max="227" width="6.44140625" style="47" customWidth="1"/>
    <col min="228" max="228" width="7" style="47" hidden="1" customWidth="1"/>
    <col min="229" max="229" width="8.88671875" style="47" hidden="1" customWidth="1"/>
    <col min="230" max="230" width="7" style="47" customWidth="1"/>
    <col min="231" max="231" width="7" style="47" hidden="1" customWidth="1"/>
    <col min="232" max="232" width="8.88671875" style="47" hidden="1" customWidth="1"/>
    <col min="233" max="235" width="7" style="47" customWidth="1"/>
    <col min="236" max="236" width="8.44140625" style="47" hidden="1" customWidth="1"/>
    <col min="237" max="237" width="11.44140625" style="47" hidden="1" customWidth="1"/>
    <col min="238" max="238" width="7.44140625" style="47" customWidth="1"/>
    <col min="239" max="240" width="11.44140625" style="47" hidden="1" customWidth="1"/>
    <col min="241" max="241" width="7" style="47" customWidth="1"/>
    <col min="242" max="243" width="11.44140625" style="47" hidden="1" customWidth="1"/>
    <col min="244" max="244" width="7" style="47" customWidth="1"/>
    <col min="245" max="245" width="11.44140625" style="47" hidden="1" customWidth="1"/>
    <col min="246" max="246" width="7" style="47" hidden="1" customWidth="1"/>
    <col min="247" max="247" width="7" style="47" customWidth="1"/>
    <col min="248" max="248" width="7" style="47" hidden="1" customWidth="1"/>
    <col min="249" max="249" width="6.44140625" style="47" customWidth="1"/>
    <col min="250" max="250" width="11.44140625" style="47" hidden="1" customWidth="1"/>
    <col min="251" max="254" width="7" style="47" hidden="1" customWidth="1"/>
    <col min="255" max="259" width="11.44140625" style="47" hidden="1" customWidth="1"/>
    <col min="260" max="294" width="11.44140625" style="47" hidden="1"/>
    <col min="295" max="295" width="41.44140625" style="47" customWidth="1"/>
    <col min="296" max="296" width="6.44140625" style="47" customWidth="1"/>
    <col min="297" max="297" width="14.5546875" style="47" customWidth="1"/>
    <col min="298" max="298" width="11.44140625" style="47" customWidth="1"/>
    <col min="299" max="299" width="13" style="47" customWidth="1"/>
    <col min="300" max="300" width="25.44140625" style="47" customWidth="1"/>
    <col min="301" max="310" width="9.44140625" style="47" customWidth="1"/>
    <col min="311" max="311" width="8.88671875" style="47" customWidth="1"/>
    <col min="312" max="312" width="9.44140625" style="47" customWidth="1"/>
    <col min="313" max="313" width="10.109375" style="47" customWidth="1"/>
    <col min="314" max="325" width="11.44140625" style="47" hidden="1" customWidth="1"/>
    <col min="326" max="327" width="11.44140625" style="47" customWidth="1"/>
    <col min="328" max="328" width="35.44140625" style="47" customWidth="1"/>
    <col min="329" max="329" width="9.109375" style="47" customWidth="1"/>
    <col min="330" max="330" width="24.44140625" style="47" customWidth="1"/>
    <col min="331" max="331" width="18.44140625" style="47" customWidth="1"/>
    <col min="332" max="332" width="22.44140625" style="47" customWidth="1"/>
    <col min="333" max="333" width="5" style="47" customWidth="1"/>
    <col min="334" max="335" width="11.44140625" style="47" hidden="1" customWidth="1"/>
    <col min="336" max="336" width="5" style="47" customWidth="1"/>
    <col min="337" max="338" width="11.44140625" style="47" hidden="1" customWidth="1"/>
    <col min="339" max="339" width="5" style="47" customWidth="1"/>
    <col min="340" max="341" width="11.44140625" style="47" hidden="1" customWidth="1"/>
    <col min="342" max="342" width="5" style="47" customWidth="1"/>
    <col min="343" max="344" width="11.44140625" style="47" hidden="1" customWidth="1"/>
    <col min="345" max="345" width="5" style="47" customWidth="1"/>
    <col min="346" max="410" width="11.44140625" style="47" hidden="1" customWidth="1"/>
    <col min="411" max="411" width="9.44140625" style="47" customWidth="1"/>
    <col min="412" max="412" width="11.44140625" style="47" hidden="1" customWidth="1"/>
    <col min="413" max="413" width="5" style="47" customWidth="1"/>
    <col min="414" max="415" width="11.44140625" style="47" hidden="1" customWidth="1"/>
    <col min="416" max="416" width="5" style="47" customWidth="1"/>
    <col min="417" max="418" width="11.44140625" style="47" hidden="1" customWidth="1"/>
    <col min="419" max="419" width="5" style="47" customWidth="1"/>
    <col min="420" max="421" width="11.44140625" style="47" hidden="1" customWidth="1"/>
    <col min="422" max="422" width="5" style="47" customWidth="1"/>
    <col min="423" max="424" width="11.44140625" style="47" hidden="1" customWidth="1"/>
    <col min="425" max="425" width="5" style="47" customWidth="1"/>
    <col min="426" max="427" width="11.44140625" style="47" hidden="1" customWidth="1"/>
    <col min="428" max="428" width="5" style="47" customWidth="1"/>
    <col min="429" max="429" width="11.44140625" style="47" hidden="1" customWidth="1"/>
    <col min="430" max="430" width="6.44140625" style="47" customWidth="1"/>
    <col min="431" max="431" width="11.44140625" style="47" hidden="1" customWidth="1"/>
    <col min="432" max="432" width="7.109375" style="47" customWidth="1"/>
    <col min="433" max="434" width="11.44140625" style="47" hidden="1" customWidth="1"/>
    <col min="435" max="435" width="7.109375" style="47" customWidth="1"/>
    <col min="436" max="437" width="11.44140625" style="47" hidden="1" customWidth="1"/>
    <col min="438" max="438" width="7.109375" style="47" customWidth="1"/>
    <col min="439" max="440" width="11.44140625" style="47" hidden="1" customWidth="1"/>
    <col min="441" max="441" width="7.109375" style="47" customWidth="1"/>
    <col min="442" max="443" width="11.44140625" style="47" hidden="1" customWidth="1"/>
    <col min="444" max="444" width="7.109375" style="47" customWidth="1"/>
    <col min="445" max="446" width="11.44140625" style="47" hidden="1" customWidth="1"/>
    <col min="447" max="447" width="7.109375" style="47" customWidth="1"/>
    <col min="448" max="449" width="11.44140625" style="47" hidden="1" customWidth="1"/>
    <col min="450" max="450" width="7.109375" style="47" customWidth="1"/>
    <col min="451" max="452" width="11.44140625" style="47" hidden="1" customWidth="1"/>
    <col min="453" max="453" width="7.109375" style="47" customWidth="1"/>
    <col min="454" max="454" width="11.44140625" style="47" hidden="1" customWidth="1"/>
    <col min="455" max="455" width="6.44140625" style="47" customWidth="1"/>
    <col min="456" max="476" width="11.44140625" style="47" hidden="1" customWidth="1"/>
    <col min="477" max="477" width="9" style="47" customWidth="1"/>
    <col min="478" max="479" width="11.44140625" style="47" hidden="1" customWidth="1"/>
    <col min="480" max="480" width="8.44140625" style="47" customWidth="1"/>
    <col min="481" max="482" width="11.44140625" style="47" hidden="1" customWidth="1"/>
    <col min="483" max="483" width="6.44140625" style="47" customWidth="1"/>
    <col min="484" max="485" width="11.44140625" style="47" hidden="1" customWidth="1"/>
    <col min="486" max="486" width="7" style="47" customWidth="1"/>
    <col min="487" max="488" width="11.44140625" style="47" hidden="1" customWidth="1"/>
    <col min="489" max="491" width="7" style="47" customWidth="1"/>
    <col min="492" max="493" width="11.44140625" style="47" hidden="1" customWidth="1"/>
    <col min="494" max="494" width="7.44140625" style="47" customWidth="1"/>
    <col min="495" max="496" width="11.44140625" style="47" hidden="1" customWidth="1"/>
    <col min="497" max="497" width="7" style="47" customWidth="1"/>
    <col min="498" max="499" width="11.44140625" style="47" hidden="1" customWidth="1"/>
    <col min="500" max="500" width="7" style="47" customWidth="1"/>
    <col min="501" max="502" width="11.44140625" style="47" hidden="1" customWidth="1"/>
    <col min="503" max="503" width="7" style="47" customWidth="1"/>
    <col min="504" max="504" width="11.44140625" style="47" hidden="1" customWidth="1"/>
    <col min="505" max="505" width="6.44140625" style="47" customWidth="1"/>
    <col min="506" max="515" width="11.44140625" style="47" hidden="1" customWidth="1"/>
    <col min="516" max="550" width="11.44140625" style="47" hidden="1"/>
    <col min="551" max="551" width="41.44140625" style="47" customWidth="1"/>
    <col min="552" max="552" width="6.44140625" style="47" customWidth="1"/>
    <col min="553" max="553" width="14.5546875" style="47" customWidth="1"/>
    <col min="554" max="554" width="11.44140625" style="47" customWidth="1"/>
    <col min="555" max="555" width="13" style="47" customWidth="1"/>
    <col min="556" max="556" width="25.44140625" style="47" customWidth="1"/>
    <col min="557" max="566" width="9.44140625" style="47" customWidth="1"/>
    <col min="567" max="567" width="8.88671875" style="47" customWidth="1"/>
    <col min="568" max="568" width="9.44140625" style="47" customWidth="1"/>
    <col min="569" max="569" width="10.109375" style="47" customWidth="1"/>
    <col min="570" max="581" width="11.44140625" style="47" hidden="1" customWidth="1"/>
    <col min="582" max="583" width="11.44140625" style="47" customWidth="1"/>
    <col min="584" max="584" width="35.44140625" style="47" customWidth="1"/>
    <col min="585" max="585" width="9.109375" style="47" customWidth="1"/>
    <col min="586" max="586" width="24.44140625" style="47" customWidth="1"/>
    <col min="587" max="587" width="18.44140625" style="47" customWidth="1"/>
    <col min="588" max="588" width="22.44140625" style="47" customWidth="1"/>
    <col min="589" max="589" width="5" style="47" customWidth="1"/>
    <col min="590" max="591" width="11.44140625" style="47" hidden="1" customWidth="1"/>
    <col min="592" max="592" width="5" style="47" customWidth="1"/>
    <col min="593" max="594" width="11.44140625" style="47" hidden="1" customWidth="1"/>
    <col min="595" max="595" width="5" style="47" customWidth="1"/>
    <col min="596" max="597" width="11.44140625" style="47" hidden="1" customWidth="1"/>
    <col min="598" max="598" width="5" style="47" customWidth="1"/>
    <col min="599" max="600" width="11.44140625" style="47" hidden="1" customWidth="1"/>
    <col min="601" max="601" width="5" style="47" customWidth="1"/>
    <col min="602" max="666" width="11.44140625" style="47" hidden="1" customWidth="1"/>
    <col min="667" max="667" width="9.44140625" style="47" customWidth="1"/>
    <col min="668" max="668" width="11.44140625" style="47" hidden="1" customWidth="1"/>
    <col min="669" max="669" width="5" style="47" customWidth="1"/>
    <col min="670" max="671" width="11.44140625" style="47" hidden="1" customWidth="1"/>
    <col min="672" max="672" width="5" style="47" customWidth="1"/>
    <col min="673" max="674" width="11.44140625" style="47" hidden="1" customWidth="1"/>
    <col min="675" max="675" width="5" style="47" customWidth="1"/>
    <col min="676" max="677" width="11.44140625" style="47" hidden="1" customWidth="1"/>
    <col min="678" max="678" width="5" style="47" customWidth="1"/>
    <col min="679" max="680" width="11.44140625" style="47" hidden="1" customWidth="1"/>
    <col min="681" max="681" width="5" style="47" customWidth="1"/>
    <col min="682" max="683" width="11.44140625" style="47" hidden="1" customWidth="1"/>
    <col min="684" max="684" width="5" style="47" customWidth="1"/>
    <col min="685" max="685" width="11.44140625" style="47" hidden="1" customWidth="1"/>
    <col min="686" max="686" width="6.44140625" style="47" customWidth="1"/>
    <col min="687" max="687" width="11.44140625" style="47" hidden="1" customWidth="1"/>
    <col min="688" max="688" width="7.109375" style="47" customWidth="1"/>
    <col min="689" max="690" width="11.44140625" style="47" hidden="1" customWidth="1"/>
    <col min="691" max="691" width="7.109375" style="47" customWidth="1"/>
    <col min="692" max="693" width="11.44140625" style="47" hidden="1" customWidth="1"/>
    <col min="694" max="694" width="7.109375" style="47" customWidth="1"/>
    <col min="695" max="696" width="11.44140625" style="47" hidden="1" customWidth="1"/>
    <col min="697" max="697" width="7.109375" style="47" customWidth="1"/>
    <col min="698" max="699" width="11.44140625" style="47" hidden="1" customWidth="1"/>
    <col min="700" max="700" width="7.109375" style="47" customWidth="1"/>
    <col min="701" max="702" width="11.44140625" style="47" hidden="1" customWidth="1"/>
    <col min="703" max="703" width="7.109375" style="47" customWidth="1"/>
    <col min="704" max="705" width="11.44140625" style="47" hidden="1" customWidth="1"/>
    <col min="706" max="706" width="7.109375" style="47" customWidth="1"/>
    <col min="707" max="708" width="11.44140625" style="47" hidden="1" customWidth="1"/>
    <col min="709" max="709" width="7.109375" style="47" customWidth="1"/>
    <col min="710" max="710" width="11.44140625" style="47" hidden="1" customWidth="1"/>
    <col min="711" max="711" width="6.44140625" style="47" customWidth="1"/>
    <col min="712" max="732" width="11.44140625" style="47" hidden="1" customWidth="1"/>
    <col min="733" max="733" width="9" style="47" customWidth="1"/>
    <col min="734" max="735" width="11.44140625" style="47" hidden="1" customWidth="1"/>
    <col min="736" max="736" width="8.44140625" style="47" customWidth="1"/>
    <col min="737" max="738" width="11.44140625" style="47" hidden="1" customWidth="1"/>
    <col min="739" max="739" width="6.44140625" style="47" customWidth="1"/>
    <col min="740" max="741" width="11.44140625" style="47" hidden="1" customWidth="1"/>
    <col min="742" max="742" width="7" style="47" customWidth="1"/>
    <col min="743" max="744" width="11.44140625" style="47" hidden="1" customWidth="1"/>
    <col min="745" max="747" width="7" style="47" customWidth="1"/>
    <col min="748" max="749" width="11.44140625" style="47" hidden="1" customWidth="1"/>
    <col min="750" max="750" width="7.44140625" style="47" customWidth="1"/>
    <col min="751" max="752" width="11.44140625" style="47" hidden="1" customWidth="1"/>
    <col min="753" max="753" width="7" style="47" customWidth="1"/>
    <col min="754" max="755" width="11.44140625" style="47" hidden="1" customWidth="1"/>
    <col min="756" max="756" width="7" style="47" customWidth="1"/>
    <col min="757" max="758" width="11.44140625" style="47" hidden="1" customWidth="1"/>
    <col min="759" max="759" width="7" style="47" customWidth="1"/>
    <col min="760" max="760" width="11.44140625" style="47" hidden="1" customWidth="1"/>
    <col min="761" max="761" width="6.44140625" style="47" customWidth="1"/>
    <col min="762" max="771" width="11.44140625" style="47" hidden="1" customWidth="1"/>
    <col min="772" max="806" width="11.44140625" style="47" hidden="1"/>
    <col min="807" max="807" width="41.44140625" style="47" customWidth="1"/>
    <col min="808" max="808" width="6.44140625" style="47" customWidth="1"/>
    <col min="809" max="809" width="14.5546875" style="47" customWidth="1"/>
    <col min="810" max="810" width="11.44140625" style="47" customWidth="1"/>
    <col min="811" max="811" width="13" style="47" customWidth="1"/>
    <col min="812" max="812" width="25.44140625" style="47" customWidth="1"/>
    <col min="813" max="822" width="9.44140625" style="47" customWidth="1"/>
    <col min="823" max="823" width="8.88671875" style="47" customWidth="1"/>
    <col min="824" max="824" width="9.44140625" style="47" customWidth="1"/>
    <col min="825" max="825" width="10.109375" style="47" customWidth="1"/>
    <col min="826" max="837" width="11.44140625" style="47" hidden="1" customWidth="1"/>
    <col min="838" max="839" width="11.44140625" style="47" customWidth="1"/>
    <col min="840" max="840" width="35.44140625" style="47" customWidth="1"/>
    <col min="841" max="841" width="9.109375" style="47" customWidth="1"/>
    <col min="842" max="842" width="24.44140625" style="47" customWidth="1"/>
    <col min="843" max="843" width="18.44140625" style="47" customWidth="1"/>
    <col min="844" max="844" width="22.44140625" style="47" customWidth="1"/>
    <col min="845" max="845" width="5" style="47" customWidth="1"/>
    <col min="846" max="847" width="11.44140625" style="47" hidden="1" customWidth="1"/>
    <col min="848" max="848" width="5" style="47" customWidth="1"/>
    <col min="849" max="850" width="11.44140625" style="47" hidden="1" customWidth="1"/>
    <col min="851" max="851" width="5" style="47" customWidth="1"/>
    <col min="852" max="853" width="11.44140625" style="47" hidden="1" customWidth="1"/>
    <col min="854" max="854" width="5" style="47" customWidth="1"/>
    <col min="855" max="856" width="11.44140625" style="47" hidden="1" customWidth="1"/>
    <col min="857" max="857" width="5" style="47" customWidth="1"/>
    <col min="858" max="922" width="11.44140625" style="47" hidden="1" customWidth="1"/>
    <col min="923" max="923" width="9.44140625" style="47" customWidth="1"/>
    <col min="924" max="924" width="11.44140625" style="47" hidden="1" customWidth="1"/>
    <col min="925" max="925" width="5" style="47" customWidth="1"/>
    <col min="926" max="927" width="11.44140625" style="47" hidden="1" customWidth="1"/>
    <col min="928" max="928" width="5" style="47" customWidth="1"/>
    <col min="929" max="930" width="11.44140625" style="47" hidden="1" customWidth="1"/>
    <col min="931" max="931" width="5" style="47" customWidth="1"/>
    <col min="932" max="933" width="11.44140625" style="47" hidden="1" customWidth="1"/>
    <col min="934" max="934" width="5" style="47" customWidth="1"/>
    <col min="935" max="936" width="11.44140625" style="47" hidden="1" customWidth="1"/>
    <col min="937" max="937" width="5" style="47" customWidth="1"/>
    <col min="938" max="939" width="11.44140625" style="47" hidden="1" customWidth="1"/>
    <col min="940" max="940" width="5" style="47" customWidth="1"/>
    <col min="941" max="941" width="11.44140625" style="47" hidden="1" customWidth="1"/>
    <col min="942" max="942" width="6.44140625" style="47" customWidth="1"/>
    <col min="943" max="943" width="11.44140625" style="47" hidden="1" customWidth="1"/>
    <col min="944" max="944" width="7.109375" style="47" customWidth="1"/>
    <col min="945" max="946" width="11.44140625" style="47" hidden="1" customWidth="1"/>
    <col min="947" max="947" width="7.109375" style="47" customWidth="1"/>
    <col min="948" max="949" width="11.44140625" style="47" hidden="1" customWidth="1"/>
    <col min="950" max="950" width="7.109375" style="47" customWidth="1"/>
    <col min="951" max="952" width="11.44140625" style="47" hidden="1" customWidth="1"/>
    <col min="953" max="953" width="7.109375" style="47" customWidth="1"/>
    <col min="954" max="955" width="11.44140625" style="47" hidden="1" customWidth="1"/>
    <col min="956" max="956" width="7.109375" style="47" customWidth="1"/>
    <col min="957" max="958" width="11.44140625" style="47" hidden="1" customWidth="1"/>
    <col min="959" max="959" width="7.109375" style="47" customWidth="1"/>
    <col min="960" max="961" width="11.44140625" style="47" hidden="1" customWidth="1"/>
    <col min="962" max="962" width="7.109375" style="47" customWidth="1"/>
    <col min="963" max="964" width="11.44140625" style="47" hidden="1" customWidth="1"/>
    <col min="965" max="965" width="7.109375" style="47" customWidth="1"/>
    <col min="966" max="966" width="11.44140625" style="47" hidden="1" customWidth="1"/>
    <col min="967" max="967" width="6.44140625" style="47" customWidth="1"/>
    <col min="968" max="988" width="11.44140625" style="47" hidden="1" customWidth="1"/>
    <col min="989" max="989" width="9" style="47" customWidth="1"/>
    <col min="990" max="991" width="11.44140625" style="47" hidden="1" customWidth="1"/>
    <col min="992" max="992" width="8.44140625" style="47" customWidth="1"/>
    <col min="993" max="994" width="11.44140625" style="47" hidden="1" customWidth="1"/>
    <col min="995" max="995" width="6.44140625" style="47" customWidth="1"/>
    <col min="996" max="997" width="11.44140625" style="47" hidden="1" customWidth="1"/>
    <col min="998" max="998" width="7" style="47" customWidth="1"/>
    <col min="999" max="1000" width="11.44140625" style="47" hidden="1" customWidth="1"/>
    <col min="1001" max="1003" width="7" style="47" customWidth="1"/>
    <col min="1004" max="1005" width="11.44140625" style="47" hidden="1" customWidth="1"/>
    <col min="1006" max="1006" width="7.44140625" style="47" customWidth="1"/>
    <col min="1007" max="1008" width="11.44140625" style="47" hidden="1" customWidth="1"/>
    <col min="1009" max="1009" width="7" style="47" customWidth="1"/>
    <col min="1010" max="1011" width="11.44140625" style="47" hidden="1" customWidth="1"/>
    <col min="1012" max="1012" width="7" style="47" customWidth="1"/>
    <col min="1013" max="1014" width="11.44140625" style="47" hidden="1" customWidth="1"/>
    <col min="1015" max="1015" width="7" style="47" customWidth="1"/>
    <col min="1016" max="1016" width="11.44140625" style="47" hidden="1" customWidth="1"/>
    <col min="1017" max="1017" width="6.44140625" style="47" customWidth="1"/>
    <col min="1018" max="1027" width="11.44140625" style="47" hidden="1" customWidth="1"/>
    <col min="1028" max="1062" width="11.44140625" style="47" hidden="1"/>
    <col min="1063" max="1063" width="41.44140625" style="47" customWidth="1"/>
    <col min="1064" max="1064" width="6.44140625" style="47" customWidth="1"/>
    <col min="1065" max="1065" width="14.5546875" style="47" customWidth="1"/>
    <col min="1066" max="1066" width="11.44140625" style="47" customWidth="1"/>
    <col min="1067" max="1067" width="13" style="47" customWidth="1"/>
    <col min="1068" max="1068" width="25.44140625" style="47" customWidth="1"/>
    <col min="1069" max="1078" width="9.44140625" style="47" customWidth="1"/>
    <col min="1079" max="1079" width="8.88671875" style="47" customWidth="1"/>
    <col min="1080" max="1080" width="9.44140625" style="47" customWidth="1"/>
    <col min="1081" max="1081" width="10.109375" style="47" customWidth="1"/>
    <col min="1082" max="1093" width="11.44140625" style="47" hidden="1" customWidth="1"/>
    <col min="1094" max="1095" width="11.44140625" style="47" customWidth="1"/>
    <col min="1096" max="1096" width="35.44140625" style="47" customWidth="1"/>
    <col min="1097" max="1097" width="9.109375" style="47" customWidth="1"/>
    <col min="1098" max="1098" width="24.44140625" style="47" customWidth="1"/>
    <col min="1099" max="1099" width="18.44140625" style="47" customWidth="1"/>
    <col min="1100" max="1100" width="22.44140625" style="47" customWidth="1"/>
    <col min="1101" max="1101" width="5" style="47" customWidth="1"/>
    <col min="1102" max="1103" width="11.44140625" style="47" hidden="1" customWidth="1"/>
    <col min="1104" max="1104" width="5" style="47" customWidth="1"/>
    <col min="1105" max="1106" width="11.44140625" style="47" hidden="1" customWidth="1"/>
    <col min="1107" max="1107" width="5" style="47" customWidth="1"/>
    <col min="1108" max="1109" width="11.44140625" style="47" hidden="1" customWidth="1"/>
    <col min="1110" max="1110" width="5" style="47" customWidth="1"/>
    <col min="1111" max="1112" width="11.44140625" style="47" hidden="1" customWidth="1"/>
    <col min="1113" max="1113" width="5" style="47" customWidth="1"/>
    <col min="1114" max="1178" width="11.44140625" style="47" hidden="1" customWidth="1"/>
    <col min="1179" max="1179" width="9.44140625" style="47" customWidth="1"/>
    <col min="1180" max="1180" width="11.44140625" style="47" hidden="1" customWidth="1"/>
    <col min="1181" max="1181" width="5" style="47" customWidth="1"/>
    <col min="1182" max="1183" width="11.44140625" style="47" hidden="1" customWidth="1"/>
    <col min="1184" max="1184" width="5" style="47" customWidth="1"/>
    <col min="1185" max="1186" width="11.44140625" style="47" hidden="1" customWidth="1"/>
    <col min="1187" max="1187" width="5" style="47" customWidth="1"/>
    <col min="1188" max="1189" width="11.44140625" style="47" hidden="1" customWidth="1"/>
    <col min="1190" max="1190" width="5" style="47" customWidth="1"/>
    <col min="1191" max="1192" width="11.44140625" style="47" hidden="1" customWidth="1"/>
    <col min="1193" max="1193" width="5" style="47" customWidth="1"/>
    <col min="1194" max="1195" width="11.44140625" style="47" hidden="1" customWidth="1"/>
    <col min="1196" max="1196" width="5" style="47" customWidth="1"/>
    <col min="1197" max="1197" width="11.44140625" style="47" hidden="1" customWidth="1"/>
    <col min="1198" max="1198" width="6.44140625" style="47" customWidth="1"/>
    <col min="1199" max="1199" width="11.44140625" style="47" hidden="1" customWidth="1"/>
    <col min="1200" max="1200" width="7.109375" style="47" customWidth="1"/>
    <col min="1201" max="1202" width="11.44140625" style="47" hidden="1" customWidth="1"/>
    <col min="1203" max="1203" width="7.109375" style="47" customWidth="1"/>
    <col min="1204" max="1205" width="11.44140625" style="47" hidden="1" customWidth="1"/>
    <col min="1206" max="1206" width="7.109375" style="47" customWidth="1"/>
    <col min="1207" max="1208" width="11.44140625" style="47" hidden="1" customWidth="1"/>
    <col min="1209" max="1209" width="7.109375" style="47" customWidth="1"/>
    <col min="1210" max="1211" width="11.44140625" style="47" hidden="1" customWidth="1"/>
    <col min="1212" max="1212" width="7.109375" style="47" customWidth="1"/>
    <col min="1213" max="1214" width="11.44140625" style="47" hidden="1" customWidth="1"/>
    <col min="1215" max="1215" width="7.109375" style="47" customWidth="1"/>
    <col min="1216" max="1217" width="11.44140625" style="47" hidden="1" customWidth="1"/>
    <col min="1218" max="1218" width="7.109375" style="47" customWidth="1"/>
    <col min="1219" max="1220" width="11.44140625" style="47" hidden="1" customWidth="1"/>
    <col min="1221" max="1221" width="7.109375" style="47" customWidth="1"/>
    <col min="1222" max="1222" width="11.44140625" style="47" hidden="1" customWidth="1"/>
    <col min="1223" max="1223" width="6.44140625" style="47" customWidth="1"/>
    <col min="1224" max="1244" width="11.44140625" style="47" hidden="1" customWidth="1"/>
    <col min="1245" max="1245" width="9" style="47" customWidth="1"/>
    <col min="1246" max="1247" width="11.44140625" style="47" hidden="1" customWidth="1"/>
    <col min="1248" max="1248" width="8.44140625" style="47" customWidth="1"/>
    <col min="1249" max="1250" width="11.44140625" style="47" hidden="1" customWidth="1"/>
    <col min="1251" max="1251" width="6.44140625" style="47" customWidth="1"/>
    <col min="1252" max="1253" width="11.44140625" style="47" hidden="1" customWidth="1"/>
    <col min="1254" max="1254" width="7" style="47" customWidth="1"/>
    <col min="1255" max="1256" width="11.44140625" style="47" hidden="1" customWidth="1"/>
    <col min="1257" max="1259" width="7" style="47" customWidth="1"/>
    <col min="1260" max="1261" width="11.44140625" style="47" hidden="1" customWidth="1"/>
    <col min="1262" max="1262" width="7.44140625" style="47" customWidth="1"/>
    <col min="1263" max="1264" width="11.44140625" style="47" hidden="1" customWidth="1"/>
    <col min="1265" max="1265" width="7" style="47" customWidth="1"/>
    <col min="1266" max="1267" width="11.44140625" style="47" hidden="1" customWidth="1"/>
    <col min="1268" max="1268" width="7" style="47" customWidth="1"/>
    <col min="1269" max="1270" width="11.44140625" style="47" hidden="1" customWidth="1"/>
    <col min="1271" max="1271" width="7" style="47" customWidth="1"/>
    <col min="1272" max="1272" width="11.44140625" style="47" hidden="1" customWidth="1"/>
    <col min="1273" max="1273" width="6.44140625" style="47" customWidth="1"/>
    <col min="1274" max="1283" width="11.44140625" style="47" hidden="1" customWidth="1"/>
    <col min="1284" max="1318" width="11.44140625" style="47" hidden="1"/>
    <col min="1319" max="1319" width="41.44140625" style="47" customWidth="1"/>
    <col min="1320" max="1320" width="6.44140625" style="47" customWidth="1"/>
    <col min="1321" max="1321" width="14.5546875" style="47" customWidth="1"/>
    <col min="1322" max="1322" width="11.44140625" style="47" customWidth="1"/>
    <col min="1323" max="1323" width="13" style="47" customWidth="1"/>
    <col min="1324" max="1324" width="25.44140625" style="47" customWidth="1"/>
    <col min="1325" max="1334" width="9.44140625" style="47" customWidth="1"/>
    <col min="1335" max="1335" width="8.88671875" style="47" customWidth="1"/>
    <col min="1336" max="1336" width="9.44140625" style="47" customWidth="1"/>
    <col min="1337" max="1337" width="10.109375" style="47" customWidth="1"/>
    <col min="1338" max="1349" width="11.44140625" style="47" hidden="1" customWidth="1"/>
    <col min="1350" max="1351" width="11.44140625" style="47" customWidth="1"/>
    <col min="1352" max="1352" width="35.44140625" style="47" customWidth="1"/>
    <col min="1353" max="1353" width="9.109375" style="47" customWidth="1"/>
    <col min="1354" max="1354" width="24.44140625" style="47" customWidth="1"/>
    <col min="1355" max="1355" width="18.44140625" style="47" customWidth="1"/>
    <col min="1356" max="1356" width="22.44140625" style="47" customWidth="1"/>
    <col min="1357" max="1357" width="5" style="47" customWidth="1"/>
    <col min="1358" max="1359" width="11.44140625" style="47" hidden="1" customWidth="1"/>
    <col min="1360" max="1360" width="5" style="47" customWidth="1"/>
    <col min="1361" max="1362" width="11.44140625" style="47" hidden="1" customWidth="1"/>
    <col min="1363" max="1363" width="5" style="47" customWidth="1"/>
    <col min="1364" max="1365" width="11.44140625" style="47" hidden="1" customWidth="1"/>
    <col min="1366" max="1366" width="5" style="47" customWidth="1"/>
    <col min="1367" max="1368" width="11.44140625" style="47" hidden="1" customWidth="1"/>
    <col min="1369" max="1369" width="5" style="47" customWidth="1"/>
    <col min="1370" max="1434" width="11.44140625" style="47" hidden="1" customWidth="1"/>
    <col min="1435" max="1435" width="9.44140625" style="47" customWidth="1"/>
    <col min="1436" max="1436" width="11.44140625" style="47" hidden="1" customWidth="1"/>
    <col min="1437" max="1437" width="5" style="47" customWidth="1"/>
    <col min="1438" max="1439" width="11.44140625" style="47" hidden="1" customWidth="1"/>
    <col min="1440" max="1440" width="5" style="47" customWidth="1"/>
    <col min="1441" max="1442" width="11.44140625" style="47" hidden="1" customWidth="1"/>
    <col min="1443" max="1443" width="5" style="47" customWidth="1"/>
    <col min="1444" max="1445" width="11.44140625" style="47" hidden="1" customWidth="1"/>
    <col min="1446" max="1446" width="5" style="47" customWidth="1"/>
    <col min="1447" max="1448" width="11.44140625" style="47" hidden="1" customWidth="1"/>
    <col min="1449" max="1449" width="5" style="47" customWidth="1"/>
    <col min="1450" max="1451" width="11.44140625" style="47" hidden="1" customWidth="1"/>
    <col min="1452" max="1452" width="5" style="47" customWidth="1"/>
    <col min="1453" max="1453" width="11.44140625" style="47" hidden="1" customWidth="1"/>
    <col min="1454" max="1454" width="6.44140625" style="47" customWidth="1"/>
    <col min="1455" max="1455" width="11.44140625" style="47" hidden="1" customWidth="1"/>
    <col min="1456" max="1456" width="7.109375" style="47" customWidth="1"/>
    <col min="1457" max="1458" width="11.44140625" style="47" hidden="1" customWidth="1"/>
    <col min="1459" max="1459" width="7.109375" style="47" customWidth="1"/>
    <col min="1460" max="1461" width="11.44140625" style="47" hidden="1" customWidth="1"/>
    <col min="1462" max="1462" width="7.109375" style="47" customWidth="1"/>
    <col min="1463" max="1464" width="11.44140625" style="47" hidden="1" customWidth="1"/>
    <col min="1465" max="1465" width="7.109375" style="47" customWidth="1"/>
    <col min="1466" max="1467" width="11.44140625" style="47" hidden="1" customWidth="1"/>
    <col min="1468" max="1468" width="7.109375" style="47" customWidth="1"/>
    <col min="1469" max="1470" width="11.44140625" style="47" hidden="1" customWidth="1"/>
    <col min="1471" max="1471" width="7.109375" style="47" customWidth="1"/>
    <col min="1472" max="1473" width="11.44140625" style="47" hidden="1" customWidth="1"/>
    <col min="1474" max="1474" width="7.109375" style="47" customWidth="1"/>
    <col min="1475" max="1476" width="11.44140625" style="47" hidden="1" customWidth="1"/>
    <col min="1477" max="1477" width="7.109375" style="47" customWidth="1"/>
    <col min="1478" max="1478" width="11.44140625" style="47" hidden="1" customWidth="1"/>
    <col min="1479" max="1479" width="6.44140625" style="47" customWidth="1"/>
    <col min="1480" max="1500" width="11.44140625" style="47" hidden="1" customWidth="1"/>
    <col min="1501" max="1501" width="9" style="47" customWidth="1"/>
    <col min="1502" max="1503" width="11.44140625" style="47" hidden="1" customWidth="1"/>
    <col min="1504" max="1504" width="8.44140625" style="47" customWidth="1"/>
    <col min="1505" max="1506" width="11.44140625" style="47" hidden="1" customWidth="1"/>
    <col min="1507" max="1507" width="6.44140625" style="47" customWidth="1"/>
    <col min="1508" max="1509" width="11.44140625" style="47" hidden="1" customWidth="1"/>
    <col min="1510" max="1510" width="7" style="47" customWidth="1"/>
    <col min="1511" max="1512" width="11.44140625" style="47" hidden="1" customWidth="1"/>
    <col min="1513" max="1515" width="7" style="47" customWidth="1"/>
    <col min="1516" max="1517" width="11.44140625" style="47" hidden="1" customWidth="1"/>
    <col min="1518" max="1518" width="7.44140625" style="47" customWidth="1"/>
    <col min="1519" max="1520" width="11.44140625" style="47" hidden="1" customWidth="1"/>
    <col min="1521" max="1521" width="7" style="47" customWidth="1"/>
    <col min="1522" max="1523" width="11.44140625" style="47" hidden="1" customWidth="1"/>
    <col min="1524" max="1524" width="7" style="47" customWidth="1"/>
    <col min="1525" max="1526" width="11.44140625" style="47" hidden="1" customWidth="1"/>
    <col min="1527" max="1527" width="7" style="47" customWidth="1"/>
    <col min="1528" max="1528" width="11.44140625" style="47" hidden="1" customWidth="1"/>
    <col min="1529" max="1529" width="6.44140625" style="47" customWidth="1"/>
    <col min="1530" max="1539" width="11.44140625" style="47" hidden="1" customWidth="1"/>
    <col min="1540" max="1574" width="11.44140625" style="47" hidden="1"/>
    <col min="1575" max="1575" width="41.44140625" style="47" customWidth="1"/>
    <col min="1576" max="1576" width="6.44140625" style="47" customWidth="1"/>
    <col min="1577" max="1577" width="14.5546875" style="47" customWidth="1"/>
    <col min="1578" max="1578" width="11.44140625" style="47" customWidth="1"/>
    <col min="1579" max="1579" width="13" style="47" customWidth="1"/>
    <col min="1580" max="1580" width="25.44140625" style="47" customWidth="1"/>
    <col min="1581" max="1590" width="9.44140625" style="47" customWidth="1"/>
    <col min="1591" max="1591" width="8.88671875" style="47" customWidth="1"/>
    <col min="1592" max="1592" width="9.44140625" style="47" customWidth="1"/>
    <col min="1593" max="1593" width="10.109375" style="47" customWidth="1"/>
    <col min="1594" max="1605" width="11.44140625" style="47" hidden="1" customWidth="1"/>
    <col min="1606" max="1607" width="11.44140625" style="47" customWidth="1"/>
    <col min="1608" max="1608" width="35.44140625" style="47" customWidth="1"/>
    <col min="1609" max="1609" width="9.109375" style="47" customWidth="1"/>
    <col min="1610" max="1610" width="24.44140625" style="47" customWidth="1"/>
    <col min="1611" max="1611" width="18.44140625" style="47" customWidth="1"/>
    <col min="1612" max="1612" width="22.44140625" style="47" customWidth="1"/>
    <col min="1613" max="1613" width="5" style="47" customWidth="1"/>
    <col min="1614" max="1615" width="11.44140625" style="47" hidden="1" customWidth="1"/>
    <col min="1616" max="1616" width="5" style="47" customWidth="1"/>
    <col min="1617" max="1618" width="11.44140625" style="47" hidden="1" customWidth="1"/>
    <col min="1619" max="1619" width="5" style="47" customWidth="1"/>
    <col min="1620" max="1621" width="11.44140625" style="47" hidden="1" customWidth="1"/>
    <col min="1622" max="1622" width="5" style="47" customWidth="1"/>
    <col min="1623" max="1624" width="11.44140625" style="47" hidden="1" customWidth="1"/>
    <col min="1625" max="1625" width="5" style="47" customWidth="1"/>
    <col min="1626" max="1690" width="11.44140625" style="47" hidden="1" customWidth="1"/>
    <col min="1691" max="1691" width="9.44140625" style="47" customWidth="1"/>
    <col min="1692" max="1692" width="11.44140625" style="47" hidden="1" customWidth="1"/>
    <col min="1693" max="1693" width="5" style="47" customWidth="1"/>
    <col min="1694" max="1695" width="11.44140625" style="47" hidden="1" customWidth="1"/>
    <col min="1696" max="1696" width="5" style="47" customWidth="1"/>
    <col min="1697" max="1698" width="11.44140625" style="47" hidden="1" customWidth="1"/>
    <col min="1699" max="1699" width="5" style="47" customWidth="1"/>
    <col min="1700" max="1701" width="11.44140625" style="47" hidden="1" customWidth="1"/>
    <col min="1702" max="1702" width="5" style="47" customWidth="1"/>
    <col min="1703" max="1704" width="11.44140625" style="47" hidden="1" customWidth="1"/>
    <col min="1705" max="1705" width="5" style="47" customWidth="1"/>
    <col min="1706" max="1707" width="11.44140625" style="47" hidden="1" customWidth="1"/>
    <col min="1708" max="1708" width="5" style="47" customWidth="1"/>
    <col min="1709" max="1709" width="11.44140625" style="47" hidden="1" customWidth="1"/>
    <col min="1710" max="1710" width="6.44140625" style="47" customWidth="1"/>
    <col min="1711" max="1711" width="11.44140625" style="47" hidden="1" customWidth="1"/>
    <col min="1712" max="1712" width="7.109375" style="47" customWidth="1"/>
    <col min="1713" max="1714" width="11.44140625" style="47" hidden="1" customWidth="1"/>
    <col min="1715" max="1715" width="7.109375" style="47" customWidth="1"/>
    <col min="1716" max="1717" width="11.44140625" style="47" hidden="1" customWidth="1"/>
    <col min="1718" max="1718" width="7.109375" style="47" customWidth="1"/>
    <col min="1719" max="1720" width="11.44140625" style="47" hidden="1" customWidth="1"/>
    <col min="1721" max="1721" width="7.109375" style="47" customWidth="1"/>
    <col min="1722" max="1723" width="11.44140625" style="47" hidden="1" customWidth="1"/>
    <col min="1724" max="1724" width="7.109375" style="47" customWidth="1"/>
    <col min="1725" max="1726" width="11.44140625" style="47" hidden="1" customWidth="1"/>
    <col min="1727" max="1727" width="7.109375" style="47" customWidth="1"/>
    <col min="1728" max="1729" width="11.44140625" style="47" hidden="1" customWidth="1"/>
    <col min="1730" max="1730" width="7.109375" style="47" customWidth="1"/>
    <col min="1731" max="1732" width="11.44140625" style="47" hidden="1" customWidth="1"/>
    <col min="1733" max="1733" width="7.109375" style="47" customWidth="1"/>
    <col min="1734" max="1734" width="11.44140625" style="47" hidden="1" customWidth="1"/>
    <col min="1735" max="1735" width="6.44140625" style="47" customWidth="1"/>
    <col min="1736" max="1756" width="11.44140625" style="47" hidden="1" customWidth="1"/>
    <col min="1757" max="1757" width="9" style="47" customWidth="1"/>
    <col min="1758" max="1759" width="11.44140625" style="47" hidden="1" customWidth="1"/>
    <col min="1760" max="1760" width="8.44140625" style="47" customWidth="1"/>
    <col min="1761" max="1762" width="11.44140625" style="47" hidden="1" customWidth="1"/>
    <col min="1763" max="1763" width="6.44140625" style="47" customWidth="1"/>
    <col min="1764" max="1765" width="11.44140625" style="47" hidden="1" customWidth="1"/>
    <col min="1766" max="1766" width="7" style="47" customWidth="1"/>
    <col min="1767" max="1768" width="11.44140625" style="47" hidden="1" customWidth="1"/>
    <col min="1769" max="1771" width="7" style="47" customWidth="1"/>
    <col min="1772" max="1773" width="11.44140625" style="47" hidden="1" customWidth="1"/>
    <col min="1774" max="1774" width="7.44140625" style="47" customWidth="1"/>
    <col min="1775" max="1776" width="11.44140625" style="47" hidden="1" customWidth="1"/>
    <col min="1777" max="1777" width="7" style="47" customWidth="1"/>
    <col min="1778" max="1779" width="11.44140625" style="47" hidden="1" customWidth="1"/>
    <col min="1780" max="1780" width="7" style="47" customWidth="1"/>
    <col min="1781" max="1782" width="11.44140625" style="47" hidden="1" customWidth="1"/>
    <col min="1783" max="1783" width="7" style="47" customWidth="1"/>
    <col min="1784" max="1784" width="11.44140625" style="47" hidden="1" customWidth="1"/>
    <col min="1785" max="1785" width="6.44140625" style="47" customWidth="1"/>
    <col min="1786" max="1795" width="11.44140625" style="47" hidden="1" customWidth="1"/>
    <col min="1796" max="1830" width="11.44140625" style="47" hidden="1"/>
    <col min="1831" max="1831" width="41.44140625" style="47" customWidth="1"/>
    <col min="1832" max="1832" width="6.44140625" style="47" customWidth="1"/>
    <col min="1833" max="1833" width="14.5546875" style="47" customWidth="1"/>
    <col min="1834" max="1834" width="11.44140625" style="47" customWidth="1"/>
    <col min="1835" max="1835" width="13" style="47" customWidth="1"/>
    <col min="1836" max="1836" width="25.44140625" style="47" customWidth="1"/>
    <col min="1837" max="1846" width="9.44140625" style="47" customWidth="1"/>
    <col min="1847" max="1847" width="8.88671875" style="47" customWidth="1"/>
    <col min="1848" max="1848" width="9.44140625" style="47" customWidth="1"/>
    <col min="1849" max="1849" width="10.109375" style="47" customWidth="1"/>
    <col min="1850" max="1861" width="11.44140625" style="47" hidden="1" customWidth="1"/>
    <col min="1862" max="1863" width="11.44140625" style="47" customWidth="1"/>
    <col min="1864" max="1864" width="35.44140625" style="47" customWidth="1"/>
    <col min="1865" max="1865" width="9.109375" style="47" customWidth="1"/>
    <col min="1866" max="1866" width="24.44140625" style="47" customWidth="1"/>
    <col min="1867" max="1867" width="18.44140625" style="47" customWidth="1"/>
    <col min="1868" max="1868" width="22.44140625" style="47" customWidth="1"/>
    <col min="1869" max="1869" width="5" style="47" customWidth="1"/>
    <col min="1870" max="1871" width="11.44140625" style="47" hidden="1" customWidth="1"/>
    <col min="1872" max="1872" width="5" style="47" customWidth="1"/>
    <col min="1873" max="1874" width="11.44140625" style="47" hidden="1" customWidth="1"/>
    <col min="1875" max="1875" width="5" style="47" customWidth="1"/>
    <col min="1876" max="1877" width="11.44140625" style="47" hidden="1" customWidth="1"/>
    <col min="1878" max="1878" width="5" style="47" customWidth="1"/>
    <col min="1879" max="1880" width="11.44140625" style="47" hidden="1" customWidth="1"/>
    <col min="1881" max="1881" width="5" style="47" customWidth="1"/>
    <col min="1882" max="1946" width="11.44140625" style="47" hidden="1" customWidth="1"/>
    <col min="1947" max="1947" width="9.44140625" style="47" customWidth="1"/>
    <col min="1948" max="1948" width="11.44140625" style="47" hidden="1" customWidth="1"/>
    <col min="1949" max="1949" width="5" style="47" customWidth="1"/>
    <col min="1950" max="1951" width="11.44140625" style="47" hidden="1" customWidth="1"/>
    <col min="1952" max="1952" width="5" style="47" customWidth="1"/>
    <col min="1953" max="1954" width="11.44140625" style="47" hidden="1" customWidth="1"/>
    <col min="1955" max="1955" width="5" style="47" customWidth="1"/>
    <col min="1956" max="1957" width="11.44140625" style="47" hidden="1" customWidth="1"/>
    <col min="1958" max="1958" width="5" style="47" customWidth="1"/>
    <col min="1959" max="1960" width="11.44140625" style="47" hidden="1" customWidth="1"/>
    <col min="1961" max="1961" width="5" style="47" customWidth="1"/>
    <col min="1962" max="1963" width="11.44140625" style="47" hidden="1" customWidth="1"/>
    <col min="1964" max="1964" width="5" style="47" customWidth="1"/>
    <col min="1965" max="1965" width="11.44140625" style="47" hidden="1" customWidth="1"/>
    <col min="1966" max="1966" width="6.44140625" style="47" customWidth="1"/>
    <col min="1967" max="1967" width="11.44140625" style="47" hidden="1" customWidth="1"/>
    <col min="1968" max="1968" width="7.109375" style="47" customWidth="1"/>
    <col min="1969" max="1970" width="11.44140625" style="47" hidden="1" customWidth="1"/>
    <col min="1971" max="1971" width="7.109375" style="47" customWidth="1"/>
    <col min="1972" max="1973" width="11.44140625" style="47" hidden="1" customWidth="1"/>
    <col min="1974" max="1974" width="7.109375" style="47" customWidth="1"/>
    <col min="1975" max="1976" width="11.44140625" style="47" hidden="1" customWidth="1"/>
    <col min="1977" max="1977" width="7.109375" style="47" customWidth="1"/>
    <col min="1978" max="1979" width="11.44140625" style="47" hidden="1" customWidth="1"/>
    <col min="1980" max="1980" width="7.109375" style="47" customWidth="1"/>
    <col min="1981" max="1982" width="11.44140625" style="47" hidden="1" customWidth="1"/>
    <col min="1983" max="1983" width="7.109375" style="47" customWidth="1"/>
    <col min="1984" max="1985" width="11.44140625" style="47" hidden="1" customWidth="1"/>
    <col min="1986" max="1986" width="7.109375" style="47" customWidth="1"/>
    <col min="1987" max="1988" width="11.44140625" style="47" hidden="1" customWidth="1"/>
    <col min="1989" max="1989" width="7.109375" style="47" customWidth="1"/>
    <col min="1990" max="1990" width="11.44140625" style="47" hidden="1" customWidth="1"/>
    <col min="1991" max="1991" width="6.44140625" style="47" customWidth="1"/>
    <col min="1992" max="2012" width="11.44140625" style="47" hidden="1" customWidth="1"/>
    <col min="2013" max="2013" width="9" style="47" customWidth="1"/>
    <col min="2014" max="2015" width="11.44140625" style="47" hidden="1" customWidth="1"/>
    <col min="2016" max="2016" width="8.44140625" style="47" customWidth="1"/>
    <col min="2017" max="2018" width="11.44140625" style="47" hidden="1" customWidth="1"/>
    <col min="2019" max="2019" width="6.44140625" style="47" customWidth="1"/>
    <col min="2020" max="2021" width="11.44140625" style="47" hidden="1" customWidth="1"/>
    <col min="2022" max="2022" width="7" style="47" customWidth="1"/>
    <col min="2023" max="2024" width="11.44140625" style="47" hidden="1" customWidth="1"/>
    <col min="2025" max="2027" width="7" style="47" customWidth="1"/>
    <col min="2028" max="2029" width="11.44140625" style="47" hidden="1" customWidth="1"/>
    <col min="2030" max="2030" width="7.44140625" style="47" customWidth="1"/>
    <col min="2031" max="2032" width="11.44140625" style="47" hidden="1" customWidth="1"/>
    <col min="2033" max="2033" width="7" style="47" customWidth="1"/>
    <col min="2034" max="2035" width="11.44140625" style="47" hidden="1" customWidth="1"/>
    <col min="2036" max="2036" width="7" style="47" customWidth="1"/>
    <col min="2037" max="2038" width="11.44140625" style="47" hidden="1" customWidth="1"/>
    <col min="2039" max="2039" width="7" style="47" customWidth="1"/>
    <col min="2040" max="2040" width="11.44140625" style="47" hidden="1" customWidth="1"/>
    <col min="2041" max="2041" width="6.44140625" style="47" customWidth="1"/>
    <col min="2042" max="2051" width="11.44140625" style="47" hidden="1" customWidth="1"/>
    <col min="2052" max="2086" width="11.44140625" style="47" hidden="1"/>
    <col min="2087" max="2087" width="41.44140625" style="47" customWidth="1"/>
    <col min="2088" max="2088" width="6.44140625" style="47" customWidth="1"/>
    <col min="2089" max="2089" width="14.5546875" style="47" customWidth="1"/>
    <col min="2090" max="2090" width="11.44140625" style="47" customWidth="1"/>
    <col min="2091" max="2091" width="13" style="47" customWidth="1"/>
    <col min="2092" max="2092" width="25.44140625" style="47" customWidth="1"/>
    <col min="2093" max="2102" width="9.44140625" style="47" customWidth="1"/>
    <col min="2103" max="2103" width="8.88671875" style="47" customWidth="1"/>
    <col min="2104" max="2104" width="9.44140625" style="47" customWidth="1"/>
    <col min="2105" max="2105" width="10.109375" style="47" customWidth="1"/>
    <col min="2106" max="2117" width="11.44140625" style="47" hidden="1" customWidth="1"/>
    <col min="2118" max="2119" width="11.44140625" style="47" customWidth="1"/>
    <col min="2120" max="2120" width="35.44140625" style="47" customWidth="1"/>
    <col min="2121" max="2121" width="9.109375" style="47" customWidth="1"/>
    <col min="2122" max="2122" width="24.44140625" style="47" customWidth="1"/>
    <col min="2123" max="2123" width="18.44140625" style="47" customWidth="1"/>
    <col min="2124" max="2124" width="22.44140625" style="47" customWidth="1"/>
    <col min="2125" max="2125" width="5" style="47" customWidth="1"/>
    <col min="2126" max="2127" width="11.44140625" style="47" hidden="1" customWidth="1"/>
    <col min="2128" max="2128" width="5" style="47" customWidth="1"/>
    <col min="2129" max="2130" width="11.44140625" style="47" hidden="1" customWidth="1"/>
    <col min="2131" max="2131" width="5" style="47" customWidth="1"/>
    <col min="2132" max="2133" width="11.44140625" style="47" hidden="1" customWidth="1"/>
    <col min="2134" max="2134" width="5" style="47" customWidth="1"/>
    <col min="2135" max="2136" width="11.44140625" style="47" hidden="1" customWidth="1"/>
    <col min="2137" max="2137" width="5" style="47" customWidth="1"/>
    <col min="2138" max="2202" width="11.44140625" style="47" hidden="1" customWidth="1"/>
    <col min="2203" max="2203" width="9.44140625" style="47" customWidth="1"/>
    <col min="2204" max="2204" width="11.44140625" style="47" hidden="1" customWidth="1"/>
    <col min="2205" max="2205" width="5" style="47" customWidth="1"/>
    <col min="2206" max="2207" width="11.44140625" style="47" hidden="1" customWidth="1"/>
    <col min="2208" max="2208" width="5" style="47" customWidth="1"/>
    <col min="2209" max="2210" width="11.44140625" style="47" hidden="1" customWidth="1"/>
    <col min="2211" max="2211" width="5" style="47" customWidth="1"/>
    <col min="2212" max="2213" width="11.44140625" style="47" hidden="1" customWidth="1"/>
    <col min="2214" max="2214" width="5" style="47" customWidth="1"/>
    <col min="2215" max="2216" width="11.44140625" style="47" hidden="1" customWidth="1"/>
    <col min="2217" max="2217" width="5" style="47" customWidth="1"/>
    <col min="2218" max="2219" width="11.44140625" style="47" hidden="1" customWidth="1"/>
    <col min="2220" max="2220" width="5" style="47" customWidth="1"/>
    <col min="2221" max="2221" width="11.44140625" style="47" hidden="1" customWidth="1"/>
    <col min="2222" max="2222" width="6.44140625" style="47" customWidth="1"/>
    <col min="2223" max="2223" width="11.44140625" style="47" hidden="1" customWidth="1"/>
    <col min="2224" max="2224" width="7.109375" style="47" customWidth="1"/>
    <col min="2225" max="2226" width="11.44140625" style="47" hidden="1" customWidth="1"/>
    <col min="2227" max="2227" width="7.109375" style="47" customWidth="1"/>
    <col min="2228" max="2229" width="11.44140625" style="47" hidden="1" customWidth="1"/>
    <col min="2230" max="2230" width="7.109375" style="47" customWidth="1"/>
    <col min="2231" max="2232" width="11.44140625" style="47" hidden="1" customWidth="1"/>
    <col min="2233" max="2233" width="7.109375" style="47" customWidth="1"/>
    <col min="2234" max="2235" width="11.44140625" style="47" hidden="1" customWidth="1"/>
    <col min="2236" max="2236" width="7.109375" style="47" customWidth="1"/>
    <col min="2237" max="2238" width="11.44140625" style="47" hidden="1" customWidth="1"/>
    <col min="2239" max="2239" width="7.109375" style="47" customWidth="1"/>
    <col min="2240" max="2241" width="11.44140625" style="47" hidden="1" customWidth="1"/>
    <col min="2242" max="2242" width="7.109375" style="47" customWidth="1"/>
    <col min="2243" max="2244" width="11.44140625" style="47" hidden="1" customWidth="1"/>
    <col min="2245" max="2245" width="7.109375" style="47" customWidth="1"/>
    <col min="2246" max="2246" width="11.44140625" style="47" hidden="1" customWidth="1"/>
    <col min="2247" max="2247" width="6.44140625" style="47" customWidth="1"/>
    <col min="2248" max="2268" width="11.44140625" style="47" hidden="1" customWidth="1"/>
    <col min="2269" max="2269" width="9" style="47" customWidth="1"/>
    <col min="2270" max="2271" width="11.44140625" style="47" hidden="1" customWidth="1"/>
    <col min="2272" max="2272" width="8.44140625" style="47" customWidth="1"/>
    <col min="2273" max="2274" width="11.44140625" style="47" hidden="1" customWidth="1"/>
    <col min="2275" max="2275" width="6.44140625" style="47" customWidth="1"/>
    <col min="2276" max="2277" width="11.44140625" style="47" hidden="1" customWidth="1"/>
    <col min="2278" max="2278" width="7" style="47" customWidth="1"/>
    <col min="2279" max="2280" width="11.44140625" style="47" hidden="1" customWidth="1"/>
    <col min="2281" max="2283" width="7" style="47" customWidth="1"/>
    <col min="2284" max="2285" width="11.44140625" style="47" hidden="1" customWidth="1"/>
    <col min="2286" max="2286" width="7.44140625" style="47" customWidth="1"/>
    <col min="2287" max="2288" width="11.44140625" style="47" hidden="1" customWidth="1"/>
    <col min="2289" max="2289" width="7" style="47" customWidth="1"/>
    <col min="2290" max="2291" width="11.44140625" style="47" hidden="1" customWidth="1"/>
    <col min="2292" max="2292" width="7" style="47" customWidth="1"/>
    <col min="2293" max="2294" width="11.44140625" style="47" hidden="1" customWidth="1"/>
    <col min="2295" max="2295" width="7" style="47" customWidth="1"/>
    <col min="2296" max="2296" width="11.44140625" style="47" hidden="1" customWidth="1"/>
    <col min="2297" max="2297" width="6.44140625" style="47" customWidth="1"/>
    <col min="2298" max="2307" width="11.44140625" style="47" hidden="1" customWidth="1"/>
    <col min="2308" max="2342" width="11.44140625" style="47" hidden="1"/>
    <col min="2343" max="2343" width="41.44140625" style="47" customWidth="1"/>
    <col min="2344" max="2344" width="6.44140625" style="47" customWidth="1"/>
    <col min="2345" max="2345" width="14.5546875" style="47" customWidth="1"/>
    <col min="2346" max="2346" width="11.44140625" style="47" customWidth="1"/>
    <col min="2347" max="2347" width="13" style="47" customWidth="1"/>
    <col min="2348" max="2348" width="25.44140625" style="47" customWidth="1"/>
    <col min="2349" max="2358" width="9.44140625" style="47" customWidth="1"/>
    <col min="2359" max="2359" width="8.88671875" style="47" customWidth="1"/>
    <col min="2360" max="2360" width="9.44140625" style="47" customWidth="1"/>
    <col min="2361" max="2361" width="10.109375" style="47" customWidth="1"/>
    <col min="2362" max="2373" width="11.44140625" style="47" hidden="1" customWidth="1"/>
    <col min="2374" max="2375" width="11.44140625" style="47" customWidth="1"/>
    <col min="2376" max="2376" width="35.44140625" style="47" customWidth="1"/>
    <col min="2377" max="2377" width="9.109375" style="47" customWidth="1"/>
    <col min="2378" max="2378" width="24.44140625" style="47" customWidth="1"/>
    <col min="2379" max="2379" width="18.44140625" style="47" customWidth="1"/>
    <col min="2380" max="2380" width="22.44140625" style="47" customWidth="1"/>
    <col min="2381" max="2381" width="5" style="47" customWidth="1"/>
    <col min="2382" max="2383" width="11.44140625" style="47" hidden="1" customWidth="1"/>
    <col min="2384" max="2384" width="5" style="47" customWidth="1"/>
    <col min="2385" max="2386" width="11.44140625" style="47" hidden="1" customWidth="1"/>
    <col min="2387" max="2387" width="5" style="47" customWidth="1"/>
    <col min="2388" max="2389" width="11.44140625" style="47" hidden="1" customWidth="1"/>
    <col min="2390" max="2390" width="5" style="47" customWidth="1"/>
    <col min="2391" max="2392" width="11.44140625" style="47" hidden="1" customWidth="1"/>
    <col min="2393" max="2393" width="5" style="47" customWidth="1"/>
    <col min="2394" max="2458" width="11.44140625" style="47" hidden="1" customWidth="1"/>
    <col min="2459" max="2459" width="9.44140625" style="47" customWidth="1"/>
    <col min="2460" max="2460" width="11.44140625" style="47" hidden="1" customWidth="1"/>
    <col min="2461" max="2461" width="5" style="47" customWidth="1"/>
    <col min="2462" max="2463" width="11.44140625" style="47" hidden="1" customWidth="1"/>
    <col min="2464" max="2464" width="5" style="47" customWidth="1"/>
    <col min="2465" max="2466" width="11.44140625" style="47" hidden="1" customWidth="1"/>
    <col min="2467" max="2467" width="5" style="47" customWidth="1"/>
    <col min="2468" max="2469" width="11.44140625" style="47" hidden="1" customWidth="1"/>
    <col min="2470" max="2470" width="5" style="47" customWidth="1"/>
    <col min="2471" max="2472" width="11.44140625" style="47" hidden="1" customWidth="1"/>
    <col min="2473" max="2473" width="5" style="47" customWidth="1"/>
    <col min="2474" max="2475" width="11.44140625" style="47" hidden="1" customWidth="1"/>
    <col min="2476" max="2476" width="5" style="47" customWidth="1"/>
    <col min="2477" max="2477" width="11.44140625" style="47" hidden="1" customWidth="1"/>
    <col min="2478" max="2478" width="6.44140625" style="47" customWidth="1"/>
    <col min="2479" max="2479" width="11.44140625" style="47" hidden="1" customWidth="1"/>
    <col min="2480" max="2480" width="7.109375" style="47" customWidth="1"/>
    <col min="2481" max="2482" width="11.44140625" style="47" hidden="1" customWidth="1"/>
    <col min="2483" max="2483" width="7.109375" style="47" customWidth="1"/>
    <col min="2484" max="2485" width="11.44140625" style="47" hidden="1" customWidth="1"/>
    <col min="2486" max="2486" width="7.109375" style="47" customWidth="1"/>
    <col min="2487" max="2488" width="11.44140625" style="47" hidden="1" customWidth="1"/>
    <col min="2489" max="2489" width="7.109375" style="47" customWidth="1"/>
    <col min="2490" max="2491" width="11.44140625" style="47" hidden="1" customWidth="1"/>
    <col min="2492" max="2492" width="7.109375" style="47" customWidth="1"/>
    <col min="2493" max="2494" width="11.44140625" style="47" hidden="1" customWidth="1"/>
    <col min="2495" max="2495" width="7.109375" style="47" customWidth="1"/>
    <col min="2496" max="2497" width="11.44140625" style="47" hidden="1" customWidth="1"/>
    <col min="2498" max="2498" width="7.109375" style="47" customWidth="1"/>
    <col min="2499" max="2500" width="11.44140625" style="47" hidden="1" customWidth="1"/>
    <col min="2501" max="2501" width="7.109375" style="47" customWidth="1"/>
    <col min="2502" max="2502" width="11.44140625" style="47" hidden="1" customWidth="1"/>
    <col min="2503" max="2503" width="6.44140625" style="47" customWidth="1"/>
    <col min="2504" max="2524" width="11.44140625" style="47" hidden="1" customWidth="1"/>
    <col min="2525" max="2525" width="9" style="47" customWidth="1"/>
    <col min="2526" max="2527" width="11.44140625" style="47" hidden="1" customWidth="1"/>
    <col min="2528" max="2528" width="8.44140625" style="47" customWidth="1"/>
    <col min="2529" max="2530" width="11.44140625" style="47" hidden="1" customWidth="1"/>
    <col min="2531" max="2531" width="6.44140625" style="47" customWidth="1"/>
    <col min="2532" max="2533" width="11.44140625" style="47" hidden="1" customWidth="1"/>
    <col min="2534" max="2534" width="7" style="47" customWidth="1"/>
    <col min="2535" max="2536" width="11.44140625" style="47" hidden="1" customWidth="1"/>
    <col min="2537" max="2539" width="7" style="47" customWidth="1"/>
    <col min="2540" max="2541" width="11.44140625" style="47" hidden="1" customWidth="1"/>
    <col min="2542" max="2542" width="7.44140625" style="47" customWidth="1"/>
    <col min="2543" max="2544" width="11.44140625" style="47" hidden="1" customWidth="1"/>
    <col min="2545" max="2545" width="7" style="47" customWidth="1"/>
    <col min="2546" max="2547" width="11.44140625" style="47" hidden="1" customWidth="1"/>
    <col min="2548" max="2548" width="7" style="47" customWidth="1"/>
    <col min="2549" max="2550" width="11.44140625" style="47" hidden="1" customWidth="1"/>
    <col min="2551" max="2551" width="7" style="47" customWidth="1"/>
    <col min="2552" max="2552" width="11.44140625" style="47" hidden="1" customWidth="1"/>
    <col min="2553" max="2553" width="6.44140625" style="47" customWidth="1"/>
    <col min="2554" max="2563" width="11.44140625" style="47" hidden="1" customWidth="1"/>
    <col min="2564" max="2598" width="11.44140625" style="47" hidden="1"/>
    <col min="2599" max="2599" width="41.44140625" style="47" customWidth="1"/>
    <col min="2600" max="2600" width="6.44140625" style="47" customWidth="1"/>
    <col min="2601" max="2601" width="14.5546875" style="47" customWidth="1"/>
    <col min="2602" max="2602" width="11.44140625" style="47" customWidth="1"/>
    <col min="2603" max="2603" width="13" style="47" customWidth="1"/>
    <col min="2604" max="2604" width="25.44140625" style="47" customWidth="1"/>
    <col min="2605" max="2614" width="9.44140625" style="47" customWidth="1"/>
    <col min="2615" max="2615" width="8.88671875" style="47" customWidth="1"/>
    <col min="2616" max="2616" width="9.44140625" style="47" customWidth="1"/>
    <col min="2617" max="2617" width="10.109375" style="47" customWidth="1"/>
    <col min="2618" max="2629" width="11.44140625" style="47" hidden="1" customWidth="1"/>
    <col min="2630" max="2631" width="11.44140625" style="47" customWidth="1"/>
    <col min="2632" max="2632" width="35.44140625" style="47" customWidth="1"/>
    <col min="2633" max="2633" width="9.109375" style="47" customWidth="1"/>
    <col min="2634" max="2634" width="24.44140625" style="47" customWidth="1"/>
    <col min="2635" max="2635" width="18.44140625" style="47" customWidth="1"/>
    <col min="2636" max="2636" width="22.44140625" style="47" customWidth="1"/>
    <col min="2637" max="2637" width="5" style="47" customWidth="1"/>
    <col min="2638" max="2639" width="11.44140625" style="47" hidden="1" customWidth="1"/>
    <col min="2640" max="2640" width="5" style="47" customWidth="1"/>
    <col min="2641" max="2642" width="11.44140625" style="47" hidden="1" customWidth="1"/>
    <col min="2643" max="2643" width="5" style="47" customWidth="1"/>
    <col min="2644" max="2645" width="11.44140625" style="47" hidden="1" customWidth="1"/>
    <col min="2646" max="2646" width="5" style="47" customWidth="1"/>
    <col min="2647" max="2648" width="11.44140625" style="47" hidden="1" customWidth="1"/>
    <col min="2649" max="2649" width="5" style="47" customWidth="1"/>
    <col min="2650" max="2714" width="11.44140625" style="47" hidden="1" customWidth="1"/>
    <col min="2715" max="2715" width="9.44140625" style="47" customWidth="1"/>
    <col min="2716" max="2716" width="11.44140625" style="47" hidden="1" customWidth="1"/>
    <col min="2717" max="2717" width="5" style="47" customWidth="1"/>
    <col min="2718" max="2719" width="11.44140625" style="47" hidden="1" customWidth="1"/>
    <col min="2720" max="2720" width="5" style="47" customWidth="1"/>
    <col min="2721" max="2722" width="11.44140625" style="47" hidden="1" customWidth="1"/>
    <col min="2723" max="2723" width="5" style="47" customWidth="1"/>
    <col min="2724" max="2725" width="11.44140625" style="47" hidden="1" customWidth="1"/>
    <col min="2726" max="2726" width="5" style="47" customWidth="1"/>
    <col min="2727" max="2728" width="11.44140625" style="47" hidden="1" customWidth="1"/>
    <col min="2729" max="2729" width="5" style="47" customWidth="1"/>
    <col min="2730" max="2731" width="11.44140625" style="47" hidden="1" customWidth="1"/>
    <col min="2732" max="2732" width="5" style="47" customWidth="1"/>
    <col min="2733" max="2733" width="11.44140625" style="47" hidden="1" customWidth="1"/>
    <col min="2734" max="2734" width="6.44140625" style="47" customWidth="1"/>
    <col min="2735" max="2735" width="11.44140625" style="47" hidden="1" customWidth="1"/>
    <col min="2736" max="2736" width="7.109375" style="47" customWidth="1"/>
    <col min="2737" max="2738" width="11.44140625" style="47" hidden="1" customWidth="1"/>
    <col min="2739" max="2739" width="7.109375" style="47" customWidth="1"/>
    <col min="2740" max="2741" width="11.44140625" style="47" hidden="1" customWidth="1"/>
    <col min="2742" max="2742" width="7.109375" style="47" customWidth="1"/>
    <col min="2743" max="2744" width="11.44140625" style="47" hidden="1" customWidth="1"/>
    <col min="2745" max="2745" width="7.109375" style="47" customWidth="1"/>
    <col min="2746" max="2747" width="11.44140625" style="47" hidden="1" customWidth="1"/>
    <col min="2748" max="2748" width="7.109375" style="47" customWidth="1"/>
    <col min="2749" max="2750" width="11.44140625" style="47" hidden="1" customWidth="1"/>
    <col min="2751" max="2751" width="7.109375" style="47" customWidth="1"/>
    <col min="2752" max="2753" width="11.44140625" style="47" hidden="1" customWidth="1"/>
    <col min="2754" max="2754" width="7.109375" style="47" customWidth="1"/>
    <col min="2755" max="2756" width="11.44140625" style="47" hidden="1" customWidth="1"/>
    <col min="2757" max="2757" width="7.109375" style="47" customWidth="1"/>
    <col min="2758" max="2758" width="11.44140625" style="47" hidden="1" customWidth="1"/>
    <col min="2759" max="2759" width="6.44140625" style="47" customWidth="1"/>
    <col min="2760" max="2780" width="11.44140625" style="47" hidden="1" customWidth="1"/>
    <col min="2781" max="2781" width="9" style="47" customWidth="1"/>
    <col min="2782" max="2783" width="11.44140625" style="47" hidden="1" customWidth="1"/>
    <col min="2784" max="2784" width="8.44140625" style="47" customWidth="1"/>
    <col min="2785" max="2786" width="11.44140625" style="47" hidden="1" customWidth="1"/>
    <col min="2787" max="2787" width="6.44140625" style="47" customWidth="1"/>
    <col min="2788" max="2789" width="11.44140625" style="47" hidden="1" customWidth="1"/>
    <col min="2790" max="2790" width="7" style="47" customWidth="1"/>
    <col min="2791" max="2792" width="11.44140625" style="47" hidden="1" customWidth="1"/>
    <col min="2793" max="2795" width="7" style="47" customWidth="1"/>
    <col min="2796" max="2797" width="11.44140625" style="47" hidden="1" customWidth="1"/>
    <col min="2798" max="2798" width="7.44140625" style="47" customWidth="1"/>
    <col min="2799" max="2800" width="11.44140625" style="47" hidden="1" customWidth="1"/>
    <col min="2801" max="2801" width="7" style="47" customWidth="1"/>
    <col min="2802" max="2803" width="11.44140625" style="47" hidden="1" customWidth="1"/>
    <col min="2804" max="2804" width="7" style="47" customWidth="1"/>
    <col min="2805" max="2806" width="11.44140625" style="47" hidden="1" customWidth="1"/>
    <col min="2807" max="2807" width="7" style="47" customWidth="1"/>
    <col min="2808" max="2808" width="11.44140625" style="47" hidden="1" customWidth="1"/>
    <col min="2809" max="2809" width="6.44140625" style="47" customWidth="1"/>
    <col min="2810" max="2819" width="11.44140625" style="47" hidden="1" customWidth="1"/>
    <col min="2820" max="2854" width="11.44140625" style="47" hidden="1"/>
    <col min="2855" max="2855" width="41.44140625" style="47" customWidth="1"/>
    <col min="2856" max="2856" width="6.44140625" style="47" customWidth="1"/>
    <col min="2857" max="2857" width="14.5546875" style="47" customWidth="1"/>
    <col min="2858" max="2858" width="11.44140625" style="47" customWidth="1"/>
    <col min="2859" max="2859" width="13" style="47" customWidth="1"/>
    <col min="2860" max="2860" width="25.44140625" style="47" customWidth="1"/>
    <col min="2861" max="2870" width="9.44140625" style="47" customWidth="1"/>
    <col min="2871" max="2871" width="8.88671875" style="47" customWidth="1"/>
    <col min="2872" max="2872" width="9.44140625" style="47" customWidth="1"/>
    <col min="2873" max="2873" width="10.109375" style="47" customWidth="1"/>
    <col min="2874" max="2885" width="11.44140625" style="47" hidden="1" customWidth="1"/>
    <col min="2886" max="2887" width="11.44140625" style="47" customWidth="1"/>
    <col min="2888" max="2888" width="35.44140625" style="47" customWidth="1"/>
    <col min="2889" max="2889" width="9.109375" style="47" customWidth="1"/>
    <col min="2890" max="2890" width="24.44140625" style="47" customWidth="1"/>
    <col min="2891" max="2891" width="18.44140625" style="47" customWidth="1"/>
    <col min="2892" max="2892" width="22.44140625" style="47" customWidth="1"/>
    <col min="2893" max="2893" width="5" style="47" customWidth="1"/>
    <col min="2894" max="2895" width="11.44140625" style="47" hidden="1" customWidth="1"/>
    <col min="2896" max="2896" width="5" style="47" customWidth="1"/>
    <col min="2897" max="2898" width="11.44140625" style="47" hidden="1" customWidth="1"/>
    <col min="2899" max="2899" width="5" style="47" customWidth="1"/>
    <col min="2900" max="2901" width="11.44140625" style="47" hidden="1" customWidth="1"/>
    <col min="2902" max="2902" width="5" style="47" customWidth="1"/>
    <col min="2903" max="2904" width="11.44140625" style="47" hidden="1" customWidth="1"/>
    <col min="2905" max="2905" width="5" style="47" customWidth="1"/>
    <col min="2906" max="2970" width="11.44140625" style="47" hidden="1" customWidth="1"/>
    <col min="2971" max="2971" width="9.44140625" style="47" customWidth="1"/>
    <col min="2972" max="2972" width="11.44140625" style="47" hidden="1" customWidth="1"/>
    <col min="2973" max="2973" width="5" style="47" customWidth="1"/>
    <col min="2974" max="2975" width="11.44140625" style="47" hidden="1" customWidth="1"/>
    <col min="2976" max="2976" width="5" style="47" customWidth="1"/>
    <col min="2977" max="2978" width="11.44140625" style="47" hidden="1" customWidth="1"/>
    <col min="2979" max="2979" width="5" style="47" customWidth="1"/>
    <col min="2980" max="2981" width="11.44140625" style="47" hidden="1" customWidth="1"/>
    <col min="2982" max="2982" width="5" style="47" customWidth="1"/>
    <col min="2983" max="2984" width="11.44140625" style="47" hidden="1" customWidth="1"/>
    <col min="2985" max="2985" width="5" style="47" customWidth="1"/>
    <col min="2986" max="2987" width="11.44140625" style="47" hidden="1" customWidth="1"/>
    <col min="2988" max="2988" width="5" style="47" customWidth="1"/>
    <col min="2989" max="2989" width="11.44140625" style="47" hidden="1" customWidth="1"/>
    <col min="2990" max="2990" width="6.44140625" style="47" customWidth="1"/>
    <col min="2991" max="2991" width="11.44140625" style="47" hidden="1" customWidth="1"/>
    <col min="2992" max="2992" width="7.109375" style="47" customWidth="1"/>
    <col min="2993" max="2994" width="11.44140625" style="47" hidden="1" customWidth="1"/>
    <col min="2995" max="2995" width="7.109375" style="47" customWidth="1"/>
    <col min="2996" max="2997" width="11.44140625" style="47" hidden="1" customWidth="1"/>
    <col min="2998" max="2998" width="7.109375" style="47" customWidth="1"/>
    <col min="2999" max="3000" width="11.44140625" style="47" hidden="1" customWidth="1"/>
    <col min="3001" max="3001" width="7.109375" style="47" customWidth="1"/>
    <col min="3002" max="3003" width="11.44140625" style="47" hidden="1" customWidth="1"/>
    <col min="3004" max="3004" width="7.109375" style="47" customWidth="1"/>
    <col min="3005" max="3006" width="11.44140625" style="47" hidden="1" customWidth="1"/>
    <col min="3007" max="3007" width="7.109375" style="47" customWidth="1"/>
    <col min="3008" max="3009" width="11.44140625" style="47" hidden="1" customWidth="1"/>
    <col min="3010" max="3010" width="7.109375" style="47" customWidth="1"/>
    <col min="3011" max="3012" width="11.44140625" style="47" hidden="1" customWidth="1"/>
    <col min="3013" max="3013" width="7.109375" style="47" customWidth="1"/>
    <col min="3014" max="3014" width="11.44140625" style="47" hidden="1" customWidth="1"/>
    <col min="3015" max="3015" width="6.44140625" style="47" customWidth="1"/>
    <col min="3016" max="3036" width="11.44140625" style="47" hidden="1" customWidth="1"/>
    <col min="3037" max="3037" width="9" style="47" customWidth="1"/>
    <col min="3038" max="3039" width="11.44140625" style="47" hidden="1" customWidth="1"/>
    <col min="3040" max="3040" width="8.44140625" style="47" customWidth="1"/>
    <col min="3041" max="3042" width="11.44140625" style="47" hidden="1" customWidth="1"/>
    <col min="3043" max="3043" width="6.44140625" style="47" customWidth="1"/>
    <col min="3044" max="3045" width="11.44140625" style="47" hidden="1" customWidth="1"/>
    <col min="3046" max="3046" width="7" style="47" customWidth="1"/>
    <col min="3047" max="3048" width="11.44140625" style="47" hidden="1" customWidth="1"/>
    <col min="3049" max="3051" width="7" style="47" customWidth="1"/>
    <col min="3052" max="3053" width="11.44140625" style="47" hidden="1" customWidth="1"/>
    <col min="3054" max="3054" width="7.44140625" style="47" customWidth="1"/>
    <col min="3055" max="3056" width="11.44140625" style="47" hidden="1" customWidth="1"/>
    <col min="3057" max="3057" width="7" style="47" customWidth="1"/>
    <col min="3058" max="3059" width="11.44140625" style="47" hidden="1" customWidth="1"/>
    <col min="3060" max="3060" width="7" style="47" customWidth="1"/>
    <col min="3061" max="3062" width="11.44140625" style="47" hidden="1" customWidth="1"/>
    <col min="3063" max="3063" width="7" style="47" customWidth="1"/>
    <col min="3064" max="3064" width="11.44140625" style="47" hidden="1" customWidth="1"/>
    <col min="3065" max="3065" width="6.44140625" style="47" customWidth="1"/>
    <col min="3066" max="3075" width="11.44140625" style="47" hidden="1" customWidth="1"/>
    <col min="3076" max="3110" width="11.44140625" style="47" hidden="1"/>
    <col min="3111" max="3111" width="41.44140625" style="47" customWidth="1"/>
    <col min="3112" max="3112" width="6.44140625" style="47" customWidth="1"/>
    <col min="3113" max="3113" width="14.5546875" style="47" customWidth="1"/>
    <col min="3114" max="3114" width="11.44140625" style="47" customWidth="1"/>
    <col min="3115" max="3115" width="13" style="47" customWidth="1"/>
    <col min="3116" max="3116" width="25.44140625" style="47" customWidth="1"/>
    <col min="3117" max="3126" width="9.44140625" style="47" customWidth="1"/>
    <col min="3127" max="3127" width="8.88671875" style="47" customWidth="1"/>
    <col min="3128" max="3128" width="9.44140625" style="47" customWidth="1"/>
    <col min="3129" max="3129" width="10.109375" style="47" customWidth="1"/>
    <col min="3130" max="3141" width="11.44140625" style="47" hidden="1" customWidth="1"/>
    <col min="3142" max="3143" width="11.44140625" style="47" customWidth="1"/>
    <col min="3144" max="3144" width="35.44140625" style="47" customWidth="1"/>
    <col min="3145" max="3145" width="9.109375" style="47" customWidth="1"/>
    <col min="3146" max="3146" width="24.44140625" style="47" customWidth="1"/>
    <col min="3147" max="3147" width="18.44140625" style="47" customWidth="1"/>
    <col min="3148" max="3148" width="22.44140625" style="47" customWidth="1"/>
    <col min="3149" max="3149" width="5" style="47" customWidth="1"/>
    <col min="3150" max="3151" width="11.44140625" style="47" hidden="1" customWidth="1"/>
    <col min="3152" max="3152" width="5" style="47" customWidth="1"/>
    <col min="3153" max="3154" width="11.44140625" style="47" hidden="1" customWidth="1"/>
    <col min="3155" max="3155" width="5" style="47" customWidth="1"/>
    <col min="3156" max="3157" width="11.44140625" style="47" hidden="1" customWidth="1"/>
    <col min="3158" max="3158" width="5" style="47" customWidth="1"/>
    <col min="3159" max="3160" width="11.44140625" style="47" hidden="1" customWidth="1"/>
    <col min="3161" max="3161" width="5" style="47" customWidth="1"/>
    <col min="3162" max="3226" width="11.44140625" style="47" hidden="1" customWidth="1"/>
    <col min="3227" max="3227" width="9.44140625" style="47" customWidth="1"/>
    <col min="3228" max="3228" width="11.44140625" style="47" hidden="1" customWidth="1"/>
    <col min="3229" max="3229" width="5" style="47" customWidth="1"/>
    <col min="3230" max="3231" width="11.44140625" style="47" hidden="1" customWidth="1"/>
    <col min="3232" max="3232" width="5" style="47" customWidth="1"/>
    <col min="3233" max="3234" width="11.44140625" style="47" hidden="1" customWidth="1"/>
    <col min="3235" max="3235" width="5" style="47" customWidth="1"/>
    <col min="3236" max="3237" width="11.44140625" style="47" hidden="1" customWidth="1"/>
    <col min="3238" max="3238" width="5" style="47" customWidth="1"/>
    <col min="3239" max="3240" width="11.44140625" style="47" hidden="1" customWidth="1"/>
    <col min="3241" max="3241" width="5" style="47" customWidth="1"/>
    <col min="3242" max="3243" width="11.44140625" style="47" hidden="1" customWidth="1"/>
    <col min="3244" max="3244" width="5" style="47" customWidth="1"/>
    <col min="3245" max="3245" width="11.44140625" style="47" hidden="1" customWidth="1"/>
    <col min="3246" max="3246" width="6.44140625" style="47" customWidth="1"/>
    <col min="3247" max="3247" width="11.44140625" style="47" hidden="1" customWidth="1"/>
    <col min="3248" max="3248" width="7.109375" style="47" customWidth="1"/>
    <col min="3249" max="3250" width="11.44140625" style="47" hidden="1" customWidth="1"/>
    <col min="3251" max="3251" width="7.109375" style="47" customWidth="1"/>
    <col min="3252" max="3253" width="11.44140625" style="47" hidden="1" customWidth="1"/>
    <col min="3254" max="3254" width="7.109375" style="47" customWidth="1"/>
    <col min="3255" max="3256" width="11.44140625" style="47" hidden="1" customWidth="1"/>
    <col min="3257" max="3257" width="7.109375" style="47" customWidth="1"/>
    <col min="3258" max="3259" width="11.44140625" style="47" hidden="1" customWidth="1"/>
    <col min="3260" max="3260" width="7.109375" style="47" customWidth="1"/>
    <col min="3261" max="3262" width="11.44140625" style="47" hidden="1" customWidth="1"/>
    <col min="3263" max="3263" width="7.109375" style="47" customWidth="1"/>
    <col min="3264" max="3265" width="11.44140625" style="47" hidden="1" customWidth="1"/>
    <col min="3266" max="3266" width="7.109375" style="47" customWidth="1"/>
    <col min="3267" max="3268" width="11.44140625" style="47" hidden="1" customWidth="1"/>
    <col min="3269" max="3269" width="7.109375" style="47" customWidth="1"/>
    <col min="3270" max="3270" width="11.44140625" style="47" hidden="1" customWidth="1"/>
    <col min="3271" max="3271" width="6.44140625" style="47" customWidth="1"/>
    <col min="3272" max="3292" width="11.44140625" style="47" hidden="1" customWidth="1"/>
    <col min="3293" max="3293" width="9" style="47" customWidth="1"/>
    <col min="3294" max="3295" width="11.44140625" style="47" hidden="1" customWidth="1"/>
    <col min="3296" max="3296" width="8.44140625" style="47" customWidth="1"/>
    <col min="3297" max="3298" width="11.44140625" style="47" hidden="1" customWidth="1"/>
    <col min="3299" max="3299" width="6.44140625" style="47" customWidth="1"/>
    <col min="3300" max="3301" width="11.44140625" style="47" hidden="1" customWidth="1"/>
    <col min="3302" max="3302" width="7" style="47" customWidth="1"/>
    <col min="3303" max="3304" width="11.44140625" style="47" hidden="1" customWidth="1"/>
    <col min="3305" max="3307" width="7" style="47" customWidth="1"/>
    <col min="3308" max="3309" width="11.44140625" style="47" hidden="1" customWidth="1"/>
    <col min="3310" max="3310" width="7.44140625" style="47" customWidth="1"/>
    <col min="3311" max="3312" width="11.44140625" style="47" hidden="1" customWidth="1"/>
    <col min="3313" max="3313" width="7" style="47" customWidth="1"/>
    <col min="3314" max="3315" width="11.44140625" style="47" hidden="1" customWidth="1"/>
    <col min="3316" max="3316" width="7" style="47" customWidth="1"/>
    <col min="3317" max="3318" width="11.44140625" style="47" hidden="1" customWidth="1"/>
    <col min="3319" max="3319" width="7" style="47" customWidth="1"/>
    <col min="3320" max="3320" width="11.44140625" style="47" hidden="1" customWidth="1"/>
    <col min="3321" max="3321" width="6.44140625" style="47" customWidth="1"/>
    <col min="3322" max="3331" width="11.44140625" style="47" hidden="1" customWidth="1"/>
    <col min="3332" max="3366" width="11.44140625" style="47" hidden="1"/>
    <col min="3367" max="3367" width="41.44140625" style="47" customWidth="1"/>
    <col min="3368" max="3368" width="6.44140625" style="47" customWidth="1"/>
    <col min="3369" max="3369" width="14.5546875" style="47" customWidth="1"/>
    <col min="3370" max="3370" width="11.44140625" style="47" customWidth="1"/>
    <col min="3371" max="3371" width="13" style="47" customWidth="1"/>
    <col min="3372" max="3372" width="25.44140625" style="47" customWidth="1"/>
    <col min="3373" max="3382" width="9.44140625" style="47" customWidth="1"/>
    <col min="3383" max="3383" width="8.88671875" style="47" customWidth="1"/>
    <col min="3384" max="3384" width="9.44140625" style="47" customWidth="1"/>
    <col min="3385" max="3385" width="10.109375" style="47" customWidth="1"/>
    <col min="3386" max="3397" width="11.44140625" style="47" hidden="1" customWidth="1"/>
    <col min="3398" max="3399" width="11.44140625" style="47" customWidth="1"/>
    <col min="3400" max="3400" width="35.44140625" style="47" customWidth="1"/>
    <col min="3401" max="3401" width="9.109375" style="47" customWidth="1"/>
    <col min="3402" max="3402" width="24.44140625" style="47" customWidth="1"/>
    <col min="3403" max="3403" width="18.44140625" style="47" customWidth="1"/>
    <col min="3404" max="3404" width="22.44140625" style="47" customWidth="1"/>
    <col min="3405" max="3405" width="5" style="47" customWidth="1"/>
    <col min="3406" max="3407" width="11.44140625" style="47" hidden="1" customWidth="1"/>
    <col min="3408" max="3408" width="5" style="47" customWidth="1"/>
    <col min="3409" max="3410" width="11.44140625" style="47" hidden="1" customWidth="1"/>
    <col min="3411" max="3411" width="5" style="47" customWidth="1"/>
    <col min="3412" max="3413" width="11.44140625" style="47" hidden="1" customWidth="1"/>
    <col min="3414" max="3414" width="5" style="47" customWidth="1"/>
    <col min="3415" max="3416" width="11.44140625" style="47" hidden="1" customWidth="1"/>
    <col min="3417" max="3417" width="5" style="47" customWidth="1"/>
    <col min="3418" max="3482" width="11.44140625" style="47" hidden="1" customWidth="1"/>
    <col min="3483" max="3483" width="9.44140625" style="47" customWidth="1"/>
    <col min="3484" max="3484" width="11.44140625" style="47" hidden="1" customWidth="1"/>
    <col min="3485" max="3485" width="5" style="47" customWidth="1"/>
    <col min="3486" max="3487" width="11.44140625" style="47" hidden="1" customWidth="1"/>
    <col min="3488" max="3488" width="5" style="47" customWidth="1"/>
    <col min="3489" max="3490" width="11.44140625" style="47" hidden="1" customWidth="1"/>
    <col min="3491" max="3491" width="5" style="47" customWidth="1"/>
    <col min="3492" max="3493" width="11.44140625" style="47" hidden="1" customWidth="1"/>
    <col min="3494" max="3494" width="5" style="47" customWidth="1"/>
    <col min="3495" max="3496" width="11.44140625" style="47" hidden="1" customWidth="1"/>
    <col min="3497" max="3497" width="5" style="47" customWidth="1"/>
    <col min="3498" max="3499" width="11.44140625" style="47" hidden="1" customWidth="1"/>
    <col min="3500" max="3500" width="5" style="47" customWidth="1"/>
    <col min="3501" max="3501" width="11.44140625" style="47" hidden="1" customWidth="1"/>
    <col min="3502" max="3502" width="6.44140625" style="47" customWidth="1"/>
    <col min="3503" max="3503" width="11.44140625" style="47" hidden="1" customWidth="1"/>
    <col min="3504" max="3504" width="7.109375" style="47" customWidth="1"/>
    <col min="3505" max="3506" width="11.44140625" style="47" hidden="1" customWidth="1"/>
    <col min="3507" max="3507" width="7.109375" style="47" customWidth="1"/>
    <col min="3508" max="3509" width="11.44140625" style="47" hidden="1" customWidth="1"/>
    <col min="3510" max="3510" width="7.109375" style="47" customWidth="1"/>
    <col min="3511" max="3512" width="11.44140625" style="47" hidden="1" customWidth="1"/>
    <col min="3513" max="3513" width="7.109375" style="47" customWidth="1"/>
    <col min="3514" max="3515" width="11.44140625" style="47" hidden="1" customWidth="1"/>
    <col min="3516" max="3516" width="7.109375" style="47" customWidth="1"/>
    <col min="3517" max="3518" width="11.44140625" style="47" hidden="1" customWidth="1"/>
    <col min="3519" max="3519" width="7.109375" style="47" customWidth="1"/>
    <col min="3520" max="3521" width="11.44140625" style="47" hidden="1" customWidth="1"/>
    <col min="3522" max="3522" width="7.109375" style="47" customWidth="1"/>
    <col min="3523" max="3524" width="11.44140625" style="47" hidden="1" customWidth="1"/>
    <col min="3525" max="3525" width="7.109375" style="47" customWidth="1"/>
    <col min="3526" max="3526" width="11.44140625" style="47" hidden="1" customWidth="1"/>
    <col min="3527" max="3527" width="6.44140625" style="47" customWidth="1"/>
    <col min="3528" max="3548" width="11.44140625" style="47" hidden="1" customWidth="1"/>
    <col min="3549" max="3549" width="9" style="47" customWidth="1"/>
    <col min="3550" max="3551" width="11.44140625" style="47" hidden="1" customWidth="1"/>
    <col min="3552" max="3552" width="8.44140625" style="47" customWidth="1"/>
    <col min="3553" max="3554" width="11.44140625" style="47" hidden="1" customWidth="1"/>
    <col min="3555" max="3555" width="6.44140625" style="47" customWidth="1"/>
    <col min="3556" max="3557" width="11.44140625" style="47" hidden="1" customWidth="1"/>
    <col min="3558" max="3558" width="7" style="47" customWidth="1"/>
    <col min="3559" max="3560" width="11.44140625" style="47" hidden="1" customWidth="1"/>
    <col min="3561" max="3563" width="7" style="47" customWidth="1"/>
    <col min="3564" max="3565" width="11.44140625" style="47" hidden="1" customWidth="1"/>
    <col min="3566" max="3566" width="7.44140625" style="47" customWidth="1"/>
    <col min="3567" max="3568" width="11.44140625" style="47" hidden="1" customWidth="1"/>
    <col min="3569" max="3569" width="7" style="47" customWidth="1"/>
    <col min="3570" max="3571" width="11.44140625" style="47" hidden="1" customWidth="1"/>
    <col min="3572" max="3572" width="7" style="47" customWidth="1"/>
    <col min="3573" max="3574" width="11.44140625" style="47" hidden="1" customWidth="1"/>
    <col min="3575" max="3575" width="7" style="47" customWidth="1"/>
    <col min="3576" max="3576" width="11.44140625" style="47" hidden="1" customWidth="1"/>
    <col min="3577" max="3577" width="6.44140625" style="47" customWidth="1"/>
    <col min="3578" max="3587" width="11.44140625" style="47" hidden="1" customWidth="1"/>
    <col min="3588" max="3622" width="11.44140625" style="47" hidden="1"/>
    <col min="3623" max="3623" width="41.44140625" style="47" customWidth="1"/>
    <col min="3624" max="3624" width="6.44140625" style="47" customWidth="1"/>
    <col min="3625" max="3625" width="14.5546875" style="47" customWidth="1"/>
    <col min="3626" max="3626" width="11.44140625" style="47" customWidth="1"/>
    <col min="3627" max="3627" width="13" style="47" customWidth="1"/>
    <col min="3628" max="3628" width="25.44140625" style="47" customWidth="1"/>
    <col min="3629" max="3638" width="9.44140625" style="47" customWidth="1"/>
    <col min="3639" max="3639" width="8.88671875" style="47" customWidth="1"/>
    <col min="3640" max="3640" width="9.44140625" style="47" customWidth="1"/>
    <col min="3641" max="3641" width="10.109375" style="47" customWidth="1"/>
    <col min="3642" max="3653" width="11.44140625" style="47" hidden="1" customWidth="1"/>
    <col min="3654" max="3655" width="11.44140625" style="47" customWidth="1"/>
    <col min="3656" max="3656" width="35.44140625" style="47" customWidth="1"/>
    <col min="3657" max="3657" width="9.109375" style="47" customWidth="1"/>
    <col min="3658" max="3658" width="24.44140625" style="47" customWidth="1"/>
    <col min="3659" max="3659" width="18.44140625" style="47" customWidth="1"/>
    <col min="3660" max="3660" width="22.44140625" style="47" customWidth="1"/>
    <col min="3661" max="3661" width="5" style="47" customWidth="1"/>
    <col min="3662" max="3663" width="11.44140625" style="47" hidden="1" customWidth="1"/>
    <col min="3664" max="3664" width="5" style="47" customWidth="1"/>
    <col min="3665" max="3666" width="11.44140625" style="47" hidden="1" customWidth="1"/>
    <col min="3667" max="3667" width="5" style="47" customWidth="1"/>
    <col min="3668" max="3669" width="11.44140625" style="47" hidden="1" customWidth="1"/>
    <col min="3670" max="3670" width="5" style="47" customWidth="1"/>
    <col min="3671" max="3672" width="11.44140625" style="47" hidden="1" customWidth="1"/>
    <col min="3673" max="3673" width="5" style="47" customWidth="1"/>
    <col min="3674" max="3738" width="11.44140625" style="47" hidden="1" customWidth="1"/>
    <col min="3739" max="3739" width="9.44140625" style="47" customWidth="1"/>
    <col min="3740" max="3740" width="11.44140625" style="47" hidden="1" customWidth="1"/>
    <col min="3741" max="3741" width="5" style="47" customWidth="1"/>
    <col min="3742" max="3743" width="11.44140625" style="47" hidden="1" customWidth="1"/>
    <col min="3744" max="3744" width="5" style="47" customWidth="1"/>
    <col min="3745" max="3746" width="11.44140625" style="47" hidden="1" customWidth="1"/>
    <col min="3747" max="3747" width="5" style="47" customWidth="1"/>
    <col min="3748" max="3749" width="11.44140625" style="47" hidden="1" customWidth="1"/>
    <col min="3750" max="3750" width="5" style="47" customWidth="1"/>
    <col min="3751" max="3752" width="11.44140625" style="47" hidden="1" customWidth="1"/>
    <col min="3753" max="3753" width="5" style="47" customWidth="1"/>
    <col min="3754" max="3755" width="11.44140625" style="47" hidden="1" customWidth="1"/>
    <col min="3756" max="3756" width="5" style="47" customWidth="1"/>
    <col min="3757" max="3757" width="11.44140625" style="47" hidden="1" customWidth="1"/>
    <col min="3758" max="3758" width="6.44140625" style="47" customWidth="1"/>
    <col min="3759" max="3759" width="11.44140625" style="47" hidden="1" customWidth="1"/>
    <col min="3760" max="3760" width="7.109375" style="47" customWidth="1"/>
    <col min="3761" max="3762" width="11.44140625" style="47" hidden="1" customWidth="1"/>
    <col min="3763" max="3763" width="7.109375" style="47" customWidth="1"/>
    <col min="3764" max="3765" width="11.44140625" style="47" hidden="1" customWidth="1"/>
    <col min="3766" max="3766" width="7.109375" style="47" customWidth="1"/>
    <col min="3767" max="3768" width="11.44140625" style="47" hidden="1" customWidth="1"/>
    <col min="3769" max="3769" width="7.109375" style="47" customWidth="1"/>
    <col min="3770" max="3771" width="11.44140625" style="47" hidden="1" customWidth="1"/>
    <col min="3772" max="3772" width="7.109375" style="47" customWidth="1"/>
    <col min="3773" max="3774" width="11.44140625" style="47" hidden="1" customWidth="1"/>
    <col min="3775" max="3775" width="7.109375" style="47" customWidth="1"/>
    <col min="3776" max="3777" width="11.44140625" style="47" hidden="1" customWidth="1"/>
    <col min="3778" max="3778" width="7.109375" style="47" customWidth="1"/>
    <col min="3779" max="3780" width="11.44140625" style="47" hidden="1" customWidth="1"/>
    <col min="3781" max="3781" width="7.109375" style="47" customWidth="1"/>
    <col min="3782" max="3782" width="11.44140625" style="47" hidden="1" customWidth="1"/>
    <col min="3783" max="3783" width="6.44140625" style="47" customWidth="1"/>
    <col min="3784" max="3804" width="11.44140625" style="47" hidden="1" customWidth="1"/>
    <col min="3805" max="3805" width="9" style="47" customWidth="1"/>
    <col min="3806" max="3807" width="11.44140625" style="47" hidden="1" customWidth="1"/>
    <col min="3808" max="3808" width="8.44140625" style="47" customWidth="1"/>
    <col min="3809" max="3810" width="11.44140625" style="47" hidden="1" customWidth="1"/>
    <col min="3811" max="3811" width="6.44140625" style="47" customWidth="1"/>
    <col min="3812" max="3813" width="11.44140625" style="47" hidden="1" customWidth="1"/>
    <col min="3814" max="3814" width="7" style="47" customWidth="1"/>
    <col min="3815" max="3816" width="11.44140625" style="47" hidden="1" customWidth="1"/>
    <col min="3817" max="3819" width="7" style="47" customWidth="1"/>
    <col min="3820" max="3821" width="11.44140625" style="47" hidden="1" customWidth="1"/>
    <col min="3822" max="3822" width="7.44140625" style="47" customWidth="1"/>
    <col min="3823" max="3824" width="11.44140625" style="47" hidden="1" customWidth="1"/>
    <col min="3825" max="3825" width="7" style="47" customWidth="1"/>
    <col min="3826" max="3827" width="11.44140625" style="47" hidden="1" customWidth="1"/>
    <col min="3828" max="3828" width="7" style="47" customWidth="1"/>
    <col min="3829" max="3830" width="11.44140625" style="47" hidden="1" customWidth="1"/>
    <col min="3831" max="3831" width="7" style="47" customWidth="1"/>
    <col min="3832" max="3832" width="11.44140625" style="47" hidden="1" customWidth="1"/>
    <col min="3833" max="3833" width="6.44140625" style="47" customWidth="1"/>
    <col min="3834" max="3843" width="11.44140625" style="47" hidden="1" customWidth="1"/>
    <col min="3844" max="3878" width="11.44140625" style="47" hidden="1"/>
    <col min="3879" max="3879" width="41.44140625" style="47" customWidth="1"/>
    <col min="3880" max="3880" width="6.44140625" style="47" customWidth="1"/>
    <col min="3881" max="3881" width="14.5546875" style="47" customWidth="1"/>
    <col min="3882" max="3882" width="11.44140625" style="47" customWidth="1"/>
    <col min="3883" max="3883" width="13" style="47" customWidth="1"/>
    <col min="3884" max="3884" width="25.44140625" style="47" customWidth="1"/>
    <col min="3885" max="3894" width="9.44140625" style="47" customWidth="1"/>
    <col min="3895" max="3895" width="8.88671875" style="47" customWidth="1"/>
    <col min="3896" max="3896" width="9.44140625" style="47" customWidth="1"/>
    <col min="3897" max="3897" width="10.109375" style="47" customWidth="1"/>
    <col min="3898" max="3909" width="11.44140625" style="47" hidden="1" customWidth="1"/>
    <col min="3910" max="3911" width="11.44140625" style="47" customWidth="1"/>
    <col min="3912" max="3912" width="35.44140625" style="47" customWidth="1"/>
    <col min="3913" max="3913" width="9.109375" style="47" customWidth="1"/>
    <col min="3914" max="3914" width="24.44140625" style="47" customWidth="1"/>
    <col min="3915" max="3915" width="18.44140625" style="47" customWidth="1"/>
    <col min="3916" max="3916" width="22.44140625" style="47" customWidth="1"/>
    <col min="3917" max="3917" width="5" style="47" customWidth="1"/>
    <col min="3918" max="3919" width="11.44140625" style="47" hidden="1" customWidth="1"/>
    <col min="3920" max="3920" width="5" style="47" customWidth="1"/>
    <col min="3921" max="3922" width="11.44140625" style="47" hidden="1" customWidth="1"/>
    <col min="3923" max="3923" width="5" style="47" customWidth="1"/>
    <col min="3924" max="3925" width="11.44140625" style="47" hidden="1" customWidth="1"/>
    <col min="3926" max="3926" width="5" style="47" customWidth="1"/>
    <col min="3927" max="3928" width="11.44140625" style="47" hidden="1" customWidth="1"/>
    <col min="3929" max="3929" width="5" style="47" customWidth="1"/>
    <col min="3930" max="3994" width="11.44140625" style="47" hidden="1" customWidth="1"/>
    <col min="3995" max="3995" width="9.44140625" style="47" customWidth="1"/>
    <col min="3996" max="3996" width="11.44140625" style="47" hidden="1" customWidth="1"/>
    <col min="3997" max="3997" width="5" style="47" customWidth="1"/>
    <col min="3998" max="3999" width="11.44140625" style="47" hidden="1" customWidth="1"/>
    <col min="4000" max="4000" width="5" style="47" customWidth="1"/>
    <col min="4001" max="4002" width="11.44140625" style="47" hidden="1" customWidth="1"/>
    <col min="4003" max="4003" width="5" style="47" customWidth="1"/>
    <col min="4004" max="4005" width="11.44140625" style="47" hidden="1" customWidth="1"/>
    <col min="4006" max="4006" width="5" style="47" customWidth="1"/>
    <col min="4007" max="4008" width="11.44140625" style="47" hidden="1" customWidth="1"/>
    <col min="4009" max="4009" width="5" style="47" customWidth="1"/>
    <col min="4010" max="4011" width="11.44140625" style="47" hidden="1" customWidth="1"/>
    <col min="4012" max="4012" width="5" style="47" customWidth="1"/>
    <col min="4013" max="4013" width="11.44140625" style="47" hidden="1" customWidth="1"/>
    <col min="4014" max="4014" width="6.44140625" style="47" customWidth="1"/>
    <col min="4015" max="4015" width="11.44140625" style="47" hidden="1" customWidth="1"/>
    <col min="4016" max="4016" width="7.109375" style="47" customWidth="1"/>
    <col min="4017" max="4018" width="11.44140625" style="47" hidden="1" customWidth="1"/>
    <col min="4019" max="4019" width="7.109375" style="47" customWidth="1"/>
    <col min="4020" max="4021" width="11.44140625" style="47" hidden="1" customWidth="1"/>
    <col min="4022" max="4022" width="7.109375" style="47" customWidth="1"/>
    <col min="4023" max="4024" width="11.44140625" style="47" hidden="1" customWidth="1"/>
    <col min="4025" max="4025" width="7.109375" style="47" customWidth="1"/>
    <col min="4026" max="4027" width="11.44140625" style="47" hidden="1" customWidth="1"/>
    <col min="4028" max="4028" width="7.109375" style="47" customWidth="1"/>
    <col min="4029" max="4030" width="11.44140625" style="47" hidden="1" customWidth="1"/>
    <col min="4031" max="4031" width="7.109375" style="47" customWidth="1"/>
    <col min="4032" max="4033" width="11.44140625" style="47" hidden="1" customWidth="1"/>
    <col min="4034" max="4034" width="7.109375" style="47" customWidth="1"/>
    <col min="4035" max="4036" width="11.44140625" style="47" hidden="1" customWidth="1"/>
    <col min="4037" max="4037" width="7.109375" style="47" customWidth="1"/>
    <col min="4038" max="4038" width="11.44140625" style="47" hidden="1" customWidth="1"/>
    <col min="4039" max="4039" width="6.44140625" style="47" customWidth="1"/>
    <col min="4040" max="4060" width="11.44140625" style="47" hidden="1" customWidth="1"/>
    <col min="4061" max="4061" width="9" style="47" customWidth="1"/>
    <col min="4062" max="4063" width="11.44140625" style="47" hidden="1" customWidth="1"/>
    <col min="4064" max="4064" width="8.44140625" style="47" customWidth="1"/>
    <col min="4065" max="4066" width="11.44140625" style="47" hidden="1" customWidth="1"/>
    <col min="4067" max="4067" width="6.44140625" style="47" customWidth="1"/>
    <col min="4068" max="4069" width="11.44140625" style="47" hidden="1" customWidth="1"/>
    <col min="4070" max="4070" width="7" style="47" customWidth="1"/>
    <col min="4071" max="4072" width="11.44140625" style="47" hidden="1" customWidth="1"/>
    <col min="4073" max="4075" width="7" style="47" customWidth="1"/>
    <col min="4076" max="4077" width="11.44140625" style="47" hidden="1" customWidth="1"/>
    <col min="4078" max="4078" width="7.44140625" style="47" customWidth="1"/>
    <col min="4079" max="4080" width="11.44140625" style="47" hidden="1" customWidth="1"/>
    <col min="4081" max="4081" width="7" style="47" customWidth="1"/>
    <col min="4082" max="4083" width="11.44140625" style="47" hidden="1" customWidth="1"/>
    <col min="4084" max="4084" width="7" style="47" customWidth="1"/>
    <col min="4085" max="4086" width="11.44140625" style="47" hidden="1" customWidth="1"/>
    <col min="4087" max="4087" width="7" style="47" customWidth="1"/>
    <col min="4088" max="4088" width="11.44140625" style="47" hidden="1" customWidth="1"/>
    <col min="4089" max="4089" width="6.44140625" style="47" customWidth="1"/>
    <col min="4090" max="4099" width="11.44140625" style="47" hidden="1" customWidth="1"/>
    <col min="4100" max="4134" width="11.44140625" style="47" hidden="1"/>
    <col min="4135" max="4135" width="41.44140625" style="47" customWidth="1"/>
    <col min="4136" max="4136" width="6.44140625" style="47" customWidth="1"/>
    <col min="4137" max="4137" width="14.5546875" style="47" customWidth="1"/>
    <col min="4138" max="4138" width="11.44140625" style="47" customWidth="1"/>
    <col min="4139" max="4139" width="13" style="47" customWidth="1"/>
    <col min="4140" max="4140" width="25.44140625" style="47" customWidth="1"/>
    <col min="4141" max="4150" width="9.44140625" style="47" customWidth="1"/>
    <col min="4151" max="4151" width="8.88671875" style="47" customWidth="1"/>
    <col min="4152" max="4152" width="9.44140625" style="47" customWidth="1"/>
    <col min="4153" max="4153" width="10.109375" style="47" customWidth="1"/>
    <col min="4154" max="4165" width="11.44140625" style="47" hidden="1" customWidth="1"/>
    <col min="4166" max="4167" width="11.44140625" style="47" customWidth="1"/>
    <col min="4168" max="4168" width="35.44140625" style="47" customWidth="1"/>
    <col min="4169" max="4169" width="9.109375" style="47" customWidth="1"/>
    <col min="4170" max="4170" width="24.44140625" style="47" customWidth="1"/>
    <col min="4171" max="4171" width="18.44140625" style="47" customWidth="1"/>
    <col min="4172" max="4172" width="22.44140625" style="47" customWidth="1"/>
    <col min="4173" max="4173" width="5" style="47" customWidth="1"/>
    <col min="4174" max="4175" width="11.44140625" style="47" hidden="1" customWidth="1"/>
    <col min="4176" max="4176" width="5" style="47" customWidth="1"/>
    <col min="4177" max="4178" width="11.44140625" style="47" hidden="1" customWidth="1"/>
    <col min="4179" max="4179" width="5" style="47" customWidth="1"/>
    <col min="4180" max="4181" width="11.44140625" style="47" hidden="1" customWidth="1"/>
    <col min="4182" max="4182" width="5" style="47" customWidth="1"/>
    <col min="4183" max="4184" width="11.44140625" style="47" hidden="1" customWidth="1"/>
    <col min="4185" max="4185" width="5" style="47" customWidth="1"/>
    <col min="4186" max="4250" width="11.44140625" style="47" hidden="1" customWidth="1"/>
    <col min="4251" max="4251" width="9.44140625" style="47" customWidth="1"/>
    <col min="4252" max="4252" width="11.44140625" style="47" hidden="1" customWidth="1"/>
    <col min="4253" max="4253" width="5" style="47" customWidth="1"/>
    <col min="4254" max="4255" width="11.44140625" style="47" hidden="1" customWidth="1"/>
    <col min="4256" max="4256" width="5" style="47" customWidth="1"/>
    <col min="4257" max="4258" width="11.44140625" style="47" hidden="1" customWidth="1"/>
    <col min="4259" max="4259" width="5" style="47" customWidth="1"/>
    <col min="4260" max="4261" width="11.44140625" style="47" hidden="1" customWidth="1"/>
    <col min="4262" max="4262" width="5" style="47" customWidth="1"/>
    <col min="4263" max="4264" width="11.44140625" style="47" hidden="1" customWidth="1"/>
    <col min="4265" max="4265" width="5" style="47" customWidth="1"/>
    <col min="4266" max="4267" width="11.44140625" style="47" hidden="1" customWidth="1"/>
    <col min="4268" max="4268" width="5" style="47" customWidth="1"/>
    <col min="4269" max="4269" width="11.44140625" style="47" hidden="1" customWidth="1"/>
    <col min="4270" max="4270" width="6.44140625" style="47" customWidth="1"/>
    <col min="4271" max="4271" width="11.44140625" style="47" hidden="1" customWidth="1"/>
    <col min="4272" max="4272" width="7.109375" style="47" customWidth="1"/>
    <col min="4273" max="4274" width="11.44140625" style="47" hidden="1" customWidth="1"/>
    <col min="4275" max="4275" width="7.109375" style="47" customWidth="1"/>
    <col min="4276" max="4277" width="11.44140625" style="47" hidden="1" customWidth="1"/>
    <col min="4278" max="4278" width="7.109375" style="47" customWidth="1"/>
    <col min="4279" max="4280" width="11.44140625" style="47" hidden="1" customWidth="1"/>
    <col min="4281" max="4281" width="7.109375" style="47" customWidth="1"/>
    <col min="4282" max="4283" width="11.44140625" style="47" hidden="1" customWidth="1"/>
    <col min="4284" max="4284" width="7.109375" style="47" customWidth="1"/>
    <col min="4285" max="4286" width="11.44140625" style="47" hidden="1" customWidth="1"/>
    <col min="4287" max="4287" width="7.109375" style="47" customWidth="1"/>
    <col min="4288" max="4289" width="11.44140625" style="47" hidden="1" customWidth="1"/>
    <col min="4290" max="4290" width="7.109375" style="47" customWidth="1"/>
    <col min="4291" max="4292" width="11.44140625" style="47" hidden="1" customWidth="1"/>
    <col min="4293" max="4293" width="7.109375" style="47" customWidth="1"/>
    <col min="4294" max="4294" width="11.44140625" style="47" hidden="1" customWidth="1"/>
    <col min="4295" max="4295" width="6.44140625" style="47" customWidth="1"/>
    <col min="4296" max="4316" width="11.44140625" style="47" hidden="1" customWidth="1"/>
    <col min="4317" max="4317" width="9" style="47" customWidth="1"/>
    <col min="4318" max="4319" width="11.44140625" style="47" hidden="1" customWidth="1"/>
    <col min="4320" max="4320" width="8.44140625" style="47" customWidth="1"/>
    <col min="4321" max="4322" width="11.44140625" style="47" hidden="1" customWidth="1"/>
    <col min="4323" max="4323" width="6.44140625" style="47" customWidth="1"/>
    <col min="4324" max="4325" width="11.44140625" style="47" hidden="1" customWidth="1"/>
    <col min="4326" max="4326" width="7" style="47" customWidth="1"/>
    <col min="4327" max="4328" width="11.44140625" style="47" hidden="1" customWidth="1"/>
    <col min="4329" max="4331" width="7" style="47" customWidth="1"/>
    <col min="4332" max="4333" width="11.44140625" style="47" hidden="1" customWidth="1"/>
    <col min="4334" max="4334" width="7.44140625" style="47" customWidth="1"/>
    <col min="4335" max="4336" width="11.44140625" style="47" hidden="1" customWidth="1"/>
    <col min="4337" max="4337" width="7" style="47" customWidth="1"/>
    <col min="4338" max="4339" width="11.44140625" style="47" hidden="1" customWidth="1"/>
    <col min="4340" max="4340" width="7" style="47" customWidth="1"/>
    <col min="4341" max="4342" width="11.44140625" style="47" hidden="1" customWidth="1"/>
    <col min="4343" max="4343" width="7" style="47" customWidth="1"/>
    <col min="4344" max="4344" width="11.44140625" style="47" hidden="1" customWidth="1"/>
    <col min="4345" max="4345" width="6.44140625" style="47" customWidth="1"/>
    <col min="4346" max="4355" width="11.44140625" style="47" hidden="1" customWidth="1"/>
    <col min="4356" max="4390" width="11.44140625" style="47" hidden="1"/>
    <col min="4391" max="4391" width="41.44140625" style="47" customWidth="1"/>
    <col min="4392" max="4392" width="6.44140625" style="47" customWidth="1"/>
    <col min="4393" max="4393" width="14.5546875" style="47" customWidth="1"/>
    <col min="4394" max="4394" width="11.44140625" style="47" customWidth="1"/>
    <col min="4395" max="4395" width="13" style="47" customWidth="1"/>
    <col min="4396" max="4396" width="25.44140625" style="47" customWidth="1"/>
    <col min="4397" max="4406" width="9.44140625" style="47" customWidth="1"/>
    <col min="4407" max="4407" width="8.88671875" style="47" customWidth="1"/>
    <col min="4408" max="4408" width="9.44140625" style="47" customWidth="1"/>
    <col min="4409" max="4409" width="10.109375" style="47" customWidth="1"/>
    <col min="4410" max="4421" width="11.44140625" style="47" hidden="1" customWidth="1"/>
    <col min="4422" max="4423" width="11.44140625" style="47" customWidth="1"/>
    <col min="4424" max="4424" width="35.44140625" style="47" customWidth="1"/>
    <col min="4425" max="4425" width="9.109375" style="47" customWidth="1"/>
    <col min="4426" max="4426" width="24.44140625" style="47" customWidth="1"/>
    <col min="4427" max="4427" width="18.44140625" style="47" customWidth="1"/>
    <col min="4428" max="4428" width="22.44140625" style="47" customWidth="1"/>
    <col min="4429" max="4429" width="5" style="47" customWidth="1"/>
    <col min="4430" max="4431" width="11.44140625" style="47" hidden="1" customWidth="1"/>
    <col min="4432" max="4432" width="5" style="47" customWidth="1"/>
    <col min="4433" max="4434" width="11.44140625" style="47" hidden="1" customWidth="1"/>
    <col min="4435" max="4435" width="5" style="47" customWidth="1"/>
    <col min="4436" max="4437" width="11.44140625" style="47" hidden="1" customWidth="1"/>
    <col min="4438" max="4438" width="5" style="47" customWidth="1"/>
    <col min="4439" max="4440" width="11.44140625" style="47" hidden="1" customWidth="1"/>
    <col min="4441" max="4441" width="5" style="47" customWidth="1"/>
    <col min="4442" max="4506" width="11.44140625" style="47" hidden="1" customWidth="1"/>
    <col min="4507" max="4507" width="9.44140625" style="47" customWidth="1"/>
    <col min="4508" max="4508" width="11.44140625" style="47" hidden="1" customWidth="1"/>
    <col min="4509" max="4509" width="5" style="47" customWidth="1"/>
    <col min="4510" max="4511" width="11.44140625" style="47" hidden="1" customWidth="1"/>
    <col min="4512" max="4512" width="5" style="47" customWidth="1"/>
    <col min="4513" max="4514" width="11.44140625" style="47" hidden="1" customWidth="1"/>
    <col min="4515" max="4515" width="5" style="47" customWidth="1"/>
    <col min="4516" max="4517" width="11.44140625" style="47" hidden="1" customWidth="1"/>
    <col min="4518" max="4518" width="5" style="47" customWidth="1"/>
    <col min="4519" max="4520" width="11.44140625" style="47" hidden="1" customWidth="1"/>
    <col min="4521" max="4521" width="5" style="47" customWidth="1"/>
    <col min="4522" max="4523" width="11.44140625" style="47" hidden="1" customWidth="1"/>
    <col min="4524" max="4524" width="5" style="47" customWidth="1"/>
    <col min="4525" max="4525" width="11.44140625" style="47" hidden="1" customWidth="1"/>
    <col min="4526" max="4526" width="6.44140625" style="47" customWidth="1"/>
    <col min="4527" max="4527" width="11.44140625" style="47" hidden="1" customWidth="1"/>
    <col min="4528" max="4528" width="7.109375" style="47" customWidth="1"/>
    <col min="4529" max="4530" width="11.44140625" style="47" hidden="1" customWidth="1"/>
    <col min="4531" max="4531" width="7.109375" style="47" customWidth="1"/>
    <col min="4532" max="4533" width="11.44140625" style="47" hidden="1" customWidth="1"/>
    <col min="4534" max="4534" width="7.109375" style="47" customWidth="1"/>
    <col min="4535" max="4536" width="11.44140625" style="47" hidden="1" customWidth="1"/>
    <col min="4537" max="4537" width="7.109375" style="47" customWidth="1"/>
    <col min="4538" max="4539" width="11.44140625" style="47" hidden="1" customWidth="1"/>
    <col min="4540" max="4540" width="7.109375" style="47" customWidth="1"/>
    <col min="4541" max="4542" width="11.44140625" style="47" hidden="1" customWidth="1"/>
    <col min="4543" max="4543" width="7.109375" style="47" customWidth="1"/>
    <col min="4544" max="4545" width="11.44140625" style="47" hidden="1" customWidth="1"/>
    <col min="4546" max="4546" width="7.109375" style="47" customWidth="1"/>
    <col min="4547" max="4548" width="11.44140625" style="47" hidden="1" customWidth="1"/>
    <col min="4549" max="4549" width="7.109375" style="47" customWidth="1"/>
    <col min="4550" max="4550" width="11.44140625" style="47" hidden="1" customWidth="1"/>
    <col min="4551" max="4551" width="6.44140625" style="47" customWidth="1"/>
    <col min="4552" max="4572" width="11.44140625" style="47" hidden="1" customWidth="1"/>
    <col min="4573" max="4573" width="9" style="47" customWidth="1"/>
    <col min="4574" max="4575" width="11.44140625" style="47" hidden="1" customWidth="1"/>
    <col min="4576" max="4576" width="8.44140625" style="47" customWidth="1"/>
    <col min="4577" max="4578" width="11.44140625" style="47" hidden="1" customWidth="1"/>
    <col min="4579" max="4579" width="6.44140625" style="47" customWidth="1"/>
    <col min="4580" max="4581" width="11.44140625" style="47" hidden="1" customWidth="1"/>
    <col min="4582" max="4582" width="7" style="47" customWidth="1"/>
    <col min="4583" max="4584" width="11.44140625" style="47" hidden="1" customWidth="1"/>
    <col min="4585" max="4587" width="7" style="47" customWidth="1"/>
    <col min="4588" max="4589" width="11.44140625" style="47" hidden="1" customWidth="1"/>
    <col min="4590" max="4590" width="7.44140625" style="47" customWidth="1"/>
    <col min="4591" max="4592" width="11.44140625" style="47" hidden="1" customWidth="1"/>
    <col min="4593" max="4593" width="7" style="47" customWidth="1"/>
    <col min="4594" max="4595" width="11.44140625" style="47" hidden="1" customWidth="1"/>
    <col min="4596" max="4596" width="7" style="47" customWidth="1"/>
    <col min="4597" max="4598" width="11.44140625" style="47" hidden="1" customWidth="1"/>
    <col min="4599" max="4599" width="7" style="47" customWidth="1"/>
    <col min="4600" max="4600" width="11.44140625" style="47" hidden="1" customWidth="1"/>
    <col min="4601" max="4601" width="6.44140625" style="47" customWidth="1"/>
    <col min="4602" max="4611" width="11.44140625" style="47" hidden="1" customWidth="1"/>
    <col min="4612" max="4646" width="11.44140625" style="47" hidden="1"/>
    <col min="4647" max="4647" width="41.44140625" style="47" customWidth="1"/>
    <col min="4648" max="4648" width="6.44140625" style="47" customWidth="1"/>
    <col min="4649" max="4649" width="14.5546875" style="47" customWidth="1"/>
    <col min="4650" max="4650" width="11.44140625" style="47" customWidth="1"/>
    <col min="4651" max="4651" width="13" style="47" customWidth="1"/>
    <col min="4652" max="4652" width="25.44140625" style="47" customWidth="1"/>
    <col min="4653" max="4662" width="9.44140625" style="47" customWidth="1"/>
    <col min="4663" max="4663" width="8.88671875" style="47" customWidth="1"/>
    <col min="4664" max="4664" width="9.44140625" style="47" customWidth="1"/>
    <col min="4665" max="4665" width="10.109375" style="47" customWidth="1"/>
    <col min="4666" max="4677" width="11.44140625" style="47" hidden="1" customWidth="1"/>
    <col min="4678" max="4679" width="11.44140625" style="47" customWidth="1"/>
    <col min="4680" max="4680" width="35.44140625" style="47" customWidth="1"/>
    <col min="4681" max="4681" width="9.109375" style="47" customWidth="1"/>
    <col min="4682" max="4682" width="24.44140625" style="47" customWidth="1"/>
    <col min="4683" max="4683" width="18.44140625" style="47" customWidth="1"/>
    <col min="4684" max="4684" width="22.44140625" style="47" customWidth="1"/>
    <col min="4685" max="4685" width="5" style="47" customWidth="1"/>
    <col min="4686" max="4687" width="11.44140625" style="47" hidden="1" customWidth="1"/>
    <col min="4688" max="4688" width="5" style="47" customWidth="1"/>
    <col min="4689" max="4690" width="11.44140625" style="47" hidden="1" customWidth="1"/>
    <col min="4691" max="4691" width="5" style="47" customWidth="1"/>
    <col min="4692" max="4693" width="11.44140625" style="47" hidden="1" customWidth="1"/>
    <col min="4694" max="4694" width="5" style="47" customWidth="1"/>
    <col min="4695" max="4696" width="11.44140625" style="47" hidden="1" customWidth="1"/>
    <col min="4697" max="4697" width="5" style="47" customWidth="1"/>
    <col min="4698" max="4762" width="11.44140625" style="47" hidden="1" customWidth="1"/>
    <col min="4763" max="4763" width="9.44140625" style="47" customWidth="1"/>
    <col min="4764" max="4764" width="11.44140625" style="47" hidden="1" customWidth="1"/>
    <col min="4765" max="4765" width="5" style="47" customWidth="1"/>
    <col min="4766" max="4767" width="11.44140625" style="47" hidden="1" customWidth="1"/>
    <col min="4768" max="4768" width="5" style="47" customWidth="1"/>
    <col min="4769" max="4770" width="11.44140625" style="47" hidden="1" customWidth="1"/>
    <col min="4771" max="4771" width="5" style="47" customWidth="1"/>
    <col min="4772" max="4773" width="11.44140625" style="47" hidden="1" customWidth="1"/>
    <col min="4774" max="4774" width="5" style="47" customWidth="1"/>
    <col min="4775" max="4776" width="11.44140625" style="47" hidden="1" customWidth="1"/>
    <col min="4777" max="4777" width="5" style="47" customWidth="1"/>
    <col min="4778" max="4779" width="11.44140625" style="47" hidden="1" customWidth="1"/>
    <col min="4780" max="4780" width="5" style="47" customWidth="1"/>
    <col min="4781" max="4781" width="11.44140625" style="47" hidden="1" customWidth="1"/>
    <col min="4782" max="4782" width="6.44140625" style="47" customWidth="1"/>
    <col min="4783" max="4783" width="11.44140625" style="47" hidden="1" customWidth="1"/>
    <col min="4784" max="4784" width="7.109375" style="47" customWidth="1"/>
    <col min="4785" max="4786" width="11.44140625" style="47" hidden="1" customWidth="1"/>
    <col min="4787" max="4787" width="7.109375" style="47" customWidth="1"/>
    <col min="4788" max="4789" width="11.44140625" style="47" hidden="1" customWidth="1"/>
    <col min="4790" max="4790" width="7.109375" style="47" customWidth="1"/>
    <col min="4791" max="4792" width="11.44140625" style="47" hidden="1" customWidth="1"/>
    <col min="4793" max="4793" width="7.109375" style="47" customWidth="1"/>
    <col min="4794" max="4795" width="11.44140625" style="47" hidden="1" customWidth="1"/>
    <col min="4796" max="4796" width="7.109375" style="47" customWidth="1"/>
    <col min="4797" max="4798" width="11.44140625" style="47" hidden="1" customWidth="1"/>
    <col min="4799" max="4799" width="7.109375" style="47" customWidth="1"/>
    <col min="4800" max="4801" width="11.44140625" style="47" hidden="1" customWidth="1"/>
    <col min="4802" max="4802" width="7.109375" style="47" customWidth="1"/>
    <col min="4803" max="4804" width="11.44140625" style="47" hidden="1" customWidth="1"/>
    <col min="4805" max="4805" width="7.109375" style="47" customWidth="1"/>
    <col min="4806" max="4806" width="11.44140625" style="47" hidden="1" customWidth="1"/>
    <col min="4807" max="4807" width="6.44140625" style="47" customWidth="1"/>
    <col min="4808" max="4828" width="11.44140625" style="47" hidden="1" customWidth="1"/>
    <col min="4829" max="4829" width="9" style="47" customWidth="1"/>
    <col min="4830" max="4831" width="11.44140625" style="47" hidden="1" customWidth="1"/>
    <col min="4832" max="4832" width="8.44140625" style="47" customWidth="1"/>
    <col min="4833" max="4834" width="11.44140625" style="47" hidden="1" customWidth="1"/>
    <col min="4835" max="4835" width="6.44140625" style="47" customWidth="1"/>
    <col min="4836" max="4837" width="11.44140625" style="47" hidden="1" customWidth="1"/>
    <col min="4838" max="4838" width="7" style="47" customWidth="1"/>
    <col min="4839" max="4840" width="11.44140625" style="47" hidden="1" customWidth="1"/>
    <col min="4841" max="4843" width="7" style="47" customWidth="1"/>
    <col min="4844" max="4845" width="11.44140625" style="47" hidden="1" customWidth="1"/>
    <col min="4846" max="4846" width="7.44140625" style="47" customWidth="1"/>
    <col min="4847" max="4848" width="11.44140625" style="47" hidden="1" customWidth="1"/>
    <col min="4849" max="4849" width="7" style="47" customWidth="1"/>
    <col min="4850" max="4851" width="11.44140625" style="47" hidden="1" customWidth="1"/>
    <col min="4852" max="4852" width="7" style="47" customWidth="1"/>
    <col min="4853" max="4854" width="11.44140625" style="47" hidden="1" customWidth="1"/>
    <col min="4855" max="4855" width="7" style="47" customWidth="1"/>
    <col min="4856" max="4856" width="11.44140625" style="47" hidden="1" customWidth="1"/>
    <col min="4857" max="4857" width="6.44140625" style="47" customWidth="1"/>
    <col min="4858" max="4867" width="11.44140625" style="47" hidden="1" customWidth="1"/>
    <col min="4868" max="4902" width="11.44140625" style="47" hidden="1"/>
    <col min="4903" max="4903" width="41.44140625" style="47" customWidth="1"/>
    <col min="4904" max="4904" width="6.44140625" style="47" customWidth="1"/>
    <col min="4905" max="4905" width="14.5546875" style="47" customWidth="1"/>
    <col min="4906" max="4906" width="11.44140625" style="47" customWidth="1"/>
    <col min="4907" max="4907" width="13" style="47" customWidth="1"/>
    <col min="4908" max="4908" width="25.44140625" style="47" customWidth="1"/>
    <col min="4909" max="4918" width="9.44140625" style="47" customWidth="1"/>
    <col min="4919" max="4919" width="8.88671875" style="47" customWidth="1"/>
    <col min="4920" max="4920" width="9.44140625" style="47" customWidth="1"/>
    <col min="4921" max="4921" width="10.109375" style="47" customWidth="1"/>
    <col min="4922" max="4933" width="11.44140625" style="47" hidden="1" customWidth="1"/>
    <col min="4934" max="4935" width="11.44140625" style="47" customWidth="1"/>
    <col min="4936" max="4936" width="35.44140625" style="47" customWidth="1"/>
    <col min="4937" max="4937" width="9.109375" style="47" customWidth="1"/>
    <col min="4938" max="4938" width="24.44140625" style="47" customWidth="1"/>
    <col min="4939" max="4939" width="18.44140625" style="47" customWidth="1"/>
    <col min="4940" max="4940" width="22.44140625" style="47" customWidth="1"/>
    <col min="4941" max="4941" width="5" style="47" customWidth="1"/>
    <col min="4942" max="4943" width="11.44140625" style="47" hidden="1" customWidth="1"/>
    <col min="4944" max="4944" width="5" style="47" customWidth="1"/>
    <col min="4945" max="4946" width="11.44140625" style="47" hidden="1" customWidth="1"/>
    <col min="4947" max="4947" width="5" style="47" customWidth="1"/>
    <col min="4948" max="4949" width="11.44140625" style="47" hidden="1" customWidth="1"/>
    <col min="4950" max="4950" width="5" style="47" customWidth="1"/>
    <col min="4951" max="4952" width="11.44140625" style="47" hidden="1" customWidth="1"/>
    <col min="4953" max="4953" width="5" style="47" customWidth="1"/>
    <col min="4954" max="5018" width="11.44140625" style="47" hidden="1" customWidth="1"/>
    <col min="5019" max="5019" width="9.44140625" style="47" customWidth="1"/>
    <col min="5020" max="5020" width="11.44140625" style="47" hidden="1" customWidth="1"/>
    <col min="5021" max="5021" width="5" style="47" customWidth="1"/>
    <col min="5022" max="5023" width="11.44140625" style="47" hidden="1" customWidth="1"/>
    <col min="5024" max="5024" width="5" style="47" customWidth="1"/>
    <col min="5025" max="5026" width="11.44140625" style="47" hidden="1" customWidth="1"/>
    <col min="5027" max="5027" width="5" style="47" customWidth="1"/>
    <col min="5028" max="5029" width="11.44140625" style="47" hidden="1" customWidth="1"/>
    <col min="5030" max="5030" width="5" style="47" customWidth="1"/>
    <col min="5031" max="5032" width="11.44140625" style="47" hidden="1" customWidth="1"/>
    <col min="5033" max="5033" width="5" style="47" customWidth="1"/>
    <col min="5034" max="5035" width="11.44140625" style="47" hidden="1" customWidth="1"/>
    <col min="5036" max="5036" width="5" style="47" customWidth="1"/>
    <col min="5037" max="5037" width="11.44140625" style="47" hidden="1" customWidth="1"/>
    <col min="5038" max="5038" width="6.44140625" style="47" customWidth="1"/>
    <col min="5039" max="5039" width="11.44140625" style="47" hidden="1" customWidth="1"/>
    <col min="5040" max="5040" width="7.109375" style="47" customWidth="1"/>
    <col min="5041" max="5042" width="11.44140625" style="47" hidden="1" customWidth="1"/>
    <col min="5043" max="5043" width="7.109375" style="47" customWidth="1"/>
    <col min="5044" max="5045" width="11.44140625" style="47" hidden="1" customWidth="1"/>
    <col min="5046" max="5046" width="7.109375" style="47" customWidth="1"/>
    <col min="5047" max="5048" width="11.44140625" style="47" hidden="1" customWidth="1"/>
    <col min="5049" max="5049" width="7.109375" style="47" customWidth="1"/>
    <col min="5050" max="5051" width="11.44140625" style="47" hidden="1" customWidth="1"/>
    <col min="5052" max="5052" width="7.109375" style="47" customWidth="1"/>
    <col min="5053" max="5054" width="11.44140625" style="47" hidden="1" customWidth="1"/>
    <col min="5055" max="5055" width="7.109375" style="47" customWidth="1"/>
    <col min="5056" max="5057" width="11.44140625" style="47" hidden="1" customWidth="1"/>
    <col min="5058" max="5058" width="7.109375" style="47" customWidth="1"/>
    <col min="5059" max="5060" width="11.44140625" style="47" hidden="1" customWidth="1"/>
    <col min="5061" max="5061" width="7.109375" style="47" customWidth="1"/>
    <col min="5062" max="5062" width="11.44140625" style="47" hidden="1" customWidth="1"/>
    <col min="5063" max="5063" width="6.44140625" style="47" customWidth="1"/>
    <col min="5064" max="5084" width="11.44140625" style="47" hidden="1" customWidth="1"/>
    <col min="5085" max="5085" width="9" style="47" customWidth="1"/>
    <col min="5086" max="5087" width="11.44140625" style="47" hidden="1" customWidth="1"/>
    <col min="5088" max="5088" width="8.44140625" style="47" customWidth="1"/>
    <col min="5089" max="5090" width="11.44140625" style="47" hidden="1" customWidth="1"/>
    <col min="5091" max="5091" width="6.44140625" style="47" customWidth="1"/>
    <col min="5092" max="5093" width="11.44140625" style="47" hidden="1" customWidth="1"/>
    <col min="5094" max="5094" width="7" style="47" customWidth="1"/>
    <col min="5095" max="5096" width="11.44140625" style="47" hidden="1" customWidth="1"/>
    <col min="5097" max="5099" width="7" style="47" customWidth="1"/>
    <col min="5100" max="5101" width="11.44140625" style="47" hidden="1" customWidth="1"/>
    <col min="5102" max="5102" width="7.44140625" style="47" customWidth="1"/>
    <col min="5103" max="5104" width="11.44140625" style="47" hidden="1" customWidth="1"/>
    <col min="5105" max="5105" width="7" style="47" customWidth="1"/>
    <col min="5106" max="5107" width="11.44140625" style="47" hidden="1" customWidth="1"/>
    <col min="5108" max="5108" width="7" style="47" customWidth="1"/>
    <col min="5109" max="5110" width="11.44140625" style="47" hidden="1" customWidth="1"/>
    <col min="5111" max="5111" width="7" style="47" customWidth="1"/>
    <col min="5112" max="5112" width="11.44140625" style="47" hidden="1" customWidth="1"/>
    <col min="5113" max="5113" width="6.44140625" style="47" customWidth="1"/>
    <col min="5114" max="5123" width="11.44140625" style="47" hidden="1" customWidth="1"/>
    <col min="5124" max="5158" width="11.44140625" style="47" hidden="1"/>
    <col min="5159" max="5159" width="41.44140625" style="47" customWidth="1"/>
    <col min="5160" max="5160" width="6.44140625" style="47" customWidth="1"/>
    <col min="5161" max="5161" width="14.5546875" style="47" customWidth="1"/>
    <col min="5162" max="5162" width="11.44140625" style="47" customWidth="1"/>
    <col min="5163" max="5163" width="13" style="47" customWidth="1"/>
    <col min="5164" max="5164" width="25.44140625" style="47" customWidth="1"/>
    <col min="5165" max="5174" width="9.44140625" style="47" customWidth="1"/>
    <col min="5175" max="5175" width="8.88671875" style="47" customWidth="1"/>
    <col min="5176" max="5176" width="9.44140625" style="47" customWidth="1"/>
    <col min="5177" max="5177" width="10.109375" style="47" customWidth="1"/>
    <col min="5178" max="5189" width="11.44140625" style="47" hidden="1" customWidth="1"/>
    <col min="5190" max="5191" width="11.44140625" style="47" customWidth="1"/>
    <col min="5192" max="5192" width="35.44140625" style="47" customWidth="1"/>
    <col min="5193" max="5193" width="9.109375" style="47" customWidth="1"/>
    <col min="5194" max="5194" width="24.44140625" style="47" customWidth="1"/>
    <col min="5195" max="5195" width="18.44140625" style="47" customWidth="1"/>
    <col min="5196" max="5196" width="22.44140625" style="47" customWidth="1"/>
    <col min="5197" max="5197" width="5" style="47" customWidth="1"/>
    <col min="5198" max="5199" width="11.44140625" style="47" hidden="1" customWidth="1"/>
    <col min="5200" max="5200" width="5" style="47" customWidth="1"/>
    <col min="5201" max="5202" width="11.44140625" style="47" hidden="1" customWidth="1"/>
    <col min="5203" max="5203" width="5" style="47" customWidth="1"/>
    <col min="5204" max="5205" width="11.44140625" style="47" hidden="1" customWidth="1"/>
    <col min="5206" max="5206" width="5" style="47" customWidth="1"/>
    <col min="5207" max="5208" width="11.44140625" style="47" hidden="1" customWidth="1"/>
    <col min="5209" max="5209" width="5" style="47" customWidth="1"/>
    <col min="5210" max="5274" width="11.44140625" style="47" hidden="1" customWidth="1"/>
    <col min="5275" max="5275" width="9.44140625" style="47" customWidth="1"/>
    <col min="5276" max="5276" width="11.44140625" style="47" hidden="1" customWidth="1"/>
    <col min="5277" max="5277" width="5" style="47" customWidth="1"/>
    <col min="5278" max="5279" width="11.44140625" style="47" hidden="1" customWidth="1"/>
    <col min="5280" max="5280" width="5" style="47" customWidth="1"/>
    <col min="5281" max="5282" width="11.44140625" style="47" hidden="1" customWidth="1"/>
    <col min="5283" max="5283" width="5" style="47" customWidth="1"/>
    <col min="5284" max="5285" width="11.44140625" style="47" hidden="1" customWidth="1"/>
    <col min="5286" max="5286" width="5" style="47" customWidth="1"/>
    <col min="5287" max="5288" width="11.44140625" style="47" hidden="1" customWidth="1"/>
    <col min="5289" max="5289" width="5" style="47" customWidth="1"/>
    <col min="5290" max="5291" width="11.44140625" style="47" hidden="1" customWidth="1"/>
    <col min="5292" max="5292" width="5" style="47" customWidth="1"/>
    <col min="5293" max="5293" width="11.44140625" style="47" hidden="1" customWidth="1"/>
    <col min="5294" max="5294" width="6.44140625" style="47" customWidth="1"/>
    <col min="5295" max="5295" width="11.44140625" style="47" hidden="1" customWidth="1"/>
    <col min="5296" max="5296" width="7.109375" style="47" customWidth="1"/>
    <col min="5297" max="5298" width="11.44140625" style="47" hidden="1" customWidth="1"/>
    <col min="5299" max="5299" width="7.109375" style="47" customWidth="1"/>
    <col min="5300" max="5301" width="11.44140625" style="47" hidden="1" customWidth="1"/>
    <col min="5302" max="5302" width="7.109375" style="47" customWidth="1"/>
    <col min="5303" max="5304" width="11.44140625" style="47" hidden="1" customWidth="1"/>
    <col min="5305" max="5305" width="7.109375" style="47" customWidth="1"/>
    <col min="5306" max="5307" width="11.44140625" style="47" hidden="1" customWidth="1"/>
    <col min="5308" max="5308" width="7.109375" style="47" customWidth="1"/>
    <col min="5309" max="5310" width="11.44140625" style="47" hidden="1" customWidth="1"/>
    <col min="5311" max="5311" width="7.109375" style="47" customWidth="1"/>
    <col min="5312" max="5313" width="11.44140625" style="47" hidden="1" customWidth="1"/>
    <col min="5314" max="5314" width="7.109375" style="47" customWidth="1"/>
    <col min="5315" max="5316" width="11.44140625" style="47" hidden="1" customWidth="1"/>
    <col min="5317" max="5317" width="7.109375" style="47" customWidth="1"/>
    <col min="5318" max="5318" width="11.44140625" style="47" hidden="1" customWidth="1"/>
    <col min="5319" max="5319" width="6.44140625" style="47" customWidth="1"/>
    <col min="5320" max="5340" width="11.44140625" style="47" hidden="1" customWidth="1"/>
    <col min="5341" max="5341" width="9" style="47" customWidth="1"/>
    <col min="5342" max="5343" width="11.44140625" style="47" hidden="1" customWidth="1"/>
    <col min="5344" max="5344" width="8.44140625" style="47" customWidth="1"/>
    <col min="5345" max="5346" width="11.44140625" style="47" hidden="1" customWidth="1"/>
    <col min="5347" max="5347" width="6.44140625" style="47" customWidth="1"/>
    <col min="5348" max="5349" width="11.44140625" style="47" hidden="1" customWidth="1"/>
    <col min="5350" max="5350" width="7" style="47" customWidth="1"/>
    <col min="5351" max="5352" width="11.44140625" style="47" hidden="1" customWidth="1"/>
    <col min="5353" max="5355" width="7" style="47" customWidth="1"/>
    <col min="5356" max="5357" width="11.44140625" style="47" hidden="1" customWidth="1"/>
    <col min="5358" max="5358" width="7.44140625" style="47" customWidth="1"/>
    <col min="5359" max="5360" width="11.44140625" style="47" hidden="1" customWidth="1"/>
    <col min="5361" max="5361" width="7" style="47" customWidth="1"/>
    <col min="5362" max="5363" width="11.44140625" style="47" hidden="1" customWidth="1"/>
    <col min="5364" max="5364" width="7" style="47" customWidth="1"/>
    <col min="5365" max="5366" width="11.44140625" style="47" hidden="1" customWidth="1"/>
    <col min="5367" max="5367" width="7" style="47" customWidth="1"/>
    <col min="5368" max="5368" width="11.44140625" style="47" hidden="1" customWidth="1"/>
    <col min="5369" max="5369" width="6.44140625" style="47" customWidth="1"/>
    <col min="5370" max="5379" width="11.44140625" style="47" hidden="1" customWidth="1"/>
    <col min="5380" max="5414" width="11.44140625" style="47" hidden="1"/>
    <col min="5415" max="5415" width="41.44140625" style="47" customWidth="1"/>
    <col min="5416" max="5416" width="6.44140625" style="47" customWidth="1"/>
    <col min="5417" max="5417" width="14.5546875" style="47" customWidth="1"/>
    <col min="5418" max="5418" width="11.44140625" style="47" customWidth="1"/>
    <col min="5419" max="5419" width="13" style="47" customWidth="1"/>
    <col min="5420" max="5420" width="25.44140625" style="47" customWidth="1"/>
    <col min="5421" max="5430" width="9.44140625" style="47" customWidth="1"/>
    <col min="5431" max="5431" width="8.88671875" style="47" customWidth="1"/>
    <col min="5432" max="5432" width="9.44140625" style="47" customWidth="1"/>
    <col min="5433" max="5433" width="10.109375" style="47" customWidth="1"/>
    <col min="5434" max="5445" width="11.44140625" style="47" hidden="1" customWidth="1"/>
    <col min="5446" max="5447" width="11.44140625" style="47" customWidth="1"/>
    <col min="5448" max="5448" width="35.44140625" style="47" customWidth="1"/>
    <col min="5449" max="5449" width="9.109375" style="47" customWidth="1"/>
    <col min="5450" max="5450" width="24.44140625" style="47" customWidth="1"/>
    <col min="5451" max="5451" width="18.44140625" style="47" customWidth="1"/>
    <col min="5452" max="5452" width="22.44140625" style="47" customWidth="1"/>
    <col min="5453" max="5453" width="5" style="47" customWidth="1"/>
    <col min="5454" max="5455" width="11.44140625" style="47" hidden="1" customWidth="1"/>
    <col min="5456" max="5456" width="5" style="47" customWidth="1"/>
    <col min="5457" max="5458" width="11.44140625" style="47" hidden="1" customWidth="1"/>
    <col min="5459" max="5459" width="5" style="47" customWidth="1"/>
    <col min="5460" max="5461" width="11.44140625" style="47" hidden="1" customWidth="1"/>
    <col min="5462" max="5462" width="5" style="47" customWidth="1"/>
    <col min="5463" max="5464" width="11.44140625" style="47" hidden="1" customWidth="1"/>
    <col min="5465" max="5465" width="5" style="47" customWidth="1"/>
    <col min="5466" max="5530" width="11.44140625" style="47" hidden="1" customWidth="1"/>
    <col min="5531" max="5531" width="9.44140625" style="47" customWidth="1"/>
    <col min="5532" max="5532" width="11.44140625" style="47" hidden="1" customWidth="1"/>
    <col min="5533" max="5533" width="5" style="47" customWidth="1"/>
    <col min="5534" max="5535" width="11.44140625" style="47" hidden="1" customWidth="1"/>
    <col min="5536" max="5536" width="5" style="47" customWidth="1"/>
    <col min="5537" max="5538" width="11.44140625" style="47" hidden="1" customWidth="1"/>
    <col min="5539" max="5539" width="5" style="47" customWidth="1"/>
    <col min="5540" max="5541" width="11.44140625" style="47" hidden="1" customWidth="1"/>
    <col min="5542" max="5542" width="5" style="47" customWidth="1"/>
    <col min="5543" max="5544" width="11.44140625" style="47" hidden="1" customWidth="1"/>
    <col min="5545" max="5545" width="5" style="47" customWidth="1"/>
    <col min="5546" max="5547" width="11.44140625" style="47" hidden="1" customWidth="1"/>
    <col min="5548" max="5548" width="5" style="47" customWidth="1"/>
    <col min="5549" max="5549" width="11.44140625" style="47" hidden="1" customWidth="1"/>
    <col min="5550" max="5550" width="6.44140625" style="47" customWidth="1"/>
    <col min="5551" max="5551" width="11.44140625" style="47" hidden="1" customWidth="1"/>
    <col min="5552" max="5552" width="7.109375" style="47" customWidth="1"/>
    <col min="5553" max="5554" width="11.44140625" style="47" hidden="1" customWidth="1"/>
    <col min="5555" max="5555" width="7.109375" style="47" customWidth="1"/>
    <col min="5556" max="5557" width="11.44140625" style="47" hidden="1" customWidth="1"/>
    <col min="5558" max="5558" width="7.109375" style="47" customWidth="1"/>
    <col min="5559" max="5560" width="11.44140625" style="47" hidden="1" customWidth="1"/>
    <col min="5561" max="5561" width="7.109375" style="47" customWidth="1"/>
    <col min="5562" max="5563" width="11.44140625" style="47" hidden="1" customWidth="1"/>
    <col min="5564" max="5564" width="7.109375" style="47" customWidth="1"/>
    <col min="5565" max="5566" width="11.44140625" style="47" hidden="1" customWidth="1"/>
    <col min="5567" max="5567" width="7.109375" style="47" customWidth="1"/>
    <col min="5568" max="5569" width="11.44140625" style="47" hidden="1" customWidth="1"/>
    <col min="5570" max="5570" width="7.109375" style="47" customWidth="1"/>
    <col min="5571" max="5572" width="11.44140625" style="47" hidden="1" customWidth="1"/>
    <col min="5573" max="5573" width="7.109375" style="47" customWidth="1"/>
    <col min="5574" max="5574" width="11.44140625" style="47" hidden="1" customWidth="1"/>
    <col min="5575" max="5575" width="6.44140625" style="47" customWidth="1"/>
    <col min="5576" max="5596" width="11.44140625" style="47" hidden="1" customWidth="1"/>
    <col min="5597" max="5597" width="9" style="47" customWidth="1"/>
    <col min="5598" max="5599" width="11.44140625" style="47" hidden="1" customWidth="1"/>
    <col min="5600" max="5600" width="8.44140625" style="47" customWidth="1"/>
    <col min="5601" max="5602" width="11.44140625" style="47" hidden="1" customWidth="1"/>
    <col min="5603" max="5603" width="6.44140625" style="47" customWidth="1"/>
    <col min="5604" max="5605" width="11.44140625" style="47" hidden="1" customWidth="1"/>
    <col min="5606" max="5606" width="7" style="47" customWidth="1"/>
    <col min="5607" max="5608" width="11.44140625" style="47" hidden="1" customWidth="1"/>
    <col min="5609" max="5611" width="7" style="47" customWidth="1"/>
    <col min="5612" max="5613" width="11.44140625" style="47" hidden="1" customWidth="1"/>
    <col min="5614" max="5614" width="7.44140625" style="47" customWidth="1"/>
    <col min="5615" max="5616" width="11.44140625" style="47" hidden="1" customWidth="1"/>
    <col min="5617" max="5617" width="7" style="47" customWidth="1"/>
    <col min="5618" max="5619" width="11.44140625" style="47" hidden="1" customWidth="1"/>
    <col min="5620" max="5620" width="7" style="47" customWidth="1"/>
    <col min="5621" max="5622" width="11.44140625" style="47" hidden="1" customWidth="1"/>
    <col min="5623" max="5623" width="7" style="47" customWidth="1"/>
    <col min="5624" max="5624" width="11.44140625" style="47" hidden="1" customWidth="1"/>
    <col min="5625" max="5625" width="6.44140625" style="47" customWidth="1"/>
    <col min="5626" max="5635" width="11.44140625" style="47" hidden="1" customWidth="1"/>
    <col min="5636" max="5670" width="11.44140625" style="47" hidden="1"/>
    <col min="5671" max="5671" width="41.44140625" style="47" customWidth="1"/>
    <col min="5672" max="5672" width="6.44140625" style="47" customWidth="1"/>
    <col min="5673" max="5673" width="14.5546875" style="47" customWidth="1"/>
    <col min="5674" max="5674" width="11.44140625" style="47" customWidth="1"/>
    <col min="5675" max="5675" width="13" style="47" customWidth="1"/>
    <col min="5676" max="5676" width="25.44140625" style="47" customWidth="1"/>
    <col min="5677" max="5686" width="9.44140625" style="47" customWidth="1"/>
    <col min="5687" max="5687" width="8.88671875" style="47" customWidth="1"/>
    <col min="5688" max="5688" width="9.44140625" style="47" customWidth="1"/>
    <col min="5689" max="5689" width="10.109375" style="47" customWidth="1"/>
    <col min="5690" max="5701" width="11.44140625" style="47" hidden="1" customWidth="1"/>
    <col min="5702" max="5703" width="11.44140625" style="47" customWidth="1"/>
    <col min="5704" max="5704" width="35.44140625" style="47" customWidth="1"/>
    <col min="5705" max="5705" width="9.109375" style="47" customWidth="1"/>
    <col min="5706" max="5706" width="24.44140625" style="47" customWidth="1"/>
    <col min="5707" max="5707" width="18.44140625" style="47" customWidth="1"/>
    <col min="5708" max="5708" width="22.44140625" style="47" customWidth="1"/>
    <col min="5709" max="5709" width="5" style="47" customWidth="1"/>
    <col min="5710" max="5711" width="11.44140625" style="47" hidden="1" customWidth="1"/>
    <col min="5712" max="5712" width="5" style="47" customWidth="1"/>
    <col min="5713" max="5714" width="11.44140625" style="47" hidden="1" customWidth="1"/>
    <col min="5715" max="5715" width="5" style="47" customWidth="1"/>
    <col min="5716" max="5717" width="11.44140625" style="47" hidden="1" customWidth="1"/>
    <col min="5718" max="5718" width="5" style="47" customWidth="1"/>
    <col min="5719" max="5720" width="11.44140625" style="47" hidden="1" customWidth="1"/>
    <col min="5721" max="5721" width="5" style="47" customWidth="1"/>
    <col min="5722" max="5786" width="11.44140625" style="47" hidden="1" customWidth="1"/>
    <col min="5787" max="5787" width="9.44140625" style="47" customWidth="1"/>
    <col min="5788" max="5788" width="11.44140625" style="47" hidden="1" customWidth="1"/>
    <col min="5789" max="5789" width="5" style="47" customWidth="1"/>
    <col min="5790" max="5791" width="11.44140625" style="47" hidden="1" customWidth="1"/>
    <col min="5792" max="5792" width="5" style="47" customWidth="1"/>
    <col min="5793" max="5794" width="11.44140625" style="47" hidden="1" customWidth="1"/>
    <col min="5795" max="5795" width="5" style="47" customWidth="1"/>
    <col min="5796" max="5797" width="11.44140625" style="47" hidden="1" customWidth="1"/>
    <col min="5798" max="5798" width="5" style="47" customWidth="1"/>
    <col min="5799" max="5800" width="11.44140625" style="47" hidden="1" customWidth="1"/>
    <col min="5801" max="5801" width="5" style="47" customWidth="1"/>
    <col min="5802" max="5803" width="11.44140625" style="47" hidden="1" customWidth="1"/>
    <col min="5804" max="5804" width="5" style="47" customWidth="1"/>
    <col min="5805" max="5805" width="11.44140625" style="47" hidden="1" customWidth="1"/>
    <col min="5806" max="5806" width="6.44140625" style="47" customWidth="1"/>
    <col min="5807" max="5807" width="11.44140625" style="47" hidden="1" customWidth="1"/>
    <col min="5808" max="5808" width="7.109375" style="47" customWidth="1"/>
    <col min="5809" max="5810" width="11.44140625" style="47" hidden="1" customWidth="1"/>
    <col min="5811" max="5811" width="7.109375" style="47" customWidth="1"/>
    <col min="5812" max="5813" width="11.44140625" style="47" hidden="1" customWidth="1"/>
    <col min="5814" max="5814" width="7.109375" style="47" customWidth="1"/>
    <col min="5815" max="5816" width="11.44140625" style="47" hidden="1" customWidth="1"/>
    <col min="5817" max="5817" width="7.109375" style="47" customWidth="1"/>
    <col min="5818" max="5819" width="11.44140625" style="47" hidden="1" customWidth="1"/>
    <col min="5820" max="5820" width="7.109375" style="47" customWidth="1"/>
    <col min="5821" max="5822" width="11.44140625" style="47" hidden="1" customWidth="1"/>
    <col min="5823" max="5823" width="7.109375" style="47" customWidth="1"/>
    <col min="5824" max="5825" width="11.44140625" style="47" hidden="1" customWidth="1"/>
    <col min="5826" max="5826" width="7.109375" style="47" customWidth="1"/>
    <col min="5827" max="5828" width="11.44140625" style="47" hidden="1" customWidth="1"/>
    <col min="5829" max="5829" width="7.109375" style="47" customWidth="1"/>
    <col min="5830" max="5830" width="11.44140625" style="47" hidden="1" customWidth="1"/>
    <col min="5831" max="5831" width="6.44140625" style="47" customWidth="1"/>
    <col min="5832" max="5852" width="11.44140625" style="47" hidden="1" customWidth="1"/>
    <col min="5853" max="5853" width="9" style="47" customWidth="1"/>
    <col min="5854" max="5855" width="11.44140625" style="47" hidden="1" customWidth="1"/>
    <col min="5856" max="5856" width="8.44140625" style="47" customWidth="1"/>
    <col min="5857" max="5858" width="11.44140625" style="47" hidden="1" customWidth="1"/>
    <col min="5859" max="5859" width="6.44140625" style="47" customWidth="1"/>
    <col min="5860" max="5861" width="11.44140625" style="47" hidden="1" customWidth="1"/>
    <col min="5862" max="5862" width="7" style="47" customWidth="1"/>
    <col min="5863" max="5864" width="11.44140625" style="47" hidden="1" customWidth="1"/>
    <col min="5865" max="5867" width="7" style="47" customWidth="1"/>
    <col min="5868" max="5869" width="11.44140625" style="47" hidden="1" customWidth="1"/>
    <col min="5870" max="5870" width="7.44140625" style="47" customWidth="1"/>
    <col min="5871" max="5872" width="11.44140625" style="47" hidden="1" customWidth="1"/>
    <col min="5873" max="5873" width="7" style="47" customWidth="1"/>
    <col min="5874" max="5875" width="11.44140625" style="47" hidden="1" customWidth="1"/>
    <col min="5876" max="5876" width="7" style="47" customWidth="1"/>
    <col min="5877" max="5878" width="11.44140625" style="47" hidden="1" customWidth="1"/>
    <col min="5879" max="5879" width="7" style="47" customWidth="1"/>
    <col min="5880" max="5880" width="11.44140625" style="47" hidden="1" customWidth="1"/>
    <col min="5881" max="5881" width="6.44140625" style="47" customWidth="1"/>
    <col min="5882" max="5891" width="11.44140625" style="47" hidden="1" customWidth="1"/>
    <col min="5892" max="5926" width="11.44140625" style="47" hidden="1"/>
    <col min="5927" max="5927" width="41.44140625" style="47" customWidth="1"/>
    <col min="5928" max="5928" width="6.44140625" style="47" customWidth="1"/>
    <col min="5929" max="5929" width="14.5546875" style="47" customWidth="1"/>
    <col min="5930" max="5930" width="11.44140625" style="47" customWidth="1"/>
    <col min="5931" max="5931" width="13" style="47" customWidth="1"/>
    <col min="5932" max="5932" width="25.44140625" style="47" customWidth="1"/>
    <col min="5933" max="5942" width="9.44140625" style="47" customWidth="1"/>
    <col min="5943" max="5943" width="8.88671875" style="47" customWidth="1"/>
    <col min="5944" max="5944" width="9.44140625" style="47" customWidth="1"/>
    <col min="5945" max="5945" width="10.109375" style="47" customWidth="1"/>
    <col min="5946" max="5957" width="11.44140625" style="47" hidden="1" customWidth="1"/>
    <col min="5958" max="5959" width="11.44140625" style="47" customWidth="1"/>
    <col min="5960" max="5960" width="35.44140625" style="47" customWidth="1"/>
    <col min="5961" max="5961" width="9.109375" style="47" customWidth="1"/>
    <col min="5962" max="5962" width="24.44140625" style="47" customWidth="1"/>
    <col min="5963" max="5963" width="18.44140625" style="47" customWidth="1"/>
    <col min="5964" max="5964" width="22.44140625" style="47" customWidth="1"/>
    <col min="5965" max="5965" width="5" style="47" customWidth="1"/>
    <col min="5966" max="5967" width="11.44140625" style="47" hidden="1" customWidth="1"/>
    <col min="5968" max="5968" width="5" style="47" customWidth="1"/>
    <col min="5969" max="5970" width="11.44140625" style="47" hidden="1" customWidth="1"/>
    <col min="5971" max="5971" width="5" style="47" customWidth="1"/>
    <col min="5972" max="5973" width="11.44140625" style="47" hidden="1" customWidth="1"/>
    <col min="5974" max="5974" width="5" style="47" customWidth="1"/>
    <col min="5975" max="5976" width="11.44140625" style="47" hidden="1" customWidth="1"/>
    <col min="5977" max="5977" width="5" style="47" customWidth="1"/>
    <col min="5978" max="6042" width="11.44140625" style="47" hidden="1" customWidth="1"/>
    <col min="6043" max="6043" width="9.44140625" style="47" customWidth="1"/>
    <col min="6044" max="6044" width="11.44140625" style="47" hidden="1" customWidth="1"/>
    <col min="6045" max="6045" width="5" style="47" customWidth="1"/>
    <col min="6046" max="6047" width="11.44140625" style="47" hidden="1" customWidth="1"/>
    <col min="6048" max="6048" width="5" style="47" customWidth="1"/>
    <col min="6049" max="6050" width="11.44140625" style="47" hidden="1" customWidth="1"/>
    <col min="6051" max="6051" width="5" style="47" customWidth="1"/>
    <col min="6052" max="6053" width="11.44140625" style="47" hidden="1" customWidth="1"/>
    <col min="6054" max="6054" width="5" style="47" customWidth="1"/>
    <col min="6055" max="6056" width="11.44140625" style="47" hidden="1" customWidth="1"/>
    <col min="6057" max="6057" width="5" style="47" customWidth="1"/>
    <col min="6058" max="6059" width="11.44140625" style="47" hidden="1" customWidth="1"/>
    <col min="6060" max="6060" width="5" style="47" customWidth="1"/>
    <col min="6061" max="6061" width="11.44140625" style="47" hidden="1" customWidth="1"/>
    <col min="6062" max="6062" width="6.44140625" style="47" customWidth="1"/>
    <col min="6063" max="6063" width="11.44140625" style="47" hidden="1" customWidth="1"/>
    <col min="6064" max="6064" width="7.109375" style="47" customWidth="1"/>
    <col min="6065" max="6066" width="11.44140625" style="47" hidden="1" customWidth="1"/>
    <col min="6067" max="6067" width="7.109375" style="47" customWidth="1"/>
    <col min="6068" max="6069" width="11.44140625" style="47" hidden="1" customWidth="1"/>
    <col min="6070" max="6070" width="7.109375" style="47" customWidth="1"/>
    <col min="6071" max="6072" width="11.44140625" style="47" hidden="1" customWidth="1"/>
    <col min="6073" max="6073" width="7.109375" style="47" customWidth="1"/>
    <col min="6074" max="6075" width="11.44140625" style="47" hidden="1" customWidth="1"/>
    <col min="6076" max="6076" width="7.109375" style="47" customWidth="1"/>
    <col min="6077" max="6078" width="11.44140625" style="47" hidden="1" customWidth="1"/>
    <col min="6079" max="6079" width="7.109375" style="47" customWidth="1"/>
    <col min="6080" max="6081" width="11.44140625" style="47" hidden="1" customWidth="1"/>
    <col min="6082" max="6082" width="7.109375" style="47" customWidth="1"/>
    <col min="6083" max="6084" width="11.44140625" style="47" hidden="1" customWidth="1"/>
    <col min="6085" max="6085" width="7.109375" style="47" customWidth="1"/>
    <col min="6086" max="6086" width="11.44140625" style="47" hidden="1" customWidth="1"/>
    <col min="6087" max="6087" width="6.44140625" style="47" customWidth="1"/>
    <col min="6088" max="6108" width="11.44140625" style="47" hidden="1" customWidth="1"/>
    <col min="6109" max="6109" width="9" style="47" customWidth="1"/>
    <col min="6110" max="6111" width="11.44140625" style="47" hidden="1" customWidth="1"/>
    <col min="6112" max="6112" width="8.44140625" style="47" customWidth="1"/>
    <col min="6113" max="6114" width="11.44140625" style="47" hidden="1" customWidth="1"/>
    <col min="6115" max="6115" width="6.44140625" style="47" customWidth="1"/>
    <col min="6116" max="6117" width="11.44140625" style="47" hidden="1" customWidth="1"/>
    <col min="6118" max="6118" width="7" style="47" customWidth="1"/>
    <col min="6119" max="6120" width="11.44140625" style="47" hidden="1" customWidth="1"/>
    <col min="6121" max="6123" width="7" style="47" customWidth="1"/>
    <col min="6124" max="6125" width="11.44140625" style="47" hidden="1" customWidth="1"/>
    <col min="6126" max="6126" width="7.44140625" style="47" customWidth="1"/>
    <col min="6127" max="6128" width="11.44140625" style="47" hidden="1" customWidth="1"/>
    <col min="6129" max="6129" width="7" style="47" customWidth="1"/>
    <col min="6130" max="6131" width="11.44140625" style="47" hidden="1" customWidth="1"/>
    <col min="6132" max="6132" width="7" style="47" customWidth="1"/>
    <col min="6133" max="6134" width="11.44140625" style="47" hidden="1" customWidth="1"/>
    <col min="6135" max="6135" width="7" style="47" customWidth="1"/>
    <col min="6136" max="6136" width="11.44140625" style="47" hidden="1" customWidth="1"/>
    <col min="6137" max="6137" width="6.44140625" style="47" customWidth="1"/>
    <col min="6138" max="6147" width="11.44140625" style="47" hidden="1" customWidth="1"/>
    <col min="6148" max="6182" width="11.44140625" style="47" hidden="1"/>
    <col min="6183" max="6183" width="41.44140625" style="47" customWidth="1"/>
    <col min="6184" max="6184" width="6.44140625" style="47" customWidth="1"/>
    <col min="6185" max="6185" width="14.5546875" style="47" customWidth="1"/>
    <col min="6186" max="6186" width="11.44140625" style="47" customWidth="1"/>
    <col min="6187" max="6187" width="13" style="47" customWidth="1"/>
    <col min="6188" max="6188" width="25.44140625" style="47" customWidth="1"/>
    <col min="6189" max="6198" width="9.44140625" style="47" customWidth="1"/>
    <col min="6199" max="6199" width="8.88671875" style="47" customWidth="1"/>
    <col min="6200" max="6200" width="9.44140625" style="47" customWidth="1"/>
    <col min="6201" max="6201" width="10.109375" style="47" customWidth="1"/>
    <col min="6202" max="6213" width="11.44140625" style="47" hidden="1" customWidth="1"/>
    <col min="6214" max="6215" width="11.44140625" style="47" customWidth="1"/>
    <col min="6216" max="6216" width="35.44140625" style="47" customWidth="1"/>
    <col min="6217" max="6217" width="9.109375" style="47" customWidth="1"/>
    <col min="6218" max="6218" width="24.44140625" style="47" customWidth="1"/>
    <col min="6219" max="6219" width="18.44140625" style="47" customWidth="1"/>
    <col min="6220" max="6220" width="22.44140625" style="47" customWidth="1"/>
    <col min="6221" max="6221" width="5" style="47" customWidth="1"/>
    <col min="6222" max="6223" width="11.44140625" style="47" hidden="1" customWidth="1"/>
    <col min="6224" max="6224" width="5" style="47" customWidth="1"/>
    <col min="6225" max="6226" width="11.44140625" style="47" hidden="1" customWidth="1"/>
    <col min="6227" max="6227" width="5" style="47" customWidth="1"/>
    <col min="6228" max="6229" width="11.44140625" style="47" hidden="1" customWidth="1"/>
    <col min="6230" max="6230" width="5" style="47" customWidth="1"/>
    <col min="6231" max="6232" width="11.44140625" style="47" hidden="1" customWidth="1"/>
    <col min="6233" max="6233" width="5" style="47" customWidth="1"/>
    <col min="6234" max="6298" width="11.44140625" style="47" hidden="1" customWidth="1"/>
    <col min="6299" max="6299" width="9.44140625" style="47" customWidth="1"/>
    <col min="6300" max="6300" width="11.44140625" style="47" hidden="1" customWidth="1"/>
    <col min="6301" max="6301" width="5" style="47" customWidth="1"/>
    <col min="6302" max="6303" width="11.44140625" style="47" hidden="1" customWidth="1"/>
    <col min="6304" max="6304" width="5" style="47" customWidth="1"/>
    <col min="6305" max="6306" width="11.44140625" style="47" hidden="1" customWidth="1"/>
    <col min="6307" max="6307" width="5" style="47" customWidth="1"/>
    <col min="6308" max="6309" width="11.44140625" style="47" hidden="1" customWidth="1"/>
    <col min="6310" max="6310" width="5" style="47" customWidth="1"/>
    <col min="6311" max="6312" width="11.44140625" style="47" hidden="1" customWidth="1"/>
    <col min="6313" max="6313" width="5" style="47" customWidth="1"/>
    <col min="6314" max="6315" width="11.44140625" style="47" hidden="1" customWidth="1"/>
    <col min="6316" max="6316" width="5" style="47" customWidth="1"/>
    <col min="6317" max="6317" width="11.44140625" style="47" hidden="1" customWidth="1"/>
    <col min="6318" max="6318" width="6.44140625" style="47" customWidth="1"/>
    <col min="6319" max="6319" width="11.44140625" style="47" hidden="1" customWidth="1"/>
    <col min="6320" max="6320" width="7.109375" style="47" customWidth="1"/>
    <col min="6321" max="6322" width="11.44140625" style="47" hidden="1" customWidth="1"/>
    <col min="6323" max="6323" width="7.109375" style="47" customWidth="1"/>
    <col min="6324" max="6325" width="11.44140625" style="47" hidden="1" customWidth="1"/>
    <col min="6326" max="6326" width="7.109375" style="47" customWidth="1"/>
    <col min="6327" max="6328" width="11.44140625" style="47" hidden="1" customWidth="1"/>
    <col min="6329" max="6329" width="7.109375" style="47" customWidth="1"/>
    <col min="6330" max="6331" width="11.44140625" style="47" hidden="1" customWidth="1"/>
    <col min="6332" max="6332" width="7.109375" style="47" customWidth="1"/>
    <col min="6333" max="6334" width="11.44140625" style="47" hidden="1" customWidth="1"/>
    <col min="6335" max="6335" width="7.109375" style="47" customWidth="1"/>
    <col min="6336" max="6337" width="11.44140625" style="47" hidden="1" customWidth="1"/>
    <col min="6338" max="6338" width="7.109375" style="47" customWidth="1"/>
    <col min="6339" max="6340" width="11.44140625" style="47" hidden="1" customWidth="1"/>
    <col min="6341" max="6341" width="7.109375" style="47" customWidth="1"/>
    <col min="6342" max="6342" width="11.44140625" style="47" hidden="1" customWidth="1"/>
    <col min="6343" max="6343" width="6.44140625" style="47" customWidth="1"/>
    <col min="6344" max="6364" width="11.44140625" style="47" hidden="1" customWidth="1"/>
    <col min="6365" max="6365" width="9" style="47" customWidth="1"/>
    <col min="6366" max="6367" width="11.44140625" style="47" hidden="1" customWidth="1"/>
    <col min="6368" max="6368" width="8.44140625" style="47" customWidth="1"/>
    <col min="6369" max="6370" width="11.44140625" style="47" hidden="1" customWidth="1"/>
    <col min="6371" max="6371" width="6.44140625" style="47" customWidth="1"/>
    <col min="6372" max="6373" width="11.44140625" style="47" hidden="1" customWidth="1"/>
    <col min="6374" max="6374" width="7" style="47" customWidth="1"/>
    <col min="6375" max="6376" width="11.44140625" style="47" hidden="1" customWidth="1"/>
    <col min="6377" max="6379" width="7" style="47" customWidth="1"/>
    <col min="6380" max="6381" width="11.44140625" style="47" hidden="1" customWidth="1"/>
    <col min="6382" max="6382" width="7.44140625" style="47" customWidth="1"/>
    <col min="6383" max="6384" width="11.44140625" style="47" hidden="1" customWidth="1"/>
    <col min="6385" max="6385" width="7" style="47" customWidth="1"/>
    <col min="6386" max="6387" width="11.44140625" style="47" hidden="1" customWidth="1"/>
    <col min="6388" max="6388" width="7" style="47" customWidth="1"/>
    <col min="6389" max="6390" width="11.44140625" style="47" hidden="1" customWidth="1"/>
    <col min="6391" max="6391" width="7" style="47" customWidth="1"/>
    <col min="6392" max="6392" width="11.44140625" style="47" hidden="1" customWidth="1"/>
    <col min="6393" max="6393" width="6.44140625" style="47" customWidth="1"/>
    <col min="6394" max="6403" width="11.44140625" style="47" hidden="1" customWidth="1"/>
    <col min="6404" max="6438" width="11.44140625" style="47" hidden="1"/>
    <col min="6439" max="6439" width="41.44140625" style="47" customWidth="1"/>
    <col min="6440" max="6440" width="6.44140625" style="47" customWidth="1"/>
    <col min="6441" max="6441" width="14.5546875" style="47" customWidth="1"/>
    <col min="6442" max="6442" width="11.44140625" style="47" customWidth="1"/>
    <col min="6443" max="6443" width="13" style="47" customWidth="1"/>
    <col min="6444" max="6444" width="25.44140625" style="47" customWidth="1"/>
    <col min="6445" max="6454" width="9.44140625" style="47" customWidth="1"/>
    <col min="6455" max="6455" width="8.88671875" style="47" customWidth="1"/>
    <col min="6456" max="6456" width="9.44140625" style="47" customWidth="1"/>
    <col min="6457" max="6457" width="10.109375" style="47" customWidth="1"/>
    <col min="6458" max="6469" width="11.44140625" style="47" hidden="1" customWidth="1"/>
    <col min="6470" max="6471" width="11.44140625" style="47" customWidth="1"/>
    <col min="6472" max="6472" width="35.44140625" style="47" customWidth="1"/>
    <col min="6473" max="6473" width="9.109375" style="47" customWidth="1"/>
    <col min="6474" max="6474" width="24.44140625" style="47" customWidth="1"/>
    <col min="6475" max="6475" width="18.44140625" style="47" customWidth="1"/>
    <col min="6476" max="6476" width="22.44140625" style="47" customWidth="1"/>
    <col min="6477" max="6477" width="5" style="47" customWidth="1"/>
    <col min="6478" max="6479" width="11.44140625" style="47" hidden="1" customWidth="1"/>
    <col min="6480" max="6480" width="5" style="47" customWidth="1"/>
    <col min="6481" max="6482" width="11.44140625" style="47" hidden="1" customWidth="1"/>
    <col min="6483" max="6483" width="5" style="47" customWidth="1"/>
    <col min="6484" max="6485" width="11.44140625" style="47" hidden="1" customWidth="1"/>
    <col min="6486" max="6486" width="5" style="47" customWidth="1"/>
    <col min="6487" max="6488" width="11.44140625" style="47" hidden="1" customWidth="1"/>
    <col min="6489" max="6489" width="5" style="47" customWidth="1"/>
    <col min="6490" max="6554" width="11.44140625" style="47" hidden="1" customWidth="1"/>
    <col min="6555" max="6555" width="9.44140625" style="47" customWidth="1"/>
    <col min="6556" max="6556" width="11.44140625" style="47" hidden="1" customWidth="1"/>
    <col min="6557" max="6557" width="5" style="47" customWidth="1"/>
    <col min="6558" max="6559" width="11.44140625" style="47" hidden="1" customWidth="1"/>
    <col min="6560" max="6560" width="5" style="47" customWidth="1"/>
    <col min="6561" max="6562" width="11.44140625" style="47" hidden="1" customWidth="1"/>
    <col min="6563" max="6563" width="5" style="47" customWidth="1"/>
    <col min="6564" max="6565" width="11.44140625" style="47" hidden="1" customWidth="1"/>
    <col min="6566" max="6566" width="5" style="47" customWidth="1"/>
    <col min="6567" max="6568" width="11.44140625" style="47" hidden="1" customWidth="1"/>
    <col min="6569" max="6569" width="5" style="47" customWidth="1"/>
    <col min="6570" max="6571" width="11.44140625" style="47" hidden="1" customWidth="1"/>
    <col min="6572" max="6572" width="5" style="47" customWidth="1"/>
    <col min="6573" max="6573" width="11.44140625" style="47" hidden="1" customWidth="1"/>
    <col min="6574" max="6574" width="6.44140625" style="47" customWidth="1"/>
    <col min="6575" max="6575" width="11.44140625" style="47" hidden="1" customWidth="1"/>
    <col min="6576" max="6576" width="7.109375" style="47" customWidth="1"/>
    <col min="6577" max="6578" width="11.44140625" style="47" hidden="1" customWidth="1"/>
    <col min="6579" max="6579" width="7.109375" style="47" customWidth="1"/>
    <col min="6580" max="6581" width="11.44140625" style="47" hidden="1" customWidth="1"/>
    <col min="6582" max="6582" width="7.109375" style="47" customWidth="1"/>
    <col min="6583" max="6584" width="11.44140625" style="47" hidden="1" customWidth="1"/>
    <col min="6585" max="6585" width="7.109375" style="47" customWidth="1"/>
    <col min="6586" max="6587" width="11.44140625" style="47" hidden="1" customWidth="1"/>
    <col min="6588" max="6588" width="7.109375" style="47" customWidth="1"/>
    <col min="6589" max="6590" width="11.44140625" style="47" hidden="1" customWidth="1"/>
    <col min="6591" max="6591" width="7.109375" style="47" customWidth="1"/>
    <col min="6592" max="6593" width="11.44140625" style="47" hidden="1" customWidth="1"/>
    <col min="6594" max="6594" width="7.109375" style="47" customWidth="1"/>
    <col min="6595" max="6596" width="11.44140625" style="47" hidden="1" customWidth="1"/>
    <col min="6597" max="6597" width="7.109375" style="47" customWidth="1"/>
    <col min="6598" max="6598" width="11.44140625" style="47" hidden="1" customWidth="1"/>
    <col min="6599" max="6599" width="6.44140625" style="47" customWidth="1"/>
    <col min="6600" max="6620" width="11.44140625" style="47" hidden="1" customWidth="1"/>
    <col min="6621" max="6621" width="9" style="47" customWidth="1"/>
    <col min="6622" max="6623" width="11.44140625" style="47" hidden="1" customWidth="1"/>
    <col min="6624" max="6624" width="8.44140625" style="47" customWidth="1"/>
    <col min="6625" max="6626" width="11.44140625" style="47" hidden="1" customWidth="1"/>
    <col min="6627" max="6627" width="6.44140625" style="47" customWidth="1"/>
    <col min="6628" max="6629" width="11.44140625" style="47" hidden="1" customWidth="1"/>
    <col min="6630" max="6630" width="7" style="47" customWidth="1"/>
    <col min="6631" max="6632" width="11.44140625" style="47" hidden="1" customWidth="1"/>
    <col min="6633" max="6635" width="7" style="47" customWidth="1"/>
    <col min="6636" max="6637" width="11.44140625" style="47" hidden="1" customWidth="1"/>
    <col min="6638" max="6638" width="7.44140625" style="47" customWidth="1"/>
    <col min="6639" max="6640" width="11.44140625" style="47" hidden="1" customWidth="1"/>
    <col min="6641" max="6641" width="7" style="47" customWidth="1"/>
    <col min="6642" max="6643" width="11.44140625" style="47" hidden="1" customWidth="1"/>
    <col min="6644" max="6644" width="7" style="47" customWidth="1"/>
    <col min="6645" max="6646" width="11.44140625" style="47" hidden="1" customWidth="1"/>
    <col min="6647" max="6647" width="7" style="47" customWidth="1"/>
    <col min="6648" max="6648" width="11.44140625" style="47" hidden="1" customWidth="1"/>
    <col min="6649" max="6649" width="6.44140625" style="47" customWidth="1"/>
    <col min="6650" max="6659" width="11.44140625" style="47" hidden="1" customWidth="1"/>
    <col min="6660" max="6694" width="11.44140625" style="47" hidden="1"/>
    <col min="6695" max="6695" width="41.44140625" style="47" customWidth="1"/>
    <col min="6696" max="6696" width="6.44140625" style="47" customWidth="1"/>
    <col min="6697" max="6697" width="14.5546875" style="47" customWidth="1"/>
    <col min="6698" max="6698" width="11.44140625" style="47" customWidth="1"/>
    <col min="6699" max="6699" width="13" style="47" customWidth="1"/>
    <col min="6700" max="6700" width="25.44140625" style="47" customWidth="1"/>
    <col min="6701" max="6710" width="9.44140625" style="47" customWidth="1"/>
    <col min="6711" max="6711" width="8.88671875" style="47" customWidth="1"/>
    <col min="6712" max="6712" width="9.44140625" style="47" customWidth="1"/>
    <col min="6713" max="6713" width="10.109375" style="47" customWidth="1"/>
    <col min="6714" max="6725" width="11.44140625" style="47" hidden="1" customWidth="1"/>
    <col min="6726" max="6727" width="11.44140625" style="47" customWidth="1"/>
    <col min="6728" max="6728" width="35.44140625" style="47" customWidth="1"/>
    <col min="6729" max="6729" width="9.109375" style="47" customWidth="1"/>
    <col min="6730" max="6730" width="24.44140625" style="47" customWidth="1"/>
    <col min="6731" max="6731" width="18.44140625" style="47" customWidth="1"/>
    <col min="6732" max="6732" width="22.44140625" style="47" customWidth="1"/>
    <col min="6733" max="6733" width="5" style="47" customWidth="1"/>
    <col min="6734" max="6735" width="11.44140625" style="47" hidden="1" customWidth="1"/>
    <col min="6736" max="6736" width="5" style="47" customWidth="1"/>
    <col min="6737" max="6738" width="11.44140625" style="47" hidden="1" customWidth="1"/>
    <col min="6739" max="6739" width="5" style="47" customWidth="1"/>
    <col min="6740" max="6741" width="11.44140625" style="47" hidden="1" customWidth="1"/>
    <col min="6742" max="6742" width="5" style="47" customWidth="1"/>
    <col min="6743" max="6744" width="11.44140625" style="47" hidden="1" customWidth="1"/>
    <col min="6745" max="6745" width="5" style="47" customWidth="1"/>
    <col min="6746" max="6810" width="11.44140625" style="47" hidden="1" customWidth="1"/>
    <col min="6811" max="6811" width="9.44140625" style="47" customWidth="1"/>
    <col min="6812" max="6812" width="11.44140625" style="47" hidden="1" customWidth="1"/>
    <col min="6813" max="6813" width="5" style="47" customWidth="1"/>
    <col min="6814" max="6815" width="11.44140625" style="47" hidden="1" customWidth="1"/>
    <col min="6816" max="6816" width="5" style="47" customWidth="1"/>
    <col min="6817" max="6818" width="11.44140625" style="47" hidden="1" customWidth="1"/>
    <col min="6819" max="6819" width="5" style="47" customWidth="1"/>
    <col min="6820" max="6821" width="11.44140625" style="47" hidden="1" customWidth="1"/>
    <col min="6822" max="6822" width="5" style="47" customWidth="1"/>
    <col min="6823" max="6824" width="11.44140625" style="47" hidden="1" customWidth="1"/>
    <col min="6825" max="6825" width="5" style="47" customWidth="1"/>
    <col min="6826" max="6827" width="11.44140625" style="47" hidden="1" customWidth="1"/>
    <col min="6828" max="6828" width="5" style="47" customWidth="1"/>
    <col min="6829" max="6829" width="11.44140625" style="47" hidden="1" customWidth="1"/>
    <col min="6830" max="6830" width="6.44140625" style="47" customWidth="1"/>
    <col min="6831" max="6831" width="11.44140625" style="47" hidden="1" customWidth="1"/>
    <col min="6832" max="6832" width="7.109375" style="47" customWidth="1"/>
    <col min="6833" max="6834" width="11.44140625" style="47" hidden="1" customWidth="1"/>
    <col min="6835" max="6835" width="7.109375" style="47" customWidth="1"/>
    <col min="6836" max="6837" width="11.44140625" style="47" hidden="1" customWidth="1"/>
    <col min="6838" max="6838" width="7.109375" style="47" customWidth="1"/>
    <col min="6839" max="6840" width="11.44140625" style="47" hidden="1" customWidth="1"/>
    <col min="6841" max="6841" width="7.109375" style="47" customWidth="1"/>
    <col min="6842" max="6843" width="11.44140625" style="47" hidden="1" customWidth="1"/>
    <col min="6844" max="6844" width="7.109375" style="47" customWidth="1"/>
    <col min="6845" max="6846" width="11.44140625" style="47" hidden="1" customWidth="1"/>
    <col min="6847" max="6847" width="7.109375" style="47" customWidth="1"/>
    <col min="6848" max="6849" width="11.44140625" style="47" hidden="1" customWidth="1"/>
    <col min="6850" max="6850" width="7.109375" style="47" customWidth="1"/>
    <col min="6851" max="6852" width="11.44140625" style="47" hidden="1" customWidth="1"/>
    <col min="6853" max="6853" width="7.109375" style="47" customWidth="1"/>
    <col min="6854" max="6854" width="11.44140625" style="47" hidden="1" customWidth="1"/>
    <col min="6855" max="6855" width="6.44140625" style="47" customWidth="1"/>
    <col min="6856" max="6876" width="11.44140625" style="47" hidden="1" customWidth="1"/>
    <col min="6877" max="6877" width="9" style="47" customWidth="1"/>
    <col min="6878" max="6879" width="11.44140625" style="47" hidden="1" customWidth="1"/>
    <col min="6880" max="6880" width="8.44140625" style="47" customWidth="1"/>
    <col min="6881" max="6882" width="11.44140625" style="47" hidden="1" customWidth="1"/>
    <col min="6883" max="6883" width="6.44140625" style="47" customWidth="1"/>
    <col min="6884" max="6885" width="11.44140625" style="47" hidden="1" customWidth="1"/>
    <col min="6886" max="6886" width="7" style="47" customWidth="1"/>
    <col min="6887" max="6888" width="11.44140625" style="47" hidden="1" customWidth="1"/>
    <col min="6889" max="6891" width="7" style="47" customWidth="1"/>
    <col min="6892" max="6893" width="11.44140625" style="47" hidden="1" customWidth="1"/>
    <col min="6894" max="6894" width="7.44140625" style="47" customWidth="1"/>
    <col min="6895" max="6896" width="11.44140625" style="47" hidden="1" customWidth="1"/>
    <col min="6897" max="6897" width="7" style="47" customWidth="1"/>
    <col min="6898" max="6899" width="11.44140625" style="47" hidden="1" customWidth="1"/>
    <col min="6900" max="6900" width="7" style="47" customWidth="1"/>
    <col min="6901" max="6902" width="11.44140625" style="47" hidden="1" customWidth="1"/>
    <col min="6903" max="6903" width="7" style="47" customWidth="1"/>
    <col min="6904" max="6904" width="11.44140625" style="47" hidden="1" customWidth="1"/>
    <col min="6905" max="6905" width="6.44140625" style="47" customWidth="1"/>
    <col min="6906" max="6915" width="11.44140625" style="47" hidden="1" customWidth="1"/>
    <col min="6916" max="6950" width="11.44140625" style="47" hidden="1"/>
    <col min="6951" max="6951" width="41.44140625" style="47" customWidth="1"/>
    <col min="6952" max="6952" width="6.44140625" style="47" customWidth="1"/>
    <col min="6953" max="6953" width="14.5546875" style="47" customWidth="1"/>
    <col min="6954" max="6954" width="11.44140625" style="47" customWidth="1"/>
    <col min="6955" max="6955" width="13" style="47" customWidth="1"/>
    <col min="6956" max="6956" width="25.44140625" style="47" customWidth="1"/>
    <col min="6957" max="6966" width="9.44140625" style="47" customWidth="1"/>
    <col min="6967" max="6967" width="8.88671875" style="47" customWidth="1"/>
    <col min="6968" max="6968" width="9.44140625" style="47" customWidth="1"/>
    <col min="6969" max="6969" width="10.109375" style="47" customWidth="1"/>
    <col min="6970" max="6981" width="11.44140625" style="47" hidden="1" customWidth="1"/>
    <col min="6982" max="6983" width="11.44140625" style="47" customWidth="1"/>
    <col min="6984" max="6984" width="35.44140625" style="47" customWidth="1"/>
    <col min="6985" max="6985" width="9.109375" style="47" customWidth="1"/>
    <col min="6986" max="6986" width="24.44140625" style="47" customWidth="1"/>
    <col min="6987" max="6987" width="18.44140625" style="47" customWidth="1"/>
    <col min="6988" max="6988" width="22.44140625" style="47" customWidth="1"/>
    <col min="6989" max="6989" width="5" style="47" customWidth="1"/>
    <col min="6990" max="6991" width="11.44140625" style="47" hidden="1" customWidth="1"/>
    <col min="6992" max="6992" width="5" style="47" customWidth="1"/>
    <col min="6993" max="6994" width="11.44140625" style="47" hidden="1" customWidth="1"/>
    <col min="6995" max="6995" width="5" style="47" customWidth="1"/>
    <col min="6996" max="6997" width="11.44140625" style="47" hidden="1" customWidth="1"/>
    <col min="6998" max="6998" width="5" style="47" customWidth="1"/>
    <col min="6999" max="7000" width="11.44140625" style="47" hidden="1" customWidth="1"/>
    <col min="7001" max="7001" width="5" style="47" customWidth="1"/>
    <col min="7002" max="7066" width="11.44140625" style="47" hidden="1" customWidth="1"/>
    <col min="7067" max="7067" width="9.44140625" style="47" customWidth="1"/>
    <col min="7068" max="7068" width="11.44140625" style="47" hidden="1" customWidth="1"/>
    <col min="7069" max="7069" width="5" style="47" customWidth="1"/>
    <col min="7070" max="7071" width="11.44140625" style="47" hidden="1" customWidth="1"/>
    <col min="7072" max="7072" width="5" style="47" customWidth="1"/>
    <col min="7073" max="7074" width="11.44140625" style="47" hidden="1" customWidth="1"/>
    <col min="7075" max="7075" width="5" style="47" customWidth="1"/>
    <col min="7076" max="7077" width="11.44140625" style="47" hidden="1" customWidth="1"/>
    <col min="7078" max="7078" width="5" style="47" customWidth="1"/>
    <col min="7079" max="7080" width="11.44140625" style="47" hidden="1" customWidth="1"/>
    <col min="7081" max="7081" width="5" style="47" customWidth="1"/>
    <col min="7082" max="7083" width="11.44140625" style="47" hidden="1" customWidth="1"/>
    <col min="7084" max="7084" width="5" style="47" customWidth="1"/>
    <col min="7085" max="7085" width="11.44140625" style="47" hidden="1" customWidth="1"/>
    <col min="7086" max="7086" width="6.44140625" style="47" customWidth="1"/>
    <col min="7087" max="7087" width="11.44140625" style="47" hidden="1" customWidth="1"/>
    <col min="7088" max="7088" width="7.109375" style="47" customWidth="1"/>
    <col min="7089" max="7090" width="11.44140625" style="47" hidden="1" customWidth="1"/>
    <col min="7091" max="7091" width="7.109375" style="47" customWidth="1"/>
    <col min="7092" max="7093" width="11.44140625" style="47" hidden="1" customWidth="1"/>
    <col min="7094" max="7094" width="7.109375" style="47" customWidth="1"/>
    <col min="7095" max="7096" width="11.44140625" style="47" hidden="1" customWidth="1"/>
    <col min="7097" max="7097" width="7.109375" style="47" customWidth="1"/>
    <col min="7098" max="7099" width="11.44140625" style="47" hidden="1" customWidth="1"/>
    <col min="7100" max="7100" width="7.109375" style="47" customWidth="1"/>
    <col min="7101" max="7102" width="11.44140625" style="47" hidden="1" customWidth="1"/>
    <col min="7103" max="7103" width="7.109375" style="47" customWidth="1"/>
    <col min="7104" max="7105" width="11.44140625" style="47" hidden="1" customWidth="1"/>
    <col min="7106" max="7106" width="7.109375" style="47" customWidth="1"/>
    <col min="7107" max="7108" width="11.44140625" style="47" hidden="1" customWidth="1"/>
    <col min="7109" max="7109" width="7.109375" style="47" customWidth="1"/>
    <col min="7110" max="7110" width="11.44140625" style="47" hidden="1" customWidth="1"/>
    <col min="7111" max="7111" width="6.44140625" style="47" customWidth="1"/>
    <col min="7112" max="7132" width="11.44140625" style="47" hidden="1" customWidth="1"/>
    <col min="7133" max="7133" width="9" style="47" customWidth="1"/>
    <col min="7134" max="7135" width="11.44140625" style="47" hidden="1" customWidth="1"/>
    <col min="7136" max="7136" width="8.44140625" style="47" customWidth="1"/>
    <col min="7137" max="7138" width="11.44140625" style="47" hidden="1" customWidth="1"/>
    <col min="7139" max="7139" width="6.44140625" style="47" customWidth="1"/>
    <col min="7140" max="7141" width="11.44140625" style="47" hidden="1" customWidth="1"/>
    <col min="7142" max="7142" width="7" style="47" customWidth="1"/>
    <col min="7143" max="7144" width="11.44140625" style="47" hidden="1" customWidth="1"/>
    <col min="7145" max="7147" width="7" style="47" customWidth="1"/>
    <col min="7148" max="7149" width="11.44140625" style="47" hidden="1" customWidth="1"/>
    <col min="7150" max="7150" width="7.44140625" style="47" customWidth="1"/>
    <col min="7151" max="7152" width="11.44140625" style="47" hidden="1" customWidth="1"/>
    <col min="7153" max="7153" width="7" style="47" customWidth="1"/>
    <col min="7154" max="7155" width="11.44140625" style="47" hidden="1" customWidth="1"/>
    <col min="7156" max="7156" width="7" style="47" customWidth="1"/>
    <col min="7157" max="7158" width="11.44140625" style="47" hidden="1" customWidth="1"/>
    <col min="7159" max="7159" width="7" style="47" customWidth="1"/>
    <col min="7160" max="7160" width="11.44140625" style="47" hidden="1" customWidth="1"/>
    <col min="7161" max="7161" width="6.44140625" style="47" customWidth="1"/>
    <col min="7162" max="7171" width="11.44140625" style="47" hidden="1" customWidth="1"/>
    <col min="7172" max="7206" width="11.44140625" style="47" hidden="1"/>
    <col min="7207" max="7207" width="41.44140625" style="47" customWidth="1"/>
    <col min="7208" max="7208" width="6.44140625" style="47" customWidth="1"/>
    <col min="7209" max="7209" width="14.5546875" style="47" customWidth="1"/>
    <col min="7210" max="7210" width="11.44140625" style="47" customWidth="1"/>
    <col min="7211" max="7211" width="13" style="47" customWidth="1"/>
    <col min="7212" max="7212" width="25.44140625" style="47" customWidth="1"/>
    <col min="7213" max="7222" width="9.44140625" style="47" customWidth="1"/>
    <col min="7223" max="7223" width="8.88671875" style="47" customWidth="1"/>
    <col min="7224" max="7224" width="9.44140625" style="47" customWidth="1"/>
    <col min="7225" max="7225" width="10.109375" style="47" customWidth="1"/>
    <col min="7226" max="7237" width="11.44140625" style="47" hidden="1" customWidth="1"/>
    <col min="7238" max="7239" width="11.44140625" style="47" customWidth="1"/>
    <col min="7240" max="7240" width="35.44140625" style="47" customWidth="1"/>
    <col min="7241" max="7241" width="9.109375" style="47" customWidth="1"/>
    <col min="7242" max="7242" width="24.44140625" style="47" customWidth="1"/>
    <col min="7243" max="7243" width="18.44140625" style="47" customWidth="1"/>
    <col min="7244" max="7244" width="22.44140625" style="47" customWidth="1"/>
    <col min="7245" max="7245" width="5" style="47" customWidth="1"/>
    <col min="7246" max="7247" width="11.44140625" style="47" hidden="1" customWidth="1"/>
    <col min="7248" max="7248" width="5" style="47" customWidth="1"/>
    <col min="7249" max="7250" width="11.44140625" style="47" hidden="1" customWidth="1"/>
    <col min="7251" max="7251" width="5" style="47" customWidth="1"/>
    <col min="7252" max="7253" width="11.44140625" style="47" hidden="1" customWidth="1"/>
    <col min="7254" max="7254" width="5" style="47" customWidth="1"/>
    <col min="7255" max="7256" width="11.44140625" style="47" hidden="1" customWidth="1"/>
    <col min="7257" max="7257" width="5" style="47" customWidth="1"/>
    <col min="7258" max="7322" width="11.44140625" style="47" hidden="1" customWidth="1"/>
    <col min="7323" max="7323" width="9.44140625" style="47" customWidth="1"/>
    <col min="7324" max="7324" width="11.44140625" style="47" hidden="1" customWidth="1"/>
    <col min="7325" max="7325" width="5" style="47" customWidth="1"/>
    <col min="7326" max="7327" width="11.44140625" style="47" hidden="1" customWidth="1"/>
    <col min="7328" max="7328" width="5" style="47" customWidth="1"/>
    <col min="7329" max="7330" width="11.44140625" style="47" hidden="1" customWidth="1"/>
    <col min="7331" max="7331" width="5" style="47" customWidth="1"/>
    <col min="7332" max="7333" width="11.44140625" style="47" hidden="1" customWidth="1"/>
    <col min="7334" max="7334" width="5" style="47" customWidth="1"/>
    <col min="7335" max="7336" width="11.44140625" style="47" hidden="1" customWidth="1"/>
    <col min="7337" max="7337" width="5" style="47" customWidth="1"/>
    <col min="7338" max="7339" width="11.44140625" style="47" hidden="1" customWidth="1"/>
    <col min="7340" max="7340" width="5" style="47" customWidth="1"/>
    <col min="7341" max="7341" width="11.44140625" style="47" hidden="1" customWidth="1"/>
    <col min="7342" max="7342" width="6.44140625" style="47" customWidth="1"/>
    <col min="7343" max="7343" width="11.44140625" style="47" hidden="1" customWidth="1"/>
    <col min="7344" max="7344" width="7.109375" style="47" customWidth="1"/>
    <col min="7345" max="7346" width="11.44140625" style="47" hidden="1" customWidth="1"/>
    <col min="7347" max="7347" width="7.109375" style="47" customWidth="1"/>
    <col min="7348" max="7349" width="11.44140625" style="47" hidden="1" customWidth="1"/>
    <col min="7350" max="7350" width="7.109375" style="47" customWidth="1"/>
    <col min="7351" max="7352" width="11.44140625" style="47" hidden="1" customWidth="1"/>
    <col min="7353" max="7353" width="7.109375" style="47" customWidth="1"/>
    <col min="7354" max="7355" width="11.44140625" style="47" hidden="1" customWidth="1"/>
    <col min="7356" max="7356" width="7.109375" style="47" customWidth="1"/>
    <col min="7357" max="7358" width="11.44140625" style="47" hidden="1" customWidth="1"/>
    <col min="7359" max="7359" width="7.109375" style="47" customWidth="1"/>
    <col min="7360" max="7361" width="11.44140625" style="47" hidden="1" customWidth="1"/>
    <col min="7362" max="7362" width="7.109375" style="47" customWidth="1"/>
    <col min="7363" max="7364" width="11.44140625" style="47" hidden="1" customWidth="1"/>
    <col min="7365" max="7365" width="7.109375" style="47" customWidth="1"/>
    <col min="7366" max="7366" width="11.44140625" style="47" hidden="1" customWidth="1"/>
    <col min="7367" max="7367" width="6.44140625" style="47" customWidth="1"/>
    <col min="7368" max="7388" width="11.44140625" style="47" hidden="1" customWidth="1"/>
    <col min="7389" max="7389" width="9" style="47" customWidth="1"/>
    <col min="7390" max="7391" width="11.44140625" style="47" hidden="1" customWidth="1"/>
    <col min="7392" max="7392" width="8.44140625" style="47" customWidth="1"/>
    <col min="7393" max="7394" width="11.44140625" style="47" hidden="1" customWidth="1"/>
    <col min="7395" max="7395" width="6.44140625" style="47" customWidth="1"/>
    <col min="7396" max="7397" width="11.44140625" style="47" hidden="1" customWidth="1"/>
    <col min="7398" max="7398" width="7" style="47" customWidth="1"/>
    <col min="7399" max="7400" width="11.44140625" style="47" hidden="1" customWidth="1"/>
    <col min="7401" max="7403" width="7" style="47" customWidth="1"/>
    <col min="7404" max="7405" width="11.44140625" style="47" hidden="1" customWidth="1"/>
    <col min="7406" max="7406" width="7.44140625" style="47" customWidth="1"/>
    <col min="7407" max="7408" width="11.44140625" style="47" hidden="1" customWidth="1"/>
    <col min="7409" max="7409" width="7" style="47" customWidth="1"/>
    <col min="7410" max="7411" width="11.44140625" style="47" hidden="1" customWidth="1"/>
    <col min="7412" max="7412" width="7" style="47" customWidth="1"/>
    <col min="7413" max="7414" width="11.44140625" style="47" hidden="1" customWidth="1"/>
    <col min="7415" max="7415" width="7" style="47" customWidth="1"/>
    <col min="7416" max="7416" width="11.44140625" style="47" hidden="1" customWidth="1"/>
    <col min="7417" max="7417" width="6.44140625" style="47" customWidth="1"/>
    <col min="7418" max="7427" width="11.44140625" style="47" hidden="1" customWidth="1"/>
    <col min="7428" max="7462" width="11.44140625" style="47" hidden="1"/>
    <col min="7463" max="7463" width="41.44140625" style="47" customWidth="1"/>
    <col min="7464" max="7464" width="6.44140625" style="47" customWidth="1"/>
    <col min="7465" max="7465" width="14.5546875" style="47" customWidth="1"/>
    <col min="7466" max="7466" width="11.44140625" style="47" customWidth="1"/>
    <col min="7467" max="7467" width="13" style="47" customWidth="1"/>
    <col min="7468" max="7468" width="25.44140625" style="47" customWidth="1"/>
    <col min="7469" max="7478" width="9.44140625" style="47" customWidth="1"/>
    <col min="7479" max="7479" width="8.88671875" style="47" customWidth="1"/>
    <col min="7480" max="7480" width="9.44140625" style="47" customWidth="1"/>
    <col min="7481" max="7481" width="10.109375" style="47" customWidth="1"/>
    <col min="7482" max="7493" width="11.44140625" style="47" hidden="1" customWidth="1"/>
    <col min="7494" max="7495" width="11.44140625" style="47" customWidth="1"/>
    <col min="7496" max="7496" width="35.44140625" style="47" customWidth="1"/>
    <col min="7497" max="7497" width="9.109375" style="47" customWidth="1"/>
    <col min="7498" max="7498" width="24.44140625" style="47" customWidth="1"/>
    <col min="7499" max="7499" width="18.44140625" style="47" customWidth="1"/>
    <col min="7500" max="7500" width="22.44140625" style="47" customWidth="1"/>
    <col min="7501" max="7501" width="5" style="47" customWidth="1"/>
    <col min="7502" max="7503" width="11.44140625" style="47" hidden="1" customWidth="1"/>
    <col min="7504" max="7504" width="5" style="47" customWidth="1"/>
    <col min="7505" max="7506" width="11.44140625" style="47" hidden="1" customWidth="1"/>
    <col min="7507" max="7507" width="5" style="47" customWidth="1"/>
    <col min="7508" max="7509" width="11.44140625" style="47" hidden="1" customWidth="1"/>
    <col min="7510" max="7510" width="5" style="47" customWidth="1"/>
    <col min="7511" max="7512" width="11.44140625" style="47" hidden="1" customWidth="1"/>
    <col min="7513" max="7513" width="5" style="47" customWidth="1"/>
    <col min="7514" max="7578" width="11.44140625" style="47" hidden="1" customWidth="1"/>
    <col min="7579" max="7579" width="9.44140625" style="47" customWidth="1"/>
    <col min="7580" max="7580" width="11.44140625" style="47" hidden="1" customWidth="1"/>
    <col min="7581" max="7581" width="5" style="47" customWidth="1"/>
    <col min="7582" max="7583" width="11.44140625" style="47" hidden="1" customWidth="1"/>
    <col min="7584" max="7584" width="5" style="47" customWidth="1"/>
    <col min="7585" max="7586" width="11.44140625" style="47" hidden="1" customWidth="1"/>
    <col min="7587" max="7587" width="5" style="47" customWidth="1"/>
    <col min="7588" max="7589" width="11.44140625" style="47" hidden="1" customWidth="1"/>
    <col min="7590" max="7590" width="5" style="47" customWidth="1"/>
    <col min="7591" max="7592" width="11.44140625" style="47" hidden="1" customWidth="1"/>
    <col min="7593" max="7593" width="5" style="47" customWidth="1"/>
    <col min="7594" max="7595" width="11.44140625" style="47" hidden="1" customWidth="1"/>
    <col min="7596" max="7596" width="5" style="47" customWidth="1"/>
    <col min="7597" max="7597" width="11.44140625" style="47" hidden="1" customWidth="1"/>
    <col min="7598" max="7598" width="6.44140625" style="47" customWidth="1"/>
    <col min="7599" max="7599" width="11.44140625" style="47" hidden="1" customWidth="1"/>
    <col min="7600" max="7600" width="7.109375" style="47" customWidth="1"/>
    <col min="7601" max="7602" width="11.44140625" style="47" hidden="1" customWidth="1"/>
    <col min="7603" max="7603" width="7.109375" style="47" customWidth="1"/>
    <col min="7604" max="7605" width="11.44140625" style="47" hidden="1" customWidth="1"/>
    <col min="7606" max="7606" width="7.109375" style="47" customWidth="1"/>
    <col min="7607" max="7608" width="11.44140625" style="47" hidden="1" customWidth="1"/>
    <col min="7609" max="7609" width="7.109375" style="47" customWidth="1"/>
    <col min="7610" max="7611" width="11.44140625" style="47" hidden="1" customWidth="1"/>
    <col min="7612" max="7612" width="7.109375" style="47" customWidth="1"/>
    <col min="7613" max="7614" width="11.44140625" style="47" hidden="1" customWidth="1"/>
    <col min="7615" max="7615" width="7.109375" style="47" customWidth="1"/>
    <col min="7616" max="7617" width="11.44140625" style="47" hidden="1" customWidth="1"/>
    <col min="7618" max="7618" width="7.109375" style="47" customWidth="1"/>
    <col min="7619" max="7620" width="11.44140625" style="47" hidden="1" customWidth="1"/>
    <col min="7621" max="7621" width="7.109375" style="47" customWidth="1"/>
    <col min="7622" max="7622" width="11.44140625" style="47" hidden="1" customWidth="1"/>
    <col min="7623" max="7623" width="6.44140625" style="47" customWidth="1"/>
    <col min="7624" max="7644" width="11.44140625" style="47" hidden="1" customWidth="1"/>
    <col min="7645" max="7645" width="9" style="47" customWidth="1"/>
    <col min="7646" max="7647" width="11.44140625" style="47" hidden="1" customWidth="1"/>
    <col min="7648" max="7648" width="8.44140625" style="47" customWidth="1"/>
    <col min="7649" max="7650" width="11.44140625" style="47" hidden="1" customWidth="1"/>
    <col min="7651" max="7651" width="6.44140625" style="47" customWidth="1"/>
    <col min="7652" max="7653" width="11.44140625" style="47" hidden="1" customWidth="1"/>
    <col min="7654" max="7654" width="7" style="47" customWidth="1"/>
    <col min="7655" max="7656" width="11.44140625" style="47" hidden="1" customWidth="1"/>
    <col min="7657" max="7659" width="7" style="47" customWidth="1"/>
    <col min="7660" max="7661" width="11.44140625" style="47" hidden="1" customWidth="1"/>
    <col min="7662" max="7662" width="7.44140625" style="47" customWidth="1"/>
    <col min="7663" max="7664" width="11.44140625" style="47" hidden="1" customWidth="1"/>
    <col min="7665" max="7665" width="7" style="47" customWidth="1"/>
    <col min="7666" max="7667" width="11.44140625" style="47" hidden="1" customWidth="1"/>
    <col min="7668" max="7668" width="7" style="47" customWidth="1"/>
    <col min="7669" max="7670" width="11.44140625" style="47" hidden="1" customWidth="1"/>
    <col min="7671" max="7671" width="7" style="47" customWidth="1"/>
    <col min="7672" max="7672" width="11.44140625" style="47" hidden="1" customWidth="1"/>
    <col min="7673" max="7673" width="6.44140625" style="47" customWidth="1"/>
    <col min="7674" max="7683" width="11.44140625" style="47" hidden="1" customWidth="1"/>
    <col min="7684" max="7718" width="11.44140625" style="47" hidden="1"/>
    <col min="7719" max="7719" width="41.44140625" style="47" customWidth="1"/>
    <col min="7720" max="7720" width="6.44140625" style="47" customWidth="1"/>
    <col min="7721" max="7721" width="14.5546875" style="47" customWidth="1"/>
    <col min="7722" max="7722" width="11.44140625" style="47" customWidth="1"/>
    <col min="7723" max="7723" width="13" style="47" customWidth="1"/>
    <col min="7724" max="7724" width="25.44140625" style="47" customWidth="1"/>
    <col min="7725" max="7734" width="9.44140625" style="47" customWidth="1"/>
    <col min="7735" max="7735" width="8.88671875" style="47" customWidth="1"/>
    <col min="7736" max="7736" width="9.44140625" style="47" customWidth="1"/>
    <col min="7737" max="7737" width="10.109375" style="47" customWidth="1"/>
    <col min="7738" max="7749" width="11.44140625" style="47" hidden="1" customWidth="1"/>
    <col min="7750" max="7751" width="11.44140625" style="47" customWidth="1"/>
    <col min="7752" max="7752" width="35.44140625" style="47" customWidth="1"/>
    <col min="7753" max="7753" width="9.109375" style="47" customWidth="1"/>
    <col min="7754" max="7754" width="24.44140625" style="47" customWidth="1"/>
    <col min="7755" max="7755" width="18.44140625" style="47" customWidth="1"/>
    <col min="7756" max="7756" width="22.44140625" style="47" customWidth="1"/>
    <col min="7757" max="7757" width="5" style="47" customWidth="1"/>
    <col min="7758" max="7759" width="11.44140625" style="47" hidden="1" customWidth="1"/>
    <col min="7760" max="7760" width="5" style="47" customWidth="1"/>
    <col min="7761" max="7762" width="11.44140625" style="47" hidden="1" customWidth="1"/>
    <col min="7763" max="7763" width="5" style="47" customWidth="1"/>
    <col min="7764" max="7765" width="11.44140625" style="47" hidden="1" customWidth="1"/>
    <col min="7766" max="7766" width="5" style="47" customWidth="1"/>
    <col min="7767" max="7768" width="11.44140625" style="47" hidden="1" customWidth="1"/>
    <col min="7769" max="7769" width="5" style="47" customWidth="1"/>
    <col min="7770" max="7834" width="11.44140625" style="47" hidden="1" customWidth="1"/>
    <col min="7835" max="7835" width="9.44140625" style="47" customWidth="1"/>
    <col min="7836" max="7836" width="11.44140625" style="47" hidden="1" customWidth="1"/>
    <col min="7837" max="7837" width="5" style="47" customWidth="1"/>
    <col min="7838" max="7839" width="11.44140625" style="47" hidden="1" customWidth="1"/>
    <col min="7840" max="7840" width="5" style="47" customWidth="1"/>
    <col min="7841" max="7842" width="11.44140625" style="47" hidden="1" customWidth="1"/>
    <col min="7843" max="7843" width="5" style="47" customWidth="1"/>
    <col min="7844" max="7845" width="11.44140625" style="47" hidden="1" customWidth="1"/>
    <col min="7846" max="7846" width="5" style="47" customWidth="1"/>
    <col min="7847" max="7848" width="11.44140625" style="47" hidden="1" customWidth="1"/>
    <col min="7849" max="7849" width="5" style="47" customWidth="1"/>
    <col min="7850" max="7851" width="11.44140625" style="47" hidden="1" customWidth="1"/>
    <col min="7852" max="7852" width="5" style="47" customWidth="1"/>
    <col min="7853" max="7853" width="11.44140625" style="47" hidden="1" customWidth="1"/>
    <col min="7854" max="7854" width="6.44140625" style="47" customWidth="1"/>
    <col min="7855" max="7855" width="11.44140625" style="47" hidden="1" customWidth="1"/>
    <col min="7856" max="7856" width="7.109375" style="47" customWidth="1"/>
    <col min="7857" max="7858" width="11.44140625" style="47" hidden="1" customWidth="1"/>
    <col min="7859" max="7859" width="7.109375" style="47" customWidth="1"/>
    <col min="7860" max="7861" width="11.44140625" style="47" hidden="1" customWidth="1"/>
    <col min="7862" max="7862" width="7.109375" style="47" customWidth="1"/>
    <col min="7863" max="7864" width="11.44140625" style="47" hidden="1" customWidth="1"/>
    <col min="7865" max="7865" width="7.109375" style="47" customWidth="1"/>
    <col min="7866" max="7867" width="11.44140625" style="47" hidden="1" customWidth="1"/>
    <col min="7868" max="7868" width="7.109375" style="47" customWidth="1"/>
    <col min="7869" max="7870" width="11.44140625" style="47" hidden="1" customWidth="1"/>
    <col min="7871" max="7871" width="7.109375" style="47" customWidth="1"/>
    <col min="7872" max="7873" width="11.44140625" style="47" hidden="1" customWidth="1"/>
    <col min="7874" max="7874" width="7.109375" style="47" customWidth="1"/>
    <col min="7875" max="7876" width="11.44140625" style="47" hidden="1" customWidth="1"/>
    <col min="7877" max="7877" width="7.109375" style="47" customWidth="1"/>
    <col min="7878" max="7878" width="11.44140625" style="47" hidden="1" customWidth="1"/>
    <col min="7879" max="7879" width="6.44140625" style="47" customWidth="1"/>
    <col min="7880" max="7900" width="11.44140625" style="47" hidden="1" customWidth="1"/>
    <col min="7901" max="7901" width="9" style="47" customWidth="1"/>
    <col min="7902" max="7903" width="11.44140625" style="47" hidden="1" customWidth="1"/>
    <col min="7904" max="7904" width="8.44140625" style="47" customWidth="1"/>
    <col min="7905" max="7906" width="11.44140625" style="47" hidden="1" customWidth="1"/>
    <col min="7907" max="7907" width="6.44140625" style="47" customWidth="1"/>
    <col min="7908" max="7909" width="11.44140625" style="47" hidden="1" customWidth="1"/>
    <col min="7910" max="7910" width="7" style="47" customWidth="1"/>
    <col min="7911" max="7912" width="11.44140625" style="47" hidden="1" customWidth="1"/>
    <col min="7913" max="7915" width="7" style="47" customWidth="1"/>
    <col min="7916" max="7917" width="11.44140625" style="47" hidden="1" customWidth="1"/>
    <col min="7918" max="7918" width="7.44140625" style="47" customWidth="1"/>
    <col min="7919" max="7920" width="11.44140625" style="47" hidden="1" customWidth="1"/>
    <col min="7921" max="7921" width="7" style="47" customWidth="1"/>
    <col min="7922" max="7923" width="11.44140625" style="47" hidden="1" customWidth="1"/>
    <col min="7924" max="7924" width="7" style="47" customWidth="1"/>
    <col min="7925" max="7926" width="11.44140625" style="47" hidden="1" customWidth="1"/>
    <col min="7927" max="7927" width="7" style="47" customWidth="1"/>
    <col min="7928" max="7928" width="11.44140625" style="47" hidden="1" customWidth="1"/>
    <col min="7929" max="7929" width="6.44140625" style="47" customWidth="1"/>
    <col min="7930" max="7939" width="11.44140625" style="47" hidden="1" customWidth="1"/>
    <col min="7940" max="7974" width="11.44140625" style="47" hidden="1"/>
    <col min="7975" max="7975" width="41.44140625" style="47" customWidth="1"/>
    <col min="7976" max="7976" width="6.44140625" style="47" customWidth="1"/>
    <col min="7977" max="7977" width="14.5546875" style="47" customWidth="1"/>
    <col min="7978" max="7978" width="11.44140625" style="47" customWidth="1"/>
    <col min="7979" max="7979" width="13" style="47" customWidth="1"/>
    <col min="7980" max="7980" width="25.44140625" style="47" customWidth="1"/>
    <col min="7981" max="7990" width="9.44140625" style="47" customWidth="1"/>
    <col min="7991" max="7991" width="8.88671875" style="47" customWidth="1"/>
    <col min="7992" max="7992" width="9.44140625" style="47" customWidth="1"/>
    <col min="7993" max="7993" width="10.109375" style="47" customWidth="1"/>
    <col min="7994" max="8005" width="11.44140625" style="47" hidden="1" customWidth="1"/>
    <col min="8006" max="8007" width="11.44140625" style="47" customWidth="1"/>
    <col min="8008" max="8008" width="35.44140625" style="47" customWidth="1"/>
    <col min="8009" max="8009" width="9.109375" style="47" customWidth="1"/>
    <col min="8010" max="8010" width="24.44140625" style="47" customWidth="1"/>
    <col min="8011" max="8011" width="18.44140625" style="47" customWidth="1"/>
    <col min="8012" max="8012" width="22.44140625" style="47" customWidth="1"/>
    <col min="8013" max="8013" width="5" style="47" customWidth="1"/>
    <col min="8014" max="8015" width="11.44140625" style="47" hidden="1" customWidth="1"/>
    <col min="8016" max="8016" width="5" style="47" customWidth="1"/>
    <col min="8017" max="8018" width="11.44140625" style="47" hidden="1" customWidth="1"/>
    <col min="8019" max="8019" width="5" style="47" customWidth="1"/>
    <col min="8020" max="8021" width="11.44140625" style="47" hidden="1" customWidth="1"/>
    <col min="8022" max="8022" width="5" style="47" customWidth="1"/>
    <col min="8023" max="8024" width="11.44140625" style="47" hidden="1" customWidth="1"/>
    <col min="8025" max="8025" width="5" style="47" customWidth="1"/>
    <col min="8026" max="8090" width="11.44140625" style="47" hidden="1" customWidth="1"/>
    <col min="8091" max="8091" width="9.44140625" style="47" customWidth="1"/>
    <col min="8092" max="8092" width="11.44140625" style="47" hidden="1" customWidth="1"/>
    <col min="8093" max="8093" width="5" style="47" customWidth="1"/>
    <col min="8094" max="8095" width="11.44140625" style="47" hidden="1" customWidth="1"/>
    <col min="8096" max="8096" width="5" style="47" customWidth="1"/>
    <col min="8097" max="8098" width="11.44140625" style="47" hidden="1" customWidth="1"/>
    <col min="8099" max="8099" width="5" style="47" customWidth="1"/>
    <col min="8100" max="8101" width="11.44140625" style="47" hidden="1" customWidth="1"/>
    <col min="8102" max="8102" width="5" style="47" customWidth="1"/>
    <col min="8103" max="8104" width="11.44140625" style="47" hidden="1" customWidth="1"/>
    <col min="8105" max="8105" width="5" style="47" customWidth="1"/>
    <col min="8106" max="8107" width="11.44140625" style="47" hidden="1" customWidth="1"/>
    <col min="8108" max="8108" width="5" style="47" customWidth="1"/>
    <col min="8109" max="8109" width="11.44140625" style="47" hidden="1" customWidth="1"/>
    <col min="8110" max="8110" width="6.44140625" style="47" customWidth="1"/>
    <col min="8111" max="8111" width="11.44140625" style="47" hidden="1" customWidth="1"/>
    <col min="8112" max="8112" width="7.109375" style="47" customWidth="1"/>
    <col min="8113" max="8114" width="11.44140625" style="47" hidden="1" customWidth="1"/>
    <col min="8115" max="8115" width="7.109375" style="47" customWidth="1"/>
    <col min="8116" max="8117" width="11.44140625" style="47" hidden="1" customWidth="1"/>
    <col min="8118" max="8118" width="7.109375" style="47" customWidth="1"/>
    <col min="8119" max="8120" width="11.44140625" style="47" hidden="1" customWidth="1"/>
    <col min="8121" max="8121" width="7.109375" style="47" customWidth="1"/>
    <col min="8122" max="8123" width="11.44140625" style="47" hidden="1" customWidth="1"/>
    <col min="8124" max="8124" width="7.109375" style="47" customWidth="1"/>
    <col min="8125" max="8126" width="11.44140625" style="47" hidden="1" customWidth="1"/>
    <col min="8127" max="8127" width="7.109375" style="47" customWidth="1"/>
    <col min="8128" max="8129" width="11.44140625" style="47" hidden="1" customWidth="1"/>
    <col min="8130" max="8130" width="7.109375" style="47" customWidth="1"/>
    <col min="8131" max="8132" width="11.44140625" style="47" hidden="1" customWidth="1"/>
    <col min="8133" max="8133" width="7.109375" style="47" customWidth="1"/>
    <col min="8134" max="8134" width="11.44140625" style="47" hidden="1" customWidth="1"/>
    <col min="8135" max="8135" width="6.44140625" style="47" customWidth="1"/>
    <col min="8136" max="8156" width="11.44140625" style="47" hidden="1" customWidth="1"/>
    <col min="8157" max="8157" width="9" style="47" customWidth="1"/>
    <col min="8158" max="8159" width="11.44140625" style="47" hidden="1" customWidth="1"/>
    <col min="8160" max="8160" width="8.44140625" style="47" customWidth="1"/>
    <col min="8161" max="8162" width="11.44140625" style="47" hidden="1" customWidth="1"/>
    <col min="8163" max="8163" width="6.44140625" style="47" customWidth="1"/>
    <col min="8164" max="8165" width="11.44140625" style="47" hidden="1" customWidth="1"/>
    <col min="8166" max="8166" width="7" style="47" customWidth="1"/>
    <col min="8167" max="8168" width="11.44140625" style="47" hidden="1" customWidth="1"/>
    <col min="8169" max="8171" width="7" style="47" customWidth="1"/>
    <col min="8172" max="8173" width="11.44140625" style="47" hidden="1" customWidth="1"/>
    <col min="8174" max="8174" width="7.44140625" style="47" customWidth="1"/>
    <col min="8175" max="8176" width="11.44140625" style="47" hidden="1" customWidth="1"/>
    <col min="8177" max="8177" width="7" style="47" customWidth="1"/>
    <col min="8178" max="8179" width="11.44140625" style="47" hidden="1" customWidth="1"/>
    <col min="8180" max="8180" width="7" style="47" customWidth="1"/>
    <col min="8181" max="8182" width="11.44140625" style="47" hidden="1" customWidth="1"/>
    <col min="8183" max="8183" width="7" style="47" customWidth="1"/>
    <col min="8184" max="8184" width="11.44140625" style="47" hidden="1" customWidth="1"/>
    <col min="8185" max="8185" width="6.44140625" style="47" customWidth="1"/>
    <col min="8186" max="8195" width="11.44140625" style="47" hidden="1" customWidth="1"/>
    <col min="8196" max="8230" width="11.44140625" style="47" hidden="1"/>
    <col min="8231" max="8231" width="41.44140625" style="47" customWidth="1"/>
    <col min="8232" max="8232" width="6.44140625" style="47" customWidth="1"/>
    <col min="8233" max="8233" width="14.5546875" style="47" customWidth="1"/>
    <col min="8234" max="8234" width="11.44140625" style="47" customWidth="1"/>
    <col min="8235" max="8235" width="13" style="47" customWidth="1"/>
    <col min="8236" max="8236" width="25.44140625" style="47" customWidth="1"/>
    <col min="8237" max="8246" width="9.44140625" style="47" customWidth="1"/>
    <col min="8247" max="8247" width="8.88671875" style="47" customWidth="1"/>
    <col min="8248" max="8248" width="9.44140625" style="47" customWidth="1"/>
    <col min="8249" max="8249" width="10.109375" style="47" customWidth="1"/>
    <col min="8250" max="8261" width="11.44140625" style="47" hidden="1" customWidth="1"/>
    <col min="8262" max="8263" width="11.44140625" style="47" customWidth="1"/>
    <col min="8264" max="8264" width="35.44140625" style="47" customWidth="1"/>
    <col min="8265" max="8265" width="9.109375" style="47" customWidth="1"/>
    <col min="8266" max="8266" width="24.44140625" style="47" customWidth="1"/>
    <col min="8267" max="8267" width="18.44140625" style="47" customWidth="1"/>
    <col min="8268" max="8268" width="22.44140625" style="47" customWidth="1"/>
    <col min="8269" max="8269" width="5" style="47" customWidth="1"/>
    <col min="8270" max="8271" width="11.44140625" style="47" hidden="1" customWidth="1"/>
    <col min="8272" max="8272" width="5" style="47" customWidth="1"/>
    <col min="8273" max="8274" width="11.44140625" style="47" hidden="1" customWidth="1"/>
    <col min="8275" max="8275" width="5" style="47" customWidth="1"/>
    <col min="8276" max="8277" width="11.44140625" style="47" hidden="1" customWidth="1"/>
    <col min="8278" max="8278" width="5" style="47" customWidth="1"/>
    <col min="8279" max="8280" width="11.44140625" style="47" hidden="1" customWidth="1"/>
    <col min="8281" max="8281" width="5" style="47" customWidth="1"/>
    <col min="8282" max="8346" width="11.44140625" style="47" hidden="1" customWidth="1"/>
    <col min="8347" max="8347" width="9.44140625" style="47" customWidth="1"/>
    <col min="8348" max="8348" width="11.44140625" style="47" hidden="1" customWidth="1"/>
    <col min="8349" max="8349" width="5" style="47" customWidth="1"/>
    <col min="8350" max="8351" width="11.44140625" style="47" hidden="1" customWidth="1"/>
    <col min="8352" max="8352" width="5" style="47" customWidth="1"/>
    <col min="8353" max="8354" width="11.44140625" style="47" hidden="1" customWidth="1"/>
    <col min="8355" max="8355" width="5" style="47" customWidth="1"/>
    <col min="8356" max="8357" width="11.44140625" style="47" hidden="1" customWidth="1"/>
    <col min="8358" max="8358" width="5" style="47" customWidth="1"/>
    <col min="8359" max="8360" width="11.44140625" style="47" hidden="1" customWidth="1"/>
    <col min="8361" max="8361" width="5" style="47" customWidth="1"/>
    <col min="8362" max="8363" width="11.44140625" style="47" hidden="1" customWidth="1"/>
    <col min="8364" max="8364" width="5" style="47" customWidth="1"/>
    <col min="8365" max="8365" width="11.44140625" style="47" hidden="1" customWidth="1"/>
    <col min="8366" max="8366" width="6.44140625" style="47" customWidth="1"/>
    <col min="8367" max="8367" width="11.44140625" style="47" hidden="1" customWidth="1"/>
    <col min="8368" max="8368" width="7.109375" style="47" customWidth="1"/>
    <col min="8369" max="8370" width="11.44140625" style="47" hidden="1" customWidth="1"/>
    <col min="8371" max="8371" width="7.109375" style="47" customWidth="1"/>
    <col min="8372" max="8373" width="11.44140625" style="47" hidden="1" customWidth="1"/>
    <col min="8374" max="8374" width="7.109375" style="47" customWidth="1"/>
    <col min="8375" max="8376" width="11.44140625" style="47" hidden="1" customWidth="1"/>
    <col min="8377" max="8377" width="7.109375" style="47" customWidth="1"/>
    <col min="8378" max="8379" width="11.44140625" style="47" hidden="1" customWidth="1"/>
    <col min="8380" max="8380" width="7.109375" style="47" customWidth="1"/>
    <col min="8381" max="8382" width="11.44140625" style="47" hidden="1" customWidth="1"/>
    <col min="8383" max="8383" width="7.109375" style="47" customWidth="1"/>
    <col min="8384" max="8385" width="11.44140625" style="47" hidden="1" customWidth="1"/>
    <col min="8386" max="8386" width="7.109375" style="47" customWidth="1"/>
    <col min="8387" max="8388" width="11.44140625" style="47" hidden="1" customWidth="1"/>
    <col min="8389" max="8389" width="7.109375" style="47" customWidth="1"/>
    <col min="8390" max="8390" width="11.44140625" style="47" hidden="1" customWidth="1"/>
    <col min="8391" max="8391" width="6.44140625" style="47" customWidth="1"/>
    <col min="8392" max="8412" width="11.44140625" style="47" hidden="1" customWidth="1"/>
    <col min="8413" max="8413" width="9" style="47" customWidth="1"/>
    <col min="8414" max="8415" width="11.44140625" style="47" hidden="1" customWidth="1"/>
    <col min="8416" max="8416" width="8.44140625" style="47" customWidth="1"/>
    <col min="8417" max="8418" width="11.44140625" style="47" hidden="1" customWidth="1"/>
    <col min="8419" max="8419" width="6.44140625" style="47" customWidth="1"/>
    <col min="8420" max="8421" width="11.44140625" style="47" hidden="1" customWidth="1"/>
    <col min="8422" max="8422" width="7" style="47" customWidth="1"/>
    <col min="8423" max="8424" width="11.44140625" style="47" hidden="1" customWidth="1"/>
    <col min="8425" max="8427" width="7" style="47" customWidth="1"/>
    <col min="8428" max="8429" width="11.44140625" style="47" hidden="1" customWidth="1"/>
    <col min="8430" max="8430" width="7.44140625" style="47" customWidth="1"/>
    <col min="8431" max="8432" width="11.44140625" style="47" hidden="1" customWidth="1"/>
    <col min="8433" max="8433" width="7" style="47" customWidth="1"/>
    <col min="8434" max="8435" width="11.44140625" style="47" hidden="1" customWidth="1"/>
    <col min="8436" max="8436" width="7" style="47" customWidth="1"/>
    <col min="8437" max="8438" width="11.44140625" style="47" hidden="1" customWidth="1"/>
    <col min="8439" max="8439" width="7" style="47" customWidth="1"/>
    <col min="8440" max="8440" width="11.44140625" style="47" hidden="1" customWidth="1"/>
    <col min="8441" max="8441" width="6.44140625" style="47" customWidth="1"/>
    <col min="8442" max="8451" width="11.44140625" style="47" hidden="1" customWidth="1"/>
    <col min="8452" max="8486" width="11.44140625" style="47" hidden="1"/>
    <col min="8487" max="8487" width="41.44140625" style="47" customWidth="1"/>
    <col min="8488" max="8488" width="6.44140625" style="47" customWidth="1"/>
    <col min="8489" max="8489" width="14.5546875" style="47" customWidth="1"/>
    <col min="8490" max="8490" width="11.44140625" style="47" customWidth="1"/>
    <col min="8491" max="8491" width="13" style="47" customWidth="1"/>
    <col min="8492" max="8492" width="25.44140625" style="47" customWidth="1"/>
    <col min="8493" max="8502" width="9.44140625" style="47" customWidth="1"/>
    <col min="8503" max="8503" width="8.88671875" style="47" customWidth="1"/>
    <col min="8504" max="8504" width="9.44140625" style="47" customWidth="1"/>
    <col min="8505" max="8505" width="10.109375" style="47" customWidth="1"/>
    <col min="8506" max="8517" width="11.44140625" style="47" hidden="1" customWidth="1"/>
    <col min="8518" max="8519" width="11.44140625" style="47" customWidth="1"/>
    <col min="8520" max="8520" width="35.44140625" style="47" customWidth="1"/>
    <col min="8521" max="8521" width="9.109375" style="47" customWidth="1"/>
    <col min="8522" max="8522" width="24.44140625" style="47" customWidth="1"/>
    <col min="8523" max="8523" width="18.44140625" style="47" customWidth="1"/>
    <col min="8524" max="8524" width="22.44140625" style="47" customWidth="1"/>
    <col min="8525" max="8525" width="5" style="47" customWidth="1"/>
    <col min="8526" max="8527" width="11.44140625" style="47" hidden="1" customWidth="1"/>
    <col min="8528" max="8528" width="5" style="47" customWidth="1"/>
    <col min="8529" max="8530" width="11.44140625" style="47" hidden="1" customWidth="1"/>
    <col min="8531" max="8531" width="5" style="47" customWidth="1"/>
    <col min="8532" max="8533" width="11.44140625" style="47" hidden="1" customWidth="1"/>
    <col min="8534" max="8534" width="5" style="47" customWidth="1"/>
    <col min="8535" max="8536" width="11.44140625" style="47" hidden="1" customWidth="1"/>
    <col min="8537" max="8537" width="5" style="47" customWidth="1"/>
    <col min="8538" max="8602" width="11.44140625" style="47" hidden="1" customWidth="1"/>
    <col min="8603" max="8603" width="9.44140625" style="47" customWidth="1"/>
    <col min="8604" max="8604" width="11.44140625" style="47" hidden="1" customWidth="1"/>
    <col min="8605" max="8605" width="5" style="47" customWidth="1"/>
    <col min="8606" max="8607" width="11.44140625" style="47" hidden="1" customWidth="1"/>
    <col min="8608" max="8608" width="5" style="47" customWidth="1"/>
    <col min="8609" max="8610" width="11.44140625" style="47" hidden="1" customWidth="1"/>
    <col min="8611" max="8611" width="5" style="47" customWidth="1"/>
    <col min="8612" max="8613" width="11.44140625" style="47" hidden="1" customWidth="1"/>
    <col min="8614" max="8614" width="5" style="47" customWidth="1"/>
    <col min="8615" max="8616" width="11.44140625" style="47" hidden="1" customWidth="1"/>
    <col min="8617" max="8617" width="5" style="47" customWidth="1"/>
    <col min="8618" max="8619" width="11.44140625" style="47" hidden="1" customWidth="1"/>
    <col min="8620" max="8620" width="5" style="47" customWidth="1"/>
    <col min="8621" max="8621" width="11.44140625" style="47" hidden="1" customWidth="1"/>
    <col min="8622" max="8622" width="6.44140625" style="47" customWidth="1"/>
    <col min="8623" max="8623" width="11.44140625" style="47" hidden="1" customWidth="1"/>
    <col min="8624" max="8624" width="7.109375" style="47" customWidth="1"/>
    <col min="8625" max="8626" width="11.44140625" style="47" hidden="1" customWidth="1"/>
    <col min="8627" max="8627" width="7.109375" style="47" customWidth="1"/>
    <col min="8628" max="8629" width="11.44140625" style="47" hidden="1" customWidth="1"/>
    <col min="8630" max="8630" width="7.109375" style="47" customWidth="1"/>
    <col min="8631" max="8632" width="11.44140625" style="47" hidden="1" customWidth="1"/>
    <col min="8633" max="8633" width="7.109375" style="47" customWidth="1"/>
    <col min="8634" max="8635" width="11.44140625" style="47" hidden="1" customWidth="1"/>
    <col min="8636" max="8636" width="7.109375" style="47" customWidth="1"/>
    <col min="8637" max="8638" width="11.44140625" style="47" hidden="1" customWidth="1"/>
    <col min="8639" max="8639" width="7.109375" style="47" customWidth="1"/>
    <col min="8640" max="8641" width="11.44140625" style="47" hidden="1" customWidth="1"/>
    <col min="8642" max="8642" width="7.109375" style="47" customWidth="1"/>
    <col min="8643" max="8644" width="11.44140625" style="47" hidden="1" customWidth="1"/>
    <col min="8645" max="8645" width="7.109375" style="47" customWidth="1"/>
    <col min="8646" max="8646" width="11.44140625" style="47" hidden="1" customWidth="1"/>
    <col min="8647" max="8647" width="6.44140625" style="47" customWidth="1"/>
    <col min="8648" max="8668" width="11.44140625" style="47" hidden="1" customWidth="1"/>
    <col min="8669" max="8669" width="9" style="47" customWidth="1"/>
    <col min="8670" max="8671" width="11.44140625" style="47" hidden="1" customWidth="1"/>
    <col min="8672" max="8672" width="8.44140625" style="47" customWidth="1"/>
    <col min="8673" max="8674" width="11.44140625" style="47" hidden="1" customWidth="1"/>
    <col min="8675" max="8675" width="6.44140625" style="47" customWidth="1"/>
    <col min="8676" max="8677" width="11.44140625" style="47" hidden="1" customWidth="1"/>
    <col min="8678" max="8678" width="7" style="47" customWidth="1"/>
    <col min="8679" max="8680" width="11.44140625" style="47" hidden="1" customWidth="1"/>
    <col min="8681" max="8683" width="7" style="47" customWidth="1"/>
    <col min="8684" max="8685" width="11.44140625" style="47" hidden="1" customWidth="1"/>
    <col min="8686" max="8686" width="7.44140625" style="47" customWidth="1"/>
    <col min="8687" max="8688" width="11.44140625" style="47" hidden="1" customWidth="1"/>
    <col min="8689" max="8689" width="7" style="47" customWidth="1"/>
    <col min="8690" max="8691" width="11.44140625" style="47" hidden="1" customWidth="1"/>
    <col min="8692" max="8692" width="7" style="47" customWidth="1"/>
    <col min="8693" max="8694" width="11.44140625" style="47" hidden="1" customWidth="1"/>
    <col min="8695" max="8695" width="7" style="47" customWidth="1"/>
    <col min="8696" max="8696" width="11.44140625" style="47" hidden="1" customWidth="1"/>
    <col min="8697" max="8697" width="6.44140625" style="47" customWidth="1"/>
    <col min="8698" max="8707" width="11.44140625" style="47" hidden="1" customWidth="1"/>
    <col min="8708" max="8742" width="11.44140625" style="47" hidden="1"/>
    <col min="8743" max="8743" width="41.44140625" style="47" customWidth="1"/>
    <col min="8744" max="8744" width="6.44140625" style="47" customWidth="1"/>
    <col min="8745" max="8745" width="14.5546875" style="47" customWidth="1"/>
    <col min="8746" max="8746" width="11.44140625" style="47" customWidth="1"/>
    <col min="8747" max="8747" width="13" style="47" customWidth="1"/>
    <col min="8748" max="8748" width="25.44140625" style="47" customWidth="1"/>
    <col min="8749" max="8758" width="9.44140625" style="47" customWidth="1"/>
    <col min="8759" max="8759" width="8.88671875" style="47" customWidth="1"/>
    <col min="8760" max="8760" width="9.44140625" style="47" customWidth="1"/>
    <col min="8761" max="8761" width="10.109375" style="47" customWidth="1"/>
    <col min="8762" max="8773" width="11.44140625" style="47" hidden="1" customWidth="1"/>
    <col min="8774" max="8775" width="11.44140625" style="47" customWidth="1"/>
    <col min="8776" max="8776" width="35.44140625" style="47" customWidth="1"/>
    <col min="8777" max="8777" width="9.109375" style="47" customWidth="1"/>
    <col min="8778" max="8778" width="24.44140625" style="47" customWidth="1"/>
    <col min="8779" max="8779" width="18.44140625" style="47" customWidth="1"/>
    <col min="8780" max="8780" width="22.44140625" style="47" customWidth="1"/>
    <col min="8781" max="8781" width="5" style="47" customWidth="1"/>
    <col min="8782" max="8783" width="11.44140625" style="47" hidden="1" customWidth="1"/>
    <col min="8784" max="8784" width="5" style="47" customWidth="1"/>
    <col min="8785" max="8786" width="11.44140625" style="47" hidden="1" customWidth="1"/>
    <col min="8787" max="8787" width="5" style="47" customWidth="1"/>
    <col min="8788" max="8789" width="11.44140625" style="47" hidden="1" customWidth="1"/>
    <col min="8790" max="8790" width="5" style="47" customWidth="1"/>
    <col min="8791" max="8792" width="11.44140625" style="47" hidden="1" customWidth="1"/>
    <col min="8793" max="8793" width="5" style="47" customWidth="1"/>
    <col min="8794" max="8858" width="11.44140625" style="47" hidden="1" customWidth="1"/>
    <col min="8859" max="8859" width="9.44140625" style="47" customWidth="1"/>
    <col min="8860" max="8860" width="11.44140625" style="47" hidden="1" customWidth="1"/>
    <col min="8861" max="8861" width="5" style="47" customWidth="1"/>
    <col min="8862" max="8863" width="11.44140625" style="47" hidden="1" customWidth="1"/>
    <col min="8864" max="8864" width="5" style="47" customWidth="1"/>
    <col min="8865" max="8866" width="11.44140625" style="47" hidden="1" customWidth="1"/>
    <col min="8867" max="8867" width="5" style="47" customWidth="1"/>
    <col min="8868" max="8869" width="11.44140625" style="47" hidden="1" customWidth="1"/>
    <col min="8870" max="8870" width="5" style="47" customWidth="1"/>
    <col min="8871" max="8872" width="11.44140625" style="47" hidden="1" customWidth="1"/>
    <col min="8873" max="8873" width="5" style="47" customWidth="1"/>
    <col min="8874" max="8875" width="11.44140625" style="47" hidden="1" customWidth="1"/>
    <col min="8876" max="8876" width="5" style="47" customWidth="1"/>
    <col min="8877" max="8877" width="11.44140625" style="47" hidden="1" customWidth="1"/>
    <col min="8878" max="8878" width="6.44140625" style="47" customWidth="1"/>
    <col min="8879" max="8879" width="11.44140625" style="47" hidden="1" customWidth="1"/>
    <col min="8880" max="8880" width="7.109375" style="47" customWidth="1"/>
    <col min="8881" max="8882" width="11.44140625" style="47" hidden="1" customWidth="1"/>
    <col min="8883" max="8883" width="7.109375" style="47" customWidth="1"/>
    <col min="8884" max="8885" width="11.44140625" style="47" hidden="1" customWidth="1"/>
    <col min="8886" max="8886" width="7.109375" style="47" customWidth="1"/>
    <col min="8887" max="8888" width="11.44140625" style="47" hidden="1" customWidth="1"/>
    <col min="8889" max="8889" width="7.109375" style="47" customWidth="1"/>
    <col min="8890" max="8891" width="11.44140625" style="47" hidden="1" customWidth="1"/>
    <col min="8892" max="8892" width="7.109375" style="47" customWidth="1"/>
    <col min="8893" max="8894" width="11.44140625" style="47" hidden="1" customWidth="1"/>
    <col min="8895" max="8895" width="7.109375" style="47" customWidth="1"/>
    <col min="8896" max="8897" width="11.44140625" style="47" hidden="1" customWidth="1"/>
    <col min="8898" max="8898" width="7.109375" style="47" customWidth="1"/>
    <col min="8899" max="8900" width="11.44140625" style="47" hidden="1" customWidth="1"/>
    <col min="8901" max="8901" width="7.109375" style="47" customWidth="1"/>
    <col min="8902" max="8902" width="11.44140625" style="47" hidden="1" customWidth="1"/>
    <col min="8903" max="8903" width="6.44140625" style="47" customWidth="1"/>
    <col min="8904" max="8924" width="11.44140625" style="47" hidden="1" customWidth="1"/>
    <col min="8925" max="8925" width="9" style="47" customWidth="1"/>
    <col min="8926" max="8927" width="11.44140625" style="47" hidden="1" customWidth="1"/>
    <col min="8928" max="8928" width="8.44140625" style="47" customWidth="1"/>
    <col min="8929" max="8930" width="11.44140625" style="47" hidden="1" customWidth="1"/>
    <col min="8931" max="8931" width="6.44140625" style="47" customWidth="1"/>
    <col min="8932" max="8933" width="11.44140625" style="47" hidden="1" customWidth="1"/>
    <col min="8934" max="8934" width="7" style="47" customWidth="1"/>
    <col min="8935" max="8936" width="11.44140625" style="47" hidden="1" customWidth="1"/>
    <col min="8937" max="8939" width="7" style="47" customWidth="1"/>
    <col min="8940" max="8941" width="11.44140625" style="47" hidden="1" customWidth="1"/>
    <col min="8942" max="8942" width="7.44140625" style="47" customWidth="1"/>
    <col min="8943" max="8944" width="11.44140625" style="47" hidden="1" customWidth="1"/>
    <col min="8945" max="8945" width="7" style="47" customWidth="1"/>
    <col min="8946" max="8947" width="11.44140625" style="47" hidden="1" customWidth="1"/>
    <col min="8948" max="8948" width="7" style="47" customWidth="1"/>
    <col min="8949" max="8950" width="11.44140625" style="47" hidden="1" customWidth="1"/>
    <col min="8951" max="8951" width="7" style="47" customWidth="1"/>
    <col min="8952" max="8952" width="11.44140625" style="47" hidden="1" customWidth="1"/>
    <col min="8953" max="8953" width="6.44140625" style="47" customWidth="1"/>
    <col min="8954" max="8963" width="11.44140625" style="47" hidden="1" customWidth="1"/>
    <col min="8964" max="8998" width="11.44140625" style="47" hidden="1"/>
    <col min="8999" max="8999" width="41.44140625" style="47" customWidth="1"/>
    <col min="9000" max="9000" width="6.44140625" style="47" customWidth="1"/>
    <col min="9001" max="9001" width="14.5546875" style="47" customWidth="1"/>
    <col min="9002" max="9002" width="11.44140625" style="47" customWidth="1"/>
    <col min="9003" max="9003" width="13" style="47" customWidth="1"/>
    <col min="9004" max="9004" width="25.44140625" style="47" customWidth="1"/>
    <col min="9005" max="9014" width="9.44140625" style="47" customWidth="1"/>
    <col min="9015" max="9015" width="8.88671875" style="47" customWidth="1"/>
    <col min="9016" max="9016" width="9.44140625" style="47" customWidth="1"/>
    <col min="9017" max="9017" width="10.109375" style="47" customWidth="1"/>
    <col min="9018" max="9029" width="11.44140625" style="47" hidden="1" customWidth="1"/>
    <col min="9030" max="9031" width="11.44140625" style="47" customWidth="1"/>
    <col min="9032" max="9032" width="35.44140625" style="47" customWidth="1"/>
    <col min="9033" max="9033" width="9.109375" style="47" customWidth="1"/>
    <col min="9034" max="9034" width="24.44140625" style="47" customWidth="1"/>
    <col min="9035" max="9035" width="18.44140625" style="47" customWidth="1"/>
    <col min="9036" max="9036" width="22.44140625" style="47" customWidth="1"/>
    <col min="9037" max="9037" width="5" style="47" customWidth="1"/>
    <col min="9038" max="9039" width="11.44140625" style="47" hidden="1" customWidth="1"/>
    <col min="9040" max="9040" width="5" style="47" customWidth="1"/>
    <col min="9041" max="9042" width="11.44140625" style="47" hidden="1" customWidth="1"/>
    <col min="9043" max="9043" width="5" style="47" customWidth="1"/>
    <col min="9044" max="9045" width="11.44140625" style="47" hidden="1" customWidth="1"/>
    <col min="9046" max="9046" width="5" style="47" customWidth="1"/>
    <col min="9047" max="9048" width="11.44140625" style="47" hidden="1" customWidth="1"/>
    <col min="9049" max="9049" width="5" style="47" customWidth="1"/>
    <col min="9050" max="9114" width="11.44140625" style="47" hidden="1" customWidth="1"/>
    <col min="9115" max="9115" width="9.44140625" style="47" customWidth="1"/>
    <col min="9116" max="9116" width="11.44140625" style="47" hidden="1" customWidth="1"/>
    <col min="9117" max="9117" width="5" style="47" customWidth="1"/>
    <col min="9118" max="9119" width="11.44140625" style="47" hidden="1" customWidth="1"/>
    <col min="9120" max="9120" width="5" style="47" customWidth="1"/>
    <col min="9121" max="9122" width="11.44140625" style="47" hidden="1" customWidth="1"/>
    <col min="9123" max="9123" width="5" style="47" customWidth="1"/>
    <col min="9124" max="9125" width="11.44140625" style="47" hidden="1" customWidth="1"/>
    <col min="9126" max="9126" width="5" style="47" customWidth="1"/>
    <col min="9127" max="9128" width="11.44140625" style="47" hidden="1" customWidth="1"/>
    <col min="9129" max="9129" width="5" style="47" customWidth="1"/>
    <col min="9130" max="9131" width="11.44140625" style="47" hidden="1" customWidth="1"/>
    <col min="9132" max="9132" width="5" style="47" customWidth="1"/>
    <col min="9133" max="9133" width="11.44140625" style="47" hidden="1" customWidth="1"/>
    <col min="9134" max="9134" width="6.44140625" style="47" customWidth="1"/>
    <col min="9135" max="9135" width="11.44140625" style="47" hidden="1" customWidth="1"/>
    <col min="9136" max="9136" width="7.109375" style="47" customWidth="1"/>
    <col min="9137" max="9138" width="11.44140625" style="47" hidden="1" customWidth="1"/>
    <col min="9139" max="9139" width="7.109375" style="47" customWidth="1"/>
    <col min="9140" max="9141" width="11.44140625" style="47" hidden="1" customWidth="1"/>
    <col min="9142" max="9142" width="7.109375" style="47" customWidth="1"/>
    <col min="9143" max="9144" width="11.44140625" style="47" hidden="1" customWidth="1"/>
    <col min="9145" max="9145" width="7.109375" style="47" customWidth="1"/>
    <col min="9146" max="9147" width="11.44140625" style="47" hidden="1" customWidth="1"/>
    <col min="9148" max="9148" width="7.109375" style="47" customWidth="1"/>
    <col min="9149" max="9150" width="11.44140625" style="47" hidden="1" customWidth="1"/>
    <col min="9151" max="9151" width="7.109375" style="47" customWidth="1"/>
    <col min="9152" max="9153" width="11.44140625" style="47" hidden="1" customWidth="1"/>
    <col min="9154" max="9154" width="7.109375" style="47" customWidth="1"/>
    <col min="9155" max="9156" width="11.44140625" style="47" hidden="1" customWidth="1"/>
    <col min="9157" max="9157" width="7.109375" style="47" customWidth="1"/>
    <col min="9158" max="9158" width="11.44140625" style="47" hidden="1" customWidth="1"/>
    <col min="9159" max="9159" width="6.44140625" style="47" customWidth="1"/>
    <col min="9160" max="9180" width="11.44140625" style="47" hidden="1" customWidth="1"/>
    <col min="9181" max="9181" width="9" style="47" customWidth="1"/>
    <col min="9182" max="9183" width="11.44140625" style="47" hidden="1" customWidth="1"/>
    <col min="9184" max="9184" width="8.44140625" style="47" customWidth="1"/>
    <col min="9185" max="9186" width="11.44140625" style="47" hidden="1" customWidth="1"/>
    <col min="9187" max="9187" width="6.44140625" style="47" customWidth="1"/>
    <col min="9188" max="9189" width="11.44140625" style="47" hidden="1" customWidth="1"/>
    <col min="9190" max="9190" width="7" style="47" customWidth="1"/>
    <col min="9191" max="9192" width="11.44140625" style="47" hidden="1" customWidth="1"/>
    <col min="9193" max="9195" width="7" style="47" customWidth="1"/>
    <col min="9196" max="9197" width="11.44140625" style="47" hidden="1" customWidth="1"/>
    <col min="9198" max="9198" width="7.44140625" style="47" customWidth="1"/>
    <col min="9199" max="9200" width="11.44140625" style="47" hidden="1" customWidth="1"/>
    <col min="9201" max="9201" width="7" style="47" customWidth="1"/>
    <col min="9202" max="9203" width="11.44140625" style="47" hidden="1" customWidth="1"/>
    <col min="9204" max="9204" width="7" style="47" customWidth="1"/>
    <col min="9205" max="9206" width="11.44140625" style="47" hidden="1" customWidth="1"/>
    <col min="9207" max="9207" width="7" style="47" customWidth="1"/>
    <col min="9208" max="9208" width="11.44140625" style="47" hidden="1" customWidth="1"/>
    <col min="9209" max="9209" width="6.44140625" style="47" customWidth="1"/>
    <col min="9210" max="9219" width="11.44140625" style="47" hidden="1" customWidth="1"/>
    <col min="9220" max="9254" width="11.44140625" style="47" hidden="1"/>
    <col min="9255" max="9255" width="41.44140625" style="47" customWidth="1"/>
    <col min="9256" max="9256" width="6.44140625" style="47" customWidth="1"/>
    <col min="9257" max="9257" width="14.5546875" style="47" customWidth="1"/>
    <col min="9258" max="9258" width="11.44140625" style="47" customWidth="1"/>
    <col min="9259" max="9259" width="13" style="47" customWidth="1"/>
    <col min="9260" max="9260" width="25.44140625" style="47" customWidth="1"/>
    <col min="9261" max="9270" width="9.44140625" style="47" customWidth="1"/>
    <col min="9271" max="9271" width="8.88671875" style="47" customWidth="1"/>
    <col min="9272" max="9272" width="9.44140625" style="47" customWidth="1"/>
    <col min="9273" max="9273" width="10.109375" style="47" customWidth="1"/>
    <col min="9274" max="9285" width="11.44140625" style="47" hidden="1" customWidth="1"/>
    <col min="9286" max="9287" width="11.44140625" style="47" customWidth="1"/>
    <col min="9288" max="9288" width="35.44140625" style="47" customWidth="1"/>
    <col min="9289" max="9289" width="9.109375" style="47" customWidth="1"/>
    <col min="9290" max="9290" width="24.44140625" style="47" customWidth="1"/>
    <col min="9291" max="9291" width="18.44140625" style="47" customWidth="1"/>
    <col min="9292" max="9292" width="22.44140625" style="47" customWidth="1"/>
    <col min="9293" max="9293" width="5" style="47" customWidth="1"/>
    <col min="9294" max="9295" width="11.44140625" style="47" hidden="1" customWidth="1"/>
    <col min="9296" max="9296" width="5" style="47" customWidth="1"/>
    <col min="9297" max="9298" width="11.44140625" style="47" hidden="1" customWidth="1"/>
    <col min="9299" max="9299" width="5" style="47" customWidth="1"/>
    <col min="9300" max="9301" width="11.44140625" style="47" hidden="1" customWidth="1"/>
    <col min="9302" max="9302" width="5" style="47" customWidth="1"/>
    <col min="9303" max="9304" width="11.44140625" style="47" hidden="1" customWidth="1"/>
    <col min="9305" max="9305" width="5" style="47" customWidth="1"/>
    <col min="9306" max="9370" width="11.44140625" style="47" hidden="1" customWidth="1"/>
    <col min="9371" max="9371" width="9.44140625" style="47" customWidth="1"/>
    <col min="9372" max="9372" width="11.44140625" style="47" hidden="1" customWidth="1"/>
    <col min="9373" max="9373" width="5" style="47" customWidth="1"/>
    <col min="9374" max="9375" width="11.44140625" style="47" hidden="1" customWidth="1"/>
    <col min="9376" max="9376" width="5" style="47" customWidth="1"/>
    <col min="9377" max="9378" width="11.44140625" style="47" hidden="1" customWidth="1"/>
    <col min="9379" max="9379" width="5" style="47" customWidth="1"/>
    <col min="9380" max="9381" width="11.44140625" style="47" hidden="1" customWidth="1"/>
    <col min="9382" max="9382" width="5" style="47" customWidth="1"/>
    <col min="9383" max="9384" width="11.44140625" style="47" hidden="1" customWidth="1"/>
    <col min="9385" max="9385" width="5" style="47" customWidth="1"/>
    <col min="9386" max="9387" width="11.44140625" style="47" hidden="1" customWidth="1"/>
    <col min="9388" max="9388" width="5" style="47" customWidth="1"/>
    <col min="9389" max="9389" width="11.44140625" style="47" hidden="1" customWidth="1"/>
    <col min="9390" max="9390" width="6.44140625" style="47" customWidth="1"/>
    <col min="9391" max="9391" width="11.44140625" style="47" hidden="1" customWidth="1"/>
    <col min="9392" max="9392" width="7.109375" style="47" customWidth="1"/>
    <col min="9393" max="9394" width="11.44140625" style="47" hidden="1" customWidth="1"/>
    <col min="9395" max="9395" width="7.109375" style="47" customWidth="1"/>
    <col min="9396" max="9397" width="11.44140625" style="47" hidden="1" customWidth="1"/>
    <col min="9398" max="9398" width="7.109375" style="47" customWidth="1"/>
    <col min="9399" max="9400" width="11.44140625" style="47" hidden="1" customWidth="1"/>
    <col min="9401" max="9401" width="7.109375" style="47" customWidth="1"/>
    <col min="9402" max="9403" width="11.44140625" style="47" hidden="1" customWidth="1"/>
    <col min="9404" max="9404" width="7.109375" style="47" customWidth="1"/>
    <col min="9405" max="9406" width="11.44140625" style="47" hidden="1" customWidth="1"/>
    <col min="9407" max="9407" width="7.109375" style="47" customWidth="1"/>
    <col min="9408" max="9409" width="11.44140625" style="47" hidden="1" customWidth="1"/>
    <col min="9410" max="9410" width="7.109375" style="47" customWidth="1"/>
    <col min="9411" max="9412" width="11.44140625" style="47" hidden="1" customWidth="1"/>
    <col min="9413" max="9413" width="7.109375" style="47" customWidth="1"/>
    <col min="9414" max="9414" width="11.44140625" style="47" hidden="1" customWidth="1"/>
    <col min="9415" max="9415" width="6.44140625" style="47" customWidth="1"/>
    <col min="9416" max="9436" width="11.44140625" style="47" hidden="1" customWidth="1"/>
    <col min="9437" max="9437" width="9" style="47" customWidth="1"/>
    <col min="9438" max="9439" width="11.44140625" style="47" hidden="1" customWidth="1"/>
    <col min="9440" max="9440" width="8.44140625" style="47" customWidth="1"/>
    <col min="9441" max="9442" width="11.44140625" style="47" hidden="1" customWidth="1"/>
    <col min="9443" max="9443" width="6.44140625" style="47" customWidth="1"/>
    <col min="9444" max="9445" width="11.44140625" style="47" hidden="1" customWidth="1"/>
    <col min="9446" max="9446" width="7" style="47" customWidth="1"/>
    <col min="9447" max="9448" width="11.44140625" style="47" hidden="1" customWidth="1"/>
    <col min="9449" max="9451" width="7" style="47" customWidth="1"/>
    <col min="9452" max="9453" width="11.44140625" style="47" hidden="1" customWidth="1"/>
    <col min="9454" max="9454" width="7.44140625" style="47" customWidth="1"/>
    <col min="9455" max="9456" width="11.44140625" style="47" hidden="1" customWidth="1"/>
    <col min="9457" max="9457" width="7" style="47" customWidth="1"/>
    <col min="9458" max="9459" width="11.44140625" style="47" hidden="1" customWidth="1"/>
    <col min="9460" max="9460" width="7" style="47" customWidth="1"/>
    <col min="9461" max="9462" width="11.44140625" style="47" hidden="1" customWidth="1"/>
    <col min="9463" max="9463" width="7" style="47" customWidth="1"/>
    <col min="9464" max="9464" width="11.44140625" style="47" hidden="1" customWidth="1"/>
    <col min="9465" max="9465" width="6.44140625" style="47" customWidth="1"/>
    <col min="9466" max="9475" width="11.44140625" style="47" hidden="1" customWidth="1"/>
    <col min="9476" max="9510" width="11.44140625" style="47" hidden="1"/>
    <col min="9511" max="9511" width="41.44140625" style="47" customWidth="1"/>
    <col min="9512" max="9512" width="6.44140625" style="47" customWidth="1"/>
    <col min="9513" max="9513" width="14.5546875" style="47" customWidth="1"/>
    <col min="9514" max="9514" width="11.44140625" style="47" customWidth="1"/>
    <col min="9515" max="9515" width="13" style="47" customWidth="1"/>
    <col min="9516" max="9516" width="25.44140625" style="47" customWidth="1"/>
    <col min="9517" max="9526" width="9.44140625" style="47" customWidth="1"/>
    <col min="9527" max="9527" width="8.88671875" style="47" customWidth="1"/>
    <col min="9528" max="9528" width="9.44140625" style="47" customWidth="1"/>
    <col min="9529" max="9529" width="10.109375" style="47" customWidth="1"/>
    <col min="9530" max="9541" width="11.44140625" style="47" hidden="1" customWidth="1"/>
    <col min="9542" max="9543" width="11.44140625" style="47" customWidth="1"/>
    <col min="9544" max="9544" width="35.44140625" style="47" customWidth="1"/>
    <col min="9545" max="9545" width="9.109375" style="47" customWidth="1"/>
    <col min="9546" max="9546" width="24.44140625" style="47" customWidth="1"/>
    <col min="9547" max="9547" width="18.44140625" style="47" customWidth="1"/>
    <col min="9548" max="9548" width="22.44140625" style="47" customWidth="1"/>
    <col min="9549" max="9549" width="5" style="47" customWidth="1"/>
    <col min="9550" max="9551" width="11.44140625" style="47" hidden="1" customWidth="1"/>
    <col min="9552" max="9552" width="5" style="47" customWidth="1"/>
    <col min="9553" max="9554" width="11.44140625" style="47" hidden="1" customWidth="1"/>
    <col min="9555" max="9555" width="5" style="47" customWidth="1"/>
    <col min="9556" max="9557" width="11.44140625" style="47" hidden="1" customWidth="1"/>
    <col min="9558" max="9558" width="5" style="47" customWidth="1"/>
    <col min="9559" max="9560" width="11.44140625" style="47" hidden="1" customWidth="1"/>
    <col min="9561" max="9561" width="5" style="47" customWidth="1"/>
    <col min="9562" max="9626" width="11.44140625" style="47" hidden="1" customWidth="1"/>
    <col min="9627" max="9627" width="9.44140625" style="47" customWidth="1"/>
    <col min="9628" max="9628" width="11.44140625" style="47" hidden="1" customWidth="1"/>
    <col min="9629" max="9629" width="5" style="47" customWidth="1"/>
    <col min="9630" max="9631" width="11.44140625" style="47" hidden="1" customWidth="1"/>
    <col min="9632" max="9632" width="5" style="47" customWidth="1"/>
    <col min="9633" max="9634" width="11.44140625" style="47" hidden="1" customWidth="1"/>
    <col min="9635" max="9635" width="5" style="47" customWidth="1"/>
    <col min="9636" max="9637" width="11.44140625" style="47" hidden="1" customWidth="1"/>
    <col min="9638" max="9638" width="5" style="47" customWidth="1"/>
    <col min="9639" max="9640" width="11.44140625" style="47" hidden="1" customWidth="1"/>
    <col min="9641" max="9641" width="5" style="47" customWidth="1"/>
    <col min="9642" max="9643" width="11.44140625" style="47" hidden="1" customWidth="1"/>
    <col min="9644" max="9644" width="5" style="47" customWidth="1"/>
    <col min="9645" max="9645" width="11.44140625" style="47" hidden="1" customWidth="1"/>
    <col min="9646" max="9646" width="6.44140625" style="47" customWidth="1"/>
    <col min="9647" max="9647" width="11.44140625" style="47" hidden="1" customWidth="1"/>
    <col min="9648" max="9648" width="7.109375" style="47" customWidth="1"/>
    <col min="9649" max="9650" width="11.44140625" style="47" hidden="1" customWidth="1"/>
    <col min="9651" max="9651" width="7.109375" style="47" customWidth="1"/>
    <col min="9652" max="9653" width="11.44140625" style="47" hidden="1" customWidth="1"/>
    <col min="9654" max="9654" width="7.109375" style="47" customWidth="1"/>
    <col min="9655" max="9656" width="11.44140625" style="47" hidden="1" customWidth="1"/>
    <col min="9657" max="9657" width="7.109375" style="47" customWidth="1"/>
    <col min="9658" max="9659" width="11.44140625" style="47" hidden="1" customWidth="1"/>
    <col min="9660" max="9660" width="7.109375" style="47" customWidth="1"/>
    <col min="9661" max="9662" width="11.44140625" style="47" hidden="1" customWidth="1"/>
    <col min="9663" max="9663" width="7.109375" style="47" customWidth="1"/>
    <col min="9664" max="9665" width="11.44140625" style="47" hidden="1" customWidth="1"/>
    <col min="9666" max="9666" width="7.109375" style="47" customWidth="1"/>
    <col min="9667" max="9668" width="11.44140625" style="47" hidden="1" customWidth="1"/>
    <col min="9669" max="9669" width="7.109375" style="47" customWidth="1"/>
    <col min="9670" max="9670" width="11.44140625" style="47" hidden="1" customWidth="1"/>
    <col min="9671" max="9671" width="6.44140625" style="47" customWidth="1"/>
    <col min="9672" max="9692" width="11.44140625" style="47" hidden="1" customWidth="1"/>
    <col min="9693" max="9693" width="9" style="47" customWidth="1"/>
    <col min="9694" max="9695" width="11.44140625" style="47" hidden="1" customWidth="1"/>
    <col min="9696" max="9696" width="8.44140625" style="47" customWidth="1"/>
    <col min="9697" max="9698" width="11.44140625" style="47" hidden="1" customWidth="1"/>
    <col min="9699" max="9699" width="6.44140625" style="47" customWidth="1"/>
    <col min="9700" max="9701" width="11.44140625" style="47" hidden="1" customWidth="1"/>
    <col min="9702" max="9702" width="7" style="47" customWidth="1"/>
    <col min="9703" max="9704" width="11.44140625" style="47" hidden="1" customWidth="1"/>
    <col min="9705" max="9707" width="7" style="47" customWidth="1"/>
    <col min="9708" max="9709" width="11.44140625" style="47" hidden="1" customWidth="1"/>
    <col min="9710" max="9710" width="7.44140625" style="47" customWidth="1"/>
    <col min="9711" max="9712" width="11.44140625" style="47" hidden="1" customWidth="1"/>
    <col min="9713" max="9713" width="7" style="47" customWidth="1"/>
    <col min="9714" max="9715" width="11.44140625" style="47" hidden="1" customWidth="1"/>
    <col min="9716" max="9716" width="7" style="47" customWidth="1"/>
    <col min="9717" max="9718" width="11.44140625" style="47" hidden="1" customWidth="1"/>
    <col min="9719" max="9719" width="7" style="47" customWidth="1"/>
    <col min="9720" max="9720" width="11.44140625" style="47" hidden="1" customWidth="1"/>
    <col min="9721" max="9721" width="6.44140625" style="47" customWidth="1"/>
    <col min="9722" max="9731" width="11.44140625" style="47" hidden="1" customWidth="1"/>
    <col min="9732" max="9766" width="11.44140625" style="47" hidden="1"/>
    <col min="9767" max="9767" width="41.44140625" style="47" customWidth="1"/>
    <col min="9768" max="9768" width="6.44140625" style="47" customWidth="1"/>
    <col min="9769" max="9769" width="14.5546875" style="47" customWidth="1"/>
    <col min="9770" max="9770" width="11.44140625" style="47" customWidth="1"/>
    <col min="9771" max="9771" width="13" style="47" customWidth="1"/>
    <col min="9772" max="9772" width="25.44140625" style="47" customWidth="1"/>
    <col min="9773" max="9782" width="9.44140625" style="47" customWidth="1"/>
    <col min="9783" max="9783" width="8.88671875" style="47" customWidth="1"/>
    <col min="9784" max="9784" width="9.44140625" style="47" customWidth="1"/>
    <col min="9785" max="9785" width="10.109375" style="47" customWidth="1"/>
    <col min="9786" max="9797" width="11.44140625" style="47" hidden="1" customWidth="1"/>
    <col min="9798" max="9799" width="11.44140625" style="47" customWidth="1"/>
    <col min="9800" max="9800" width="35.44140625" style="47" customWidth="1"/>
    <col min="9801" max="9801" width="9.109375" style="47" customWidth="1"/>
    <col min="9802" max="9802" width="24.44140625" style="47" customWidth="1"/>
    <col min="9803" max="9803" width="18.44140625" style="47" customWidth="1"/>
    <col min="9804" max="9804" width="22.44140625" style="47" customWidth="1"/>
    <col min="9805" max="9805" width="5" style="47" customWidth="1"/>
    <col min="9806" max="9807" width="11.44140625" style="47" hidden="1" customWidth="1"/>
    <col min="9808" max="9808" width="5" style="47" customWidth="1"/>
    <col min="9809" max="9810" width="11.44140625" style="47" hidden="1" customWidth="1"/>
    <col min="9811" max="9811" width="5" style="47" customWidth="1"/>
    <col min="9812" max="9813" width="11.44140625" style="47" hidden="1" customWidth="1"/>
    <col min="9814" max="9814" width="5" style="47" customWidth="1"/>
    <col min="9815" max="9816" width="11.44140625" style="47" hidden="1" customWidth="1"/>
    <col min="9817" max="9817" width="5" style="47" customWidth="1"/>
    <col min="9818" max="9882" width="11.44140625" style="47" hidden="1" customWidth="1"/>
    <col min="9883" max="9883" width="9.44140625" style="47" customWidth="1"/>
    <col min="9884" max="9884" width="11.44140625" style="47" hidden="1" customWidth="1"/>
    <col min="9885" max="9885" width="5" style="47" customWidth="1"/>
    <col min="9886" max="9887" width="11.44140625" style="47" hidden="1" customWidth="1"/>
    <col min="9888" max="9888" width="5" style="47" customWidth="1"/>
    <col min="9889" max="9890" width="11.44140625" style="47" hidden="1" customWidth="1"/>
    <col min="9891" max="9891" width="5" style="47" customWidth="1"/>
    <col min="9892" max="9893" width="11.44140625" style="47" hidden="1" customWidth="1"/>
    <col min="9894" max="9894" width="5" style="47" customWidth="1"/>
    <col min="9895" max="9896" width="11.44140625" style="47" hidden="1" customWidth="1"/>
    <col min="9897" max="9897" width="5" style="47" customWidth="1"/>
    <col min="9898" max="9899" width="11.44140625" style="47" hidden="1" customWidth="1"/>
    <col min="9900" max="9900" width="5" style="47" customWidth="1"/>
    <col min="9901" max="9901" width="11.44140625" style="47" hidden="1" customWidth="1"/>
    <col min="9902" max="9902" width="6.44140625" style="47" customWidth="1"/>
    <col min="9903" max="9903" width="11.44140625" style="47" hidden="1" customWidth="1"/>
    <col min="9904" max="9904" width="7.109375" style="47" customWidth="1"/>
    <col min="9905" max="9906" width="11.44140625" style="47" hidden="1" customWidth="1"/>
    <col min="9907" max="9907" width="7.109375" style="47" customWidth="1"/>
    <col min="9908" max="9909" width="11.44140625" style="47" hidden="1" customWidth="1"/>
    <col min="9910" max="9910" width="7.109375" style="47" customWidth="1"/>
    <col min="9911" max="9912" width="11.44140625" style="47" hidden="1" customWidth="1"/>
    <col min="9913" max="9913" width="7.109375" style="47" customWidth="1"/>
    <col min="9914" max="9915" width="11.44140625" style="47" hidden="1" customWidth="1"/>
    <col min="9916" max="9916" width="7.109375" style="47" customWidth="1"/>
    <col min="9917" max="9918" width="11.44140625" style="47" hidden="1" customWidth="1"/>
    <col min="9919" max="9919" width="7.109375" style="47" customWidth="1"/>
    <col min="9920" max="9921" width="11.44140625" style="47" hidden="1" customWidth="1"/>
    <col min="9922" max="9922" width="7.109375" style="47" customWidth="1"/>
    <col min="9923" max="9924" width="11.44140625" style="47" hidden="1" customWidth="1"/>
    <col min="9925" max="9925" width="7.109375" style="47" customWidth="1"/>
    <col min="9926" max="9926" width="11.44140625" style="47" hidden="1" customWidth="1"/>
    <col min="9927" max="9927" width="6.44140625" style="47" customWidth="1"/>
    <col min="9928" max="9948" width="11.44140625" style="47" hidden="1" customWidth="1"/>
    <col min="9949" max="9949" width="9" style="47" customWidth="1"/>
    <col min="9950" max="9951" width="11.44140625" style="47" hidden="1" customWidth="1"/>
    <col min="9952" max="9952" width="8.44140625" style="47" customWidth="1"/>
    <col min="9953" max="9954" width="11.44140625" style="47" hidden="1" customWidth="1"/>
    <col min="9955" max="9955" width="6.44140625" style="47" customWidth="1"/>
    <col min="9956" max="9957" width="11.44140625" style="47" hidden="1" customWidth="1"/>
    <col min="9958" max="9958" width="7" style="47" customWidth="1"/>
    <col min="9959" max="9960" width="11.44140625" style="47" hidden="1" customWidth="1"/>
    <col min="9961" max="9963" width="7" style="47" customWidth="1"/>
    <col min="9964" max="9965" width="11.44140625" style="47" hidden="1" customWidth="1"/>
    <col min="9966" max="9966" width="7.44140625" style="47" customWidth="1"/>
    <col min="9967" max="9968" width="11.44140625" style="47" hidden="1" customWidth="1"/>
    <col min="9969" max="9969" width="7" style="47" customWidth="1"/>
    <col min="9970" max="9971" width="11.44140625" style="47" hidden="1" customWidth="1"/>
    <col min="9972" max="9972" width="7" style="47" customWidth="1"/>
    <col min="9973" max="9974" width="11.44140625" style="47" hidden="1" customWidth="1"/>
    <col min="9975" max="9975" width="7" style="47" customWidth="1"/>
    <col min="9976" max="9976" width="11.44140625" style="47" hidden="1" customWidth="1"/>
    <col min="9977" max="9977" width="6.44140625" style="47" customWidth="1"/>
    <col min="9978" max="9987" width="11.44140625" style="47" hidden="1" customWidth="1"/>
    <col min="9988" max="10022" width="11.44140625" style="47" hidden="1"/>
    <col min="10023" max="10023" width="41.44140625" style="47" customWidth="1"/>
    <col min="10024" max="10024" width="6.44140625" style="47" customWidth="1"/>
    <col min="10025" max="10025" width="14.5546875" style="47" customWidth="1"/>
    <col min="10026" max="10026" width="11.44140625" style="47" customWidth="1"/>
    <col min="10027" max="10027" width="13" style="47" customWidth="1"/>
    <col min="10028" max="10028" width="25.44140625" style="47" customWidth="1"/>
    <col min="10029" max="10038" width="9.44140625" style="47" customWidth="1"/>
    <col min="10039" max="10039" width="8.88671875" style="47" customWidth="1"/>
    <col min="10040" max="10040" width="9.44140625" style="47" customWidth="1"/>
    <col min="10041" max="10041" width="10.109375" style="47" customWidth="1"/>
    <col min="10042" max="10053" width="11.44140625" style="47" hidden="1" customWidth="1"/>
    <col min="10054" max="10055" width="11.44140625" style="47" customWidth="1"/>
    <col min="10056" max="10056" width="35.44140625" style="47" customWidth="1"/>
    <col min="10057" max="10057" width="9.109375" style="47" customWidth="1"/>
    <col min="10058" max="10058" width="24.44140625" style="47" customWidth="1"/>
    <col min="10059" max="10059" width="18.44140625" style="47" customWidth="1"/>
    <col min="10060" max="10060" width="22.44140625" style="47" customWidth="1"/>
    <col min="10061" max="10061" width="5" style="47" customWidth="1"/>
    <col min="10062" max="10063" width="11.44140625" style="47" hidden="1" customWidth="1"/>
    <col min="10064" max="10064" width="5" style="47" customWidth="1"/>
    <col min="10065" max="10066" width="11.44140625" style="47" hidden="1" customWidth="1"/>
    <col min="10067" max="10067" width="5" style="47" customWidth="1"/>
    <col min="10068" max="10069" width="11.44140625" style="47" hidden="1" customWidth="1"/>
    <col min="10070" max="10070" width="5" style="47" customWidth="1"/>
    <col min="10071" max="10072" width="11.44140625" style="47" hidden="1" customWidth="1"/>
    <col min="10073" max="10073" width="5" style="47" customWidth="1"/>
    <col min="10074" max="10138" width="11.44140625" style="47" hidden="1" customWidth="1"/>
    <col min="10139" max="10139" width="9.44140625" style="47" customWidth="1"/>
    <col min="10140" max="10140" width="11.44140625" style="47" hidden="1" customWidth="1"/>
    <col min="10141" max="10141" width="5" style="47" customWidth="1"/>
    <col min="10142" max="10143" width="11.44140625" style="47" hidden="1" customWidth="1"/>
    <col min="10144" max="10144" width="5" style="47" customWidth="1"/>
    <col min="10145" max="10146" width="11.44140625" style="47" hidden="1" customWidth="1"/>
    <col min="10147" max="10147" width="5" style="47" customWidth="1"/>
    <col min="10148" max="10149" width="11.44140625" style="47" hidden="1" customWidth="1"/>
    <col min="10150" max="10150" width="5" style="47" customWidth="1"/>
    <col min="10151" max="10152" width="11.44140625" style="47" hidden="1" customWidth="1"/>
    <col min="10153" max="10153" width="5" style="47" customWidth="1"/>
    <col min="10154" max="10155" width="11.44140625" style="47" hidden="1" customWidth="1"/>
    <col min="10156" max="10156" width="5" style="47" customWidth="1"/>
    <col min="10157" max="10157" width="11.44140625" style="47" hidden="1" customWidth="1"/>
    <col min="10158" max="10158" width="6.44140625" style="47" customWidth="1"/>
    <col min="10159" max="10159" width="11.44140625" style="47" hidden="1" customWidth="1"/>
    <col min="10160" max="10160" width="7.109375" style="47" customWidth="1"/>
    <col min="10161" max="10162" width="11.44140625" style="47" hidden="1" customWidth="1"/>
    <col min="10163" max="10163" width="7.109375" style="47" customWidth="1"/>
    <col min="10164" max="10165" width="11.44140625" style="47" hidden="1" customWidth="1"/>
    <col min="10166" max="10166" width="7.109375" style="47" customWidth="1"/>
    <col min="10167" max="10168" width="11.44140625" style="47" hidden="1" customWidth="1"/>
    <col min="10169" max="10169" width="7.109375" style="47" customWidth="1"/>
    <col min="10170" max="10171" width="11.44140625" style="47" hidden="1" customWidth="1"/>
    <col min="10172" max="10172" width="7.109375" style="47" customWidth="1"/>
    <col min="10173" max="10174" width="11.44140625" style="47" hidden="1" customWidth="1"/>
    <col min="10175" max="10175" width="7.109375" style="47" customWidth="1"/>
    <col min="10176" max="10177" width="11.44140625" style="47" hidden="1" customWidth="1"/>
    <col min="10178" max="10178" width="7.109375" style="47" customWidth="1"/>
    <col min="10179" max="10180" width="11.44140625" style="47" hidden="1" customWidth="1"/>
    <col min="10181" max="10181" width="7.109375" style="47" customWidth="1"/>
    <col min="10182" max="10182" width="11.44140625" style="47" hidden="1" customWidth="1"/>
    <col min="10183" max="10183" width="6.44140625" style="47" customWidth="1"/>
    <col min="10184" max="10204" width="11.44140625" style="47" hidden="1" customWidth="1"/>
    <col min="10205" max="10205" width="9" style="47" customWidth="1"/>
    <col min="10206" max="10207" width="11.44140625" style="47" hidden="1" customWidth="1"/>
    <col min="10208" max="10208" width="8.44140625" style="47" customWidth="1"/>
    <col min="10209" max="10210" width="11.44140625" style="47" hidden="1" customWidth="1"/>
    <col min="10211" max="10211" width="6.44140625" style="47" customWidth="1"/>
    <col min="10212" max="10213" width="11.44140625" style="47" hidden="1" customWidth="1"/>
    <col min="10214" max="10214" width="7" style="47" customWidth="1"/>
    <col min="10215" max="10216" width="11.44140625" style="47" hidden="1" customWidth="1"/>
    <col min="10217" max="10219" width="7" style="47" customWidth="1"/>
    <col min="10220" max="10221" width="11.44140625" style="47" hidden="1" customWidth="1"/>
    <col min="10222" max="10222" width="7.44140625" style="47" customWidth="1"/>
    <col min="10223" max="10224" width="11.44140625" style="47" hidden="1" customWidth="1"/>
    <col min="10225" max="10225" width="7" style="47" customWidth="1"/>
    <col min="10226" max="10227" width="11.44140625" style="47" hidden="1" customWidth="1"/>
    <col min="10228" max="10228" width="7" style="47" customWidth="1"/>
    <col min="10229" max="10230" width="11.44140625" style="47" hidden="1" customWidth="1"/>
    <col min="10231" max="10231" width="7" style="47" customWidth="1"/>
    <col min="10232" max="10232" width="11.44140625" style="47" hidden="1" customWidth="1"/>
    <col min="10233" max="10233" width="6.44140625" style="47" customWidth="1"/>
    <col min="10234" max="10243" width="11.44140625" style="47" hidden="1" customWidth="1"/>
    <col min="10244" max="10278" width="11.44140625" style="47" hidden="1"/>
    <col min="10279" max="10279" width="41.44140625" style="47" customWidth="1"/>
    <col min="10280" max="10280" width="6.44140625" style="47" customWidth="1"/>
    <col min="10281" max="10281" width="14.5546875" style="47" customWidth="1"/>
    <col min="10282" max="10282" width="11.44140625" style="47" customWidth="1"/>
    <col min="10283" max="10283" width="13" style="47" customWidth="1"/>
    <col min="10284" max="10284" width="25.44140625" style="47" customWidth="1"/>
    <col min="10285" max="10294" width="9.44140625" style="47" customWidth="1"/>
    <col min="10295" max="10295" width="8.88671875" style="47" customWidth="1"/>
    <col min="10296" max="10296" width="9.44140625" style="47" customWidth="1"/>
    <col min="10297" max="10297" width="10.109375" style="47" customWidth="1"/>
    <col min="10298" max="10309" width="11.44140625" style="47" hidden="1" customWidth="1"/>
    <col min="10310" max="10311" width="11.44140625" style="47" customWidth="1"/>
    <col min="10312" max="10312" width="35.44140625" style="47" customWidth="1"/>
    <col min="10313" max="10313" width="9.109375" style="47" customWidth="1"/>
    <col min="10314" max="10314" width="24.44140625" style="47" customWidth="1"/>
    <col min="10315" max="10315" width="18.44140625" style="47" customWidth="1"/>
    <col min="10316" max="10316" width="22.44140625" style="47" customWidth="1"/>
    <col min="10317" max="10317" width="5" style="47" customWidth="1"/>
    <col min="10318" max="10319" width="11.44140625" style="47" hidden="1" customWidth="1"/>
    <col min="10320" max="10320" width="5" style="47" customWidth="1"/>
    <col min="10321" max="10322" width="11.44140625" style="47" hidden="1" customWidth="1"/>
    <col min="10323" max="10323" width="5" style="47" customWidth="1"/>
    <col min="10324" max="10325" width="11.44140625" style="47" hidden="1" customWidth="1"/>
    <col min="10326" max="10326" width="5" style="47" customWidth="1"/>
    <col min="10327" max="10328" width="11.44140625" style="47" hidden="1" customWidth="1"/>
    <col min="10329" max="10329" width="5" style="47" customWidth="1"/>
    <col min="10330" max="10394" width="11.44140625" style="47" hidden="1" customWidth="1"/>
    <col min="10395" max="10395" width="9.44140625" style="47" customWidth="1"/>
    <col min="10396" max="10396" width="11.44140625" style="47" hidden="1" customWidth="1"/>
    <col min="10397" max="10397" width="5" style="47" customWidth="1"/>
    <col min="10398" max="10399" width="11.44140625" style="47" hidden="1" customWidth="1"/>
    <col min="10400" max="10400" width="5" style="47" customWidth="1"/>
    <col min="10401" max="10402" width="11.44140625" style="47" hidden="1" customWidth="1"/>
    <col min="10403" max="10403" width="5" style="47" customWidth="1"/>
    <col min="10404" max="10405" width="11.44140625" style="47" hidden="1" customWidth="1"/>
    <col min="10406" max="10406" width="5" style="47" customWidth="1"/>
    <col min="10407" max="10408" width="11.44140625" style="47" hidden="1" customWidth="1"/>
    <col min="10409" max="10409" width="5" style="47" customWidth="1"/>
    <col min="10410" max="10411" width="11.44140625" style="47" hidden="1" customWidth="1"/>
    <col min="10412" max="10412" width="5" style="47" customWidth="1"/>
    <col min="10413" max="10413" width="11.44140625" style="47" hidden="1" customWidth="1"/>
    <col min="10414" max="10414" width="6.44140625" style="47" customWidth="1"/>
    <col min="10415" max="10415" width="11.44140625" style="47" hidden="1" customWidth="1"/>
    <col min="10416" max="10416" width="7.109375" style="47" customWidth="1"/>
    <col min="10417" max="10418" width="11.44140625" style="47" hidden="1" customWidth="1"/>
    <col min="10419" max="10419" width="7.109375" style="47" customWidth="1"/>
    <col min="10420" max="10421" width="11.44140625" style="47" hidden="1" customWidth="1"/>
    <col min="10422" max="10422" width="7.109375" style="47" customWidth="1"/>
    <col min="10423" max="10424" width="11.44140625" style="47" hidden="1" customWidth="1"/>
    <col min="10425" max="10425" width="7.109375" style="47" customWidth="1"/>
    <col min="10426" max="10427" width="11.44140625" style="47" hidden="1" customWidth="1"/>
    <col min="10428" max="10428" width="7.109375" style="47" customWidth="1"/>
    <col min="10429" max="10430" width="11.44140625" style="47" hidden="1" customWidth="1"/>
    <col min="10431" max="10431" width="7.109375" style="47" customWidth="1"/>
    <col min="10432" max="10433" width="11.44140625" style="47" hidden="1" customWidth="1"/>
    <col min="10434" max="10434" width="7.109375" style="47" customWidth="1"/>
    <col min="10435" max="10436" width="11.44140625" style="47" hidden="1" customWidth="1"/>
    <col min="10437" max="10437" width="7.109375" style="47" customWidth="1"/>
    <col min="10438" max="10438" width="11.44140625" style="47" hidden="1" customWidth="1"/>
    <col min="10439" max="10439" width="6.44140625" style="47" customWidth="1"/>
    <col min="10440" max="10460" width="11.44140625" style="47" hidden="1" customWidth="1"/>
    <col min="10461" max="10461" width="9" style="47" customWidth="1"/>
    <col min="10462" max="10463" width="11.44140625" style="47" hidden="1" customWidth="1"/>
    <col min="10464" max="10464" width="8.44140625" style="47" customWidth="1"/>
    <col min="10465" max="10466" width="11.44140625" style="47" hidden="1" customWidth="1"/>
    <col min="10467" max="10467" width="6.44140625" style="47" customWidth="1"/>
    <col min="10468" max="10469" width="11.44140625" style="47" hidden="1" customWidth="1"/>
    <col min="10470" max="10470" width="7" style="47" customWidth="1"/>
    <col min="10471" max="10472" width="11.44140625" style="47" hidden="1" customWidth="1"/>
    <col min="10473" max="10475" width="7" style="47" customWidth="1"/>
    <col min="10476" max="10477" width="11.44140625" style="47" hidden="1" customWidth="1"/>
    <col min="10478" max="10478" width="7.44140625" style="47" customWidth="1"/>
    <col min="10479" max="10480" width="11.44140625" style="47" hidden="1" customWidth="1"/>
    <col min="10481" max="10481" width="7" style="47" customWidth="1"/>
    <col min="10482" max="10483" width="11.44140625" style="47" hidden="1" customWidth="1"/>
    <col min="10484" max="10484" width="7" style="47" customWidth="1"/>
    <col min="10485" max="10486" width="11.44140625" style="47" hidden="1" customWidth="1"/>
    <col min="10487" max="10487" width="7" style="47" customWidth="1"/>
    <col min="10488" max="10488" width="11.44140625" style="47" hidden="1" customWidth="1"/>
    <col min="10489" max="10489" width="6.44140625" style="47" customWidth="1"/>
    <col min="10490" max="10499" width="11.44140625" style="47" hidden="1" customWidth="1"/>
    <col min="10500" max="10534" width="11.44140625" style="47" hidden="1"/>
    <col min="10535" max="10535" width="41.44140625" style="47" customWidth="1"/>
    <col min="10536" max="10536" width="6.44140625" style="47" customWidth="1"/>
    <col min="10537" max="10537" width="14.5546875" style="47" customWidth="1"/>
    <col min="10538" max="10538" width="11.44140625" style="47" customWidth="1"/>
    <col min="10539" max="10539" width="13" style="47" customWidth="1"/>
    <col min="10540" max="10540" width="25.44140625" style="47" customWidth="1"/>
    <col min="10541" max="10550" width="9.44140625" style="47" customWidth="1"/>
    <col min="10551" max="10551" width="8.88671875" style="47" customWidth="1"/>
    <col min="10552" max="10552" width="9.44140625" style="47" customWidth="1"/>
    <col min="10553" max="10553" width="10.109375" style="47" customWidth="1"/>
    <col min="10554" max="10565" width="11.44140625" style="47" hidden="1" customWidth="1"/>
    <col min="10566" max="10567" width="11.44140625" style="47" customWidth="1"/>
    <col min="10568" max="10568" width="35.44140625" style="47" customWidth="1"/>
    <col min="10569" max="10569" width="9.109375" style="47" customWidth="1"/>
    <col min="10570" max="10570" width="24.44140625" style="47" customWidth="1"/>
    <col min="10571" max="10571" width="18.44140625" style="47" customWidth="1"/>
    <col min="10572" max="10572" width="22.44140625" style="47" customWidth="1"/>
    <col min="10573" max="10573" width="5" style="47" customWidth="1"/>
    <col min="10574" max="10575" width="11.44140625" style="47" hidden="1" customWidth="1"/>
    <col min="10576" max="10576" width="5" style="47" customWidth="1"/>
    <col min="10577" max="10578" width="11.44140625" style="47" hidden="1" customWidth="1"/>
    <col min="10579" max="10579" width="5" style="47" customWidth="1"/>
    <col min="10580" max="10581" width="11.44140625" style="47" hidden="1" customWidth="1"/>
    <col min="10582" max="10582" width="5" style="47" customWidth="1"/>
    <col min="10583" max="10584" width="11.44140625" style="47" hidden="1" customWidth="1"/>
    <col min="10585" max="10585" width="5" style="47" customWidth="1"/>
    <col min="10586" max="10650" width="11.44140625" style="47" hidden="1" customWidth="1"/>
    <col min="10651" max="10651" width="9.44140625" style="47" customWidth="1"/>
    <col min="10652" max="10652" width="11.44140625" style="47" hidden="1" customWidth="1"/>
    <col min="10653" max="10653" width="5" style="47" customWidth="1"/>
    <col min="10654" max="10655" width="11.44140625" style="47" hidden="1" customWidth="1"/>
    <col min="10656" max="10656" width="5" style="47" customWidth="1"/>
    <col min="10657" max="10658" width="11.44140625" style="47" hidden="1" customWidth="1"/>
    <col min="10659" max="10659" width="5" style="47" customWidth="1"/>
    <col min="10660" max="10661" width="11.44140625" style="47" hidden="1" customWidth="1"/>
    <col min="10662" max="10662" width="5" style="47" customWidth="1"/>
    <col min="10663" max="10664" width="11.44140625" style="47" hidden="1" customWidth="1"/>
    <col min="10665" max="10665" width="5" style="47" customWidth="1"/>
    <col min="10666" max="10667" width="11.44140625" style="47" hidden="1" customWidth="1"/>
    <col min="10668" max="10668" width="5" style="47" customWidth="1"/>
    <col min="10669" max="10669" width="11.44140625" style="47" hidden="1" customWidth="1"/>
    <col min="10670" max="10670" width="6.44140625" style="47" customWidth="1"/>
    <col min="10671" max="10671" width="11.44140625" style="47" hidden="1" customWidth="1"/>
    <col min="10672" max="10672" width="7.109375" style="47" customWidth="1"/>
    <col min="10673" max="10674" width="11.44140625" style="47" hidden="1" customWidth="1"/>
    <col min="10675" max="10675" width="7.109375" style="47" customWidth="1"/>
    <col min="10676" max="10677" width="11.44140625" style="47" hidden="1" customWidth="1"/>
    <col min="10678" max="10678" width="7.109375" style="47" customWidth="1"/>
    <col min="10679" max="10680" width="11.44140625" style="47" hidden="1" customWidth="1"/>
    <col min="10681" max="10681" width="7.109375" style="47" customWidth="1"/>
    <col min="10682" max="10683" width="11.44140625" style="47" hidden="1" customWidth="1"/>
    <col min="10684" max="10684" width="7.109375" style="47" customWidth="1"/>
    <col min="10685" max="10686" width="11.44140625" style="47" hidden="1" customWidth="1"/>
    <col min="10687" max="10687" width="7.109375" style="47" customWidth="1"/>
    <col min="10688" max="10689" width="11.44140625" style="47" hidden="1" customWidth="1"/>
    <col min="10690" max="10690" width="7.109375" style="47" customWidth="1"/>
    <col min="10691" max="10692" width="11.44140625" style="47" hidden="1" customWidth="1"/>
    <col min="10693" max="10693" width="7.109375" style="47" customWidth="1"/>
    <col min="10694" max="10694" width="11.44140625" style="47" hidden="1" customWidth="1"/>
    <col min="10695" max="10695" width="6.44140625" style="47" customWidth="1"/>
    <col min="10696" max="10716" width="11.44140625" style="47" hidden="1" customWidth="1"/>
    <col min="10717" max="10717" width="9" style="47" customWidth="1"/>
    <col min="10718" max="10719" width="11.44140625" style="47" hidden="1" customWidth="1"/>
    <col min="10720" max="10720" width="8.44140625" style="47" customWidth="1"/>
    <col min="10721" max="10722" width="11.44140625" style="47" hidden="1" customWidth="1"/>
    <col min="10723" max="10723" width="6.44140625" style="47" customWidth="1"/>
    <col min="10724" max="10725" width="11.44140625" style="47" hidden="1" customWidth="1"/>
    <col min="10726" max="10726" width="7" style="47" customWidth="1"/>
    <col min="10727" max="10728" width="11.44140625" style="47" hidden="1" customWidth="1"/>
    <col min="10729" max="10731" width="7" style="47" customWidth="1"/>
    <col min="10732" max="10733" width="11.44140625" style="47" hidden="1" customWidth="1"/>
    <col min="10734" max="10734" width="7.44140625" style="47" customWidth="1"/>
    <col min="10735" max="10736" width="11.44140625" style="47" hidden="1" customWidth="1"/>
    <col min="10737" max="10737" width="7" style="47" customWidth="1"/>
    <col min="10738" max="10739" width="11.44140625" style="47" hidden="1" customWidth="1"/>
    <col min="10740" max="10740" width="7" style="47" customWidth="1"/>
    <col min="10741" max="10742" width="11.44140625" style="47" hidden="1" customWidth="1"/>
    <col min="10743" max="10743" width="7" style="47" customWidth="1"/>
    <col min="10744" max="10744" width="11.44140625" style="47" hidden="1" customWidth="1"/>
    <col min="10745" max="10745" width="6.44140625" style="47" customWidth="1"/>
    <col min="10746" max="10755" width="11.44140625" style="47" hidden="1" customWidth="1"/>
    <col min="10756" max="10790" width="11.44140625" style="47" hidden="1"/>
    <col min="10791" max="10791" width="41.44140625" style="47" customWidth="1"/>
    <col min="10792" max="10792" width="6.44140625" style="47" customWidth="1"/>
    <col min="10793" max="10793" width="14.5546875" style="47" customWidth="1"/>
    <col min="10794" max="10794" width="11.44140625" style="47" customWidth="1"/>
    <col min="10795" max="10795" width="13" style="47" customWidth="1"/>
    <col min="10796" max="10796" width="25.44140625" style="47" customWidth="1"/>
    <col min="10797" max="10806" width="9.44140625" style="47" customWidth="1"/>
    <col min="10807" max="10807" width="8.88671875" style="47" customWidth="1"/>
    <col min="10808" max="10808" width="9.44140625" style="47" customWidth="1"/>
    <col min="10809" max="10809" width="10.109375" style="47" customWidth="1"/>
    <col min="10810" max="10821" width="11.44140625" style="47" hidden="1" customWidth="1"/>
    <col min="10822" max="10823" width="11.44140625" style="47" customWidth="1"/>
    <col min="10824" max="10824" width="35.44140625" style="47" customWidth="1"/>
    <col min="10825" max="10825" width="9.109375" style="47" customWidth="1"/>
    <col min="10826" max="10826" width="24.44140625" style="47" customWidth="1"/>
    <col min="10827" max="10827" width="18.44140625" style="47" customWidth="1"/>
    <col min="10828" max="10828" width="22.44140625" style="47" customWidth="1"/>
    <col min="10829" max="10829" width="5" style="47" customWidth="1"/>
    <col min="10830" max="10831" width="11.44140625" style="47" hidden="1" customWidth="1"/>
    <col min="10832" max="10832" width="5" style="47" customWidth="1"/>
    <col min="10833" max="10834" width="11.44140625" style="47" hidden="1" customWidth="1"/>
    <col min="10835" max="10835" width="5" style="47" customWidth="1"/>
    <col min="10836" max="10837" width="11.44140625" style="47" hidden="1" customWidth="1"/>
    <col min="10838" max="10838" width="5" style="47" customWidth="1"/>
    <col min="10839" max="10840" width="11.44140625" style="47" hidden="1" customWidth="1"/>
    <col min="10841" max="10841" width="5" style="47" customWidth="1"/>
    <col min="10842" max="10906" width="11.44140625" style="47" hidden="1" customWidth="1"/>
    <col min="10907" max="10907" width="9.44140625" style="47" customWidth="1"/>
    <col min="10908" max="10908" width="11.44140625" style="47" hidden="1" customWidth="1"/>
    <col min="10909" max="10909" width="5" style="47" customWidth="1"/>
    <col min="10910" max="10911" width="11.44140625" style="47" hidden="1" customWidth="1"/>
    <col min="10912" max="10912" width="5" style="47" customWidth="1"/>
    <col min="10913" max="10914" width="11.44140625" style="47" hidden="1" customWidth="1"/>
    <col min="10915" max="10915" width="5" style="47" customWidth="1"/>
    <col min="10916" max="10917" width="11.44140625" style="47" hidden="1" customWidth="1"/>
    <col min="10918" max="10918" width="5" style="47" customWidth="1"/>
    <col min="10919" max="10920" width="11.44140625" style="47" hidden="1" customWidth="1"/>
    <col min="10921" max="10921" width="5" style="47" customWidth="1"/>
    <col min="10922" max="10923" width="11.44140625" style="47" hidden="1" customWidth="1"/>
    <col min="10924" max="10924" width="5" style="47" customWidth="1"/>
    <col min="10925" max="10925" width="11.44140625" style="47" hidden="1" customWidth="1"/>
    <col min="10926" max="10926" width="6.44140625" style="47" customWidth="1"/>
    <col min="10927" max="10927" width="11.44140625" style="47" hidden="1" customWidth="1"/>
    <col min="10928" max="10928" width="7.109375" style="47" customWidth="1"/>
    <col min="10929" max="10930" width="11.44140625" style="47" hidden="1" customWidth="1"/>
    <col min="10931" max="10931" width="7.109375" style="47" customWidth="1"/>
    <col min="10932" max="10933" width="11.44140625" style="47" hidden="1" customWidth="1"/>
    <col min="10934" max="10934" width="7.109375" style="47" customWidth="1"/>
    <col min="10935" max="10936" width="11.44140625" style="47" hidden="1" customWidth="1"/>
    <col min="10937" max="10937" width="7.109375" style="47" customWidth="1"/>
    <col min="10938" max="10939" width="11.44140625" style="47" hidden="1" customWidth="1"/>
    <col min="10940" max="10940" width="7.109375" style="47" customWidth="1"/>
    <col min="10941" max="10942" width="11.44140625" style="47" hidden="1" customWidth="1"/>
    <col min="10943" max="10943" width="7.109375" style="47" customWidth="1"/>
    <col min="10944" max="10945" width="11.44140625" style="47" hidden="1" customWidth="1"/>
    <col min="10946" max="10946" width="7.109375" style="47" customWidth="1"/>
    <col min="10947" max="10948" width="11.44140625" style="47" hidden="1" customWidth="1"/>
    <col min="10949" max="10949" width="7.109375" style="47" customWidth="1"/>
    <col min="10950" max="10950" width="11.44140625" style="47" hidden="1" customWidth="1"/>
    <col min="10951" max="10951" width="6.44140625" style="47" customWidth="1"/>
    <col min="10952" max="10972" width="11.44140625" style="47" hidden="1" customWidth="1"/>
    <col min="10973" max="10973" width="9" style="47" customWidth="1"/>
    <col min="10974" max="10975" width="11.44140625" style="47" hidden="1" customWidth="1"/>
    <col min="10976" max="10976" width="8.44140625" style="47" customWidth="1"/>
    <col min="10977" max="10978" width="11.44140625" style="47" hidden="1" customWidth="1"/>
    <col min="10979" max="10979" width="6.44140625" style="47" customWidth="1"/>
    <col min="10980" max="10981" width="11.44140625" style="47" hidden="1" customWidth="1"/>
    <col min="10982" max="10982" width="7" style="47" customWidth="1"/>
    <col min="10983" max="10984" width="11.44140625" style="47" hidden="1" customWidth="1"/>
    <col min="10985" max="10987" width="7" style="47" customWidth="1"/>
    <col min="10988" max="10989" width="11.44140625" style="47" hidden="1" customWidth="1"/>
    <col min="10990" max="10990" width="7.44140625" style="47" customWidth="1"/>
    <col min="10991" max="10992" width="11.44140625" style="47" hidden="1" customWidth="1"/>
    <col min="10993" max="10993" width="7" style="47" customWidth="1"/>
    <col min="10994" max="10995" width="11.44140625" style="47" hidden="1" customWidth="1"/>
    <col min="10996" max="10996" width="7" style="47" customWidth="1"/>
    <col min="10997" max="10998" width="11.44140625" style="47" hidden="1" customWidth="1"/>
    <col min="10999" max="10999" width="7" style="47" customWidth="1"/>
    <col min="11000" max="11000" width="11.44140625" style="47" hidden="1" customWidth="1"/>
    <col min="11001" max="11001" width="6.44140625" style="47" customWidth="1"/>
    <col min="11002" max="11011" width="11.44140625" style="47" hidden="1" customWidth="1"/>
    <col min="11012" max="11046" width="11.44140625" style="47" hidden="1"/>
    <col min="11047" max="11047" width="41.44140625" style="47" customWidth="1"/>
    <col min="11048" max="11048" width="6.44140625" style="47" customWidth="1"/>
    <col min="11049" max="11049" width="14.5546875" style="47" customWidth="1"/>
    <col min="11050" max="11050" width="11.44140625" style="47" customWidth="1"/>
    <col min="11051" max="11051" width="13" style="47" customWidth="1"/>
    <col min="11052" max="11052" width="25.44140625" style="47" customWidth="1"/>
    <col min="11053" max="11062" width="9.44140625" style="47" customWidth="1"/>
    <col min="11063" max="11063" width="8.88671875" style="47" customWidth="1"/>
    <col min="11064" max="11064" width="9.44140625" style="47" customWidth="1"/>
    <col min="11065" max="11065" width="10.109375" style="47" customWidth="1"/>
    <col min="11066" max="11077" width="11.44140625" style="47" hidden="1" customWidth="1"/>
    <col min="11078" max="11079" width="11.44140625" style="47" customWidth="1"/>
    <col min="11080" max="11080" width="35.44140625" style="47" customWidth="1"/>
    <col min="11081" max="11081" width="9.109375" style="47" customWidth="1"/>
    <col min="11082" max="11082" width="24.44140625" style="47" customWidth="1"/>
    <col min="11083" max="11083" width="18.44140625" style="47" customWidth="1"/>
    <col min="11084" max="11084" width="22.44140625" style="47" customWidth="1"/>
    <col min="11085" max="11085" width="5" style="47" customWidth="1"/>
    <col min="11086" max="11087" width="11.44140625" style="47" hidden="1" customWidth="1"/>
    <col min="11088" max="11088" width="5" style="47" customWidth="1"/>
    <col min="11089" max="11090" width="11.44140625" style="47" hidden="1" customWidth="1"/>
    <col min="11091" max="11091" width="5" style="47" customWidth="1"/>
    <col min="11092" max="11093" width="11.44140625" style="47" hidden="1" customWidth="1"/>
    <col min="11094" max="11094" width="5" style="47" customWidth="1"/>
    <col min="11095" max="11096" width="11.44140625" style="47" hidden="1" customWidth="1"/>
    <col min="11097" max="11097" width="5" style="47" customWidth="1"/>
    <col min="11098" max="11162" width="11.44140625" style="47" hidden="1" customWidth="1"/>
    <col min="11163" max="11163" width="9.44140625" style="47" customWidth="1"/>
    <col min="11164" max="11164" width="11.44140625" style="47" hidden="1" customWidth="1"/>
    <col min="11165" max="11165" width="5" style="47" customWidth="1"/>
    <col min="11166" max="11167" width="11.44140625" style="47" hidden="1" customWidth="1"/>
    <col min="11168" max="11168" width="5" style="47" customWidth="1"/>
    <col min="11169" max="11170" width="11.44140625" style="47" hidden="1" customWidth="1"/>
    <col min="11171" max="11171" width="5" style="47" customWidth="1"/>
    <col min="11172" max="11173" width="11.44140625" style="47" hidden="1" customWidth="1"/>
    <col min="11174" max="11174" width="5" style="47" customWidth="1"/>
    <col min="11175" max="11176" width="11.44140625" style="47" hidden="1" customWidth="1"/>
    <col min="11177" max="11177" width="5" style="47" customWidth="1"/>
    <col min="11178" max="11179" width="11.44140625" style="47" hidden="1" customWidth="1"/>
    <col min="11180" max="11180" width="5" style="47" customWidth="1"/>
    <col min="11181" max="11181" width="11.44140625" style="47" hidden="1" customWidth="1"/>
    <col min="11182" max="11182" width="6.44140625" style="47" customWidth="1"/>
    <col min="11183" max="11183" width="11.44140625" style="47" hidden="1" customWidth="1"/>
    <col min="11184" max="11184" width="7.109375" style="47" customWidth="1"/>
    <col min="11185" max="11186" width="11.44140625" style="47" hidden="1" customWidth="1"/>
    <col min="11187" max="11187" width="7.109375" style="47" customWidth="1"/>
    <col min="11188" max="11189" width="11.44140625" style="47" hidden="1" customWidth="1"/>
    <col min="11190" max="11190" width="7.109375" style="47" customWidth="1"/>
    <col min="11191" max="11192" width="11.44140625" style="47" hidden="1" customWidth="1"/>
    <col min="11193" max="11193" width="7.109375" style="47" customWidth="1"/>
    <col min="11194" max="11195" width="11.44140625" style="47" hidden="1" customWidth="1"/>
    <col min="11196" max="11196" width="7.109375" style="47" customWidth="1"/>
    <col min="11197" max="11198" width="11.44140625" style="47" hidden="1" customWidth="1"/>
    <col min="11199" max="11199" width="7.109375" style="47" customWidth="1"/>
    <col min="11200" max="11201" width="11.44140625" style="47" hidden="1" customWidth="1"/>
    <col min="11202" max="11202" width="7.109375" style="47" customWidth="1"/>
    <col min="11203" max="11204" width="11.44140625" style="47" hidden="1" customWidth="1"/>
    <col min="11205" max="11205" width="7.109375" style="47" customWidth="1"/>
    <col min="11206" max="11206" width="11.44140625" style="47" hidden="1" customWidth="1"/>
    <col min="11207" max="11207" width="6.44140625" style="47" customWidth="1"/>
    <col min="11208" max="11228" width="11.44140625" style="47" hidden="1" customWidth="1"/>
    <col min="11229" max="11229" width="9" style="47" customWidth="1"/>
    <col min="11230" max="11231" width="11.44140625" style="47" hidden="1" customWidth="1"/>
    <col min="11232" max="11232" width="8.44140625" style="47" customWidth="1"/>
    <col min="11233" max="11234" width="11.44140625" style="47" hidden="1" customWidth="1"/>
    <col min="11235" max="11235" width="6.44140625" style="47" customWidth="1"/>
    <col min="11236" max="11237" width="11.44140625" style="47" hidden="1" customWidth="1"/>
    <col min="11238" max="11238" width="7" style="47" customWidth="1"/>
    <col min="11239" max="11240" width="11.44140625" style="47" hidden="1" customWidth="1"/>
    <col min="11241" max="11243" width="7" style="47" customWidth="1"/>
    <col min="11244" max="11245" width="11.44140625" style="47" hidden="1" customWidth="1"/>
    <col min="11246" max="11246" width="7.44140625" style="47" customWidth="1"/>
    <col min="11247" max="11248" width="11.44140625" style="47" hidden="1" customWidth="1"/>
    <col min="11249" max="11249" width="7" style="47" customWidth="1"/>
    <col min="11250" max="11251" width="11.44140625" style="47" hidden="1" customWidth="1"/>
    <col min="11252" max="11252" width="7" style="47" customWidth="1"/>
    <col min="11253" max="11254" width="11.44140625" style="47" hidden="1" customWidth="1"/>
    <col min="11255" max="11255" width="7" style="47" customWidth="1"/>
    <col min="11256" max="11256" width="11.44140625" style="47" hidden="1" customWidth="1"/>
    <col min="11257" max="11257" width="6.44140625" style="47" customWidth="1"/>
    <col min="11258" max="11267" width="11.44140625" style="47" hidden="1" customWidth="1"/>
    <col min="11268" max="11302" width="11.44140625" style="47" hidden="1"/>
    <col min="11303" max="11303" width="41.44140625" style="47" customWidth="1"/>
    <col min="11304" max="11304" width="6.44140625" style="47" customWidth="1"/>
    <col min="11305" max="11305" width="14.5546875" style="47" customWidth="1"/>
    <col min="11306" max="11306" width="11.44140625" style="47" customWidth="1"/>
    <col min="11307" max="11307" width="13" style="47" customWidth="1"/>
    <col min="11308" max="11308" width="25.44140625" style="47" customWidth="1"/>
    <col min="11309" max="11318" width="9.44140625" style="47" customWidth="1"/>
    <col min="11319" max="11319" width="8.88671875" style="47" customWidth="1"/>
    <col min="11320" max="11320" width="9.44140625" style="47" customWidth="1"/>
    <col min="11321" max="11321" width="10.109375" style="47" customWidth="1"/>
    <col min="11322" max="11333" width="11.44140625" style="47" hidden="1" customWidth="1"/>
    <col min="11334" max="11335" width="11.44140625" style="47" customWidth="1"/>
    <col min="11336" max="11336" width="35.44140625" style="47" customWidth="1"/>
    <col min="11337" max="11337" width="9.109375" style="47" customWidth="1"/>
    <col min="11338" max="11338" width="24.44140625" style="47" customWidth="1"/>
    <col min="11339" max="11339" width="18.44140625" style="47" customWidth="1"/>
    <col min="11340" max="11340" width="22.44140625" style="47" customWidth="1"/>
    <col min="11341" max="11341" width="5" style="47" customWidth="1"/>
    <col min="11342" max="11343" width="11.44140625" style="47" hidden="1" customWidth="1"/>
    <col min="11344" max="11344" width="5" style="47" customWidth="1"/>
    <col min="11345" max="11346" width="11.44140625" style="47" hidden="1" customWidth="1"/>
    <col min="11347" max="11347" width="5" style="47" customWidth="1"/>
    <col min="11348" max="11349" width="11.44140625" style="47" hidden="1" customWidth="1"/>
    <col min="11350" max="11350" width="5" style="47" customWidth="1"/>
    <col min="11351" max="11352" width="11.44140625" style="47" hidden="1" customWidth="1"/>
    <col min="11353" max="11353" width="5" style="47" customWidth="1"/>
    <col min="11354" max="11418" width="11.44140625" style="47" hidden="1" customWidth="1"/>
    <col min="11419" max="11419" width="9.44140625" style="47" customWidth="1"/>
    <col min="11420" max="11420" width="11.44140625" style="47" hidden="1" customWidth="1"/>
    <col min="11421" max="11421" width="5" style="47" customWidth="1"/>
    <col min="11422" max="11423" width="11.44140625" style="47" hidden="1" customWidth="1"/>
    <col min="11424" max="11424" width="5" style="47" customWidth="1"/>
    <col min="11425" max="11426" width="11.44140625" style="47" hidden="1" customWidth="1"/>
    <col min="11427" max="11427" width="5" style="47" customWidth="1"/>
    <col min="11428" max="11429" width="11.44140625" style="47" hidden="1" customWidth="1"/>
    <col min="11430" max="11430" width="5" style="47" customWidth="1"/>
    <col min="11431" max="11432" width="11.44140625" style="47" hidden="1" customWidth="1"/>
    <col min="11433" max="11433" width="5" style="47" customWidth="1"/>
    <col min="11434" max="11435" width="11.44140625" style="47" hidden="1" customWidth="1"/>
    <col min="11436" max="11436" width="5" style="47" customWidth="1"/>
    <col min="11437" max="11437" width="11.44140625" style="47" hidden="1" customWidth="1"/>
    <col min="11438" max="11438" width="6.44140625" style="47" customWidth="1"/>
    <col min="11439" max="11439" width="11.44140625" style="47" hidden="1" customWidth="1"/>
    <col min="11440" max="11440" width="7.109375" style="47" customWidth="1"/>
    <col min="11441" max="11442" width="11.44140625" style="47" hidden="1" customWidth="1"/>
    <col min="11443" max="11443" width="7.109375" style="47" customWidth="1"/>
    <col min="11444" max="11445" width="11.44140625" style="47" hidden="1" customWidth="1"/>
    <col min="11446" max="11446" width="7.109375" style="47" customWidth="1"/>
    <col min="11447" max="11448" width="11.44140625" style="47" hidden="1" customWidth="1"/>
    <col min="11449" max="11449" width="7.109375" style="47" customWidth="1"/>
    <col min="11450" max="11451" width="11.44140625" style="47" hidden="1" customWidth="1"/>
    <col min="11452" max="11452" width="7.109375" style="47" customWidth="1"/>
    <col min="11453" max="11454" width="11.44140625" style="47" hidden="1" customWidth="1"/>
    <col min="11455" max="11455" width="7.109375" style="47" customWidth="1"/>
    <col min="11456" max="11457" width="11.44140625" style="47" hidden="1" customWidth="1"/>
    <col min="11458" max="11458" width="7.109375" style="47" customWidth="1"/>
    <col min="11459" max="11460" width="11.44140625" style="47" hidden="1" customWidth="1"/>
    <col min="11461" max="11461" width="7.109375" style="47" customWidth="1"/>
    <col min="11462" max="11462" width="11.44140625" style="47" hidden="1" customWidth="1"/>
    <col min="11463" max="11463" width="6.44140625" style="47" customWidth="1"/>
    <col min="11464" max="11484" width="11.44140625" style="47" hidden="1" customWidth="1"/>
    <col min="11485" max="11485" width="9" style="47" customWidth="1"/>
    <col min="11486" max="11487" width="11.44140625" style="47" hidden="1" customWidth="1"/>
    <col min="11488" max="11488" width="8.44140625" style="47" customWidth="1"/>
    <col min="11489" max="11490" width="11.44140625" style="47" hidden="1" customWidth="1"/>
    <col min="11491" max="11491" width="6.44140625" style="47" customWidth="1"/>
    <col min="11492" max="11493" width="11.44140625" style="47" hidden="1" customWidth="1"/>
    <col min="11494" max="11494" width="7" style="47" customWidth="1"/>
    <col min="11495" max="11496" width="11.44140625" style="47" hidden="1" customWidth="1"/>
    <col min="11497" max="11499" width="7" style="47" customWidth="1"/>
    <col min="11500" max="11501" width="11.44140625" style="47" hidden="1" customWidth="1"/>
    <col min="11502" max="11502" width="7.44140625" style="47" customWidth="1"/>
    <col min="11503" max="11504" width="11.44140625" style="47" hidden="1" customWidth="1"/>
    <col min="11505" max="11505" width="7" style="47" customWidth="1"/>
    <col min="11506" max="11507" width="11.44140625" style="47" hidden="1" customWidth="1"/>
    <col min="11508" max="11508" width="7" style="47" customWidth="1"/>
    <col min="11509" max="11510" width="11.44140625" style="47" hidden="1" customWidth="1"/>
    <col min="11511" max="11511" width="7" style="47" customWidth="1"/>
    <col min="11512" max="11512" width="11.44140625" style="47" hidden="1" customWidth="1"/>
    <col min="11513" max="11513" width="6.44140625" style="47" customWidth="1"/>
    <col min="11514" max="11523" width="11.44140625" style="47" hidden="1" customWidth="1"/>
    <col min="11524" max="11558" width="11.44140625" style="47" hidden="1"/>
    <col min="11559" max="11559" width="41.44140625" style="47" customWidth="1"/>
    <col min="11560" max="11560" width="6.44140625" style="47" customWidth="1"/>
    <col min="11561" max="11561" width="14.5546875" style="47" customWidth="1"/>
    <col min="11562" max="11562" width="11.44140625" style="47" customWidth="1"/>
    <col min="11563" max="11563" width="13" style="47" customWidth="1"/>
    <col min="11564" max="11564" width="25.44140625" style="47" customWidth="1"/>
    <col min="11565" max="11574" width="9.44140625" style="47" customWidth="1"/>
    <col min="11575" max="11575" width="8.88671875" style="47" customWidth="1"/>
    <col min="11576" max="11576" width="9.44140625" style="47" customWidth="1"/>
    <col min="11577" max="11577" width="10.109375" style="47" customWidth="1"/>
    <col min="11578" max="11589" width="11.44140625" style="47" hidden="1" customWidth="1"/>
    <col min="11590" max="11591" width="11.44140625" style="47" customWidth="1"/>
    <col min="11592" max="11592" width="35.44140625" style="47" customWidth="1"/>
    <col min="11593" max="11593" width="9.109375" style="47" customWidth="1"/>
    <col min="11594" max="11594" width="24.44140625" style="47" customWidth="1"/>
    <col min="11595" max="11595" width="18.44140625" style="47" customWidth="1"/>
    <col min="11596" max="11596" width="22.44140625" style="47" customWidth="1"/>
    <col min="11597" max="11597" width="5" style="47" customWidth="1"/>
    <col min="11598" max="11599" width="11.44140625" style="47" hidden="1" customWidth="1"/>
    <col min="11600" max="11600" width="5" style="47" customWidth="1"/>
    <col min="11601" max="11602" width="11.44140625" style="47" hidden="1" customWidth="1"/>
    <col min="11603" max="11603" width="5" style="47" customWidth="1"/>
    <col min="11604" max="11605" width="11.44140625" style="47" hidden="1" customWidth="1"/>
    <col min="11606" max="11606" width="5" style="47" customWidth="1"/>
    <col min="11607" max="11608" width="11.44140625" style="47" hidden="1" customWidth="1"/>
    <col min="11609" max="11609" width="5" style="47" customWidth="1"/>
    <col min="11610" max="11674" width="11.44140625" style="47" hidden="1" customWidth="1"/>
    <col min="11675" max="11675" width="9.44140625" style="47" customWidth="1"/>
    <col min="11676" max="11676" width="11.44140625" style="47" hidden="1" customWidth="1"/>
    <col min="11677" max="11677" width="5" style="47" customWidth="1"/>
    <col min="11678" max="11679" width="11.44140625" style="47" hidden="1" customWidth="1"/>
    <col min="11680" max="11680" width="5" style="47" customWidth="1"/>
    <col min="11681" max="11682" width="11.44140625" style="47" hidden="1" customWidth="1"/>
    <col min="11683" max="11683" width="5" style="47" customWidth="1"/>
    <col min="11684" max="11685" width="11.44140625" style="47" hidden="1" customWidth="1"/>
    <col min="11686" max="11686" width="5" style="47" customWidth="1"/>
    <col min="11687" max="11688" width="11.44140625" style="47" hidden="1" customWidth="1"/>
    <col min="11689" max="11689" width="5" style="47" customWidth="1"/>
    <col min="11690" max="11691" width="11.44140625" style="47" hidden="1" customWidth="1"/>
    <col min="11692" max="11692" width="5" style="47" customWidth="1"/>
    <col min="11693" max="11693" width="11.44140625" style="47" hidden="1" customWidth="1"/>
    <col min="11694" max="11694" width="6.44140625" style="47" customWidth="1"/>
    <col min="11695" max="11695" width="11.44140625" style="47" hidden="1" customWidth="1"/>
    <col min="11696" max="11696" width="7.109375" style="47" customWidth="1"/>
    <col min="11697" max="11698" width="11.44140625" style="47" hidden="1" customWidth="1"/>
    <col min="11699" max="11699" width="7.109375" style="47" customWidth="1"/>
    <col min="11700" max="11701" width="11.44140625" style="47" hidden="1" customWidth="1"/>
    <col min="11702" max="11702" width="7.109375" style="47" customWidth="1"/>
    <col min="11703" max="11704" width="11.44140625" style="47" hidden="1" customWidth="1"/>
    <col min="11705" max="11705" width="7.109375" style="47" customWidth="1"/>
    <col min="11706" max="11707" width="11.44140625" style="47" hidden="1" customWidth="1"/>
    <col min="11708" max="11708" width="7.109375" style="47" customWidth="1"/>
    <col min="11709" max="11710" width="11.44140625" style="47" hidden="1" customWidth="1"/>
    <col min="11711" max="11711" width="7.109375" style="47" customWidth="1"/>
    <col min="11712" max="11713" width="11.44140625" style="47" hidden="1" customWidth="1"/>
    <col min="11714" max="11714" width="7.109375" style="47" customWidth="1"/>
    <col min="11715" max="11716" width="11.44140625" style="47" hidden="1" customWidth="1"/>
    <col min="11717" max="11717" width="7.109375" style="47" customWidth="1"/>
    <col min="11718" max="11718" width="11.44140625" style="47" hidden="1" customWidth="1"/>
    <col min="11719" max="11719" width="6.44140625" style="47" customWidth="1"/>
    <col min="11720" max="11740" width="11.44140625" style="47" hidden="1" customWidth="1"/>
    <col min="11741" max="11741" width="9" style="47" customWidth="1"/>
    <col min="11742" max="11743" width="11.44140625" style="47" hidden="1" customWidth="1"/>
    <col min="11744" max="11744" width="8.44140625" style="47" customWidth="1"/>
    <col min="11745" max="11746" width="11.44140625" style="47" hidden="1" customWidth="1"/>
    <col min="11747" max="11747" width="6.44140625" style="47" customWidth="1"/>
    <col min="11748" max="11749" width="11.44140625" style="47" hidden="1" customWidth="1"/>
    <col min="11750" max="11750" width="7" style="47" customWidth="1"/>
    <col min="11751" max="11752" width="11.44140625" style="47" hidden="1" customWidth="1"/>
    <col min="11753" max="11755" width="7" style="47" customWidth="1"/>
    <col min="11756" max="11757" width="11.44140625" style="47" hidden="1" customWidth="1"/>
    <col min="11758" max="11758" width="7.44140625" style="47" customWidth="1"/>
    <col min="11759" max="11760" width="11.44140625" style="47" hidden="1" customWidth="1"/>
    <col min="11761" max="11761" width="7" style="47" customWidth="1"/>
    <col min="11762" max="11763" width="11.44140625" style="47" hidden="1" customWidth="1"/>
    <col min="11764" max="11764" width="7" style="47" customWidth="1"/>
    <col min="11765" max="11766" width="11.44140625" style="47" hidden="1" customWidth="1"/>
    <col min="11767" max="11767" width="7" style="47" customWidth="1"/>
    <col min="11768" max="11768" width="11.44140625" style="47" hidden="1" customWidth="1"/>
    <col min="11769" max="11769" width="6.44140625" style="47" customWidth="1"/>
    <col min="11770" max="11779" width="11.44140625" style="47" hidden="1" customWidth="1"/>
    <col min="11780" max="11814" width="11.44140625" style="47" hidden="1"/>
    <col min="11815" max="11815" width="41.44140625" style="47" customWidth="1"/>
    <col min="11816" max="11816" width="6.44140625" style="47" customWidth="1"/>
    <col min="11817" max="11817" width="14.5546875" style="47" customWidth="1"/>
    <col min="11818" max="11818" width="11.44140625" style="47" customWidth="1"/>
    <col min="11819" max="11819" width="13" style="47" customWidth="1"/>
    <col min="11820" max="11820" width="25.44140625" style="47" customWidth="1"/>
    <col min="11821" max="11830" width="9.44140625" style="47" customWidth="1"/>
    <col min="11831" max="11831" width="8.88671875" style="47" customWidth="1"/>
    <col min="11832" max="11832" width="9.44140625" style="47" customWidth="1"/>
    <col min="11833" max="11833" width="10.109375" style="47" customWidth="1"/>
    <col min="11834" max="11845" width="11.44140625" style="47" hidden="1" customWidth="1"/>
    <col min="11846" max="11847" width="11.44140625" style="47" customWidth="1"/>
    <col min="11848" max="11848" width="35.44140625" style="47" customWidth="1"/>
    <col min="11849" max="11849" width="9.109375" style="47" customWidth="1"/>
    <col min="11850" max="11850" width="24.44140625" style="47" customWidth="1"/>
    <col min="11851" max="11851" width="18.44140625" style="47" customWidth="1"/>
    <col min="11852" max="11852" width="22.44140625" style="47" customWidth="1"/>
    <col min="11853" max="11853" width="5" style="47" customWidth="1"/>
    <col min="11854" max="11855" width="11.44140625" style="47" hidden="1" customWidth="1"/>
    <col min="11856" max="11856" width="5" style="47" customWidth="1"/>
    <col min="11857" max="11858" width="11.44140625" style="47" hidden="1" customWidth="1"/>
    <col min="11859" max="11859" width="5" style="47" customWidth="1"/>
    <col min="11860" max="11861" width="11.44140625" style="47" hidden="1" customWidth="1"/>
    <col min="11862" max="11862" width="5" style="47" customWidth="1"/>
    <col min="11863" max="11864" width="11.44140625" style="47" hidden="1" customWidth="1"/>
    <col min="11865" max="11865" width="5" style="47" customWidth="1"/>
    <col min="11866" max="11930" width="11.44140625" style="47" hidden="1" customWidth="1"/>
    <col min="11931" max="11931" width="9.44140625" style="47" customWidth="1"/>
    <col min="11932" max="11932" width="11.44140625" style="47" hidden="1" customWidth="1"/>
    <col min="11933" max="11933" width="5" style="47" customWidth="1"/>
    <col min="11934" max="11935" width="11.44140625" style="47" hidden="1" customWidth="1"/>
    <col min="11936" max="11936" width="5" style="47" customWidth="1"/>
    <col min="11937" max="11938" width="11.44140625" style="47" hidden="1" customWidth="1"/>
    <col min="11939" max="11939" width="5" style="47" customWidth="1"/>
    <col min="11940" max="11941" width="11.44140625" style="47" hidden="1" customWidth="1"/>
    <col min="11942" max="11942" width="5" style="47" customWidth="1"/>
    <col min="11943" max="11944" width="11.44140625" style="47" hidden="1" customWidth="1"/>
    <col min="11945" max="11945" width="5" style="47" customWidth="1"/>
    <col min="11946" max="11947" width="11.44140625" style="47" hidden="1" customWidth="1"/>
    <col min="11948" max="11948" width="5" style="47" customWidth="1"/>
    <col min="11949" max="11949" width="11.44140625" style="47" hidden="1" customWidth="1"/>
    <col min="11950" max="11950" width="6.44140625" style="47" customWidth="1"/>
    <col min="11951" max="11951" width="11.44140625" style="47" hidden="1" customWidth="1"/>
    <col min="11952" max="11952" width="7.109375" style="47" customWidth="1"/>
    <col min="11953" max="11954" width="11.44140625" style="47" hidden="1" customWidth="1"/>
    <col min="11955" max="11955" width="7.109375" style="47" customWidth="1"/>
    <col min="11956" max="11957" width="11.44140625" style="47" hidden="1" customWidth="1"/>
    <col min="11958" max="11958" width="7.109375" style="47" customWidth="1"/>
    <col min="11959" max="11960" width="11.44140625" style="47" hidden="1" customWidth="1"/>
    <col min="11961" max="11961" width="7.109375" style="47" customWidth="1"/>
    <col min="11962" max="11963" width="11.44140625" style="47" hidden="1" customWidth="1"/>
    <col min="11964" max="11964" width="7.109375" style="47" customWidth="1"/>
    <col min="11965" max="11966" width="11.44140625" style="47" hidden="1" customWidth="1"/>
    <col min="11967" max="11967" width="7.109375" style="47" customWidth="1"/>
    <col min="11968" max="11969" width="11.44140625" style="47" hidden="1" customWidth="1"/>
    <col min="11970" max="11970" width="7.109375" style="47" customWidth="1"/>
    <col min="11971" max="11972" width="11.44140625" style="47" hidden="1" customWidth="1"/>
    <col min="11973" max="11973" width="7.109375" style="47" customWidth="1"/>
    <col min="11974" max="11974" width="11.44140625" style="47" hidden="1" customWidth="1"/>
    <col min="11975" max="11975" width="6.44140625" style="47" customWidth="1"/>
    <col min="11976" max="11996" width="11.44140625" style="47" hidden="1" customWidth="1"/>
    <col min="11997" max="11997" width="9" style="47" customWidth="1"/>
    <col min="11998" max="11999" width="11.44140625" style="47" hidden="1" customWidth="1"/>
    <col min="12000" max="12000" width="8.44140625" style="47" customWidth="1"/>
    <col min="12001" max="12002" width="11.44140625" style="47" hidden="1" customWidth="1"/>
    <col min="12003" max="12003" width="6.44140625" style="47" customWidth="1"/>
    <col min="12004" max="12005" width="11.44140625" style="47" hidden="1" customWidth="1"/>
    <col min="12006" max="12006" width="7" style="47" customWidth="1"/>
    <col min="12007" max="12008" width="11.44140625" style="47" hidden="1" customWidth="1"/>
    <col min="12009" max="12011" width="7" style="47" customWidth="1"/>
    <col min="12012" max="12013" width="11.44140625" style="47" hidden="1" customWidth="1"/>
    <col min="12014" max="12014" width="7.44140625" style="47" customWidth="1"/>
    <col min="12015" max="12016" width="11.44140625" style="47" hidden="1" customWidth="1"/>
    <col min="12017" max="12017" width="7" style="47" customWidth="1"/>
    <col min="12018" max="12019" width="11.44140625" style="47" hidden="1" customWidth="1"/>
    <col min="12020" max="12020" width="7" style="47" customWidth="1"/>
    <col min="12021" max="12022" width="11.44140625" style="47" hidden="1" customWidth="1"/>
    <col min="12023" max="12023" width="7" style="47" customWidth="1"/>
    <col min="12024" max="12024" width="11.44140625" style="47" hidden="1" customWidth="1"/>
    <col min="12025" max="12025" width="6.44140625" style="47" customWidth="1"/>
    <col min="12026" max="12035" width="11.44140625" style="47" hidden="1" customWidth="1"/>
    <col min="12036" max="12070" width="11.44140625" style="47" hidden="1"/>
    <col min="12071" max="12071" width="41.44140625" style="47" customWidth="1"/>
    <col min="12072" max="12072" width="6.44140625" style="47" customWidth="1"/>
    <col min="12073" max="12073" width="14.5546875" style="47" customWidth="1"/>
    <col min="12074" max="12074" width="11.44140625" style="47" customWidth="1"/>
    <col min="12075" max="12075" width="13" style="47" customWidth="1"/>
    <col min="12076" max="12076" width="25.44140625" style="47" customWidth="1"/>
    <col min="12077" max="12086" width="9.44140625" style="47" customWidth="1"/>
    <col min="12087" max="12087" width="8.88671875" style="47" customWidth="1"/>
    <col min="12088" max="12088" width="9.44140625" style="47" customWidth="1"/>
    <col min="12089" max="12089" width="10.109375" style="47" customWidth="1"/>
    <col min="12090" max="12101" width="11.44140625" style="47" hidden="1" customWidth="1"/>
    <col min="12102" max="12103" width="11.44140625" style="47" customWidth="1"/>
    <col min="12104" max="12104" width="35.44140625" style="47" customWidth="1"/>
    <col min="12105" max="12105" width="9.109375" style="47" customWidth="1"/>
    <col min="12106" max="12106" width="24.44140625" style="47" customWidth="1"/>
    <col min="12107" max="12107" width="18.44140625" style="47" customWidth="1"/>
    <col min="12108" max="12108" width="22.44140625" style="47" customWidth="1"/>
    <col min="12109" max="12109" width="5" style="47" customWidth="1"/>
    <col min="12110" max="12111" width="11.44140625" style="47" hidden="1" customWidth="1"/>
    <col min="12112" max="12112" width="5" style="47" customWidth="1"/>
    <col min="12113" max="12114" width="11.44140625" style="47" hidden="1" customWidth="1"/>
    <col min="12115" max="12115" width="5" style="47" customWidth="1"/>
    <col min="12116" max="12117" width="11.44140625" style="47" hidden="1" customWidth="1"/>
    <col min="12118" max="12118" width="5" style="47" customWidth="1"/>
    <col min="12119" max="12120" width="11.44140625" style="47" hidden="1" customWidth="1"/>
    <col min="12121" max="12121" width="5" style="47" customWidth="1"/>
    <col min="12122" max="12186" width="11.44140625" style="47" hidden="1" customWidth="1"/>
    <col min="12187" max="12187" width="9.44140625" style="47" customWidth="1"/>
    <col min="12188" max="12188" width="11.44140625" style="47" hidden="1" customWidth="1"/>
    <col min="12189" max="12189" width="5" style="47" customWidth="1"/>
    <col min="12190" max="12191" width="11.44140625" style="47" hidden="1" customWidth="1"/>
    <col min="12192" max="12192" width="5" style="47" customWidth="1"/>
    <col min="12193" max="12194" width="11.44140625" style="47" hidden="1" customWidth="1"/>
    <col min="12195" max="12195" width="5" style="47" customWidth="1"/>
    <col min="12196" max="12197" width="11.44140625" style="47" hidden="1" customWidth="1"/>
    <col min="12198" max="12198" width="5" style="47" customWidth="1"/>
    <col min="12199" max="12200" width="11.44140625" style="47" hidden="1" customWidth="1"/>
    <col min="12201" max="12201" width="5" style="47" customWidth="1"/>
    <col min="12202" max="12203" width="11.44140625" style="47" hidden="1" customWidth="1"/>
    <col min="12204" max="12204" width="5" style="47" customWidth="1"/>
    <col min="12205" max="12205" width="11.44140625" style="47" hidden="1" customWidth="1"/>
    <col min="12206" max="12206" width="6.44140625" style="47" customWidth="1"/>
    <col min="12207" max="12207" width="11.44140625" style="47" hidden="1" customWidth="1"/>
    <col min="12208" max="12208" width="7.109375" style="47" customWidth="1"/>
    <col min="12209" max="12210" width="11.44140625" style="47" hidden="1" customWidth="1"/>
    <col min="12211" max="12211" width="7.109375" style="47" customWidth="1"/>
    <col min="12212" max="12213" width="11.44140625" style="47" hidden="1" customWidth="1"/>
    <col min="12214" max="12214" width="7.109375" style="47" customWidth="1"/>
    <col min="12215" max="12216" width="11.44140625" style="47" hidden="1" customWidth="1"/>
    <col min="12217" max="12217" width="7.109375" style="47" customWidth="1"/>
    <col min="12218" max="12219" width="11.44140625" style="47" hidden="1" customWidth="1"/>
    <col min="12220" max="12220" width="7.109375" style="47" customWidth="1"/>
    <col min="12221" max="12222" width="11.44140625" style="47" hidden="1" customWidth="1"/>
    <col min="12223" max="12223" width="7.109375" style="47" customWidth="1"/>
    <col min="12224" max="12225" width="11.44140625" style="47" hidden="1" customWidth="1"/>
    <col min="12226" max="12226" width="7.109375" style="47" customWidth="1"/>
    <col min="12227" max="12228" width="11.44140625" style="47" hidden="1" customWidth="1"/>
    <col min="12229" max="12229" width="7.109375" style="47" customWidth="1"/>
    <col min="12230" max="12230" width="11.44140625" style="47" hidden="1" customWidth="1"/>
    <col min="12231" max="12231" width="6.44140625" style="47" customWidth="1"/>
    <col min="12232" max="12252" width="11.44140625" style="47" hidden="1" customWidth="1"/>
    <col min="12253" max="12253" width="9" style="47" customWidth="1"/>
    <col min="12254" max="12255" width="11.44140625" style="47" hidden="1" customWidth="1"/>
    <col min="12256" max="12256" width="8.44140625" style="47" customWidth="1"/>
    <col min="12257" max="12258" width="11.44140625" style="47" hidden="1" customWidth="1"/>
    <col min="12259" max="12259" width="6.44140625" style="47" customWidth="1"/>
    <col min="12260" max="12261" width="11.44140625" style="47" hidden="1" customWidth="1"/>
    <col min="12262" max="12262" width="7" style="47" customWidth="1"/>
    <col min="12263" max="12264" width="11.44140625" style="47" hidden="1" customWidth="1"/>
    <col min="12265" max="12267" width="7" style="47" customWidth="1"/>
    <col min="12268" max="12269" width="11.44140625" style="47" hidden="1" customWidth="1"/>
    <col min="12270" max="12270" width="7.44140625" style="47" customWidth="1"/>
    <col min="12271" max="12272" width="11.44140625" style="47" hidden="1" customWidth="1"/>
    <col min="12273" max="12273" width="7" style="47" customWidth="1"/>
    <col min="12274" max="12275" width="11.44140625" style="47" hidden="1" customWidth="1"/>
    <col min="12276" max="12276" width="7" style="47" customWidth="1"/>
    <col min="12277" max="12278" width="11.44140625" style="47" hidden="1" customWidth="1"/>
    <col min="12279" max="12279" width="7" style="47" customWidth="1"/>
    <col min="12280" max="12280" width="11.44140625" style="47" hidden="1" customWidth="1"/>
    <col min="12281" max="12281" width="6.44140625" style="47" customWidth="1"/>
    <col min="12282" max="12291" width="11.44140625" style="47" hidden="1" customWidth="1"/>
    <col min="12292" max="12326" width="11.44140625" style="47" hidden="1"/>
    <col min="12327" max="12327" width="41.44140625" style="47" customWidth="1"/>
    <col min="12328" max="12328" width="6.44140625" style="47" customWidth="1"/>
    <col min="12329" max="12329" width="14.5546875" style="47" customWidth="1"/>
    <col min="12330" max="12330" width="11.44140625" style="47" customWidth="1"/>
    <col min="12331" max="12331" width="13" style="47" customWidth="1"/>
    <col min="12332" max="12332" width="25.44140625" style="47" customWidth="1"/>
    <col min="12333" max="12342" width="9.44140625" style="47" customWidth="1"/>
    <col min="12343" max="12343" width="8.88671875" style="47" customWidth="1"/>
    <col min="12344" max="12344" width="9.44140625" style="47" customWidth="1"/>
    <col min="12345" max="12345" width="10.109375" style="47" customWidth="1"/>
    <col min="12346" max="12357" width="11.44140625" style="47" hidden="1" customWidth="1"/>
    <col min="12358" max="12359" width="11.44140625" style="47" customWidth="1"/>
    <col min="12360" max="12360" width="35.44140625" style="47" customWidth="1"/>
    <col min="12361" max="12361" width="9.109375" style="47" customWidth="1"/>
    <col min="12362" max="12362" width="24.44140625" style="47" customWidth="1"/>
    <col min="12363" max="12363" width="18.44140625" style="47" customWidth="1"/>
    <col min="12364" max="12364" width="22.44140625" style="47" customWidth="1"/>
    <col min="12365" max="12365" width="5" style="47" customWidth="1"/>
    <col min="12366" max="12367" width="11.44140625" style="47" hidden="1" customWidth="1"/>
    <col min="12368" max="12368" width="5" style="47" customWidth="1"/>
    <col min="12369" max="12370" width="11.44140625" style="47" hidden="1" customWidth="1"/>
    <col min="12371" max="12371" width="5" style="47" customWidth="1"/>
    <col min="12372" max="12373" width="11.44140625" style="47" hidden="1" customWidth="1"/>
    <col min="12374" max="12374" width="5" style="47" customWidth="1"/>
    <col min="12375" max="12376" width="11.44140625" style="47" hidden="1" customWidth="1"/>
    <col min="12377" max="12377" width="5" style="47" customWidth="1"/>
    <col min="12378" max="12442" width="11.44140625" style="47" hidden="1" customWidth="1"/>
    <col min="12443" max="12443" width="9.44140625" style="47" customWidth="1"/>
    <col min="12444" max="12444" width="11.44140625" style="47" hidden="1" customWidth="1"/>
    <col min="12445" max="12445" width="5" style="47" customWidth="1"/>
    <col min="12446" max="12447" width="11.44140625" style="47" hidden="1" customWidth="1"/>
    <col min="12448" max="12448" width="5" style="47" customWidth="1"/>
    <col min="12449" max="12450" width="11.44140625" style="47" hidden="1" customWidth="1"/>
    <col min="12451" max="12451" width="5" style="47" customWidth="1"/>
    <col min="12452" max="12453" width="11.44140625" style="47" hidden="1" customWidth="1"/>
    <col min="12454" max="12454" width="5" style="47" customWidth="1"/>
    <col min="12455" max="12456" width="11.44140625" style="47" hidden="1" customWidth="1"/>
    <col min="12457" max="12457" width="5" style="47" customWidth="1"/>
    <col min="12458" max="12459" width="11.44140625" style="47" hidden="1" customWidth="1"/>
    <col min="12460" max="12460" width="5" style="47" customWidth="1"/>
    <col min="12461" max="12461" width="11.44140625" style="47" hidden="1" customWidth="1"/>
    <col min="12462" max="12462" width="6.44140625" style="47" customWidth="1"/>
    <col min="12463" max="12463" width="11.44140625" style="47" hidden="1" customWidth="1"/>
    <col min="12464" max="12464" width="7.109375" style="47" customWidth="1"/>
    <col min="12465" max="12466" width="11.44140625" style="47" hidden="1" customWidth="1"/>
    <col min="12467" max="12467" width="7.109375" style="47" customWidth="1"/>
    <col min="12468" max="12469" width="11.44140625" style="47" hidden="1" customWidth="1"/>
    <col min="12470" max="12470" width="7.109375" style="47" customWidth="1"/>
    <col min="12471" max="12472" width="11.44140625" style="47" hidden="1" customWidth="1"/>
    <col min="12473" max="12473" width="7.109375" style="47" customWidth="1"/>
    <col min="12474" max="12475" width="11.44140625" style="47" hidden="1" customWidth="1"/>
    <col min="12476" max="12476" width="7.109375" style="47" customWidth="1"/>
    <col min="12477" max="12478" width="11.44140625" style="47" hidden="1" customWidth="1"/>
    <col min="12479" max="12479" width="7.109375" style="47" customWidth="1"/>
    <col min="12480" max="12481" width="11.44140625" style="47" hidden="1" customWidth="1"/>
    <col min="12482" max="12482" width="7.109375" style="47" customWidth="1"/>
    <col min="12483" max="12484" width="11.44140625" style="47" hidden="1" customWidth="1"/>
    <col min="12485" max="12485" width="7.109375" style="47" customWidth="1"/>
    <col min="12486" max="12486" width="11.44140625" style="47" hidden="1" customWidth="1"/>
    <col min="12487" max="12487" width="6.44140625" style="47" customWidth="1"/>
    <col min="12488" max="12508" width="11.44140625" style="47" hidden="1" customWidth="1"/>
    <col min="12509" max="12509" width="9" style="47" customWidth="1"/>
    <col min="12510" max="12511" width="11.44140625" style="47" hidden="1" customWidth="1"/>
    <col min="12512" max="12512" width="8.44140625" style="47" customWidth="1"/>
    <col min="12513" max="12514" width="11.44140625" style="47" hidden="1" customWidth="1"/>
    <col min="12515" max="12515" width="6.44140625" style="47" customWidth="1"/>
    <col min="12516" max="12517" width="11.44140625" style="47" hidden="1" customWidth="1"/>
    <col min="12518" max="12518" width="7" style="47" customWidth="1"/>
    <col min="12519" max="12520" width="11.44140625" style="47" hidden="1" customWidth="1"/>
    <col min="12521" max="12523" width="7" style="47" customWidth="1"/>
    <col min="12524" max="12525" width="11.44140625" style="47" hidden="1" customWidth="1"/>
    <col min="12526" max="12526" width="7.44140625" style="47" customWidth="1"/>
    <col min="12527" max="12528" width="11.44140625" style="47" hidden="1" customWidth="1"/>
    <col min="12529" max="12529" width="7" style="47" customWidth="1"/>
    <col min="12530" max="12531" width="11.44140625" style="47" hidden="1" customWidth="1"/>
    <col min="12532" max="12532" width="7" style="47" customWidth="1"/>
    <col min="12533" max="12534" width="11.44140625" style="47" hidden="1" customWidth="1"/>
    <col min="12535" max="12535" width="7" style="47" customWidth="1"/>
    <col min="12536" max="12536" width="11.44140625" style="47" hidden="1" customWidth="1"/>
    <col min="12537" max="12537" width="6.44140625" style="47" customWidth="1"/>
    <col min="12538" max="12547" width="11.44140625" style="47" hidden="1" customWidth="1"/>
    <col min="12548" max="12582" width="11.44140625" style="47" hidden="1"/>
    <col min="12583" max="12583" width="41.44140625" style="47" customWidth="1"/>
    <col min="12584" max="12584" width="6.44140625" style="47" customWidth="1"/>
    <col min="12585" max="12585" width="14.5546875" style="47" customWidth="1"/>
    <col min="12586" max="12586" width="11.44140625" style="47" customWidth="1"/>
    <col min="12587" max="12587" width="13" style="47" customWidth="1"/>
    <col min="12588" max="12588" width="25.44140625" style="47" customWidth="1"/>
    <col min="12589" max="12598" width="9.44140625" style="47" customWidth="1"/>
    <col min="12599" max="12599" width="8.88671875" style="47" customWidth="1"/>
    <col min="12600" max="12600" width="9.44140625" style="47" customWidth="1"/>
    <col min="12601" max="12601" width="10.109375" style="47" customWidth="1"/>
    <col min="12602" max="12613" width="11.44140625" style="47" hidden="1" customWidth="1"/>
    <col min="12614" max="12615" width="11.44140625" style="47" customWidth="1"/>
    <col min="12616" max="12616" width="35.44140625" style="47" customWidth="1"/>
    <col min="12617" max="12617" width="9.109375" style="47" customWidth="1"/>
    <col min="12618" max="12618" width="24.44140625" style="47" customWidth="1"/>
    <col min="12619" max="12619" width="18.44140625" style="47" customWidth="1"/>
    <col min="12620" max="12620" width="22.44140625" style="47" customWidth="1"/>
    <col min="12621" max="12621" width="5" style="47" customWidth="1"/>
    <col min="12622" max="12623" width="11.44140625" style="47" hidden="1" customWidth="1"/>
    <col min="12624" max="12624" width="5" style="47" customWidth="1"/>
    <col min="12625" max="12626" width="11.44140625" style="47" hidden="1" customWidth="1"/>
    <col min="12627" max="12627" width="5" style="47" customWidth="1"/>
    <col min="12628" max="12629" width="11.44140625" style="47" hidden="1" customWidth="1"/>
    <col min="12630" max="12630" width="5" style="47" customWidth="1"/>
    <col min="12631" max="12632" width="11.44140625" style="47" hidden="1" customWidth="1"/>
    <col min="12633" max="12633" width="5" style="47" customWidth="1"/>
    <col min="12634" max="12698" width="11.44140625" style="47" hidden="1" customWidth="1"/>
    <col min="12699" max="12699" width="9.44140625" style="47" customWidth="1"/>
    <col min="12700" max="12700" width="11.44140625" style="47" hidden="1" customWidth="1"/>
    <col min="12701" max="12701" width="5" style="47" customWidth="1"/>
    <col min="12702" max="12703" width="11.44140625" style="47" hidden="1" customWidth="1"/>
    <col min="12704" max="12704" width="5" style="47" customWidth="1"/>
    <col min="12705" max="12706" width="11.44140625" style="47" hidden="1" customWidth="1"/>
    <col min="12707" max="12707" width="5" style="47" customWidth="1"/>
    <col min="12708" max="12709" width="11.44140625" style="47" hidden="1" customWidth="1"/>
    <col min="12710" max="12710" width="5" style="47" customWidth="1"/>
    <col min="12711" max="12712" width="11.44140625" style="47" hidden="1" customWidth="1"/>
    <col min="12713" max="12713" width="5" style="47" customWidth="1"/>
    <col min="12714" max="12715" width="11.44140625" style="47" hidden="1" customWidth="1"/>
    <col min="12716" max="12716" width="5" style="47" customWidth="1"/>
    <col min="12717" max="12717" width="11.44140625" style="47" hidden="1" customWidth="1"/>
    <col min="12718" max="12718" width="6.44140625" style="47" customWidth="1"/>
    <col min="12719" max="12719" width="11.44140625" style="47" hidden="1" customWidth="1"/>
    <col min="12720" max="12720" width="7.109375" style="47" customWidth="1"/>
    <col min="12721" max="12722" width="11.44140625" style="47" hidden="1" customWidth="1"/>
    <col min="12723" max="12723" width="7.109375" style="47" customWidth="1"/>
    <col min="12724" max="12725" width="11.44140625" style="47" hidden="1" customWidth="1"/>
    <col min="12726" max="12726" width="7.109375" style="47" customWidth="1"/>
    <col min="12727" max="12728" width="11.44140625" style="47" hidden="1" customWidth="1"/>
    <col min="12729" max="12729" width="7.109375" style="47" customWidth="1"/>
    <col min="12730" max="12731" width="11.44140625" style="47" hidden="1" customWidth="1"/>
    <col min="12732" max="12732" width="7.109375" style="47" customWidth="1"/>
    <col min="12733" max="12734" width="11.44140625" style="47" hidden="1" customWidth="1"/>
    <col min="12735" max="12735" width="7.109375" style="47" customWidth="1"/>
    <col min="12736" max="12737" width="11.44140625" style="47" hidden="1" customWidth="1"/>
    <col min="12738" max="12738" width="7.109375" style="47" customWidth="1"/>
    <col min="12739" max="12740" width="11.44140625" style="47" hidden="1" customWidth="1"/>
    <col min="12741" max="12741" width="7.109375" style="47" customWidth="1"/>
    <col min="12742" max="12742" width="11.44140625" style="47" hidden="1" customWidth="1"/>
    <col min="12743" max="12743" width="6.44140625" style="47" customWidth="1"/>
    <col min="12744" max="12764" width="11.44140625" style="47" hidden="1" customWidth="1"/>
    <col min="12765" max="12765" width="9" style="47" customWidth="1"/>
    <col min="12766" max="12767" width="11.44140625" style="47" hidden="1" customWidth="1"/>
    <col min="12768" max="12768" width="8.44140625" style="47" customWidth="1"/>
    <col min="12769" max="12770" width="11.44140625" style="47" hidden="1" customWidth="1"/>
    <col min="12771" max="12771" width="6.44140625" style="47" customWidth="1"/>
    <col min="12772" max="12773" width="11.44140625" style="47" hidden="1" customWidth="1"/>
    <col min="12774" max="12774" width="7" style="47" customWidth="1"/>
    <col min="12775" max="12776" width="11.44140625" style="47" hidden="1" customWidth="1"/>
    <col min="12777" max="12779" width="7" style="47" customWidth="1"/>
    <col min="12780" max="12781" width="11.44140625" style="47" hidden="1" customWidth="1"/>
    <col min="12782" max="12782" width="7.44140625" style="47" customWidth="1"/>
    <col min="12783" max="12784" width="11.44140625" style="47" hidden="1" customWidth="1"/>
    <col min="12785" max="12785" width="7" style="47" customWidth="1"/>
    <col min="12786" max="12787" width="11.44140625" style="47" hidden="1" customWidth="1"/>
    <col min="12788" max="12788" width="7" style="47" customWidth="1"/>
    <col min="12789" max="12790" width="11.44140625" style="47" hidden="1" customWidth="1"/>
    <col min="12791" max="12791" width="7" style="47" customWidth="1"/>
    <col min="12792" max="12792" width="11.44140625" style="47" hidden="1" customWidth="1"/>
    <col min="12793" max="12793" width="6.44140625" style="47" customWidth="1"/>
    <col min="12794" max="12803" width="11.44140625" style="47" hidden="1" customWidth="1"/>
    <col min="12804" max="12838" width="11.44140625" style="47" hidden="1"/>
    <col min="12839" max="12839" width="41.44140625" style="47" customWidth="1"/>
    <col min="12840" max="12840" width="6.44140625" style="47" customWidth="1"/>
    <col min="12841" max="12841" width="14.5546875" style="47" customWidth="1"/>
    <col min="12842" max="12842" width="11.44140625" style="47" customWidth="1"/>
    <col min="12843" max="12843" width="13" style="47" customWidth="1"/>
    <col min="12844" max="12844" width="25.44140625" style="47" customWidth="1"/>
    <col min="12845" max="12854" width="9.44140625" style="47" customWidth="1"/>
    <col min="12855" max="12855" width="8.88671875" style="47" customWidth="1"/>
    <col min="12856" max="12856" width="9.44140625" style="47" customWidth="1"/>
    <col min="12857" max="12857" width="10.109375" style="47" customWidth="1"/>
    <col min="12858" max="12869" width="11.44140625" style="47" hidden="1" customWidth="1"/>
    <col min="12870" max="12871" width="11.44140625" style="47" customWidth="1"/>
    <col min="12872" max="12872" width="35.44140625" style="47" customWidth="1"/>
    <col min="12873" max="12873" width="9.109375" style="47" customWidth="1"/>
    <col min="12874" max="12874" width="24.44140625" style="47" customWidth="1"/>
    <col min="12875" max="12875" width="18.44140625" style="47" customWidth="1"/>
    <col min="12876" max="12876" width="22.44140625" style="47" customWidth="1"/>
    <col min="12877" max="12877" width="5" style="47" customWidth="1"/>
    <col min="12878" max="12879" width="11.44140625" style="47" hidden="1" customWidth="1"/>
    <col min="12880" max="12880" width="5" style="47" customWidth="1"/>
    <col min="12881" max="12882" width="11.44140625" style="47" hidden="1" customWidth="1"/>
    <col min="12883" max="12883" width="5" style="47" customWidth="1"/>
    <col min="12884" max="12885" width="11.44140625" style="47" hidden="1" customWidth="1"/>
    <col min="12886" max="12886" width="5" style="47" customWidth="1"/>
    <col min="12887" max="12888" width="11.44140625" style="47" hidden="1" customWidth="1"/>
    <col min="12889" max="12889" width="5" style="47" customWidth="1"/>
    <col min="12890" max="12954" width="11.44140625" style="47" hidden="1" customWidth="1"/>
    <col min="12955" max="12955" width="9.44140625" style="47" customWidth="1"/>
    <col min="12956" max="12956" width="11.44140625" style="47" hidden="1" customWidth="1"/>
    <col min="12957" max="12957" width="5" style="47" customWidth="1"/>
    <col min="12958" max="12959" width="11.44140625" style="47" hidden="1" customWidth="1"/>
    <col min="12960" max="12960" width="5" style="47" customWidth="1"/>
    <col min="12961" max="12962" width="11.44140625" style="47" hidden="1" customWidth="1"/>
    <col min="12963" max="12963" width="5" style="47" customWidth="1"/>
    <col min="12964" max="12965" width="11.44140625" style="47" hidden="1" customWidth="1"/>
    <col min="12966" max="12966" width="5" style="47" customWidth="1"/>
    <col min="12967" max="12968" width="11.44140625" style="47" hidden="1" customWidth="1"/>
    <col min="12969" max="12969" width="5" style="47" customWidth="1"/>
    <col min="12970" max="12971" width="11.44140625" style="47" hidden="1" customWidth="1"/>
    <col min="12972" max="12972" width="5" style="47" customWidth="1"/>
    <col min="12973" max="12973" width="11.44140625" style="47" hidden="1" customWidth="1"/>
    <col min="12974" max="12974" width="6.44140625" style="47" customWidth="1"/>
    <col min="12975" max="12975" width="11.44140625" style="47" hidden="1" customWidth="1"/>
    <col min="12976" max="12976" width="7.109375" style="47" customWidth="1"/>
    <col min="12977" max="12978" width="11.44140625" style="47" hidden="1" customWidth="1"/>
    <col min="12979" max="12979" width="7.109375" style="47" customWidth="1"/>
    <col min="12980" max="12981" width="11.44140625" style="47" hidden="1" customWidth="1"/>
    <col min="12982" max="12982" width="7.109375" style="47" customWidth="1"/>
    <col min="12983" max="12984" width="11.44140625" style="47" hidden="1" customWidth="1"/>
    <col min="12985" max="12985" width="7.109375" style="47" customWidth="1"/>
    <col min="12986" max="12987" width="11.44140625" style="47" hidden="1" customWidth="1"/>
    <col min="12988" max="12988" width="7.109375" style="47" customWidth="1"/>
    <col min="12989" max="12990" width="11.44140625" style="47" hidden="1" customWidth="1"/>
    <col min="12991" max="12991" width="7.109375" style="47" customWidth="1"/>
    <col min="12992" max="12993" width="11.44140625" style="47" hidden="1" customWidth="1"/>
    <col min="12994" max="12994" width="7.109375" style="47" customWidth="1"/>
    <col min="12995" max="12996" width="11.44140625" style="47" hidden="1" customWidth="1"/>
    <col min="12997" max="12997" width="7.109375" style="47" customWidth="1"/>
    <col min="12998" max="12998" width="11.44140625" style="47" hidden="1" customWidth="1"/>
    <col min="12999" max="12999" width="6.44140625" style="47" customWidth="1"/>
    <col min="13000" max="13020" width="11.44140625" style="47" hidden="1" customWidth="1"/>
    <col min="13021" max="13021" width="9" style="47" customWidth="1"/>
    <col min="13022" max="13023" width="11.44140625" style="47" hidden="1" customWidth="1"/>
    <col min="13024" max="13024" width="8.44140625" style="47" customWidth="1"/>
    <col min="13025" max="13026" width="11.44140625" style="47" hidden="1" customWidth="1"/>
    <col min="13027" max="13027" width="6.44140625" style="47" customWidth="1"/>
    <col min="13028" max="13029" width="11.44140625" style="47" hidden="1" customWidth="1"/>
    <col min="13030" max="13030" width="7" style="47" customWidth="1"/>
    <col min="13031" max="13032" width="11.44140625" style="47" hidden="1" customWidth="1"/>
    <col min="13033" max="13035" width="7" style="47" customWidth="1"/>
    <col min="13036" max="13037" width="11.44140625" style="47" hidden="1" customWidth="1"/>
    <col min="13038" max="13038" width="7.44140625" style="47" customWidth="1"/>
    <col min="13039" max="13040" width="11.44140625" style="47" hidden="1" customWidth="1"/>
    <col min="13041" max="13041" width="7" style="47" customWidth="1"/>
    <col min="13042" max="13043" width="11.44140625" style="47" hidden="1" customWidth="1"/>
    <col min="13044" max="13044" width="7" style="47" customWidth="1"/>
    <col min="13045" max="13046" width="11.44140625" style="47" hidden="1" customWidth="1"/>
    <col min="13047" max="13047" width="7" style="47" customWidth="1"/>
    <col min="13048" max="13048" width="11.44140625" style="47" hidden="1" customWidth="1"/>
    <col min="13049" max="13049" width="6.44140625" style="47" customWidth="1"/>
    <col min="13050" max="13059" width="11.44140625" style="47" hidden="1" customWidth="1"/>
    <col min="13060" max="13094" width="11.44140625" style="47" hidden="1"/>
    <col min="13095" max="13095" width="41.44140625" style="47" customWidth="1"/>
    <col min="13096" max="13096" width="6.44140625" style="47" customWidth="1"/>
    <col min="13097" max="13097" width="14.5546875" style="47" customWidth="1"/>
    <col min="13098" max="13098" width="11.44140625" style="47" customWidth="1"/>
    <col min="13099" max="13099" width="13" style="47" customWidth="1"/>
    <col min="13100" max="13100" width="25.44140625" style="47" customWidth="1"/>
    <col min="13101" max="13110" width="9.44140625" style="47" customWidth="1"/>
    <col min="13111" max="13111" width="8.88671875" style="47" customWidth="1"/>
    <col min="13112" max="13112" width="9.44140625" style="47" customWidth="1"/>
    <col min="13113" max="13113" width="10.109375" style="47" customWidth="1"/>
    <col min="13114" max="13125" width="11.44140625" style="47" hidden="1" customWidth="1"/>
    <col min="13126" max="13127" width="11.44140625" style="47" customWidth="1"/>
    <col min="13128" max="13128" width="35.44140625" style="47" customWidth="1"/>
    <col min="13129" max="13129" width="9.109375" style="47" customWidth="1"/>
    <col min="13130" max="13130" width="24.44140625" style="47" customWidth="1"/>
    <col min="13131" max="13131" width="18.44140625" style="47" customWidth="1"/>
    <col min="13132" max="13132" width="22.44140625" style="47" customWidth="1"/>
    <col min="13133" max="13133" width="5" style="47" customWidth="1"/>
    <col min="13134" max="13135" width="11.44140625" style="47" hidden="1" customWidth="1"/>
    <col min="13136" max="13136" width="5" style="47" customWidth="1"/>
    <col min="13137" max="13138" width="11.44140625" style="47" hidden="1" customWidth="1"/>
    <col min="13139" max="13139" width="5" style="47" customWidth="1"/>
    <col min="13140" max="13141" width="11.44140625" style="47" hidden="1" customWidth="1"/>
    <col min="13142" max="13142" width="5" style="47" customWidth="1"/>
    <col min="13143" max="13144" width="11.44140625" style="47" hidden="1" customWidth="1"/>
    <col min="13145" max="13145" width="5" style="47" customWidth="1"/>
    <col min="13146" max="13210" width="11.44140625" style="47" hidden="1" customWidth="1"/>
    <col min="13211" max="13211" width="9.44140625" style="47" customWidth="1"/>
    <col min="13212" max="13212" width="11.44140625" style="47" hidden="1" customWidth="1"/>
    <col min="13213" max="13213" width="5" style="47" customWidth="1"/>
    <col min="13214" max="13215" width="11.44140625" style="47" hidden="1" customWidth="1"/>
    <col min="13216" max="13216" width="5" style="47" customWidth="1"/>
    <col min="13217" max="13218" width="11.44140625" style="47" hidden="1" customWidth="1"/>
    <col min="13219" max="13219" width="5" style="47" customWidth="1"/>
    <col min="13220" max="13221" width="11.44140625" style="47" hidden="1" customWidth="1"/>
    <col min="13222" max="13222" width="5" style="47" customWidth="1"/>
    <col min="13223" max="13224" width="11.44140625" style="47" hidden="1" customWidth="1"/>
    <col min="13225" max="13225" width="5" style="47" customWidth="1"/>
    <col min="13226" max="13227" width="11.44140625" style="47" hidden="1" customWidth="1"/>
    <col min="13228" max="13228" width="5" style="47" customWidth="1"/>
    <col min="13229" max="13229" width="11.44140625" style="47" hidden="1" customWidth="1"/>
    <col min="13230" max="13230" width="6.44140625" style="47" customWidth="1"/>
    <col min="13231" max="13231" width="11.44140625" style="47" hidden="1" customWidth="1"/>
    <col min="13232" max="13232" width="7.109375" style="47" customWidth="1"/>
    <col min="13233" max="13234" width="11.44140625" style="47" hidden="1" customWidth="1"/>
    <col min="13235" max="13235" width="7.109375" style="47" customWidth="1"/>
    <col min="13236" max="13237" width="11.44140625" style="47" hidden="1" customWidth="1"/>
    <col min="13238" max="13238" width="7.109375" style="47" customWidth="1"/>
    <col min="13239" max="13240" width="11.44140625" style="47" hidden="1" customWidth="1"/>
    <col min="13241" max="13241" width="7.109375" style="47" customWidth="1"/>
    <col min="13242" max="13243" width="11.44140625" style="47" hidden="1" customWidth="1"/>
    <col min="13244" max="13244" width="7.109375" style="47" customWidth="1"/>
    <col min="13245" max="13246" width="11.44140625" style="47" hidden="1" customWidth="1"/>
    <col min="13247" max="13247" width="7.109375" style="47" customWidth="1"/>
    <col min="13248" max="13249" width="11.44140625" style="47" hidden="1" customWidth="1"/>
    <col min="13250" max="13250" width="7.109375" style="47" customWidth="1"/>
    <col min="13251" max="13252" width="11.44140625" style="47" hidden="1" customWidth="1"/>
    <col min="13253" max="13253" width="7.109375" style="47" customWidth="1"/>
    <col min="13254" max="13254" width="11.44140625" style="47" hidden="1" customWidth="1"/>
    <col min="13255" max="13255" width="6.44140625" style="47" customWidth="1"/>
    <col min="13256" max="13276" width="11.44140625" style="47" hidden="1" customWidth="1"/>
    <col min="13277" max="13277" width="9" style="47" customWidth="1"/>
    <col min="13278" max="13279" width="11.44140625" style="47" hidden="1" customWidth="1"/>
    <col min="13280" max="13280" width="8.44140625" style="47" customWidth="1"/>
    <col min="13281" max="13282" width="11.44140625" style="47" hidden="1" customWidth="1"/>
    <col min="13283" max="13283" width="6.44140625" style="47" customWidth="1"/>
    <col min="13284" max="13285" width="11.44140625" style="47" hidden="1" customWidth="1"/>
    <col min="13286" max="13286" width="7" style="47" customWidth="1"/>
    <col min="13287" max="13288" width="11.44140625" style="47" hidden="1" customWidth="1"/>
    <col min="13289" max="13291" width="7" style="47" customWidth="1"/>
    <col min="13292" max="13293" width="11.44140625" style="47" hidden="1" customWidth="1"/>
    <col min="13294" max="13294" width="7.44140625" style="47" customWidth="1"/>
    <col min="13295" max="13296" width="11.44140625" style="47" hidden="1" customWidth="1"/>
    <col min="13297" max="13297" width="7" style="47" customWidth="1"/>
    <col min="13298" max="13299" width="11.44140625" style="47" hidden="1" customWidth="1"/>
    <col min="13300" max="13300" width="7" style="47" customWidth="1"/>
    <col min="13301" max="13302" width="11.44140625" style="47" hidden="1" customWidth="1"/>
    <col min="13303" max="13303" width="7" style="47" customWidth="1"/>
    <col min="13304" max="13304" width="11.44140625" style="47" hidden="1" customWidth="1"/>
    <col min="13305" max="13305" width="6.44140625" style="47" customWidth="1"/>
    <col min="13306" max="13315" width="11.44140625" style="47" hidden="1" customWidth="1"/>
    <col min="13316" max="13350" width="11.44140625" style="47" hidden="1"/>
    <col min="13351" max="13351" width="41.44140625" style="47" customWidth="1"/>
    <col min="13352" max="13352" width="6.44140625" style="47" customWidth="1"/>
    <col min="13353" max="13353" width="14.5546875" style="47" customWidth="1"/>
    <col min="13354" max="13354" width="11.44140625" style="47" customWidth="1"/>
    <col min="13355" max="13355" width="13" style="47" customWidth="1"/>
    <col min="13356" max="13356" width="25.44140625" style="47" customWidth="1"/>
    <col min="13357" max="13366" width="9.44140625" style="47" customWidth="1"/>
    <col min="13367" max="13367" width="8.88671875" style="47" customWidth="1"/>
    <col min="13368" max="13368" width="9.44140625" style="47" customWidth="1"/>
    <col min="13369" max="13369" width="10.109375" style="47" customWidth="1"/>
    <col min="13370" max="13381" width="11.44140625" style="47" hidden="1" customWidth="1"/>
    <col min="13382" max="13383" width="11.44140625" style="47" customWidth="1"/>
    <col min="13384" max="13384" width="35.44140625" style="47" customWidth="1"/>
    <col min="13385" max="13385" width="9.109375" style="47" customWidth="1"/>
    <col min="13386" max="13386" width="24.44140625" style="47" customWidth="1"/>
    <col min="13387" max="13387" width="18.44140625" style="47" customWidth="1"/>
    <col min="13388" max="13388" width="22.44140625" style="47" customWidth="1"/>
    <col min="13389" max="13389" width="5" style="47" customWidth="1"/>
    <col min="13390" max="13391" width="11.44140625" style="47" hidden="1" customWidth="1"/>
    <col min="13392" max="13392" width="5" style="47" customWidth="1"/>
    <col min="13393" max="13394" width="11.44140625" style="47" hidden="1" customWidth="1"/>
    <col min="13395" max="13395" width="5" style="47" customWidth="1"/>
    <col min="13396" max="13397" width="11.44140625" style="47" hidden="1" customWidth="1"/>
    <col min="13398" max="13398" width="5" style="47" customWidth="1"/>
    <col min="13399" max="13400" width="11.44140625" style="47" hidden="1" customWidth="1"/>
    <col min="13401" max="13401" width="5" style="47" customWidth="1"/>
    <col min="13402" max="13466" width="11.44140625" style="47" hidden="1" customWidth="1"/>
    <col min="13467" max="13467" width="9.44140625" style="47" customWidth="1"/>
    <col min="13468" max="13468" width="11.44140625" style="47" hidden="1" customWidth="1"/>
    <col min="13469" max="13469" width="5" style="47" customWidth="1"/>
    <col min="13470" max="13471" width="11.44140625" style="47" hidden="1" customWidth="1"/>
    <col min="13472" max="13472" width="5" style="47" customWidth="1"/>
    <col min="13473" max="13474" width="11.44140625" style="47" hidden="1" customWidth="1"/>
    <col min="13475" max="13475" width="5" style="47" customWidth="1"/>
    <col min="13476" max="13477" width="11.44140625" style="47" hidden="1" customWidth="1"/>
    <col min="13478" max="13478" width="5" style="47" customWidth="1"/>
    <col min="13479" max="13480" width="11.44140625" style="47" hidden="1" customWidth="1"/>
    <col min="13481" max="13481" width="5" style="47" customWidth="1"/>
    <col min="13482" max="13483" width="11.44140625" style="47" hidden="1" customWidth="1"/>
    <col min="13484" max="13484" width="5" style="47" customWidth="1"/>
    <col min="13485" max="13485" width="11.44140625" style="47" hidden="1" customWidth="1"/>
    <col min="13486" max="13486" width="6.44140625" style="47" customWidth="1"/>
    <col min="13487" max="13487" width="11.44140625" style="47" hidden="1" customWidth="1"/>
    <col min="13488" max="13488" width="7.109375" style="47" customWidth="1"/>
    <col min="13489" max="13490" width="11.44140625" style="47" hidden="1" customWidth="1"/>
    <col min="13491" max="13491" width="7.109375" style="47" customWidth="1"/>
    <col min="13492" max="13493" width="11.44140625" style="47" hidden="1" customWidth="1"/>
    <col min="13494" max="13494" width="7.109375" style="47" customWidth="1"/>
    <col min="13495" max="13496" width="11.44140625" style="47" hidden="1" customWidth="1"/>
    <col min="13497" max="13497" width="7.109375" style="47" customWidth="1"/>
    <col min="13498" max="13499" width="11.44140625" style="47" hidden="1" customWidth="1"/>
    <col min="13500" max="13500" width="7.109375" style="47" customWidth="1"/>
    <col min="13501" max="13502" width="11.44140625" style="47" hidden="1" customWidth="1"/>
    <col min="13503" max="13503" width="7.109375" style="47" customWidth="1"/>
    <col min="13504" max="13505" width="11.44140625" style="47" hidden="1" customWidth="1"/>
    <col min="13506" max="13506" width="7.109375" style="47" customWidth="1"/>
    <col min="13507" max="13508" width="11.44140625" style="47" hidden="1" customWidth="1"/>
    <col min="13509" max="13509" width="7.109375" style="47" customWidth="1"/>
    <col min="13510" max="13510" width="11.44140625" style="47" hidden="1" customWidth="1"/>
    <col min="13511" max="13511" width="6.44140625" style="47" customWidth="1"/>
    <col min="13512" max="13532" width="11.44140625" style="47" hidden="1" customWidth="1"/>
    <col min="13533" max="13533" width="9" style="47" customWidth="1"/>
    <col min="13534" max="13535" width="11.44140625" style="47" hidden="1" customWidth="1"/>
    <col min="13536" max="13536" width="8.44140625" style="47" customWidth="1"/>
    <col min="13537" max="13538" width="11.44140625" style="47" hidden="1" customWidth="1"/>
    <col min="13539" max="13539" width="6.44140625" style="47" customWidth="1"/>
    <col min="13540" max="13541" width="11.44140625" style="47" hidden="1" customWidth="1"/>
    <col min="13542" max="13542" width="7" style="47" customWidth="1"/>
    <col min="13543" max="13544" width="11.44140625" style="47" hidden="1" customWidth="1"/>
    <col min="13545" max="13547" width="7" style="47" customWidth="1"/>
    <col min="13548" max="13549" width="11.44140625" style="47" hidden="1" customWidth="1"/>
    <col min="13550" max="13550" width="7.44140625" style="47" customWidth="1"/>
    <col min="13551" max="13552" width="11.44140625" style="47" hidden="1" customWidth="1"/>
    <col min="13553" max="13553" width="7" style="47" customWidth="1"/>
    <col min="13554" max="13555" width="11.44140625" style="47" hidden="1" customWidth="1"/>
    <col min="13556" max="13556" width="7" style="47" customWidth="1"/>
    <col min="13557" max="13558" width="11.44140625" style="47" hidden="1" customWidth="1"/>
    <col min="13559" max="13559" width="7" style="47" customWidth="1"/>
    <col min="13560" max="13560" width="11.44140625" style="47" hidden="1" customWidth="1"/>
    <col min="13561" max="13561" width="6.44140625" style="47" customWidth="1"/>
    <col min="13562" max="13571" width="11.44140625" style="47" hidden="1" customWidth="1"/>
    <col min="13572" max="13606" width="11.44140625" style="47" hidden="1"/>
    <col min="13607" max="13607" width="41.44140625" style="47" customWidth="1"/>
    <col min="13608" max="13608" width="6.44140625" style="47" customWidth="1"/>
    <col min="13609" max="13609" width="14.5546875" style="47" customWidth="1"/>
    <col min="13610" max="13610" width="11.44140625" style="47" customWidth="1"/>
    <col min="13611" max="13611" width="13" style="47" customWidth="1"/>
    <col min="13612" max="13612" width="25.44140625" style="47" customWidth="1"/>
    <col min="13613" max="13622" width="9.44140625" style="47" customWidth="1"/>
    <col min="13623" max="13623" width="8.88671875" style="47" customWidth="1"/>
    <col min="13624" max="13624" width="9.44140625" style="47" customWidth="1"/>
    <col min="13625" max="13625" width="10.109375" style="47" customWidth="1"/>
    <col min="13626" max="13637" width="11.44140625" style="47" hidden="1" customWidth="1"/>
    <col min="13638" max="13639" width="11.44140625" style="47" customWidth="1"/>
    <col min="13640" max="13640" width="35.44140625" style="47" customWidth="1"/>
    <col min="13641" max="13641" width="9.109375" style="47" customWidth="1"/>
    <col min="13642" max="13642" width="24.44140625" style="47" customWidth="1"/>
    <col min="13643" max="13643" width="18.44140625" style="47" customWidth="1"/>
    <col min="13644" max="13644" width="22.44140625" style="47" customWidth="1"/>
    <col min="13645" max="13645" width="5" style="47" customWidth="1"/>
    <col min="13646" max="13647" width="11.44140625" style="47" hidden="1" customWidth="1"/>
    <col min="13648" max="13648" width="5" style="47" customWidth="1"/>
    <col min="13649" max="13650" width="11.44140625" style="47" hidden="1" customWidth="1"/>
    <col min="13651" max="13651" width="5" style="47" customWidth="1"/>
    <col min="13652" max="13653" width="11.44140625" style="47" hidden="1" customWidth="1"/>
    <col min="13654" max="13654" width="5" style="47" customWidth="1"/>
    <col min="13655" max="13656" width="11.44140625" style="47" hidden="1" customWidth="1"/>
    <col min="13657" max="13657" width="5" style="47" customWidth="1"/>
    <col min="13658" max="13722" width="11.44140625" style="47" hidden="1" customWidth="1"/>
    <col min="13723" max="13723" width="9.44140625" style="47" customWidth="1"/>
    <col min="13724" max="13724" width="11.44140625" style="47" hidden="1" customWidth="1"/>
    <col min="13725" max="13725" width="5" style="47" customWidth="1"/>
    <col min="13726" max="13727" width="11.44140625" style="47" hidden="1" customWidth="1"/>
    <col min="13728" max="13728" width="5" style="47" customWidth="1"/>
    <col min="13729" max="13730" width="11.44140625" style="47" hidden="1" customWidth="1"/>
    <col min="13731" max="13731" width="5" style="47" customWidth="1"/>
    <col min="13732" max="13733" width="11.44140625" style="47" hidden="1" customWidth="1"/>
    <col min="13734" max="13734" width="5" style="47" customWidth="1"/>
    <col min="13735" max="13736" width="11.44140625" style="47" hidden="1" customWidth="1"/>
    <col min="13737" max="13737" width="5" style="47" customWidth="1"/>
    <col min="13738" max="13739" width="11.44140625" style="47" hidden="1" customWidth="1"/>
    <col min="13740" max="13740" width="5" style="47" customWidth="1"/>
    <col min="13741" max="13741" width="11.44140625" style="47" hidden="1" customWidth="1"/>
    <col min="13742" max="13742" width="6.44140625" style="47" customWidth="1"/>
    <col min="13743" max="13743" width="11.44140625" style="47" hidden="1" customWidth="1"/>
    <col min="13744" max="13744" width="7.109375" style="47" customWidth="1"/>
    <col min="13745" max="13746" width="11.44140625" style="47" hidden="1" customWidth="1"/>
    <col min="13747" max="13747" width="7.109375" style="47" customWidth="1"/>
    <col min="13748" max="13749" width="11.44140625" style="47" hidden="1" customWidth="1"/>
    <col min="13750" max="13750" width="7.109375" style="47" customWidth="1"/>
    <col min="13751" max="13752" width="11.44140625" style="47" hidden="1" customWidth="1"/>
    <col min="13753" max="13753" width="7.109375" style="47" customWidth="1"/>
    <col min="13754" max="13755" width="11.44140625" style="47" hidden="1" customWidth="1"/>
    <col min="13756" max="13756" width="7.109375" style="47" customWidth="1"/>
    <col min="13757" max="13758" width="11.44140625" style="47" hidden="1" customWidth="1"/>
    <col min="13759" max="13759" width="7.109375" style="47" customWidth="1"/>
    <col min="13760" max="13761" width="11.44140625" style="47" hidden="1" customWidth="1"/>
    <col min="13762" max="13762" width="7.109375" style="47" customWidth="1"/>
    <col min="13763" max="13764" width="11.44140625" style="47" hidden="1" customWidth="1"/>
    <col min="13765" max="13765" width="7.109375" style="47" customWidth="1"/>
    <col min="13766" max="13766" width="11.44140625" style="47" hidden="1" customWidth="1"/>
    <col min="13767" max="13767" width="6.44140625" style="47" customWidth="1"/>
    <col min="13768" max="13788" width="11.44140625" style="47" hidden="1" customWidth="1"/>
    <col min="13789" max="13789" width="9" style="47" customWidth="1"/>
    <col min="13790" max="13791" width="11.44140625" style="47" hidden="1" customWidth="1"/>
    <col min="13792" max="13792" width="8.44140625" style="47" customWidth="1"/>
    <col min="13793" max="13794" width="11.44140625" style="47" hidden="1" customWidth="1"/>
    <col min="13795" max="13795" width="6.44140625" style="47" customWidth="1"/>
    <col min="13796" max="13797" width="11.44140625" style="47" hidden="1" customWidth="1"/>
    <col min="13798" max="13798" width="7" style="47" customWidth="1"/>
    <col min="13799" max="13800" width="11.44140625" style="47" hidden="1" customWidth="1"/>
    <col min="13801" max="13803" width="7" style="47" customWidth="1"/>
    <col min="13804" max="13805" width="11.44140625" style="47" hidden="1" customWidth="1"/>
    <col min="13806" max="13806" width="7.44140625" style="47" customWidth="1"/>
    <col min="13807" max="13808" width="11.44140625" style="47" hidden="1" customWidth="1"/>
    <col min="13809" max="13809" width="7" style="47" customWidth="1"/>
    <col min="13810" max="13811" width="11.44140625" style="47" hidden="1" customWidth="1"/>
    <col min="13812" max="13812" width="7" style="47" customWidth="1"/>
    <col min="13813" max="13814" width="11.44140625" style="47" hidden="1" customWidth="1"/>
    <col min="13815" max="13815" width="7" style="47" customWidth="1"/>
    <col min="13816" max="13816" width="11.44140625" style="47" hidden="1" customWidth="1"/>
    <col min="13817" max="13817" width="6.44140625" style="47" customWidth="1"/>
    <col min="13818" max="13827" width="11.44140625" style="47" hidden="1" customWidth="1"/>
    <col min="13828" max="13862" width="11.44140625" style="47" hidden="1"/>
    <col min="13863" max="13863" width="41.44140625" style="47" customWidth="1"/>
    <col min="13864" max="13864" width="6.44140625" style="47" customWidth="1"/>
    <col min="13865" max="13865" width="14.5546875" style="47" customWidth="1"/>
    <col min="13866" max="13866" width="11.44140625" style="47" customWidth="1"/>
    <col min="13867" max="13867" width="13" style="47" customWidth="1"/>
    <col min="13868" max="13868" width="25.44140625" style="47" customWidth="1"/>
    <col min="13869" max="13878" width="9.44140625" style="47" customWidth="1"/>
    <col min="13879" max="13879" width="8.88671875" style="47" customWidth="1"/>
    <col min="13880" max="13880" width="9.44140625" style="47" customWidth="1"/>
    <col min="13881" max="13881" width="10.109375" style="47" customWidth="1"/>
    <col min="13882" max="13893" width="11.44140625" style="47" hidden="1" customWidth="1"/>
    <col min="13894" max="13895" width="11.44140625" style="47" customWidth="1"/>
    <col min="13896" max="13896" width="35.44140625" style="47" customWidth="1"/>
    <col min="13897" max="13897" width="9.109375" style="47" customWidth="1"/>
    <col min="13898" max="13898" width="24.44140625" style="47" customWidth="1"/>
    <col min="13899" max="13899" width="18.44140625" style="47" customWidth="1"/>
    <col min="13900" max="13900" width="22.44140625" style="47" customWidth="1"/>
    <col min="13901" max="13901" width="5" style="47" customWidth="1"/>
    <col min="13902" max="13903" width="11.44140625" style="47" hidden="1" customWidth="1"/>
    <col min="13904" max="13904" width="5" style="47" customWidth="1"/>
    <col min="13905" max="13906" width="11.44140625" style="47" hidden="1" customWidth="1"/>
    <col min="13907" max="13907" width="5" style="47" customWidth="1"/>
    <col min="13908" max="13909" width="11.44140625" style="47" hidden="1" customWidth="1"/>
    <col min="13910" max="13910" width="5" style="47" customWidth="1"/>
    <col min="13911" max="13912" width="11.44140625" style="47" hidden="1" customWidth="1"/>
    <col min="13913" max="13913" width="5" style="47" customWidth="1"/>
    <col min="13914" max="13978" width="11.44140625" style="47" hidden="1" customWidth="1"/>
    <col min="13979" max="13979" width="9.44140625" style="47" customWidth="1"/>
    <col min="13980" max="13980" width="11.44140625" style="47" hidden="1" customWidth="1"/>
    <col min="13981" max="13981" width="5" style="47" customWidth="1"/>
    <col min="13982" max="13983" width="11.44140625" style="47" hidden="1" customWidth="1"/>
    <col min="13984" max="13984" width="5" style="47" customWidth="1"/>
    <col min="13985" max="13986" width="11.44140625" style="47" hidden="1" customWidth="1"/>
    <col min="13987" max="13987" width="5" style="47" customWidth="1"/>
    <col min="13988" max="13989" width="11.44140625" style="47" hidden="1" customWidth="1"/>
    <col min="13990" max="13990" width="5" style="47" customWidth="1"/>
    <col min="13991" max="13992" width="11.44140625" style="47" hidden="1" customWidth="1"/>
    <col min="13993" max="13993" width="5" style="47" customWidth="1"/>
    <col min="13994" max="13995" width="11.44140625" style="47" hidden="1" customWidth="1"/>
    <col min="13996" max="13996" width="5" style="47" customWidth="1"/>
    <col min="13997" max="13997" width="11.44140625" style="47" hidden="1" customWidth="1"/>
    <col min="13998" max="13998" width="6.44140625" style="47" customWidth="1"/>
    <col min="13999" max="13999" width="11.44140625" style="47" hidden="1" customWidth="1"/>
    <col min="14000" max="14000" width="7.109375" style="47" customWidth="1"/>
    <col min="14001" max="14002" width="11.44140625" style="47" hidden="1" customWidth="1"/>
    <col min="14003" max="14003" width="7.109375" style="47" customWidth="1"/>
    <col min="14004" max="14005" width="11.44140625" style="47" hidden="1" customWidth="1"/>
    <col min="14006" max="14006" width="7.109375" style="47" customWidth="1"/>
    <col min="14007" max="14008" width="11.44140625" style="47" hidden="1" customWidth="1"/>
    <col min="14009" max="14009" width="7.109375" style="47" customWidth="1"/>
    <col min="14010" max="14011" width="11.44140625" style="47" hidden="1" customWidth="1"/>
    <col min="14012" max="14012" width="7.109375" style="47" customWidth="1"/>
    <col min="14013" max="14014" width="11.44140625" style="47" hidden="1" customWidth="1"/>
    <col min="14015" max="14015" width="7.109375" style="47" customWidth="1"/>
    <col min="14016" max="14017" width="11.44140625" style="47" hidden="1" customWidth="1"/>
    <col min="14018" max="14018" width="7.109375" style="47" customWidth="1"/>
    <col min="14019" max="14020" width="11.44140625" style="47" hidden="1" customWidth="1"/>
    <col min="14021" max="14021" width="7.109375" style="47" customWidth="1"/>
    <col min="14022" max="14022" width="11.44140625" style="47" hidden="1" customWidth="1"/>
    <col min="14023" max="14023" width="6.44140625" style="47" customWidth="1"/>
    <col min="14024" max="14044" width="11.44140625" style="47" hidden="1" customWidth="1"/>
    <col min="14045" max="14045" width="9" style="47" customWidth="1"/>
    <col min="14046" max="14047" width="11.44140625" style="47" hidden="1" customWidth="1"/>
    <col min="14048" max="14048" width="8.44140625" style="47" customWidth="1"/>
    <col min="14049" max="14050" width="11.44140625" style="47" hidden="1" customWidth="1"/>
    <col min="14051" max="14051" width="6.44140625" style="47" customWidth="1"/>
    <col min="14052" max="14053" width="11.44140625" style="47" hidden="1" customWidth="1"/>
    <col min="14054" max="14054" width="7" style="47" customWidth="1"/>
    <col min="14055" max="14056" width="11.44140625" style="47" hidden="1" customWidth="1"/>
    <col min="14057" max="14059" width="7" style="47" customWidth="1"/>
    <col min="14060" max="14061" width="11.44140625" style="47" hidden="1" customWidth="1"/>
    <col min="14062" max="14062" width="7.44140625" style="47" customWidth="1"/>
    <col min="14063" max="14064" width="11.44140625" style="47" hidden="1" customWidth="1"/>
    <col min="14065" max="14065" width="7" style="47" customWidth="1"/>
    <col min="14066" max="14067" width="11.44140625" style="47" hidden="1" customWidth="1"/>
    <col min="14068" max="14068" width="7" style="47" customWidth="1"/>
    <col min="14069" max="14070" width="11.44140625" style="47" hidden="1" customWidth="1"/>
    <col min="14071" max="14071" width="7" style="47" customWidth="1"/>
    <col min="14072" max="14072" width="11.44140625" style="47" hidden="1" customWidth="1"/>
    <col min="14073" max="14073" width="6.44140625" style="47" customWidth="1"/>
    <col min="14074" max="14083" width="11.44140625" style="47" hidden="1" customWidth="1"/>
    <col min="14084" max="14118" width="11.44140625" style="47" hidden="1"/>
    <col min="14119" max="14119" width="41.44140625" style="47" customWidth="1"/>
    <col min="14120" max="14120" width="6.44140625" style="47" customWidth="1"/>
    <col min="14121" max="14121" width="14.5546875" style="47" customWidth="1"/>
    <col min="14122" max="14122" width="11.44140625" style="47" customWidth="1"/>
    <col min="14123" max="14123" width="13" style="47" customWidth="1"/>
    <col min="14124" max="14124" width="25.44140625" style="47" customWidth="1"/>
    <col min="14125" max="14134" width="9.44140625" style="47" customWidth="1"/>
    <col min="14135" max="14135" width="8.88671875" style="47" customWidth="1"/>
    <col min="14136" max="14136" width="9.44140625" style="47" customWidth="1"/>
    <col min="14137" max="14137" width="10.109375" style="47" customWidth="1"/>
    <col min="14138" max="14149" width="11.44140625" style="47" hidden="1" customWidth="1"/>
    <col min="14150" max="14151" width="11.44140625" style="47" customWidth="1"/>
    <col min="14152" max="14152" width="35.44140625" style="47" customWidth="1"/>
    <col min="14153" max="14153" width="9.109375" style="47" customWidth="1"/>
    <col min="14154" max="14154" width="24.44140625" style="47" customWidth="1"/>
    <col min="14155" max="14155" width="18.44140625" style="47" customWidth="1"/>
    <col min="14156" max="14156" width="22.44140625" style="47" customWidth="1"/>
    <col min="14157" max="14157" width="5" style="47" customWidth="1"/>
    <col min="14158" max="14159" width="11.44140625" style="47" hidden="1" customWidth="1"/>
    <col min="14160" max="14160" width="5" style="47" customWidth="1"/>
    <col min="14161" max="14162" width="11.44140625" style="47" hidden="1" customWidth="1"/>
    <col min="14163" max="14163" width="5" style="47" customWidth="1"/>
    <col min="14164" max="14165" width="11.44140625" style="47" hidden="1" customWidth="1"/>
    <col min="14166" max="14166" width="5" style="47" customWidth="1"/>
    <col min="14167" max="14168" width="11.44140625" style="47" hidden="1" customWidth="1"/>
    <col min="14169" max="14169" width="5" style="47" customWidth="1"/>
    <col min="14170" max="14234" width="11.44140625" style="47" hidden="1" customWidth="1"/>
    <col min="14235" max="14235" width="9.44140625" style="47" customWidth="1"/>
    <col min="14236" max="14236" width="11.44140625" style="47" hidden="1" customWidth="1"/>
    <col min="14237" max="14237" width="5" style="47" customWidth="1"/>
    <col min="14238" max="14239" width="11.44140625" style="47" hidden="1" customWidth="1"/>
    <col min="14240" max="14240" width="5" style="47" customWidth="1"/>
    <col min="14241" max="14242" width="11.44140625" style="47" hidden="1" customWidth="1"/>
    <col min="14243" max="14243" width="5" style="47" customWidth="1"/>
    <col min="14244" max="14245" width="11.44140625" style="47" hidden="1" customWidth="1"/>
    <col min="14246" max="14246" width="5" style="47" customWidth="1"/>
    <col min="14247" max="14248" width="11.44140625" style="47" hidden="1" customWidth="1"/>
    <col min="14249" max="14249" width="5" style="47" customWidth="1"/>
    <col min="14250" max="14251" width="11.44140625" style="47" hidden="1" customWidth="1"/>
    <col min="14252" max="14252" width="5" style="47" customWidth="1"/>
    <col min="14253" max="14253" width="11.44140625" style="47" hidden="1" customWidth="1"/>
    <col min="14254" max="14254" width="6.44140625" style="47" customWidth="1"/>
    <col min="14255" max="14255" width="11.44140625" style="47" hidden="1" customWidth="1"/>
    <col min="14256" max="14256" width="7.109375" style="47" customWidth="1"/>
    <col min="14257" max="14258" width="11.44140625" style="47" hidden="1" customWidth="1"/>
    <col min="14259" max="14259" width="7.109375" style="47" customWidth="1"/>
    <col min="14260" max="14261" width="11.44140625" style="47" hidden="1" customWidth="1"/>
    <col min="14262" max="14262" width="7.109375" style="47" customWidth="1"/>
    <col min="14263" max="14264" width="11.44140625" style="47" hidden="1" customWidth="1"/>
    <col min="14265" max="14265" width="7.109375" style="47" customWidth="1"/>
    <col min="14266" max="14267" width="11.44140625" style="47" hidden="1" customWidth="1"/>
    <col min="14268" max="14268" width="7.109375" style="47" customWidth="1"/>
    <col min="14269" max="14270" width="11.44140625" style="47" hidden="1" customWidth="1"/>
    <col min="14271" max="14271" width="7.109375" style="47" customWidth="1"/>
    <col min="14272" max="14273" width="11.44140625" style="47" hidden="1" customWidth="1"/>
    <col min="14274" max="14274" width="7.109375" style="47" customWidth="1"/>
    <col min="14275" max="14276" width="11.44140625" style="47" hidden="1" customWidth="1"/>
    <col min="14277" max="14277" width="7.109375" style="47" customWidth="1"/>
    <col min="14278" max="14278" width="11.44140625" style="47" hidden="1" customWidth="1"/>
    <col min="14279" max="14279" width="6.44140625" style="47" customWidth="1"/>
    <col min="14280" max="14300" width="11.44140625" style="47" hidden="1" customWidth="1"/>
    <col min="14301" max="14301" width="9" style="47" customWidth="1"/>
    <col min="14302" max="14303" width="11.44140625" style="47" hidden="1" customWidth="1"/>
    <col min="14304" max="14304" width="8.44140625" style="47" customWidth="1"/>
    <col min="14305" max="14306" width="11.44140625" style="47" hidden="1" customWidth="1"/>
    <col min="14307" max="14307" width="6.44140625" style="47" customWidth="1"/>
    <col min="14308" max="14309" width="11.44140625" style="47" hidden="1" customWidth="1"/>
    <col min="14310" max="14310" width="7" style="47" customWidth="1"/>
    <col min="14311" max="14312" width="11.44140625" style="47" hidden="1" customWidth="1"/>
    <col min="14313" max="14315" width="7" style="47" customWidth="1"/>
    <col min="14316" max="14317" width="11.44140625" style="47" hidden="1" customWidth="1"/>
    <col min="14318" max="14318" width="7.44140625" style="47" customWidth="1"/>
    <col min="14319" max="14320" width="11.44140625" style="47" hidden="1" customWidth="1"/>
    <col min="14321" max="14321" width="7" style="47" customWidth="1"/>
    <col min="14322" max="14323" width="11.44140625" style="47" hidden="1" customWidth="1"/>
    <col min="14324" max="14324" width="7" style="47" customWidth="1"/>
    <col min="14325" max="14326" width="11.44140625" style="47" hidden="1" customWidth="1"/>
    <col min="14327" max="14327" width="7" style="47" customWidth="1"/>
    <col min="14328" max="14328" width="11.44140625" style="47" hidden="1" customWidth="1"/>
    <col min="14329" max="14329" width="6.44140625" style="47" customWidth="1"/>
    <col min="14330" max="14339" width="11.44140625" style="47" hidden="1" customWidth="1"/>
    <col min="14340" max="14374" width="11.44140625" style="47" hidden="1"/>
    <col min="14375" max="14375" width="41.44140625" style="47" customWidth="1"/>
    <col min="14376" max="14376" width="6.44140625" style="47" customWidth="1"/>
    <col min="14377" max="14377" width="14.5546875" style="47" customWidth="1"/>
    <col min="14378" max="14378" width="11.44140625" style="47" customWidth="1"/>
    <col min="14379" max="14379" width="13" style="47" customWidth="1"/>
    <col min="14380" max="14380" width="25.44140625" style="47" customWidth="1"/>
    <col min="14381" max="14390" width="9.44140625" style="47" customWidth="1"/>
    <col min="14391" max="14391" width="8.88671875" style="47" customWidth="1"/>
    <col min="14392" max="14392" width="9.44140625" style="47" customWidth="1"/>
    <col min="14393" max="14393" width="10.109375" style="47" customWidth="1"/>
    <col min="14394" max="14405" width="11.44140625" style="47" hidden="1" customWidth="1"/>
    <col min="14406" max="14407" width="11.44140625" style="47" customWidth="1"/>
    <col min="14408" max="14408" width="35.44140625" style="47" customWidth="1"/>
    <col min="14409" max="14409" width="9.109375" style="47" customWidth="1"/>
    <col min="14410" max="14410" width="24.44140625" style="47" customWidth="1"/>
    <col min="14411" max="14411" width="18.44140625" style="47" customWidth="1"/>
    <col min="14412" max="14412" width="22.44140625" style="47" customWidth="1"/>
    <col min="14413" max="14413" width="5" style="47" customWidth="1"/>
    <col min="14414" max="14415" width="11.44140625" style="47" hidden="1" customWidth="1"/>
    <col min="14416" max="14416" width="5" style="47" customWidth="1"/>
    <col min="14417" max="14418" width="11.44140625" style="47" hidden="1" customWidth="1"/>
    <col min="14419" max="14419" width="5" style="47" customWidth="1"/>
    <col min="14420" max="14421" width="11.44140625" style="47" hidden="1" customWidth="1"/>
    <col min="14422" max="14422" width="5" style="47" customWidth="1"/>
    <col min="14423" max="14424" width="11.44140625" style="47" hidden="1" customWidth="1"/>
    <col min="14425" max="14425" width="5" style="47" customWidth="1"/>
    <col min="14426" max="14490" width="11.44140625" style="47" hidden="1" customWidth="1"/>
    <col min="14491" max="14491" width="9.44140625" style="47" customWidth="1"/>
    <col min="14492" max="14492" width="11.44140625" style="47" hidden="1" customWidth="1"/>
    <col min="14493" max="14493" width="5" style="47" customWidth="1"/>
    <col min="14494" max="14495" width="11.44140625" style="47" hidden="1" customWidth="1"/>
    <col min="14496" max="14496" width="5" style="47" customWidth="1"/>
    <col min="14497" max="14498" width="11.44140625" style="47" hidden="1" customWidth="1"/>
    <col min="14499" max="14499" width="5" style="47" customWidth="1"/>
    <col min="14500" max="14501" width="11.44140625" style="47" hidden="1" customWidth="1"/>
    <col min="14502" max="14502" width="5" style="47" customWidth="1"/>
    <col min="14503" max="14504" width="11.44140625" style="47" hidden="1" customWidth="1"/>
    <col min="14505" max="14505" width="5" style="47" customWidth="1"/>
    <col min="14506" max="14507" width="11.44140625" style="47" hidden="1" customWidth="1"/>
    <col min="14508" max="14508" width="5" style="47" customWidth="1"/>
    <col min="14509" max="14509" width="11.44140625" style="47" hidden="1" customWidth="1"/>
    <col min="14510" max="14510" width="6.44140625" style="47" customWidth="1"/>
    <col min="14511" max="14511" width="11.44140625" style="47" hidden="1" customWidth="1"/>
    <col min="14512" max="14512" width="7.109375" style="47" customWidth="1"/>
    <col min="14513" max="14514" width="11.44140625" style="47" hidden="1" customWidth="1"/>
    <col min="14515" max="14515" width="7.109375" style="47" customWidth="1"/>
    <col min="14516" max="14517" width="11.44140625" style="47" hidden="1" customWidth="1"/>
    <col min="14518" max="14518" width="7.109375" style="47" customWidth="1"/>
    <col min="14519" max="14520" width="11.44140625" style="47" hidden="1" customWidth="1"/>
    <col min="14521" max="14521" width="7.109375" style="47" customWidth="1"/>
    <col min="14522" max="14523" width="11.44140625" style="47" hidden="1" customWidth="1"/>
    <col min="14524" max="14524" width="7.109375" style="47" customWidth="1"/>
    <col min="14525" max="14526" width="11.44140625" style="47" hidden="1" customWidth="1"/>
    <col min="14527" max="14527" width="7.109375" style="47" customWidth="1"/>
    <col min="14528" max="14529" width="11.44140625" style="47" hidden="1" customWidth="1"/>
    <col min="14530" max="14530" width="7.109375" style="47" customWidth="1"/>
    <col min="14531" max="14532" width="11.44140625" style="47" hidden="1" customWidth="1"/>
    <col min="14533" max="14533" width="7.109375" style="47" customWidth="1"/>
    <col min="14534" max="14534" width="11.44140625" style="47" hidden="1" customWidth="1"/>
    <col min="14535" max="14535" width="6.44140625" style="47" customWidth="1"/>
    <col min="14536" max="14556" width="11.44140625" style="47" hidden="1" customWidth="1"/>
    <col min="14557" max="14557" width="9" style="47" customWidth="1"/>
    <col min="14558" max="14559" width="11.44140625" style="47" hidden="1" customWidth="1"/>
    <col min="14560" max="14560" width="8.44140625" style="47" customWidth="1"/>
    <col min="14561" max="14562" width="11.44140625" style="47" hidden="1" customWidth="1"/>
    <col min="14563" max="14563" width="6.44140625" style="47" customWidth="1"/>
    <col min="14564" max="14565" width="11.44140625" style="47" hidden="1" customWidth="1"/>
    <col min="14566" max="14566" width="7" style="47" customWidth="1"/>
    <col min="14567" max="14568" width="11.44140625" style="47" hidden="1" customWidth="1"/>
    <col min="14569" max="14571" width="7" style="47" customWidth="1"/>
    <col min="14572" max="14573" width="11.44140625" style="47" hidden="1" customWidth="1"/>
    <col min="14574" max="14574" width="7.44140625" style="47" customWidth="1"/>
    <col min="14575" max="14576" width="11.44140625" style="47" hidden="1" customWidth="1"/>
    <col min="14577" max="14577" width="7" style="47" customWidth="1"/>
    <col min="14578" max="14579" width="11.44140625" style="47" hidden="1" customWidth="1"/>
    <col min="14580" max="14580" width="7" style="47" customWidth="1"/>
    <col min="14581" max="14582" width="11.44140625" style="47" hidden="1" customWidth="1"/>
    <col min="14583" max="14583" width="7" style="47" customWidth="1"/>
    <col min="14584" max="14584" width="11.44140625" style="47" hidden="1" customWidth="1"/>
    <col min="14585" max="14585" width="6.44140625" style="47" customWidth="1"/>
    <col min="14586" max="14595" width="11.44140625" style="47" hidden="1" customWidth="1"/>
    <col min="14596" max="14630" width="11.44140625" style="47" hidden="1"/>
    <col min="14631" max="14631" width="41.44140625" style="47" customWidth="1"/>
    <col min="14632" max="14632" width="6.44140625" style="47" customWidth="1"/>
    <col min="14633" max="14633" width="14.5546875" style="47" customWidth="1"/>
    <col min="14634" max="14634" width="11.44140625" style="47" customWidth="1"/>
    <col min="14635" max="14635" width="13" style="47" customWidth="1"/>
    <col min="14636" max="14636" width="25.44140625" style="47" customWidth="1"/>
    <col min="14637" max="14646" width="9.44140625" style="47" customWidth="1"/>
    <col min="14647" max="14647" width="8.88671875" style="47" customWidth="1"/>
    <col min="14648" max="14648" width="9.44140625" style="47" customWidth="1"/>
    <col min="14649" max="14649" width="10.109375" style="47" customWidth="1"/>
    <col min="14650" max="14661" width="11.44140625" style="47" hidden="1" customWidth="1"/>
    <col min="14662" max="14663" width="11.44140625" style="47" customWidth="1"/>
    <col min="14664" max="14664" width="35.44140625" style="47" customWidth="1"/>
    <col min="14665" max="14665" width="9.109375" style="47" customWidth="1"/>
    <col min="14666" max="14666" width="24.44140625" style="47" customWidth="1"/>
    <col min="14667" max="14667" width="18.44140625" style="47" customWidth="1"/>
    <col min="14668" max="14668" width="22.44140625" style="47" customWidth="1"/>
    <col min="14669" max="14669" width="5" style="47" customWidth="1"/>
    <col min="14670" max="14671" width="11.44140625" style="47" hidden="1" customWidth="1"/>
    <col min="14672" max="14672" width="5" style="47" customWidth="1"/>
    <col min="14673" max="14674" width="11.44140625" style="47" hidden="1" customWidth="1"/>
    <col min="14675" max="14675" width="5" style="47" customWidth="1"/>
    <col min="14676" max="14677" width="11.44140625" style="47" hidden="1" customWidth="1"/>
    <col min="14678" max="14678" width="5" style="47" customWidth="1"/>
    <col min="14679" max="14680" width="11.44140625" style="47" hidden="1" customWidth="1"/>
    <col min="14681" max="14681" width="5" style="47" customWidth="1"/>
    <col min="14682" max="14746" width="11.44140625" style="47" hidden="1" customWidth="1"/>
    <col min="14747" max="14747" width="9.44140625" style="47" customWidth="1"/>
    <col min="14748" max="14748" width="11.44140625" style="47" hidden="1" customWidth="1"/>
    <col min="14749" max="14749" width="5" style="47" customWidth="1"/>
    <col min="14750" max="14751" width="11.44140625" style="47" hidden="1" customWidth="1"/>
    <col min="14752" max="14752" width="5" style="47" customWidth="1"/>
    <col min="14753" max="14754" width="11.44140625" style="47" hidden="1" customWidth="1"/>
    <col min="14755" max="14755" width="5" style="47" customWidth="1"/>
    <col min="14756" max="14757" width="11.44140625" style="47" hidden="1" customWidth="1"/>
    <col min="14758" max="14758" width="5" style="47" customWidth="1"/>
    <col min="14759" max="14760" width="11.44140625" style="47" hidden="1" customWidth="1"/>
    <col min="14761" max="14761" width="5" style="47" customWidth="1"/>
    <col min="14762" max="14763" width="11.44140625" style="47" hidden="1" customWidth="1"/>
    <col min="14764" max="14764" width="5" style="47" customWidth="1"/>
    <col min="14765" max="14765" width="11.44140625" style="47" hidden="1" customWidth="1"/>
    <col min="14766" max="14766" width="6.44140625" style="47" customWidth="1"/>
    <col min="14767" max="14767" width="11.44140625" style="47" hidden="1" customWidth="1"/>
    <col min="14768" max="14768" width="7.109375" style="47" customWidth="1"/>
    <col min="14769" max="14770" width="11.44140625" style="47" hidden="1" customWidth="1"/>
    <col min="14771" max="14771" width="7.109375" style="47" customWidth="1"/>
    <col min="14772" max="14773" width="11.44140625" style="47" hidden="1" customWidth="1"/>
    <col min="14774" max="14774" width="7.109375" style="47" customWidth="1"/>
    <col min="14775" max="14776" width="11.44140625" style="47" hidden="1" customWidth="1"/>
    <col min="14777" max="14777" width="7.109375" style="47" customWidth="1"/>
    <col min="14778" max="14779" width="11.44140625" style="47" hidden="1" customWidth="1"/>
    <col min="14780" max="14780" width="7.109375" style="47" customWidth="1"/>
    <col min="14781" max="14782" width="11.44140625" style="47" hidden="1" customWidth="1"/>
    <col min="14783" max="14783" width="7.109375" style="47" customWidth="1"/>
    <col min="14784" max="14785" width="11.44140625" style="47" hidden="1" customWidth="1"/>
    <col min="14786" max="14786" width="7.109375" style="47" customWidth="1"/>
    <col min="14787" max="14788" width="11.44140625" style="47" hidden="1" customWidth="1"/>
    <col min="14789" max="14789" width="7.109375" style="47" customWidth="1"/>
    <col min="14790" max="14790" width="11.44140625" style="47" hidden="1" customWidth="1"/>
    <col min="14791" max="14791" width="6.44140625" style="47" customWidth="1"/>
    <col min="14792" max="14812" width="11.44140625" style="47" hidden="1" customWidth="1"/>
    <col min="14813" max="14813" width="9" style="47" customWidth="1"/>
    <col min="14814" max="14815" width="11.44140625" style="47" hidden="1" customWidth="1"/>
    <col min="14816" max="14816" width="8.44140625" style="47" customWidth="1"/>
    <col min="14817" max="14818" width="11.44140625" style="47" hidden="1" customWidth="1"/>
    <col min="14819" max="14819" width="6.44140625" style="47" customWidth="1"/>
    <col min="14820" max="14821" width="11.44140625" style="47" hidden="1" customWidth="1"/>
    <col min="14822" max="14822" width="7" style="47" customWidth="1"/>
    <col min="14823" max="14824" width="11.44140625" style="47" hidden="1" customWidth="1"/>
    <col min="14825" max="14827" width="7" style="47" customWidth="1"/>
    <col min="14828" max="14829" width="11.44140625" style="47" hidden="1" customWidth="1"/>
    <col min="14830" max="14830" width="7.44140625" style="47" customWidth="1"/>
    <col min="14831" max="14832" width="11.44140625" style="47" hidden="1" customWidth="1"/>
    <col min="14833" max="14833" width="7" style="47" customWidth="1"/>
    <col min="14834" max="14835" width="11.44140625" style="47" hidden="1" customWidth="1"/>
    <col min="14836" max="14836" width="7" style="47" customWidth="1"/>
    <col min="14837" max="14838" width="11.44140625" style="47" hidden="1" customWidth="1"/>
    <col min="14839" max="14839" width="7" style="47" customWidth="1"/>
    <col min="14840" max="14840" width="11.44140625" style="47" hidden="1" customWidth="1"/>
    <col min="14841" max="14841" width="6.44140625" style="47" customWidth="1"/>
    <col min="14842" max="14851" width="11.44140625" style="47" hidden="1" customWidth="1"/>
    <col min="14852" max="14886" width="11.44140625" style="47" hidden="1"/>
    <col min="14887" max="14887" width="41.44140625" style="47" customWidth="1"/>
    <col min="14888" max="14888" width="6.44140625" style="47" customWidth="1"/>
    <col min="14889" max="14889" width="14.5546875" style="47" customWidth="1"/>
    <col min="14890" max="14890" width="11.44140625" style="47" customWidth="1"/>
    <col min="14891" max="14891" width="13" style="47" customWidth="1"/>
    <col min="14892" max="14892" width="25.44140625" style="47" customWidth="1"/>
    <col min="14893" max="14902" width="9.44140625" style="47" customWidth="1"/>
    <col min="14903" max="14903" width="8.88671875" style="47" customWidth="1"/>
    <col min="14904" max="14904" width="9.44140625" style="47" customWidth="1"/>
    <col min="14905" max="14905" width="10.109375" style="47" customWidth="1"/>
    <col min="14906" max="14917" width="11.44140625" style="47" hidden="1" customWidth="1"/>
    <col min="14918" max="14919" width="11.44140625" style="47" customWidth="1"/>
    <col min="14920" max="14920" width="35.44140625" style="47" customWidth="1"/>
    <col min="14921" max="14921" width="9.109375" style="47" customWidth="1"/>
    <col min="14922" max="14922" width="24.44140625" style="47" customWidth="1"/>
    <col min="14923" max="14923" width="18.44140625" style="47" customWidth="1"/>
    <col min="14924" max="14924" width="22.44140625" style="47" customWidth="1"/>
    <col min="14925" max="14925" width="5" style="47" customWidth="1"/>
    <col min="14926" max="14927" width="11.44140625" style="47" hidden="1" customWidth="1"/>
    <col min="14928" max="14928" width="5" style="47" customWidth="1"/>
    <col min="14929" max="14930" width="11.44140625" style="47" hidden="1" customWidth="1"/>
    <col min="14931" max="14931" width="5" style="47" customWidth="1"/>
    <col min="14932" max="14933" width="11.44140625" style="47" hidden="1" customWidth="1"/>
    <col min="14934" max="14934" width="5" style="47" customWidth="1"/>
    <col min="14935" max="14936" width="11.44140625" style="47" hidden="1" customWidth="1"/>
    <col min="14937" max="14937" width="5" style="47" customWidth="1"/>
    <col min="14938" max="15002" width="11.44140625" style="47" hidden="1" customWidth="1"/>
    <col min="15003" max="15003" width="9.44140625" style="47" customWidth="1"/>
    <col min="15004" max="15004" width="11.44140625" style="47" hidden="1" customWidth="1"/>
    <col min="15005" max="15005" width="5" style="47" customWidth="1"/>
    <col min="15006" max="15007" width="11.44140625" style="47" hidden="1" customWidth="1"/>
    <col min="15008" max="15008" width="5" style="47" customWidth="1"/>
    <col min="15009" max="15010" width="11.44140625" style="47" hidden="1" customWidth="1"/>
    <col min="15011" max="15011" width="5" style="47" customWidth="1"/>
    <col min="15012" max="15013" width="11.44140625" style="47" hidden="1" customWidth="1"/>
    <col min="15014" max="15014" width="5" style="47" customWidth="1"/>
    <col min="15015" max="15016" width="11.44140625" style="47" hidden="1" customWidth="1"/>
    <col min="15017" max="15017" width="5" style="47" customWidth="1"/>
    <col min="15018" max="15019" width="11.44140625" style="47" hidden="1" customWidth="1"/>
    <col min="15020" max="15020" width="5" style="47" customWidth="1"/>
    <col min="15021" max="15021" width="11.44140625" style="47" hidden="1" customWidth="1"/>
    <col min="15022" max="15022" width="6.44140625" style="47" customWidth="1"/>
    <col min="15023" max="15023" width="11.44140625" style="47" hidden="1" customWidth="1"/>
    <col min="15024" max="15024" width="7.109375" style="47" customWidth="1"/>
    <col min="15025" max="15026" width="11.44140625" style="47" hidden="1" customWidth="1"/>
    <col min="15027" max="15027" width="7.109375" style="47" customWidth="1"/>
    <col min="15028" max="15029" width="11.44140625" style="47" hidden="1" customWidth="1"/>
    <col min="15030" max="15030" width="7.109375" style="47" customWidth="1"/>
    <col min="15031" max="15032" width="11.44140625" style="47" hidden="1" customWidth="1"/>
    <col min="15033" max="15033" width="7.109375" style="47" customWidth="1"/>
    <col min="15034" max="15035" width="11.44140625" style="47" hidden="1" customWidth="1"/>
    <col min="15036" max="15036" width="7.109375" style="47" customWidth="1"/>
    <col min="15037" max="15038" width="11.44140625" style="47" hidden="1" customWidth="1"/>
    <col min="15039" max="15039" width="7.109375" style="47" customWidth="1"/>
    <col min="15040" max="15041" width="11.44140625" style="47" hidden="1" customWidth="1"/>
    <col min="15042" max="15042" width="7.109375" style="47" customWidth="1"/>
    <col min="15043" max="15044" width="11.44140625" style="47" hidden="1" customWidth="1"/>
    <col min="15045" max="15045" width="7.109375" style="47" customWidth="1"/>
    <col min="15046" max="15046" width="11.44140625" style="47" hidden="1" customWidth="1"/>
    <col min="15047" max="15047" width="6.44140625" style="47" customWidth="1"/>
    <col min="15048" max="15068" width="11.44140625" style="47" hidden="1" customWidth="1"/>
    <col min="15069" max="15069" width="9" style="47" customWidth="1"/>
    <col min="15070" max="15071" width="11.44140625" style="47" hidden="1" customWidth="1"/>
    <col min="15072" max="15072" width="8.44140625" style="47" customWidth="1"/>
    <col min="15073" max="15074" width="11.44140625" style="47" hidden="1" customWidth="1"/>
    <col min="15075" max="15075" width="6.44140625" style="47" customWidth="1"/>
    <col min="15076" max="15077" width="11.44140625" style="47" hidden="1" customWidth="1"/>
    <col min="15078" max="15078" width="7" style="47" customWidth="1"/>
    <col min="15079" max="15080" width="11.44140625" style="47" hidden="1" customWidth="1"/>
    <col min="15081" max="15083" width="7" style="47" customWidth="1"/>
    <col min="15084" max="15085" width="11.44140625" style="47" hidden="1" customWidth="1"/>
    <col min="15086" max="15086" width="7.44140625" style="47" customWidth="1"/>
    <col min="15087" max="15088" width="11.44140625" style="47" hidden="1" customWidth="1"/>
    <col min="15089" max="15089" width="7" style="47" customWidth="1"/>
    <col min="15090" max="15091" width="11.44140625" style="47" hidden="1" customWidth="1"/>
    <col min="15092" max="15092" width="7" style="47" customWidth="1"/>
    <col min="15093" max="15094" width="11.44140625" style="47" hidden="1" customWidth="1"/>
    <col min="15095" max="15095" width="7" style="47" customWidth="1"/>
    <col min="15096" max="15096" width="11.44140625" style="47" hidden="1" customWidth="1"/>
    <col min="15097" max="15097" width="6.44140625" style="47" customWidth="1"/>
    <col min="15098" max="15107" width="11.44140625" style="47" hidden="1" customWidth="1"/>
    <col min="15108" max="15142" width="11.44140625" style="47" hidden="1"/>
    <col min="15143" max="15143" width="41.44140625" style="47" customWidth="1"/>
    <col min="15144" max="15144" width="6.44140625" style="47" customWidth="1"/>
    <col min="15145" max="15145" width="14.5546875" style="47" customWidth="1"/>
    <col min="15146" max="15146" width="11.44140625" style="47" customWidth="1"/>
    <col min="15147" max="15147" width="13" style="47" customWidth="1"/>
    <col min="15148" max="15148" width="25.44140625" style="47" customWidth="1"/>
    <col min="15149" max="15158" width="9.44140625" style="47" customWidth="1"/>
    <col min="15159" max="15159" width="8.88671875" style="47" customWidth="1"/>
    <col min="15160" max="15160" width="9.44140625" style="47" customWidth="1"/>
    <col min="15161" max="15161" width="10.109375" style="47" customWidth="1"/>
    <col min="15162" max="15173" width="11.44140625" style="47" hidden="1" customWidth="1"/>
    <col min="15174" max="15175" width="11.44140625" style="47" customWidth="1"/>
    <col min="15176" max="15176" width="35.44140625" style="47" customWidth="1"/>
    <col min="15177" max="15177" width="9.109375" style="47" customWidth="1"/>
    <col min="15178" max="15178" width="24.44140625" style="47" customWidth="1"/>
    <col min="15179" max="15179" width="18.44140625" style="47" customWidth="1"/>
    <col min="15180" max="15180" width="22.44140625" style="47" customWidth="1"/>
    <col min="15181" max="15181" width="5" style="47" customWidth="1"/>
    <col min="15182" max="15183" width="11.44140625" style="47" hidden="1" customWidth="1"/>
    <col min="15184" max="15184" width="5" style="47" customWidth="1"/>
    <col min="15185" max="15186" width="11.44140625" style="47" hidden="1" customWidth="1"/>
    <col min="15187" max="15187" width="5" style="47" customWidth="1"/>
    <col min="15188" max="15189" width="11.44140625" style="47" hidden="1" customWidth="1"/>
    <col min="15190" max="15190" width="5" style="47" customWidth="1"/>
    <col min="15191" max="15192" width="11.44140625" style="47" hidden="1" customWidth="1"/>
    <col min="15193" max="15193" width="5" style="47" customWidth="1"/>
    <col min="15194" max="15258" width="11.44140625" style="47" hidden="1" customWidth="1"/>
    <col min="15259" max="15259" width="9.44140625" style="47" customWidth="1"/>
    <col min="15260" max="15260" width="11.44140625" style="47" hidden="1" customWidth="1"/>
    <col min="15261" max="15261" width="5" style="47" customWidth="1"/>
    <col min="15262" max="15263" width="11.44140625" style="47" hidden="1" customWidth="1"/>
    <col min="15264" max="15264" width="5" style="47" customWidth="1"/>
    <col min="15265" max="15266" width="11.44140625" style="47" hidden="1" customWidth="1"/>
    <col min="15267" max="15267" width="5" style="47" customWidth="1"/>
    <col min="15268" max="15269" width="11.44140625" style="47" hidden="1" customWidth="1"/>
    <col min="15270" max="15270" width="5" style="47" customWidth="1"/>
    <col min="15271" max="15272" width="11.44140625" style="47" hidden="1" customWidth="1"/>
    <col min="15273" max="15273" width="5" style="47" customWidth="1"/>
    <col min="15274" max="15275" width="11.44140625" style="47" hidden="1" customWidth="1"/>
    <col min="15276" max="15276" width="5" style="47" customWidth="1"/>
    <col min="15277" max="15277" width="11.44140625" style="47" hidden="1" customWidth="1"/>
    <col min="15278" max="15278" width="6.44140625" style="47" customWidth="1"/>
    <col min="15279" max="15279" width="11.44140625" style="47" hidden="1" customWidth="1"/>
    <col min="15280" max="15280" width="7.109375" style="47" customWidth="1"/>
    <col min="15281" max="15282" width="11.44140625" style="47" hidden="1" customWidth="1"/>
    <col min="15283" max="15283" width="7.109375" style="47" customWidth="1"/>
    <col min="15284" max="15285" width="11.44140625" style="47" hidden="1" customWidth="1"/>
    <col min="15286" max="15286" width="7.109375" style="47" customWidth="1"/>
    <col min="15287" max="15288" width="11.44140625" style="47" hidden="1" customWidth="1"/>
    <col min="15289" max="15289" width="7.109375" style="47" customWidth="1"/>
    <col min="15290" max="15291" width="11.44140625" style="47" hidden="1" customWidth="1"/>
    <col min="15292" max="15292" width="7.109375" style="47" customWidth="1"/>
    <col min="15293" max="15294" width="11.44140625" style="47" hidden="1" customWidth="1"/>
    <col min="15295" max="15295" width="7.109375" style="47" customWidth="1"/>
    <col min="15296" max="15297" width="11.44140625" style="47" hidden="1" customWidth="1"/>
    <col min="15298" max="15298" width="7.109375" style="47" customWidth="1"/>
    <col min="15299" max="15300" width="11.44140625" style="47" hidden="1" customWidth="1"/>
    <col min="15301" max="15301" width="7.109375" style="47" customWidth="1"/>
    <col min="15302" max="15302" width="11.44140625" style="47" hidden="1" customWidth="1"/>
    <col min="15303" max="15303" width="6.44140625" style="47" customWidth="1"/>
    <col min="15304" max="15324" width="11.44140625" style="47" hidden="1" customWidth="1"/>
    <col min="15325" max="15325" width="9" style="47" customWidth="1"/>
    <col min="15326" max="15327" width="11.44140625" style="47" hidden="1" customWidth="1"/>
    <col min="15328" max="15328" width="8.44140625" style="47" customWidth="1"/>
    <col min="15329" max="15330" width="11.44140625" style="47" hidden="1" customWidth="1"/>
    <col min="15331" max="15331" width="6.44140625" style="47" customWidth="1"/>
    <col min="15332" max="15333" width="11.44140625" style="47" hidden="1" customWidth="1"/>
    <col min="15334" max="15334" width="7" style="47" customWidth="1"/>
    <col min="15335" max="15336" width="11.44140625" style="47" hidden="1" customWidth="1"/>
    <col min="15337" max="15339" width="7" style="47" customWidth="1"/>
    <col min="15340" max="15341" width="11.44140625" style="47" hidden="1" customWidth="1"/>
    <col min="15342" max="15342" width="7.44140625" style="47" customWidth="1"/>
    <col min="15343" max="15344" width="11.44140625" style="47" hidden="1" customWidth="1"/>
    <col min="15345" max="15345" width="7" style="47" customWidth="1"/>
    <col min="15346" max="15347" width="11.44140625" style="47" hidden="1" customWidth="1"/>
    <col min="15348" max="15348" width="7" style="47" customWidth="1"/>
    <col min="15349" max="15350" width="11.44140625" style="47" hidden="1" customWidth="1"/>
    <col min="15351" max="15351" width="7" style="47" customWidth="1"/>
    <col min="15352" max="15352" width="11.44140625" style="47" hidden="1" customWidth="1"/>
    <col min="15353" max="15353" width="6.44140625" style="47" customWidth="1"/>
    <col min="15354" max="15363" width="11.44140625" style="47" hidden="1" customWidth="1"/>
    <col min="15364" max="15398" width="11.44140625" style="47" hidden="1"/>
    <col min="15399" max="15399" width="41.44140625" style="47" customWidth="1"/>
    <col min="15400" max="15400" width="6.44140625" style="47" customWidth="1"/>
    <col min="15401" max="15401" width="14.5546875" style="47" customWidth="1"/>
    <col min="15402" max="15402" width="11.44140625" style="47" customWidth="1"/>
    <col min="15403" max="15403" width="13" style="47" customWidth="1"/>
    <col min="15404" max="15404" width="25.44140625" style="47" customWidth="1"/>
    <col min="15405" max="15414" width="9.44140625" style="47" customWidth="1"/>
    <col min="15415" max="15415" width="8.88671875" style="47" customWidth="1"/>
    <col min="15416" max="15416" width="9.44140625" style="47" customWidth="1"/>
    <col min="15417" max="15417" width="10.109375" style="47" customWidth="1"/>
    <col min="15418" max="15429" width="11.44140625" style="47" hidden="1" customWidth="1"/>
    <col min="15430" max="15431" width="11.44140625" style="47" customWidth="1"/>
    <col min="15432" max="15432" width="35.44140625" style="47" customWidth="1"/>
    <col min="15433" max="15433" width="9.109375" style="47" customWidth="1"/>
    <col min="15434" max="15434" width="24.44140625" style="47" customWidth="1"/>
    <col min="15435" max="15435" width="18.44140625" style="47" customWidth="1"/>
    <col min="15436" max="15436" width="22.44140625" style="47" customWidth="1"/>
    <col min="15437" max="15437" width="5" style="47" customWidth="1"/>
    <col min="15438" max="15439" width="11.44140625" style="47" hidden="1" customWidth="1"/>
    <col min="15440" max="15440" width="5" style="47" customWidth="1"/>
    <col min="15441" max="15442" width="11.44140625" style="47" hidden="1" customWidth="1"/>
    <col min="15443" max="15443" width="5" style="47" customWidth="1"/>
    <col min="15444" max="15445" width="11.44140625" style="47" hidden="1" customWidth="1"/>
    <col min="15446" max="15446" width="5" style="47" customWidth="1"/>
    <col min="15447" max="15448" width="11.44140625" style="47" hidden="1" customWidth="1"/>
    <col min="15449" max="15449" width="5" style="47" customWidth="1"/>
    <col min="15450" max="15514" width="11.44140625" style="47" hidden="1" customWidth="1"/>
    <col min="15515" max="15515" width="9.44140625" style="47" customWidth="1"/>
    <col min="15516" max="15516" width="11.44140625" style="47" hidden="1" customWidth="1"/>
    <col min="15517" max="15517" width="5" style="47" customWidth="1"/>
    <col min="15518" max="15519" width="11.44140625" style="47" hidden="1" customWidth="1"/>
    <col min="15520" max="15520" width="5" style="47" customWidth="1"/>
    <col min="15521" max="15522" width="11.44140625" style="47" hidden="1" customWidth="1"/>
    <col min="15523" max="15523" width="5" style="47" customWidth="1"/>
    <col min="15524" max="15525" width="11.44140625" style="47" hidden="1" customWidth="1"/>
    <col min="15526" max="15526" width="5" style="47" customWidth="1"/>
    <col min="15527" max="15528" width="11.44140625" style="47" hidden="1" customWidth="1"/>
    <col min="15529" max="15529" width="5" style="47" customWidth="1"/>
    <col min="15530" max="15531" width="11.44140625" style="47" hidden="1" customWidth="1"/>
    <col min="15532" max="15532" width="5" style="47" customWidth="1"/>
    <col min="15533" max="15533" width="11.44140625" style="47" hidden="1" customWidth="1"/>
    <col min="15534" max="15534" width="6.44140625" style="47" customWidth="1"/>
    <col min="15535" max="15535" width="11.44140625" style="47" hidden="1" customWidth="1"/>
    <col min="15536" max="15536" width="7.109375" style="47" customWidth="1"/>
    <col min="15537" max="15538" width="11.44140625" style="47" hidden="1" customWidth="1"/>
    <col min="15539" max="15539" width="7.109375" style="47" customWidth="1"/>
    <col min="15540" max="15541" width="11.44140625" style="47" hidden="1" customWidth="1"/>
    <col min="15542" max="15542" width="7.109375" style="47" customWidth="1"/>
    <col min="15543" max="15544" width="11.44140625" style="47" hidden="1" customWidth="1"/>
    <col min="15545" max="15545" width="7.109375" style="47" customWidth="1"/>
    <col min="15546" max="15547" width="11.44140625" style="47" hidden="1" customWidth="1"/>
    <col min="15548" max="15548" width="7.109375" style="47" customWidth="1"/>
    <col min="15549" max="15550" width="11.44140625" style="47" hidden="1" customWidth="1"/>
    <col min="15551" max="15551" width="7.109375" style="47" customWidth="1"/>
    <col min="15552" max="15553" width="11.44140625" style="47" hidden="1" customWidth="1"/>
    <col min="15554" max="15554" width="7.109375" style="47" customWidth="1"/>
    <col min="15555" max="15556" width="11.44140625" style="47" hidden="1" customWidth="1"/>
    <col min="15557" max="15557" width="7.109375" style="47" customWidth="1"/>
    <col min="15558" max="15558" width="11.44140625" style="47" hidden="1" customWidth="1"/>
    <col min="15559" max="15559" width="6.44140625" style="47" customWidth="1"/>
    <col min="15560" max="15580" width="11.44140625" style="47" hidden="1" customWidth="1"/>
    <col min="15581" max="15581" width="9" style="47" customWidth="1"/>
    <col min="15582" max="15583" width="11.44140625" style="47" hidden="1" customWidth="1"/>
    <col min="15584" max="15584" width="8.44140625" style="47" customWidth="1"/>
    <col min="15585" max="15586" width="11.44140625" style="47" hidden="1" customWidth="1"/>
    <col min="15587" max="15587" width="6.44140625" style="47" customWidth="1"/>
    <col min="15588" max="15589" width="11.44140625" style="47" hidden="1" customWidth="1"/>
    <col min="15590" max="15590" width="7" style="47" customWidth="1"/>
    <col min="15591" max="15592" width="11.44140625" style="47" hidden="1" customWidth="1"/>
    <col min="15593" max="15595" width="7" style="47" customWidth="1"/>
    <col min="15596" max="15597" width="11.44140625" style="47" hidden="1" customWidth="1"/>
    <col min="15598" max="15598" width="7.44140625" style="47" customWidth="1"/>
    <col min="15599" max="15600" width="11.44140625" style="47" hidden="1" customWidth="1"/>
    <col min="15601" max="15601" width="7" style="47" customWidth="1"/>
    <col min="15602" max="15603" width="11.44140625" style="47" hidden="1" customWidth="1"/>
    <col min="15604" max="15604" width="7" style="47" customWidth="1"/>
    <col min="15605" max="15606" width="11.44140625" style="47" hidden="1" customWidth="1"/>
    <col min="15607" max="15607" width="7" style="47" customWidth="1"/>
    <col min="15608" max="15608" width="11.44140625" style="47" hidden="1" customWidth="1"/>
    <col min="15609" max="15609" width="6.44140625" style="47" customWidth="1"/>
    <col min="15610" max="15619" width="11.44140625" style="47" hidden="1" customWidth="1"/>
    <col min="15620" max="15654" width="11.44140625" style="47" hidden="1"/>
    <col min="15655" max="15655" width="41.44140625" style="47" customWidth="1"/>
    <col min="15656" max="15656" width="6.44140625" style="47" customWidth="1"/>
    <col min="15657" max="15657" width="14.5546875" style="47" customWidth="1"/>
    <col min="15658" max="15658" width="11.44140625" style="47" customWidth="1"/>
    <col min="15659" max="15659" width="13" style="47" customWidth="1"/>
    <col min="15660" max="15660" width="25.44140625" style="47" customWidth="1"/>
    <col min="15661" max="15670" width="9.44140625" style="47" customWidth="1"/>
    <col min="15671" max="15671" width="8.88671875" style="47" customWidth="1"/>
    <col min="15672" max="15672" width="9.44140625" style="47" customWidth="1"/>
    <col min="15673" max="15673" width="10.109375" style="47" customWidth="1"/>
    <col min="15674" max="15685" width="11.44140625" style="47" hidden="1" customWidth="1"/>
    <col min="15686" max="15687" width="11.44140625" style="47" customWidth="1"/>
    <col min="15688" max="15688" width="35.44140625" style="47" customWidth="1"/>
    <col min="15689" max="15689" width="9.109375" style="47" customWidth="1"/>
    <col min="15690" max="15690" width="24.44140625" style="47" customWidth="1"/>
    <col min="15691" max="15691" width="18.44140625" style="47" customWidth="1"/>
    <col min="15692" max="15692" width="22.44140625" style="47" customWidth="1"/>
    <col min="15693" max="15693" width="5" style="47" customWidth="1"/>
    <col min="15694" max="15695" width="11.44140625" style="47" hidden="1" customWidth="1"/>
    <col min="15696" max="15696" width="5" style="47" customWidth="1"/>
    <col min="15697" max="15698" width="11.44140625" style="47" hidden="1" customWidth="1"/>
    <col min="15699" max="15699" width="5" style="47" customWidth="1"/>
    <col min="15700" max="15701" width="11.44140625" style="47" hidden="1" customWidth="1"/>
    <col min="15702" max="15702" width="5" style="47" customWidth="1"/>
    <col min="15703" max="15704" width="11.44140625" style="47" hidden="1" customWidth="1"/>
    <col min="15705" max="15705" width="5" style="47" customWidth="1"/>
    <col min="15706" max="15770" width="11.44140625" style="47" hidden="1" customWidth="1"/>
    <col min="15771" max="15771" width="9.44140625" style="47" customWidth="1"/>
    <col min="15772" max="15772" width="11.44140625" style="47" hidden="1" customWidth="1"/>
    <col min="15773" max="15773" width="5" style="47" customWidth="1"/>
    <col min="15774" max="15775" width="11.44140625" style="47" hidden="1" customWidth="1"/>
    <col min="15776" max="15776" width="5" style="47" customWidth="1"/>
    <col min="15777" max="15778" width="11.44140625" style="47" hidden="1" customWidth="1"/>
    <col min="15779" max="15779" width="5" style="47" customWidth="1"/>
    <col min="15780" max="15781" width="11.44140625" style="47" hidden="1" customWidth="1"/>
    <col min="15782" max="15782" width="5" style="47" customWidth="1"/>
    <col min="15783" max="15784" width="11.44140625" style="47" hidden="1" customWidth="1"/>
    <col min="15785" max="15785" width="5" style="47" customWidth="1"/>
    <col min="15786" max="15787" width="11.44140625" style="47" hidden="1" customWidth="1"/>
    <col min="15788" max="15788" width="5" style="47" customWidth="1"/>
    <col min="15789" max="15789" width="11.44140625" style="47" hidden="1" customWidth="1"/>
    <col min="15790" max="15790" width="6.44140625" style="47" customWidth="1"/>
    <col min="15791" max="15791" width="11.44140625" style="47" hidden="1" customWidth="1"/>
    <col min="15792" max="15792" width="7.109375" style="47" customWidth="1"/>
    <col min="15793" max="15794" width="11.44140625" style="47" hidden="1" customWidth="1"/>
    <col min="15795" max="15795" width="7.109375" style="47" customWidth="1"/>
    <col min="15796" max="15797" width="11.44140625" style="47" hidden="1" customWidth="1"/>
    <col min="15798" max="15798" width="7.109375" style="47" customWidth="1"/>
    <col min="15799" max="15800" width="11.44140625" style="47" hidden="1" customWidth="1"/>
    <col min="15801" max="15801" width="7.109375" style="47" customWidth="1"/>
    <col min="15802" max="15803" width="11.44140625" style="47" hidden="1" customWidth="1"/>
    <col min="15804" max="15804" width="7.109375" style="47" customWidth="1"/>
    <col min="15805" max="15806" width="11.44140625" style="47" hidden="1" customWidth="1"/>
    <col min="15807" max="15807" width="7.109375" style="47" customWidth="1"/>
    <col min="15808" max="15809" width="11.44140625" style="47" hidden="1" customWidth="1"/>
    <col min="15810" max="15810" width="7.109375" style="47" customWidth="1"/>
    <col min="15811" max="15812" width="11.44140625" style="47" hidden="1" customWidth="1"/>
    <col min="15813" max="15813" width="7.109375" style="47" customWidth="1"/>
    <col min="15814" max="15814" width="11.44140625" style="47" hidden="1" customWidth="1"/>
    <col min="15815" max="15815" width="6.44140625" style="47" customWidth="1"/>
    <col min="15816" max="15836" width="11.44140625" style="47" hidden="1" customWidth="1"/>
    <col min="15837" max="15837" width="9" style="47" customWidth="1"/>
    <col min="15838" max="15839" width="11.44140625" style="47" hidden="1" customWidth="1"/>
    <col min="15840" max="15840" width="8.44140625" style="47" customWidth="1"/>
    <col min="15841" max="15842" width="11.44140625" style="47" hidden="1" customWidth="1"/>
    <col min="15843" max="15843" width="6.44140625" style="47" customWidth="1"/>
    <col min="15844" max="15845" width="11.44140625" style="47" hidden="1" customWidth="1"/>
    <col min="15846" max="15846" width="7" style="47" customWidth="1"/>
    <col min="15847" max="15848" width="11.44140625" style="47" hidden="1" customWidth="1"/>
    <col min="15849" max="15851" width="7" style="47" customWidth="1"/>
    <col min="15852" max="15853" width="11.44140625" style="47" hidden="1" customWidth="1"/>
    <col min="15854" max="15854" width="7.44140625" style="47" customWidth="1"/>
    <col min="15855" max="15856" width="11.44140625" style="47" hidden="1" customWidth="1"/>
    <col min="15857" max="15857" width="7" style="47" customWidth="1"/>
    <col min="15858" max="15859" width="11.44140625" style="47" hidden="1" customWidth="1"/>
    <col min="15860" max="15860" width="7" style="47" customWidth="1"/>
    <col min="15861" max="15862" width="11.44140625" style="47" hidden="1" customWidth="1"/>
    <col min="15863" max="15863" width="7" style="47" customWidth="1"/>
    <col min="15864" max="15864" width="11.44140625" style="47" hidden="1" customWidth="1"/>
    <col min="15865" max="15865" width="6.44140625" style="47" customWidth="1"/>
    <col min="15866" max="15875" width="11.44140625" style="47" hidden="1" customWidth="1"/>
    <col min="15876" max="15910" width="11.44140625" style="47" hidden="1"/>
    <col min="15911" max="15911" width="41.44140625" style="47" customWidth="1"/>
    <col min="15912" max="15912" width="6.44140625" style="47" customWidth="1"/>
    <col min="15913" max="15913" width="14.5546875" style="47" customWidth="1"/>
    <col min="15914" max="15914" width="11.44140625" style="47" customWidth="1"/>
    <col min="15915" max="15915" width="13" style="47" customWidth="1"/>
    <col min="15916" max="15916" width="25.44140625" style="47" customWidth="1"/>
    <col min="15917" max="15926" width="9.44140625" style="47" customWidth="1"/>
    <col min="15927" max="15927" width="8.88671875" style="47" customWidth="1"/>
    <col min="15928" max="15928" width="9.44140625" style="47" customWidth="1"/>
    <col min="15929" max="15929" width="10.109375" style="47" customWidth="1"/>
    <col min="15930" max="15941" width="11.44140625" style="47" hidden="1" customWidth="1"/>
    <col min="15942" max="15943" width="11.44140625" style="47" customWidth="1"/>
    <col min="15944" max="15944" width="35.44140625" style="47" customWidth="1"/>
    <col min="15945" max="15945" width="9.109375" style="47" customWidth="1"/>
    <col min="15946" max="15946" width="24.44140625" style="47" customWidth="1"/>
    <col min="15947" max="15947" width="18.44140625" style="47" customWidth="1"/>
    <col min="15948" max="15948" width="22.44140625" style="47" customWidth="1"/>
    <col min="15949" max="15949" width="5" style="47" customWidth="1"/>
    <col min="15950" max="15951" width="11.44140625" style="47" hidden="1" customWidth="1"/>
    <col min="15952" max="15952" width="5" style="47" customWidth="1"/>
    <col min="15953" max="15954" width="11.44140625" style="47" hidden="1" customWidth="1"/>
    <col min="15955" max="15955" width="5" style="47" customWidth="1"/>
    <col min="15956" max="15957" width="11.44140625" style="47" hidden="1" customWidth="1"/>
    <col min="15958" max="15958" width="5" style="47" customWidth="1"/>
    <col min="15959" max="15960" width="11.44140625" style="47" hidden="1" customWidth="1"/>
    <col min="15961" max="15961" width="5" style="47" customWidth="1"/>
    <col min="15962" max="16026" width="11.44140625" style="47" hidden="1" customWidth="1"/>
    <col min="16027" max="16027" width="9.44140625" style="47" customWidth="1"/>
    <col min="16028" max="16028" width="11.44140625" style="47" hidden="1" customWidth="1"/>
    <col min="16029" max="16029" width="5" style="47" customWidth="1"/>
    <col min="16030" max="16031" width="11.44140625" style="47" hidden="1" customWidth="1"/>
    <col min="16032" max="16032" width="5" style="47" customWidth="1"/>
    <col min="16033" max="16034" width="11.44140625" style="47" hidden="1" customWidth="1"/>
    <col min="16035" max="16035" width="5" style="47" customWidth="1"/>
    <col min="16036" max="16037" width="11.44140625" style="47" hidden="1" customWidth="1"/>
    <col min="16038" max="16038" width="5" style="47" customWidth="1"/>
    <col min="16039" max="16040" width="11.44140625" style="47" hidden="1" customWidth="1"/>
    <col min="16041" max="16041" width="5" style="47" customWidth="1"/>
    <col min="16042" max="16043" width="11.44140625" style="47" hidden="1" customWidth="1"/>
    <col min="16044" max="16044" width="5" style="47" customWidth="1"/>
    <col min="16045" max="16045" width="11.44140625" style="47" hidden="1" customWidth="1"/>
    <col min="16046" max="16046" width="6.44140625" style="47" customWidth="1"/>
    <col min="16047" max="16047" width="11.44140625" style="47" hidden="1" customWidth="1"/>
    <col min="16048" max="16048" width="7.109375" style="47" customWidth="1"/>
    <col min="16049" max="16050" width="11.44140625" style="47" hidden="1" customWidth="1"/>
    <col min="16051" max="16051" width="7.109375" style="47" customWidth="1"/>
    <col min="16052" max="16053" width="11.44140625" style="47" hidden="1" customWidth="1"/>
    <col min="16054" max="16054" width="7.109375" style="47" customWidth="1"/>
    <col min="16055" max="16056" width="11.44140625" style="47" hidden="1" customWidth="1"/>
    <col min="16057" max="16057" width="7.109375" style="47" customWidth="1"/>
    <col min="16058" max="16059" width="11.44140625" style="47" hidden="1" customWidth="1"/>
    <col min="16060" max="16060" width="7.109375" style="47" customWidth="1"/>
    <col min="16061" max="16062" width="11.44140625" style="47" hidden="1" customWidth="1"/>
    <col min="16063" max="16063" width="7.109375" style="47" customWidth="1"/>
    <col min="16064" max="16065" width="11.44140625" style="47" hidden="1" customWidth="1"/>
    <col min="16066" max="16066" width="7.109375" style="47" customWidth="1"/>
    <col min="16067" max="16068" width="11.44140625" style="47" hidden="1" customWidth="1"/>
    <col min="16069" max="16069" width="7.109375" style="47" customWidth="1"/>
    <col min="16070" max="16070" width="11.44140625" style="47" hidden="1" customWidth="1"/>
    <col min="16071" max="16071" width="6.44140625" style="47" customWidth="1"/>
    <col min="16072" max="16092" width="11.44140625" style="47" hidden="1" customWidth="1"/>
    <col min="16093" max="16093" width="9" style="47" customWidth="1"/>
    <col min="16094" max="16095" width="11.44140625" style="47" hidden="1" customWidth="1"/>
    <col min="16096" max="16096" width="8.44140625" style="47" customWidth="1"/>
    <col min="16097" max="16098" width="11.44140625" style="47" hidden="1" customWidth="1"/>
    <col min="16099" max="16099" width="6.44140625" style="47" customWidth="1"/>
    <col min="16100" max="16101" width="11.44140625" style="47" hidden="1" customWidth="1"/>
    <col min="16102" max="16102" width="7" style="47" customWidth="1"/>
    <col min="16103" max="16104" width="11.44140625" style="47" hidden="1" customWidth="1"/>
    <col min="16105" max="16107" width="7" style="47" customWidth="1"/>
    <col min="16108" max="16109" width="11.44140625" style="47" hidden="1" customWidth="1"/>
    <col min="16110" max="16110" width="7.44140625" style="47" customWidth="1"/>
    <col min="16111" max="16112" width="11.44140625" style="47" hidden="1" customWidth="1"/>
    <col min="16113" max="16113" width="7" style="47" customWidth="1"/>
    <col min="16114" max="16115" width="11.44140625" style="47" hidden="1" customWidth="1"/>
    <col min="16116" max="16116" width="7" style="47" customWidth="1"/>
    <col min="16117" max="16118" width="11.44140625" style="47" hidden="1" customWidth="1"/>
    <col min="16119" max="16119" width="7" style="47" customWidth="1"/>
    <col min="16120" max="16120" width="11.44140625" style="47" hidden="1" customWidth="1"/>
    <col min="16121" max="16121" width="6.44140625" style="47" customWidth="1"/>
    <col min="16122" max="16131" width="11.44140625" style="47" hidden="1" customWidth="1"/>
    <col min="16132" max="16384" width="11.44140625" style="47" hidden="1"/>
  </cols>
  <sheetData>
    <row r="1" spans="1:5" s="41" customFormat="1" ht="18.75" customHeight="1">
      <c r="A1" s="51">
        <v>45476</v>
      </c>
      <c r="B1" s="52"/>
      <c r="C1" s="2" t="s">
        <v>0</v>
      </c>
      <c r="D1" s="53"/>
      <c r="E1" s="86"/>
    </row>
    <row r="2" spans="1:5" s="42" customFormat="1" ht="36" customHeight="1">
      <c r="A2" s="205" t="s">
        <v>1</v>
      </c>
      <c r="B2" s="54" t="s">
        <v>2</v>
      </c>
      <c r="C2" s="55" t="s">
        <v>3</v>
      </c>
      <c r="D2" s="56" t="s">
        <v>4</v>
      </c>
      <c r="E2" s="57" t="s">
        <v>5</v>
      </c>
    </row>
    <row r="3" spans="1:5" s="43" customFormat="1" hidden="1">
      <c r="A3" s="206"/>
      <c r="B3" s="58"/>
      <c r="C3" s="37"/>
      <c r="D3" s="59"/>
      <c r="E3" s="60"/>
    </row>
    <row r="4" spans="1:5" s="44" customFormat="1" ht="20.25" customHeight="1">
      <c r="A4" s="87" t="s">
        <v>6</v>
      </c>
      <c r="B4" s="64" t="s">
        <v>7</v>
      </c>
      <c r="C4" s="65">
        <v>5</v>
      </c>
      <c r="D4" s="66">
        <f>VLOOKUP(A4,'2.7'!A4:D289,4,)</f>
        <v>16000</v>
      </c>
      <c r="E4" s="88">
        <f>+D4*C4</f>
        <v>80000</v>
      </c>
    </row>
    <row r="5" spans="1:5" s="44" customFormat="1" ht="20.25" hidden="1" customHeight="1">
      <c r="A5" s="7" t="s">
        <v>8</v>
      </c>
      <c r="B5" s="61" t="s">
        <v>9</v>
      </c>
      <c r="C5" s="6"/>
      <c r="D5" s="62"/>
      <c r="E5" s="63"/>
    </row>
    <row r="6" spans="1:5" s="44" customFormat="1" ht="20.25" hidden="1" customHeight="1">
      <c r="A6" s="5" t="s">
        <v>10</v>
      </c>
      <c r="B6" s="61" t="s">
        <v>7</v>
      </c>
      <c r="C6" s="6"/>
      <c r="D6" s="62"/>
      <c r="E6" s="63"/>
    </row>
    <row r="7" spans="1:5" s="44" customFormat="1" ht="20.25" hidden="1" customHeight="1">
      <c r="A7" s="5" t="s">
        <v>11</v>
      </c>
      <c r="B7" s="61" t="s">
        <v>7</v>
      </c>
      <c r="C7" s="6"/>
      <c r="D7" s="62"/>
      <c r="E7" s="63"/>
    </row>
    <row r="8" spans="1:5" s="44" customFormat="1" ht="20.25" hidden="1" customHeight="1">
      <c r="A8" s="8" t="s">
        <v>12</v>
      </c>
      <c r="B8" s="61" t="s">
        <v>9</v>
      </c>
      <c r="C8" s="6"/>
      <c r="D8" s="62"/>
      <c r="E8" s="63"/>
    </row>
    <row r="9" spans="1:5" s="44" customFormat="1" ht="20.25" hidden="1" customHeight="1">
      <c r="A9" s="9" t="s">
        <v>13</v>
      </c>
      <c r="B9" s="61" t="s">
        <v>7</v>
      </c>
      <c r="C9" s="6"/>
      <c r="D9" s="62"/>
      <c r="E9" s="63"/>
    </row>
    <row r="10" spans="1:5" s="44" customFormat="1" ht="20.25" hidden="1" customHeight="1">
      <c r="A10" s="5" t="s">
        <v>14</v>
      </c>
      <c r="B10" s="61" t="s">
        <v>7</v>
      </c>
      <c r="C10" s="6"/>
      <c r="D10" s="62"/>
      <c r="E10" s="63"/>
    </row>
    <row r="11" spans="1:5" s="44" customFormat="1" ht="20.25" hidden="1" customHeight="1">
      <c r="A11" s="5" t="s">
        <v>15</v>
      </c>
      <c r="B11" s="61" t="s">
        <v>7</v>
      </c>
      <c r="C11" s="6"/>
      <c r="D11" s="62"/>
      <c r="E11" s="63"/>
    </row>
    <row r="12" spans="1:5" s="44" customFormat="1" ht="20.25" hidden="1" customHeight="1">
      <c r="A12" s="10" t="s">
        <v>16</v>
      </c>
      <c r="B12" s="61" t="s">
        <v>17</v>
      </c>
      <c r="C12" s="6"/>
      <c r="D12" s="62"/>
      <c r="E12" s="63"/>
    </row>
    <row r="13" spans="1:5" s="44" customFormat="1" ht="20.25" hidden="1" customHeight="1">
      <c r="A13" s="8" t="s">
        <v>18</v>
      </c>
      <c r="B13" s="61" t="s">
        <v>7</v>
      </c>
      <c r="C13" s="6"/>
      <c r="D13" s="62"/>
      <c r="E13" s="63"/>
    </row>
    <row r="14" spans="1:5" s="44" customFormat="1" ht="20.25" hidden="1" customHeight="1">
      <c r="A14" s="8" t="s">
        <v>19</v>
      </c>
      <c r="B14" s="61" t="s">
        <v>7</v>
      </c>
      <c r="C14" s="6"/>
      <c r="D14" s="62"/>
      <c r="E14" s="63"/>
    </row>
    <row r="15" spans="1:5" s="44" customFormat="1" ht="20.25" hidden="1" customHeight="1">
      <c r="A15" s="11" t="s">
        <v>20</v>
      </c>
      <c r="B15" s="61" t="s">
        <v>21</v>
      </c>
      <c r="C15" s="6"/>
      <c r="D15" s="62"/>
      <c r="E15" s="63"/>
    </row>
    <row r="16" spans="1:5" s="44" customFormat="1" ht="20.25" customHeight="1">
      <c r="A16" s="10" t="s">
        <v>22</v>
      </c>
      <c r="B16" s="64" t="s">
        <v>7</v>
      </c>
      <c r="C16" s="65">
        <v>20</v>
      </c>
      <c r="D16" s="66">
        <f>VLOOKUP(A16,'2.7'!A16:D301,4,)</f>
        <v>18000</v>
      </c>
      <c r="E16" s="88">
        <f>+D16*C16</f>
        <v>360000</v>
      </c>
    </row>
    <row r="17" spans="1:5" s="44" customFormat="1" ht="20.25" hidden="1" customHeight="1">
      <c r="A17" s="8" t="s">
        <v>23</v>
      </c>
      <c r="B17" s="61" t="s">
        <v>7</v>
      </c>
      <c r="C17" s="6"/>
      <c r="D17" s="62"/>
      <c r="E17" s="63"/>
    </row>
    <row r="18" spans="1:5" s="44" customFormat="1" ht="20.25" hidden="1" customHeight="1">
      <c r="A18" s="8" t="s">
        <v>24</v>
      </c>
      <c r="B18" s="61" t="s">
        <v>7</v>
      </c>
      <c r="C18" s="6"/>
      <c r="D18" s="68"/>
      <c r="E18" s="63"/>
    </row>
    <row r="19" spans="1:5" s="44" customFormat="1" ht="20.25" customHeight="1">
      <c r="A19" s="12" t="s">
        <v>25</v>
      </c>
      <c r="B19" s="64" t="s">
        <v>21</v>
      </c>
      <c r="C19" s="65">
        <v>107</v>
      </c>
      <c r="D19" s="66">
        <f>13000*0.3</f>
        <v>3900</v>
      </c>
      <c r="E19" s="88">
        <f>+D19*C19</f>
        <v>417300</v>
      </c>
    </row>
    <row r="20" spans="1:5" s="44" customFormat="1" ht="20.25" hidden="1" customHeight="1">
      <c r="A20" s="10" t="s">
        <v>26</v>
      </c>
      <c r="B20" s="61" t="s">
        <v>7</v>
      </c>
      <c r="C20" s="6"/>
      <c r="D20" s="62"/>
      <c r="E20" s="63"/>
    </row>
    <row r="21" spans="1:5" s="44" customFormat="1" ht="20.25" customHeight="1">
      <c r="A21" s="19" t="s">
        <v>27</v>
      </c>
      <c r="B21" s="64" t="s">
        <v>7</v>
      </c>
      <c r="C21" s="65">
        <v>200</v>
      </c>
      <c r="D21" s="66">
        <f>VLOOKUP(A21,'2.7'!A21:D306,4,)</f>
        <v>13000</v>
      </c>
      <c r="E21" s="88">
        <f>+D21*C21</f>
        <v>2600000</v>
      </c>
    </row>
    <row r="22" spans="1:5" s="44" customFormat="1" ht="20.25" hidden="1" customHeight="1">
      <c r="A22" s="11" t="s">
        <v>28</v>
      </c>
      <c r="B22" s="61" t="s">
        <v>21</v>
      </c>
      <c r="C22" s="6"/>
      <c r="D22" s="62"/>
      <c r="E22" s="63"/>
    </row>
    <row r="23" spans="1:5" s="44" customFormat="1" ht="20.25" hidden="1" customHeight="1">
      <c r="A23" s="11" t="s">
        <v>29</v>
      </c>
      <c r="B23" s="61" t="s">
        <v>7</v>
      </c>
      <c r="C23" s="6"/>
      <c r="D23" s="62"/>
      <c r="E23" s="63"/>
    </row>
    <row r="24" spans="1:5" s="44" customFormat="1" ht="20.25" hidden="1" customHeight="1">
      <c r="A24" s="8" t="s">
        <v>30</v>
      </c>
      <c r="B24" s="61" t="s">
        <v>7</v>
      </c>
      <c r="C24" s="6"/>
      <c r="D24" s="62"/>
      <c r="E24" s="63"/>
    </row>
    <row r="25" spans="1:5" s="44" customFormat="1" ht="20.25" hidden="1" customHeight="1">
      <c r="A25" s="8" t="s">
        <v>31</v>
      </c>
      <c r="B25" s="61" t="s">
        <v>21</v>
      </c>
      <c r="C25" s="6"/>
      <c r="D25" s="62"/>
      <c r="E25" s="63"/>
    </row>
    <row r="26" spans="1:5" s="44" customFormat="1" ht="20.25" customHeight="1">
      <c r="A26" s="19" t="s">
        <v>32</v>
      </c>
      <c r="B26" s="64" t="s">
        <v>7</v>
      </c>
      <c r="C26" s="65">
        <v>162</v>
      </c>
      <c r="D26" s="66">
        <f>VLOOKUP(A26,'2.7'!A26:D311,4,)</f>
        <v>13000</v>
      </c>
      <c r="E26" s="88">
        <f>+D26*C26</f>
        <v>2106000</v>
      </c>
    </row>
    <row r="27" spans="1:5" s="44" customFormat="1" ht="20.25" hidden="1" customHeight="1">
      <c r="A27" s="8" t="s">
        <v>33</v>
      </c>
      <c r="B27" s="61" t="s">
        <v>21</v>
      </c>
      <c r="C27" s="6"/>
      <c r="D27" s="62"/>
      <c r="E27" s="63"/>
    </row>
    <row r="28" spans="1:5" s="44" customFormat="1" ht="20.25" hidden="1" customHeight="1">
      <c r="A28" s="8" t="s">
        <v>34</v>
      </c>
      <c r="B28" s="61" t="s">
        <v>7</v>
      </c>
      <c r="C28" s="6"/>
      <c r="D28" s="62"/>
      <c r="E28" s="63"/>
    </row>
    <row r="29" spans="1:5" s="44" customFormat="1" ht="20.25" customHeight="1">
      <c r="A29" s="19" t="s">
        <v>35</v>
      </c>
      <c r="B29" s="64" t="s">
        <v>7</v>
      </c>
      <c r="C29" s="65">
        <v>90</v>
      </c>
      <c r="D29" s="66">
        <f>VLOOKUP(A29,'2.7'!A29:D314,4,)</f>
        <v>12500</v>
      </c>
      <c r="E29" s="88">
        <f>+D29*C29</f>
        <v>1125000</v>
      </c>
    </row>
    <row r="30" spans="1:5" s="44" customFormat="1" ht="20.25" hidden="1" customHeight="1">
      <c r="A30" s="10" t="s">
        <v>36</v>
      </c>
      <c r="B30" s="61" t="s">
        <v>7</v>
      </c>
      <c r="C30" s="14"/>
      <c r="D30" s="62"/>
      <c r="E30" s="63"/>
    </row>
    <row r="31" spans="1:5" s="44" customFormat="1" ht="20.25" hidden="1" customHeight="1">
      <c r="A31" s="11" t="s">
        <v>37</v>
      </c>
      <c r="B31" s="61" t="s">
        <v>7</v>
      </c>
      <c r="C31" s="6"/>
      <c r="D31" s="62"/>
      <c r="E31" s="63"/>
    </row>
    <row r="32" spans="1:5" s="44" customFormat="1" ht="20.25" hidden="1" customHeight="1">
      <c r="A32" s="10" t="s">
        <v>38</v>
      </c>
      <c r="B32" s="61" t="s">
        <v>39</v>
      </c>
      <c r="C32" s="6"/>
      <c r="D32" s="62"/>
      <c r="E32" s="63"/>
    </row>
    <row r="33" spans="1:5" s="44" customFormat="1" ht="20.25" hidden="1" customHeight="1">
      <c r="A33" s="10" t="s">
        <v>40</v>
      </c>
      <c r="B33" s="61" t="s">
        <v>39</v>
      </c>
      <c r="C33" s="6"/>
      <c r="D33" s="62"/>
      <c r="E33" s="63"/>
    </row>
    <row r="34" spans="1:5" s="44" customFormat="1" ht="20.25" hidden="1" customHeight="1">
      <c r="A34" s="10" t="s">
        <v>41</v>
      </c>
      <c r="B34" s="61" t="s">
        <v>39</v>
      </c>
      <c r="C34" s="6"/>
      <c r="D34" s="62"/>
      <c r="E34" s="63"/>
    </row>
    <row r="35" spans="1:5" s="44" customFormat="1" ht="20.25" hidden="1" customHeight="1">
      <c r="A35" s="11" t="s">
        <v>42</v>
      </c>
      <c r="B35" s="61" t="s">
        <v>39</v>
      </c>
      <c r="C35" s="6"/>
      <c r="D35" s="62"/>
      <c r="E35" s="63"/>
    </row>
    <row r="36" spans="1:5" s="44" customFormat="1" ht="20.25" hidden="1" customHeight="1">
      <c r="A36" s="10" t="s">
        <v>43</v>
      </c>
      <c r="B36" s="61" t="s">
        <v>39</v>
      </c>
      <c r="C36" s="6"/>
      <c r="D36" s="62"/>
      <c r="E36" s="63"/>
    </row>
    <row r="37" spans="1:5" s="44" customFormat="1" ht="20.25" hidden="1" customHeight="1">
      <c r="A37" s="10" t="s">
        <v>44</v>
      </c>
      <c r="B37" s="61" t="s">
        <v>39</v>
      </c>
      <c r="C37" s="6"/>
      <c r="D37" s="62"/>
      <c r="E37" s="63"/>
    </row>
    <row r="38" spans="1:5" s="44" customFormat="1" ht="20.25" hidden="1" customHeight="1">
      <c r="A38" s="10" t="s">
        <v>45</v>
      </c>
      <c r="B38" s="61" t="s">
        <v>39</v>
      </c>
      <c r="C38" s="6"/>
      <c r="D38" s="62"/>
      <c r="E38" s="63"/>
    </row>
    <row r="39" spans="1:5" s="44" customFormat="1" ht="20.25" customHeight="1">
      <c r="A39" s="10" t="s">
        <v>46</v>
      </c>
      <c r="B39" s="64" t="s">
        <v>7</v>
      </c>
      <c r="C39" s="65">
        <v>25</v>
      </c>
      <c r="D39" s="66">
        <f>VLOOKUP(A39,'2.7'!A39:D324,4,)</f>
        <v>11000</v>
      </c>
      <c r="E39" s="88">
        <f>+D39*C39</f>
        <v>275000</v>
      </c>
    </row>
    <row r="40" spans="1:5" s="44" customFormat="1" ht="20.25" hidden="1" customHeight="1">
      <c r="A40" s="8" t="s">
        <v>47</v>
      </c>
      <c r="B40" s="61" t="s">
        <v>7</v>
      </c>
      <c r="C40" s="6"/>
      <c r="D40" s="62"/>
      <c r="E40" s="63"/>
    </row>
    <row r="41" spans="1:5" s="44" customFormat="1" ht="20.25" customHeight="1">
      <c r="A41" s="19" t="s">
        <v>48</v>
      </c>
      <c r="B41" s="64" t="s">
        <v>49</v>
      </c>
      <c r="C41" s="65">
        <v>6</v>
      </c>
      <c r="D41" s="66">
        <v>12000</v>
      </c>
      <c r="E41" s="88">
        <f>+D41*C41</f>
        <v>72000</v>
      </c>
    </row>
    <row r="42" spans="1:5" s="44" customFormat="1" ht="20.25" hidden="1" customHeight="1">
      <c r="A42" s="10" t="s">
        <v>50</v>
      </c>
      <c r="B42" s="61" t="s">
        <v>7</v>
      </c>
      <c r="C42" s="14"/>
      <c r="D42" s="62"/>
      <c r="E42" s="63"/>
    </row>
    <row r="43" spans="1:5" s="44" customFormat="1" ht="20.25" hidden="1" customHeight="1">
      <c r="A43" s="8" t="s">
        <v>51</v>
      </c>
      <c r="B43" s="61" t="s">
        <v>7</v>
      </c>
      <c r="C43" s="6"/>
      <c r="D43" s="62"/>
      <c r="E43" s="63"/>
    </row>
    <row r="44" spans="1:5" s="44" customFormat="1" ht="20.25" hidden="1" customHeight="1">
      <c r="A44" s="8" t="s">
        <v>52</v>
      </c>
      <c r="B44" s="61" t="s">
        <v>7</v>
      </c>
      <c r="C44" s="6"/>
      <c r="D44" s="62"/>
      <c r="E44" s="63"/>
    </row>
    <row r="45" spans="1:5" s="44" customFormat="1" ht="20.25" hidden="1" customHeight="1">
      <c r="A45" s="15" t="s">
        <v>53</v>
      </c>
      <c r="B45" s="61" t="s">
        <v>54</v>
      </c>
      <c r="C45" s="6"/>
      <c r="D45" s="62"/>
      <c r="E45" s="63"/>
    </row>
    <row r="46" spans="1:5" s="44" customFormat="1" ht="20.25" customHeight="1">
      <c r="A46" s="19" t="s">
        <v>55</v>
      </c>
      <c r="B46" s="64" t="s">
        <v>7</v>
      </c>
      <c r="C46" s="65">
        <v>5</v>
      </c>
      <c r="D46" s="66">
        <v>13000</v>
      </c>
      <c r="E46" s="88">
        <f>+D46*C46</f>
        <v>65000</v>
      </c>
    </row>
    <row r="47" spans="1:5" s="44" customFormat="1" ht="20.25" hidden="1" customHeight="1">
      <c r="A47" s="8" t="s">
        <v>56</v>
      </c>
      <c r="B47" s="61" t="s">
        <v>57</v>
      </c>
      <c r="C47" s="6"/>
      <c r="D47" s="62"/>
      <c r="E47" s="63"/>
    </row>
    <row r="48" spans="1:5" s="44" customFormat="1" ht="20.25" customHeight="1">
      <c r="A48" s="19" t="s">
        <v>58</v>
      </c>
      <c r="B48" s="64" t="s">
        <v>7</v>
      </c>
      <c r="C48" s="65">
        <v>8</v>
      </c>
      <c r="D48" s="66">
        <v>27000</v>
      </c>
      <c r="E48" s="88">
        <f>+D48*C48</f>
        <v>216000</v>
      </c>
    </row>
    <row r="49" spans="1:5" s="44" customFormat="1" ht="20.25" hidden="1" customHeight="1">
      <c r="A49" s="16" t="s">
        <v>59</v>
      </c>
      <c r="B49" s="61" t="s">
        <v>7</v>
      </c>
      <c r="C49" s="6"/>
      <c r="D49" s="69"/>
      <c r="E49" s="63"/>
    </row>
    <row r="50" spans="1:5" s="44" customFormat="1" ht="20.25" hidden="1" customHeight="1">
      <c r="A50" s="12" t="s">
        <v>60</v>
      </c>
      <c r="B50" s="61" t="s">
        <v>57</v>
      </c>
      <c r="C50" s="6"/>
      <c r="D50" s="62"/>
      <c r="E50" s="63"/>
    </row>
    <row r="51" spans="1:5" s="44" customFormat="1" ht="20.25" hidden="1" customHeight="1">
      <c r="A51" s="10" t="s">
        <v>61</v>
      </c>
      <c r="B51" s="61" t="s">
        <v>7</v>
      </c>
      <c r="C51" s="6"/>
      <c r="D51" s="62"/>
      <c r="E51" s="63"/>
    </row>
    <row r="52" spans="1:5" s="44" customFormat="1" ht="20.25" hidden="1" customHeight="1">
      <c r="A52" s="12" t="s">
        <v>62</v>
      </c>
      <c r="B52" s="61" t="s">
        <v>54</v>
      </c>
      <c r="C52" s="6"/>
      <c r="D52" s="62"/>
      <c r="E52" s="63"/>
    </row>
    <row r="53" spans="1:5" s="44" customFormat="1" ht="20.25" hidden="1" customHeight="1">
      <c r="A53" s="8" t="s">
        <v>63</v>
      </c>
      <c r="B53" s="61" t="s">
        <v>7</v>
      </c>
      <c r="C53" s="6"/>
      <c r="D53" s="62"/>
      <c r="E53" s="63"/>
    </row>
    <row r="54" spans="1:5" s="44" customFormat="1" ht="20.25" hidden="1" customHeight="1">
      <c r="A54" s="8" t="s">
        <v>64</v>
      </c>
      <c r="B54" s="61" t="s">
        <v>7</v>
      </c>
      <c r="C54" s="6"/>
      <c r="D54" s="62"/>
      <c r="E54" s="63"/>
    </row>
    <row r="55" spans="1:5" s="44" customFormat="1" ht="20.25" hidden="1" customHeight="1">
      <c r="A55" s="11" t="s">
        <v>65</v>
      </c>
      <c r="B55" s="61" t="s">
        <v>7</v>
      </c>
      <c r="C55" s="6"/>
      <c r="D55" s="62"/>
      <c r="E55" s="70"/>
    </row>
    <row r="56" spans="1:5" s="44" customFormat="1" ht="20.25" hidden="1" customHeight="1">
      <c r="A56" s="8" t="s">
        <v>66</v>
      </c>
      <c r="B56" s="61" t="s">
        <v>7</v>
      </c>
      <c r="C56" s="6"/>
      <c r="D56" s="62"/>
      <c r="E56" s="70"/>
    </row>
    <row r="57" spans="1:5" s="44" customFormat="1" ht="20.25" hidden="1" customHeight="1">
      <c r="A57" s="15" t="s">
        <v>67</v>
      </c>
      <c r="B57" s="61" t="s">
        <v>68</v>
      </c>
      <c r="C57" s="6"/>
      <c r="D57" s="62"/>
      <c r="E57" s="63"/>
    </row>
    <row r="58" spans="1:5" s="44" customFormat="1" ht="20.25" customHeight="1">
      <c r="A58" s="15" t="s">
        <v>69</v>
      </c>
      <c r="B58" s="64" t="s">
        <v>68</v>
      </c>
      <c r="C58" s="65">
        <v>11</v>
      </c>
      <c r="D58" s="66">
        <v>8400</v>
      </c>
      <c r="E58" s="88">
        <f>+D58*C58</f>
        <v>92400</v>
      </c>
    </row>
    <row r="59" spans="1:5" s="44" customFormat="1" ht="20.25" hidden="1" customHeight="1">
      <c r="A59" s="15" t="s">
        <v>70</v>
      </c>
      <c r="B59" s="61" t="s">
        <v>7</v>
      </c>
      <c r="C59" s="6"/>
      <c r="D59" s="62"/>
      <c r="E59" s="70"/>
    </row>
    <row r="60" spans="1:5" s="44" customFormat="1" ht="20.25" hidden="1" customHeight="1">
      <c r="A60" s="8" t="s">
        <v>71</v>
      </c>
      <c r="B60" s="61" t="s">
        <v>7</v>
      </c>
      <c r="C60" s="6"/>
      <c r="D60" s="62"/>
      <c r="E60" s="70"/>
    </row>
    <row r="61" spans="1:5" s="44" customFormat="1" ht="20.25" hidden="1" customHeight="1">
      <c r="A61" s="10" t="s">
        <v>72</v>
      </c>
      <c r="B61" s="61" t="s">
        <v>7</v>
      </c>
      <c r="C61" s="6"/>
      <c r="D61" s="62"/>
      <c r="E61" s="63"/>
    </row>
    <row r="62" spans="1:5" s="44" customFormat="1" ht="20.25" hidden="1" customHeight="1">
      <c r="A62" s="8" t="s">
        <v>73</v>
      </c>
      <c r="B62" s="61" t="s">
        <v>7</v>
      </c>
      <c r="C62" s="6"/>
      <c r="D62" s="62"/>
      <c r="E62" s="70"/>
    </row>
    <row r="63" spans="1:5" s="44" customFormat="1" ht="20.25" hidden="1" customHeight="1">
      <c r="A63" s="16" t="s">
        <v>74</v>
      </c>
      <c r="B63" s="61" t="s">
        <v>7</v>
      </c>
      <c r="C63" s="6"/>
      <c r="D63" s="62"/>
      <c r="E63" s="63"/>
    </row>
    <row r="64" spans="1:5" s="44" customFormat="1" ht="20.25" hidden="1" customHeight="1">
      <c r="A64" s="15" t="s">
        <v>75</v>
      </c>
      <c r="B64" s="61" t="s">
        <v>68</v>
      </c>
      <c r="C64" s="6"/>
      <c r="D64" s="62"/>
      <c r="E64" s="63"/>
    </row>
    <row r="65" spans="1:5" s="44" customFormat="1" ht="20.25" customHeight="1">
      <c r="A65" s="19" t="s">
        <v>76</v>
      </c>
      <c r="B65" s="64" t="s">
        <v>49</v>
      </c>
      <c r="C65" s="65">
        <v>80</v>
      </c>
      <c r="D65" s="66">
        <f>VLOOKUP(A65,'2.7'!A65:D350,4,)</f>
        <v>10000</v>
      </c>
      <c r="E65" s="88">
        <f>+D65*C65</f>
        <v>800000</v>
      </c>
    </row>
    <row r="66" spans="1:5" s="44" customFormat="1" ht="20.25" hidden="1" customHeight="1">
      <c r="A66" s="17" t="s">
        <v>77</v>
      </c>
      <c r="B66" s="61" t="s">
        <v>7</v>
      </c>
      <c r="C66" s="6"/>
      <c r="D66" s="62"/>
      <c r="E66" s="63"/>
    </row>
    <row r="67" spans="1:5" s="44" customFormat="1" ht="20.25" hidden="1" customHeight="1">
      <c r="A67" s="8" t="s">
        <v>78</v>
      </c>
      <c r="B67" s="61" t="s">
        <v>7</v>
      </c>
      <c r="C67" s="6"/>
      <c r="D67" s="62"/>
      <c r="E67" s="70"/>
    </row>
    <row r="68" spans="1:5" s="44" customFormat="1" ht="20.25" hidden="1" customHeight="1">
      <c r="A68" s="8" t="s">
        <v>79</v>
      </c>
      <c r="B68" s="61" t="s">
        <v>7</v>
      </c>
      <c r="C68" s="6"/>
      <c r="D68" s="62"/>
      <c r="E68" s="70"/>
    </row>
    <row r="69" spans="1:5" s="44" customFormat="1" ht="20.25" hidden="1" customHeight="1">
      <c r="A69" s="18" t="s">
        <v>80</v>
      </c>
      <c r="B69" s="61" t="s">
        <v>7</v>
      </c>
      <c r="C69" s="6"/>
      <c r="D69" s="62"/>
      <c r="E69" s="70"/>
    </row>
    <row r="70" spans="1:5" s="44" customFormat="1" ht="20.25" hidden="1" customHeight="1">
      <c r="A70" s="11" t="s">
        <v>81</v>
      </c>
      <c r="B70" s="61" t="s">
        <v>7</v>
      </c>
      <c r="C70" s="6"/>
      <c r="D70" s="62"/>
      <c r="E70" s="63"/>
    </row>
    <row r="71" spans="1:5" s="44" customFormat="1" ht="20.25" hidden="1" customHeight="1">
      <c r="A71" s="11" t="s">
        <v>82</v>
      </c>
      <c r="B71" s="61" t="s">
        <v>68</v>
      </c>
      <c r="C71" s="6"/>
      <c r="D71" s="62"/>
      <c r="E71" s="63"/>
    </row>
    <row r="72" spans="1:5" s="44" customFormat="1" ht="20.25" hidden="1" customHeight="1">
      <c r="A72" s="10" t="s">
        <v>83</v>
      </c>
      <c r="B72" s="61" t="s">
        <v>7</v>
      </c>
      <c r="C72" s="6"/>
      <c r="D72" s="62"/>
      <c r="E72" s="63"/>
    </row>
    <row r="73" spans="1:5" s="44" customFormat="1" ht="20.25" hidden="1" customHeight="1">
      <c r="A73" s="11" t="s">
        <v>84</v>
      </c>
      <c r="B73" s="61" t="s">
        <v>7</v>
      </c>
      <c r="C73" s="6"/>
      <c r="D73" s="62"/>
      <c r="E73" s="63"/>
    </row>
    <row r="74" spans="1:5" s="44" customFormat="1" ht="20.25" hidden="1" customHeight="1">
      <c r="A74" s="11" t="s">
        <v>85</v>
      </c>
      <c r="B74" s="61" t="s">
        <v>7</v>
      </c>
      <c r="C74" s="6"/>
      <c r="D74" s="62"/>
      <c r="E74" s="63"/>
    </row>
    <row r="75" spans="1:5" s="44" customFormat="1" ht="20.25" hidden="1" customHeight="1">
      <c r="A75" s="11" t="s">
        <v>86</v>
      </c>
      <c r="B75" s="61" t="s">
        <v>68</v>
      </c>
      <c r="C75" s="6"/>
      <c r="D75" s="62"/>
      <c r="E75" s="63"/>
    </row>
    <row r="76" spans="1:5" s="44" customFormat="1" ht="20.25" hidden="1" customHeight="1">
      <c r="A76" s="18" t="s">
        <v>87</v>
      </c>
      <c r="B76" s="61" t="s">
        <v>7</v>
      </c>
      <c r="C76" s="6"/>
      <c r="D76" s="62"/>
      <c r="E76" s="63"/>
    </row>
    <row r="77" spans="1:5" s="44" customFormat="1" ht="20.25" hidden="1" customHeight="1">
      <c r="A77" s="8" t="s">
        <v>88</v>
      </c>
      <c r="B77" s="61" t="s">
        <v>68</v>
      </c>
      <c r="C77" s="6"/>
      <c r="D77" s="62"/>
      <c r="E77" s="63"/>
    </row>
    <row r="78" spans="1:5" s="44" customFormat="1" ht="20.25" hidden="1" customHeight="1">
      <c r="A78" s="8" t="s">
        <v>89</v>
      </c>
      <c r="B78" s="61" t="s">
        <v>54</v>
      </c>
      <c r="C78" s="6"/>
      <c r="D78" s="62"/>
      <c r="E78" s="63"/>
    </row>
    <row r="79" spans="1:5" s="44" customFormat="1" ht="20.25" hidden="1" customHeight="1">
      <c r="A79" s="8" t="s">
        <v>90</v>
      </c>
      <c r="B79" s="61" t="s">
        <v>7</v>
      </c>
      <c r="C79" s="6"/>
      <c r="D79" s="62"/>
      <c r="E79" s="63"/>
    </row>
    <row r="80" spans="1:5" s="44" customFormat="1" ht="20.25" hidden="1" customHeight="1">
      <c r="A80" s="12" t="s">
        <v>91</v>
      </c>
      <c r="B80" s="61" t="s">
        <v>54</v>
      </c>
      <c r="C80" s="6"/>
      <c r="D80" s="62"/>
      <c r="E80" s="63"/>
    </row>
    <row r="81" spans="1:36" s="44" customFormat="1" ht="20.25" customHeight="1">
      <c r="A81" s="19" t="s">
        <v>92</v>
      </c>
      <c r="B81" s="64" t="s">
        <v>93</v>
      </c>
      <c r="C81" s="65">
        <v>60</v>
      </c>
      <c r="D81" s="66">
        <v>26000</v>
      </c>
      <c r="E81" s="88">
        <f>+D81*C81</f>
        <v>1560000</v>
      </c>
    </row>
    <row r="82" spans="1:36" s="44" customFormat="1" ht="20.25" hidden="1" customHeight="1">
      <c r="A82" s="8" t="s">
        <v>94</v>
      </c>
      <c r="B82" s="61" t="s">
        <v>7</v>
      </c>
      <c r="C82" s="6"/>
      <c r="D82" s="62"/>
      <c r="E82" s="63"/>
    </row>
    <row r="83" spans="1:36" s="44" customFormat="1" ht="20.25" hidden="1" customHeight="1">
      <c r="A83" s="8" t="s">
        <v>95</v>
      </c>
      <c r="B83" s="61" t="s">
        <v>7</v>
      </c>
      <c r="C83" s="6"/>
      <c r="D83" s="62"/>
      <c r="E83" s="63"/>
    </row>
    <row r="84" spans="1:36" s="44" customFormat="1" ht="20.25" hidden="1" customHeight="1">
      <c r="A84" s="11" t="s">
        <v>96</v>
      </c>
      <c r="B84" s="61" t="s">
        <v>7</v>
      </c>
      <c r="C84" s="14"/>
      <c r="D84" s="62"/>
      <c r="E84" s="63"/>
    </row>
    <row r="85" spans="1:36" s="44" customFormat="1" ht="20.25" hidden="1" customHeight="1">
      <c r="A85" s="11" t="s">
        <v>97</v>
      </c>
      <c r="B85" s="61" t="s">
        <v>7</v>
      </c>
      <c r="C85" s="14"/>
      <c r="D85" s="62"/>
      <c r="E85" s="63"/>
    </row>
    <row r="86" spans="1:36" s="44" customFormat="1" ht="20.25" hidden="1" customHeight="1">
      <c r="A86" s="11" t="s">
        <v>98</v>
      </c>
      <c r="B86" s="61" t="s">
        <v>54</v>
      </c>
      <c r="C86" s="14"/>
      <c r="D86" s="62"/>
      <c r="E86" s="63"/>
    </row>
    <row r="87" spans="1:36" s="44" customFormat="1" ht="20.25" hidden="1" customHeight="1">
      <c r="A87" s="8" t="s">
        <v>99</v>
      </c>
      <c r="B87" s="61" t="s">
        <v>7</v>
      </c>
      <c r="C87" s="6"/>
      <c r="D87" s="62"/>
      <c r="E87" s="63"/>
    </row>
    <row r="88" spans="1:36" s="44" customFormat="1" ht="20.25" hidden="1" customHeight="1">
      <c r="A88" s="8" t="s">
        <v>100</v>
      </c>
      <c r="B88" s="61" t="s">
        <v>7</v>
      </c>
      <c r="C88" s="6"/>
      <c r="D88" s="62"/>
      <c r="E88" s="63"/>
    </row>
    <row r="89" spans="1:36" s="45" customFormat="1" ht="20.25" hidden="1" customHeight="1">
      <c r="A89" s="8" t="s">
        <v>101</v>
      </c>
      <c r="B89" s="61" t="s">
        <v>49</v>
      </c>
      <c r="C89" s="6"/>
      <c r="D89" s="62"/>
      <c r="E89" s="63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</row>
    <row r="90" spans="1:36" s="45" customFormat="1" ht="20.25" hidden="1" customHeight="1">
      <c r="A90" s="8" t="s">
        <v>102</v>
      </c>
      <c r="B90" s="61" t="s">
        <v>7</v>
      </c>
      <c r="C90" s="6"/>
      <c r="D90" s="62"/>
      <c r="E90" s="63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</row>
    <row r="91" spans="1:36" s="44" customFormat="1" ht="20.25" hidden="1" customHeight="1">
      <c r="A91" s="8" t="s">
        <v>103</v>
      </c>
      <c r="B91" s="61" t="s">
        <v>49</v>
      </c>
      <c r="C91" s="6"/>
      <c r="D91" s="62"/>
      <c r="E91" s="63"/>
    </row>
    <row r="92" spans="1:36" s="44" customFormat="1" ht="20.25" hidden="1" customHeight="1">
      <c r="A92" s="8" t="s">
        <v>104</v>
      </c>
      <c r="B92" s="61" t="s">
        <v>7</v>
      </c>
      <c r="C92" s="6"/>
      <c r="D92" s="62"/>
      <c r="E92" s="63"/>
    </row>
    <row r="93" spans="1:36" s="44" customFormat="1" ht="20.25" hidden="1" customHeight="1">
      <c r="A93" s="19" t="s">
        <v>105</v>
      </c>
      <c r="B93" s="61" t="s">
        <v>17</v>
      </c>
      <c r="C93" s="6"/>
      <c r="D93" s="62"/>
      <c r="E93" s="63"/>
    </row>
    <row r="94" spans="1:36" s="44" customFormat="1" ht="20.25" hidden="1" customHeight="1">
      <c r="A94" s="19" t="s">
        <v>106</v>
      </c>
      <c r="B94" s="61" t="s">
        <v>68</v>
      </c>
      <c r="C94" s="6"/>
      <c r="D94" s="62"/>
      <c r="E94" s="63"/>
    </row>
    <row r="95" spans="1:36" s="44" customFormat="1" ht="20.25" hidden="1" customHeight="1">
      <c r="A95" s="19" t="s">
        <v>107</v>
      </c>
      <c r="B95" s="61" t="s">
        <v>68</v>
      </c>
      <c r="C95" s="6"/>
      <c r="D95" s="62"/>
      <c r="E95" s="63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spans="1:36" s="44" customFormat="1" ht="20.25" hidden="1" customHeight="1">
      <c r="A96" s="10" t="s">
        <v>108</v>
      </c>
      <c r="B96" s="61" t="s">
        <v>7</v>
      </c>
      <c r="C96" s="6"/>
      <c r="D96" s="62"/>
      <c r="E96" s="63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spans="1:5" s="44" customFormat="1" ht="20.25" hidden="1" customHeight="1">
      <c r="A97" s="12" t="s">
        <v>109</v>
      </c>
      <c r="B97" s="61" t="s">
        <v>54</v>
      </c>
      <c r="C97" s="6"/>
      <c r="D97" s="62"/>
      <c r="E97" s="63"/>
    </row>
    <row r="98" spans="1:5" s="44" customFormat="1" ht="20.25" hidden="1" customHeight="1">
      <c r="A98" s="8" t="s">
        <v>110</v>
      </c>
      <c r="B98" s="61" t="s">
        <v>7</v>
      </c>
      <c r="C98" s="6"/>
      <c r="D98" s="62"/>
      <c r="E98" s="63"/>
    </row>
    <row r="99" spans="1:5" s="44" customFormat="1" ht="20.25" hidden="1" customHeight="1">
      <c r="A99" s="8" t="s">
        <v>111</v>
      </c>
      <c r="B99" s="61" t="s">
        <v>49</v>
      </c>
      <c r="C99" s="6"/>
      <c r="D99" s="62"/>
      <c r="E99" s="63"/>
    </row>
    <row r="100" spans="1:5" s="44" customFormat="1" ht="20.25" hidden="1" customHeight="1">
      <c r="A100" s="10" t="s">
        <v>112</v>
      </c>
      <c r="B100" s="61" t="s">
        <v>49</v>
      </c>
      <c r="C100" s="6"/>
      <c r="D100" s="62"/>
      <c r="E100" s="63"/>
    </row>
    <row r="101" spans="1:5" s="44" customFormat="1" ht="20.25" hidden="1" customHeight="1">
      <c r="A101" s="8" t="s">
        <v>113</v>
      </c>
      <c r="B101" s="61" t="s">
        <v>7</v>
      </c>
      <c r="C101" s="14"/>
      <c r="D101" s="62"/>
      <c r="E101" s="63"/>
    </row>
    <row r="102" spans="1:5" s="44" customFormat="1" ht="20.25" hidden="1" customHeight="1">
      <c r="A102" s="10" t="s">
        <v>114</v>
      </c>
      <c r="B102" s="61" t="s">
        <v>49</v>
      </c>
      <c r="C102" s="6"/>
      <c r="D102" s="62"/>
      <c r="E102" s="63"/>
    </row>
    <row r="103" spans="1:5" s="44" customFormat="1" ht="20.25" hidden="1" customHeight="1">
      <c r="A103" s="20" t="s">
        <v>115</v>
      </c>
      <c r="B103" s="61" t="s">
        <v>49</v>
      </c>
      <c r="C103" s="6"/>
      <c r="D103" s="62"/>
      <c r="E103" s="63"/>
    </row>
    <row r="104" spans="1:5" s="44" customFormat="1" ht="20.25" hidden="1" customHeight="1">
      <c r="A104" s="21" t="s">
        <v>116</v>
      </c>
      <c r="B104" s="61" t="s">
        <v>7</v>
      </c>
      <c r="C104" s="6"/>
      <c r="D104" s="62"/>
      <c r="E104" s="63"/>
    </row>
    <row r="105" spans="1:5" s="44" customFormat="1" ht="20.25" customHeight="1">
      <c r="A105" s="20" t="s">
        <v>117</v>
      </c>
      <c r="B105" s="64" t="s">
        <v>7</v>
      </c>
      <c r="C105" s="65">
        <v>190</v>
      </c>
      <c r="D105" s="66">
        <v>7000</v>
      </c>
      <c r="E105" s="88">
        <f>+D105*C105</f>
        <v>1330000</v>
      </c>
    </row>
    <row r="106" spans="1:5" s="44" customFormat="1" ht="20.25" hidden="1" customHeight="1">
      <c r="A106" s="15" t="s">
        <v>118</v>
      </c>
      <c r="B106" s="61" t="s">
        <v>9</v>
      </c>
      <c r="C106" s="6"/>
      <c r="D106" s="62"/>
      <c r="E106" s="63"/>
    </row>
    <row r="107" spans="1:5" s="44" customFormat="1" ht="20.25" hidden="1" customHeight="1">
      <c r="A107" s="8" t="s">
        <v>119</v>
      </c>
      <c r="B107" s="61" t="s">
        <v>7</v>
      </c>
      <c r="C107" s="6"/>
      <c r="D107" s="62"/>
      <c r="E107" s="63"/>
    </row>
    <row r="108" spans="1:5" s="44" customFormat="1" ht="20.25" hidden="1" customHeight="1">
      <c r="A108" s="8" t="s">
        <v>120</v>
      </c>
      <c r="B108" s="61" t="s">
        <v>9</v>
      </c>
      <c r="C108" s="6"/>
      <c r="D108" s="62"/>
      <c r="E108" s="63"/>
    </row>
    <row r="109" spans="1:5" s="44" customFormat="1" ht="20.25" hidden="1" customHeight="1">
      <c r="A109" s="10" t="s">
        <v>121</v>
      </c>
      <c r="B109" s="61" t="s">
        <v>7</v>
      </c>
      <c r="C109" s="6"/>
      <c r="D109" s="62"/>
      <c r="E109" s="63"/>
    </row>
    <row r="110" spans="1:5" s="44" customFormat="1" ht="20.25" hidden="1" customHeight="1">
      <c r="A110" s="23" t="s">
        <v>122</v>
      </c>
      <c r="B110" s="61" t="s">
        <v>39</v>
      </c>
      <c r="C110" s="6"/>
      <c r="D110" s="62"/>
      <c r="E110" s="63"/>
    </row>
    <row r="111" spans="1:5" s="44" customFormat="1" ht="20.25" hidden="1" customHeight="1">
      <c r="A111" s="8" t="s">
        <v>123</v>
      </c>
      <c r="B111" s="61" t="s">
        <v>7</v>
      </c>
      <c r="C111" s="6"/>
      <c r="D111" s="62"/>
      <c r="E111" s="63"/>
    </row>
    <row r="112" spans="1:5" s="44" customFormat="1" ht="20.25" hidden="1" customHeight="1">
      <c r="A112" s="8" t="s">
        <v>124</v>
      </c>
      <c r="B112" s="61" t="s">
        <v>7</v>
      </c>
      <c r="C112" s="6"/>
      <c r="D112" s="62"/>
      <c r="E112" s="63"/>
    </row>
    <row r="113" spans="1:5" s="44" customFormat="1" ht="20.25" hidden="1" customHeight="1">
      <c r="A113" s="8" t="s">
        <v>125</v>
      </c>
      <c r="B113" s="61" t="s">
        <v>7</v>
      </c>
      <c r="C113" s="6"/>
      <c r="D113" s="62"/>
      <c r="E113" s="63"/>
    </row>
    <row r="114" spans="1:5" s="44" customFormat="1" ht="20.25" hidden="1" customHeight="1">
      <c r="A114" s="8" t="s">
        <v>126</v>
      </c>
      <c r="B114" s="61" t="s">
        <v>57</v>
      </c>
      <c r="C114" s="6"/>
      <c r="D114" s="62"/>
      <c r="E114" s="63"/>
    </row>
    <row r="115" spans="1:5" s="44" customFormat="1" ht="20.25" hidden="1" customHeight="1">
      <c r="A115" s="8" t="s">
        <v>127</v>
      </c>
      <c r="B115" s="61" t="s">
        <v>7</v>
      </c>
      <c r="C115" s="6"/>
      <c r="D115" s="62"/>
      <c r="E115" s="63"/>
    </row>
    <row r="116" spans="1:5" s="44" customFormat="1" ht="20.25" hidden="1" customHeight="1">
      <c r="A116" s="8" t="s">
        <v>128</v>
      </c>
      <c r="B116" s="61" t="s">
        <v>7</v>
      </c>
      <c r="C116" s="6"/>
      <c r="D116" s="62"/>
      <c r="E116" s="63"/>
    </row>
    <row r="117" spans="1:5" s="44" customFormat="1" ht="20.25" hidden="1" customHeight="1">
      <c r="A117" s="8" t="s">
        <v>129</v>
      </c>
      <c r="B117" s="61" t="s">
        <v>54</v>
      </c>
      <c r="C117" s="6"/>
      <c r="D117" s="62"/>
      <c r="E117" s="63"/>
    </row>
    <row r="118" spans="1:5" s="44" customFormat="1" ht="20.25" hidden="1" customHeight="1">
      <c r="A118" s="8" t="s">
        <v>130</v>
      </c>
      <c r="B118" s="61" t="s">
        <v>7</v>
      </c>
      <c r="C118" s="6"/>
      <c r="D118" s="62"/>
      <c r="E118" s="63"/>
    </row>
    <row r="119" spans="1:5" s="44" customFormat="1" ht="20.25" hidden="1" customHeight="1">
      <c r="A119" s="10" t="s">
        <v>131</v>
      </c>
      <c r="B119" s="61" t="s">
        <v>7</v>
      </c>
      <c r="C119" s="6"/>
      <c r="D119" s="62"/>
      <c r="E119" s="63"/>
    </row>
    <row r="120" spans="1:5" s="44" customFormat="1" ht="20.25" hidden="1" customHeight="1">
      <c r="A120" s="19" t="s">
        <v>132</v>
      </c>
      <c r="B120" s="61" t="s">
        <v>21</v>
      </c>
      <c r="C120" s="6"/>
      <c r="D120" s="62"/>
      <c r="E120" s="63"/>
    </row>
    <row r="121" spans="1:5" s="44" customFormat="1" ht="20.25" hidden="1" customHeight="1">
      <c r="A121" s="8" t="s">
        <v>133</v>
      </c>
      <c r="B121" s="61" t="s">
        <v>134</v>
      </c>
      <c r="C121" s="6"/>
      <c r="D121" s="62"/>
      <c r="E121" s="63"/>
    </row>
    <row r="122" spans="1:5" s="44" customFormat="1" ht="20.25" hidden="1" customHeight="1">
      <c r="A122" s="10" t="s">
        <v>135</v>
      </c>
      <c r="B122" s="61" t="s">
        <v>134</v>
      </c>
      <c r="C122" s="6"/>
      <c r="D122" s="62"/>
      <c r="E122" s="63"/>
    </row>
    <row r="123" spans="1:5" s="44" customFormat="1" ht="20.25" hidden="1" customHeight="1">
      <c r="A123" s="10" t="s">
        <v>136</v>
      </c>
      <c r="B123" s="61" t="s">
        <v>134</v>
      </c>
      <c r="C123" s="6"/>
      <c r="D123" s="62"/>
      <c r="E123" s="63"/>
    </row>
    <row r="124" spans="1:5" s="44" customFormat="1" ht="20.25" hidden="1" customHeight="1">
      <c r="A124" s="8" t="s">
        <v>137</v>
      </c>
      <c r="B124" s="61" t="s">
        <v>7</v>
      </c>
      <c r="C124" s="6"/>
      <c r="D124" s="62"/>
      <c r="E124" s="63"/>
    </row>
    <row r="125" spans="1:5" s="44" customFormat="1" ht="20.25" hidden="1" customHeight="1">
      <c r="A125" s="8" t="s">
        <v>138</v>
      </c>
      <c r="B125" s="61" t="s">
        <v>54</v>
      </c>
      <c r="C125" s="6"/>
      <c r="D125" s="62"/>
      <c r="E125" s="63"/>
    </row>
    <row r="126" spans="1:5" s="44" customFormat="1" ht="20.25" hidden="1" customHeight="1">
      <c r="A126" s="9" t="s">
        <v>139</v>
      </c>
      <c r="B126" s="61" t="s">
        <v>7</v>
      </c>
      <c r="C126" s="6"/>
      <c r="D126" s="62"/>
      <c r="E126" s="63"/>
    </row>
    <row r="127" spans="1:5" s="44" customFormat="1" ht="20.25" hidden="1" customHeight="1">
      <c r="A127" s="12" t="s">
        <v>140</v>
      </c>
      <c r="B127" s="61" t="s">
        <v>68</v>
      </c>
      <c r="C127" s="6"/>
      <c r="D127" s="62"/>
      <c r="E127" s="63"/>
    </row>
    <row r="128" spans="1:5" s="44" customFormat="1" ht="20.25" hidden="1" customHeight="1">
      <c r="A128" s="11" t="s">
        <v>141</v>
      </c>
      <c r="B128" s="61" t="s">
        <v>68</v>
      </c>
      <c r="C128" s="14"/>
      <c r="D128" s="62"/>
      <c r="E128" s="63"/>
    </row>
    <row r="129" spans="1:5" s="44" customFormat="1" ht="20.25" hidden="1" customHeight="1">
      <c r="A129" s="11" t="s">
        <v>142</v>
      </c>
      <c r="B129" s="61" t="s">
        <v>7</v>
      </c>
      <c r="C129" s="14"/>
      <c r="D129" s="62"/>
      <c r="E129" s="63"/>
    </row>
    <row r="130" spans="1:5" s="44" customFormat="1" ht="20.25" hidden="1" customHeight="1">
      <c r="A130" s="11" t="s">
        <v>143</v>
      </c>
      <c r="B130" s="61" t="s">
        <v>7</v>
      </c>
      <c r="C130" s="14"/>
      <c r="D130" s="62"/>
      <c r="E130" s="63"/>
    </row>
    <row r="131" spans="1:5" s="44" customFormat="1" ht="20.25" hidden="1" customHeight="1">
      <c r="A131" s="11" t="s">
        <v>144</v>
      </c>
      <c r="B131" s="61" t="s">
        <v>7</v>
      </c>
      <c r="C131" s="24"/>
      <c r="D131" s="62"/>
      <c r="E131" s="63"/>
    </row>
    <row r="132" spans="1:5" s="44" customFormat="1" ht="20.25" hidden="1" customHeight="1">
      <c r="A132" s="25" t="s">
        <v>145</v>
      </c>
      <c r="B132" s="61" t="s">
        <v>54</v>
      </c>
      <c r="C132" s="6"/>
      <c r="D132" s="62"/>
      <c r="E132" s="63"/>
    </row>
    <row r="133" spans="1:5" s="44" customFormat="1" ht="20.25" hidden="1" customHeight="1">
      <c r="A133" s="11" t="s">
        <v>146</v>
      </c>
      <c r="B133" s="61" t="s">
        <v>7</v>
      </c>
      <c r="C133" s="14"/>
      <c r="D133" s="62"/>
      <c r="E133" s="63"/>
    </row>
    <row r="134" spans="1:5" s="44" customFormat="1" ht="20.25" customHeight="1">
      <c r="A134" s="19" t="s">
        <v>147</v>
      </c>
      <c r="B134" s="64" t="s">
        <v>7</v>
      </c>
      <c r="C134" s="65">
        <v>20</v>
      </c>
      <c r="D134" s="66">
        <v>9000</v>
      </c>
      <c r="E134" s="88">
        <f>+D134*C134</f>
        <v>180000</v>
      </c>
    </row>
    <row r="135" spans="1:5" s="44" customFormat="1" ht="20.25" hidden="1" customHeight="1">
      <c r="A135" s="8" t="s">
        <v>148</v>
      </c>
      <c r="B135" s="61" t="s">
        <v>17</v>
      </c>
      <c r="C135" s="6"/>
      <c r="D135" s="62"/>
      <c r="E135" s="63"/>
    </row>
    <row r="136" spans="1:5" s="44" customFormat="1" ht="20.25" hidden="1" customHeight="1">
      <c r="A136" s="8" t="s">
        <v>149</v>
      </c>
      <c r="B136" s="61" t="s">
        <v>54</v>
      </c>
      <c r="C136" s="6"/>
      <c r="D136" s="62"/>
      <c r="E136" s="63"/>
    </row>
    <row r="137" spans="1:5" s="44" customFormat="1" ht="20.25" hidden="1" customHeight="1">
      <c r="A137" s="8" t="s">
        <v>150</v>
      </c>
      <c r="B137" s="61" t="s">
        <v>7</v>
      </c>
      <c r="C137" s="6"/>
      <c r="D137" s="62"/>
      <c r="E137" s="63"/>
    </row>
    <row r="138" spans="1:5" s="44" customFormat="1" ht="20.25" hidden="1" customHeight="1">
      <c r="A138" s="15" t="s">
        <v>151</v>
      </c>
      <c r="B138" s="61" t="s">
        <v>49</v>
      </c>
      <c r="C138" s="6"/>
      <c r="D138" s="62"/>
      <c r="E138" s="63"/>
    </row>
    <row r="139" spans="1:5" s="44" customFormat="1" ht="20.25" hidden="1" customHeight="1">
      <c r="A139" s="11" t="s">
        <v>152</v>
      </c>
      <c r="B139" s="61" t="s">
        <v>7</v>
      </c>
      <c r="C139" s="6"/>
      <c r="D139" s="62"/>
      <c r="E139" s="63"/>
    </row>
    <row r="140" spans="1:5" s="44" customFormat="1" ht="20.25" hidden="1" customHeight="1">
      <c r="A140" s="11" t="s">
        <v>153</v>
      </c>
      <c r="B140" s="61" t="s">
        <v>49</v>
      </c>
      <c r="C140" s="6"/>
      <c r="D140" s="62"/>
      <c r="E140" s="63"/>
    </row>
    <row r="141" spans="1:5" s="44" customFormat="1" ht="20.25" hidden="1" customHeight="1">
      <c r="A141" s="8" t="s">
        <v>154</v>
      </c>
      <c r="B141" s="61" t="s">
        <v>7</v>
      </c>
      <c r="C141" s="6"/>
      <c r="D141" s="62"/>
      <c r="E141" s="63"/>
    </row>
    <row r="142" spans="1:5" s="44" customFormat="1" ht="20.25" hidden="1" customHeight="1">
      <c r="A142" s="8" t="s">
        <v>155</v>
      </c>
      <c r="B142" s="61" t="s">
        <v>7</v>
      </c>
      <c r="C142" s="6"/>
      <c r="D142" s="62"/>
      <c r="E142" s="63"/>
    </row>
    <row r="143" spans="1:5" s="44" customFormat="1" ht="20.25" hidden="1" customHeight="1">
      <c r="A143" s="8" t="s">
        <v>156</v>
      </c>
      <c r="B143" s="61" t="s">
        <v>7</v>
      </c>
      <c r="C143" s="14"/>
      <c r="D143" s="62"/>
      <c r="E143" s="63"/>
    </row>
    <row r="144" spans="1:5" s="44" customFormat="1" ht="20.25" hidden="1" customHeight="1">
      <c r="A144" s="8" t="s">
        <v>157</v>
      </c>
      <c r="B144" s="61" t="s">
        <v>54</v>
      </c>
      <c r="C144" s="14"/>
      <c r="D144" s="62"/>
      <c r="E144" s="63"/>
    </row>
    <row r="145" spans="1:5" s="44" customFormat="1" ht="20.25" hidden="1" customHeight="1">
      <c r="A145" s="8" t="s">
        <v>158</v>
      </c>
      <c r="B145" s="61"/>
      <c r="C145" s="6"/>
      <c r="D145" s="62"/>
      <c r="E145" s="63"/>
    </row>
    <row r="146" spans="1:5" s="44" customFormat="1" ht="20.25" hidden="1" customHeight="1">
      <c r="A146" s="8" t="s">
        <v>159</v>
      </c>
      <c r="B146" s="61" t="s">
        <v>7</v>
      </c>
      <c r="C146" s="14"/>
      <c r="D146" s="62"/>
      <c r="E146" s="63"/>
    </row>
    <row r="147" spans="1:5" s="44" customFormat="1" ht="20.25" hidden="1" customHeight="1">
      <c r="A147" s="8" t="s">
        <v>160</v>
      </c>
      <c r="B147" s="61" t="s">
        <v>54</v>
      </c>
      <c r="C147" s="14"/>
      <c r="D147" s="62"/>
      <c r="E147" s="63"/>
    </row>
    <row r="148" spans="1:5" s="44" customFormat="1" ht="20.25" customHeight="1">
      <c r="A148" s="19" t="s">
        <v>161</v>
      </c>
      <c r="B148" s="64" t="s">
        <v>7</v>
      </c>
      <c r="C148" s="89">
        <v>1</v>
      </c>
      <c r="D148" s="66">
        <v>80000</v>
      </c>
      <c r="E148" s="88">
        <f>+D148*C148</f>
        <v>80000</v>
      </c>
    </row>
    <row r="149" spans="1:5" s="44" customFormat="1" ht="20.25" hidden="1" customHeight="1">
      <c r="A149" s="8" t="s">
        <v>162</v>
      </c>
      <c r="B149" s="61" t="s">
        <v>54</v>
      </c>
      <c r="C149" s="14"/>
      <c r="D149" s="62"/>
      <c r="E149" s="63"/>
    </row>
    <row r="150" spans="1:5" s="44" customFormat="1" ht="20.25" hidden="1" customHeight="1">
      <c r="A150" s="8" t="s">
        <v>163</v>
      </c>
      <c r="B150" s="61" t="s">
        <v>7</v>
      </c>
      <c r="C150" s="14"/>
      <c r="D150" s="62"/>
      <c r="E150" s="63"/>
    </row>
    <row r="151" spans="1:5" s="44" customFormat="1" ht="20.25" hidden="1" customHeight="1">
      <c r="A151" s="8" t="s">
        <v>164</v>
      </c>
      <c r="B151" s="61" t="s">
        <v>7</v>
      </c>
      <c r="C151" s="14"/>
      <c r="D151" s="62"/>
      <c r="E151" s="63"/>
    </row>
    <row r="152" spans="1:5" s="44" customFormat="1" ht="20.25" customHeight="1">
      <c r="A152" s="19" t="s">
        <v>165</v>
      </c>
      <c r="B152" s="64" t="s">
        <v>7</v>
      </c>
      <c r="C152" s="89">
        <v>1</v>
      </c>
      <c r="D152" s="66">
        <v>70000</v>
      </c>
      <c r="E152" s="88">
        <f>+D152*C152</f>
        <v>70000</v>
      </c>
    </row>
    <row r="153" spans="1:5" s="44" customFormat="1" ht="20.25" hidden="1" customHeight="1">
      <c r="A153" s="8" t="s">
        <v>166</v>
      </c>
      <c r="B153" s="61" t="s">
        <v>54</v>
      </c>
      <c r="C153" s="14"/>
      <c r="D153" s="62"/>
      <c r="E153" s="63"/>
    </row>
    <row r="154" spans="1:5" s="44" customFormat="1" ht="20.25" hidden="1" customHeight="1">
      <c r="A154" s="8" t="s">
        <v>167</v>
      </c>
      <c r="B154" s="61" t="s">
        <v>7</v>
      </c>
      <c r="C154" s="6"/>
      <c r="D154" s="62"/>
      <c r="E154" s="63"/>
    </row>
    <row r="155" spans="1:5" s="44" customFormat="1" ht="20.25" customHeight="1">
      <c r="A155" s="19" t="s">
        <v>168</v>
      </c>
      <c r="B155" s="64" t="s">
        <v>7</v>
      </c>
      <c r="C155" s="65">
        <v>2</v>
      </c>
      <c r="D155" s="66">
        <v>20000</v>
      </c>
      <c r="E155" s="88">
        <f>+D155*C155</f>
        <v>40000</v>
      </c>
    </row>
    <row r="156" spans="1:5" s="44" customFormat="1" ht="20.25" hidden="1" customHeight="1">
      <c r="A156" s="8" t="s">
        <v>169</v>
      </c>
      <c r="B156" s="61" t="s">
        <v>49</v>
      </c>
      <c r="C156" s="6"/>
      <c r="D156" s="62"/>
      <c r="E156" s="63"/>
    </row>
    <row r="157" spans="1:5" s="44" customFormat="1" ht="20.25" hidden="1" customHeight="1">
      <c r="A157" s="8" t="s">
        <v>170</v>
      </c>
      <c r="B157" s="61" t="s">
        <v>49</v>
      </c>
      <c r="C157" s="6"/>
      <c r="D157" s="62"/>
      <c r="E157" s="63"/>
    </row>
    <row r="158" spans="1:5" s="44" customFormat="1" ht="20.25" hidden="1" customHeight="1">
      <c r="A158" s="15" t="s">
        <v>171</v>
      </c>
      <c r="B158" s="61" t="s">
        <v>49</v>
      </c>
      <c r="C158" s="6"/>
      <c r="D158" s="62"/>
      <c r="E158" s="63"/>
    </row>
    <row r="159" spans="1:5" s="44" customFormat="1" ht="20.25" hidden="1" customHeight="1">
      <c r="A159" s="16" t="s">
        <v>172</v>
      </c>
      <c r="B159" s="61" t="s">
        <v>7</v>
      </c>
      <c r="C159" s="6"/>
      <c r="D159" s="62"/>
      <c r="E159" s="63"/>
    </row>
    <row r="160" spans="1:5" s="44" customFormat="1" ht="20.25" hidden="1" customHeight="1">
      <c r="A160" s="8" t="s">
        <v>173</v>
      </c>
      <c r="B160" s="61" t="s">
        <v>7</v>
      </c>
      <c r="C160" s="6"/>
      <c r="D160" s="62"/>
      <c r="E160" s="63"/>
    </row>
    <row r="161" spans="1:36" s="44" customFormat="1" ht="20.25" hidden="1" customHeight="1">
      <c r="A161" s="8" t="s">
        <v>174</v>
      </c>
      <c r="B161" s="61" t="s">
        <v>49</v>
      </c>
      <c r="C161" s="6"/>
      <c r="D161" s="62"/>
      <c r="E161" s="63"/>
    </row>
    <row r="162" spans="1:36" s="44" customFormat="1" ht="20.25" hidden="1" customHeight="1">
      <c r="A162" s="8" t="s">
        <v>175</v>
      </c>
      <c r="B162" s="61" t="s">
        <v>49</v>
      </c>
      <c r="C162" s="6"/>
      <c r="D162" s="62"/>
      <c r="E162" s="63"/>
    </row>
    <row r="163" spans="1:36" s="44" customFormat="1" ht="20.25" hidden="1" customHeight="1">
      <c r="A163" s="8" t="s">
        <v>176</v>
      </c>
      <c r="B163" s="61" t="s">
        <v>49</v>
      </c>
      <c r="C163" s="14"/>
      <c r="D163" s="62"/>
      <c r="E163" s="63"/>
    </row>
    <row r="164" spans="1:36" s="44" customFormat="1" ht="20.25" customHeight="1">
      <c r="A164" s="19" t="s">
        <v>177</v>
      </c>
      <c r="B164" s="64" t="s">
        <v>7</v>
      </c>
      <c r="C164" s="89">
        <v>1</v>
      </c>
      <c r="D164" s="66">
        <v>70000</v>
      </c>
      <c r="E164" s="88">
        <f>+D164*C164</f>
        <v>70000</v>
      </c>
    </row>
    <row r="165" spans="1:36" s="46" customFormat="1" ht="20.25" hidden="1" customHeight="1">
      <c r="A165" s="8" t="s">
        <v>178</v>
      </c>
      <c r="B165" s="61" t="s">
        <v>54</v>
      </c>
      <c r="C165" s="14"/>
      <c r="D165" s="62"/>
      <c r="E165" s="63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</row>
    <row r="166" spans="1:36" s="44" customFormat="1" ht="20.25" hidden="1" customHeight="1">
      <c r="A166" s="8" t="s">
        <v>179</v>
      </c>
      <c r="B166" s="61" t="s">
        <v>54</v>
      </c>
      <c r="C166" s="6"/>
      <c r="D166" s="62"/>
      <c r="E166" s="63"/>
    </row>
    <row r="167" spans="1:36" s="44" customFormat="1" ht="20.25" hidden="1" customHeight="1">
      <c r="A167" s="8" t="s">
        <v>180</v>
      </c>
      <c r="B167" s="61" t="s">
        <v>7</v>
      </c>
      <c r="C167" s="6"/>
      <c r="D167" s="62"/>
      <c r="E167" s="63"/>
    </row>
    <row r="168" spans="1:36" s="44" customFormat="1" ht="20.25" hidden="1" customHeight="1">
      <c r="A168" s="15" t="s">
        <v>181</v>
      </c>
      <c r="B168" s="61" t="s">
        <v>54</v>
      </c>
      <c r="C168" s="6"/>
      <c r="D168" s="62"/>
      <c r="E168" s="63"/>
    </row>
    <row r="169" spans="1:36" s="44" customFormat="1" ht="20.25" hidden="1" customHeight="1">
      <c r="A169" s="11" t="s">
        <v>182</v>
      </c>
      <c r="B169" s="61" t="s">
        <v>7</v>
      </c>
      <c r="C169" s="6"/>
      <c r="D169" s="62"/>
      <c r="E169" s="63"/>
    </row>
    <row r="170" spans="1:36" s="44" customFormat="1" ht="20.25" hidden="1" customHeight="1">
      <c r="A170" s="8" t="s">
        <v>183</v>
      </c>
      <c r="B170" s="61" t="s">
        <v>54</v>
      </c>
      <c r="C170" s="6"/>
      <c r="D170" s="83"/>
      <c r="E170" s="78"/>
    </row>
    <row r="171" spans="1:36" s="44" customFormat="1" ht="20.25" hidden="1" customHeight="1">
      <c r="A171" s="27" t="s">
        <v>184</v>
      </c>
      <c r="B171" s="61" t="s">
        <v>54</v>
      </c>
      <c r="C171" s="6"/>
      <c r="D171" s="68"/>
      <c r="E171" s="63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</row>
    <row r="172" spans="1:36" s="44" customFormat="1" ht="20.25" customHeight="1">
      <c r="A172" s="19" t="s">
        <v>185</v>
      </c>
      <c r="B172" s="64" t="s">
        <v>7</v>
      </c>
      <c r="C172" s="65">
        <v>38</v>
      </c>
      <c r="D172" s="66">
        <v>18000</v>
      </c>
      <c r="E172" s="88">
        <f>+D172*C172</f>
        <v>684000</v>
      </c>
    </row>
    <row r="173" spans="1:36" s="44" customFormat="1" ht="20.25" hidden="1" customHeight="1">
      <c r="A173" s="8" t="s">
        <v>186</v>
      </c>
      <c r="B173" s="61" t="s">
        <v>7</v>
      </c>
      <c r="C173" s="6"/>
      <c r="D173" s="62"/>
      <c r="E173" s="63"/>
    </row>
    <row r="174" spans="1:36" s="44" customFormat="1" ht="20.25" hidden="1" customHeight="1">
      <c r="A174" s="18" t="s">
        <v>187</v>
      </c>
      <c r="B174" s="61" t="s">
        <v>7</v>
      </c>
      <c r="C174" s="6"/>
      <c r="D174" s="62"/>
      <c r="E174" s="63"/>
    </row>
    <row r="175" spans="1:36" s="44" customFormat="1" ht="20.25" hidden="1" customHeight="1">
      <c r="A175" s="8" t="s">
        <v>188</v>
      </c>
      <c r="B175" s="61" t="s">
        <v>49</v>
      </c>
      <c r="C175" s="6"/>
      <c r="D175" s="62"/>
      <c r="E175" s="63"/>
    </row>
    <row r="176" spans="1:36" s="44" customFormat="1" ht="20.25" customHeight="1">
      <c r="A176" s="12" t="s">
        <v>189</v>
      </c>
      <c r="B176" s="90" t="s">
        <v>7</v>
      </c>
      <c r="C176" s="91">
        <v>25</v>
      </c>
      <c r="D176" s="66">
        <f>VLOOKUP(A176,'2.7'!A176:D461,4,)</f>
        <v>17000</v>
      </c>
      <c r="E176" s="88">
        <f>+D176*C176</f>
        <v>425000</v>
      </c>
    </row>
    <row r="177" spans="1:5" s="44" customFormat="1" ht="20.25" hidden="1" customHeight="1">
      <c r="A177" s="10" t="s">
        <v>190</v>
      </c>
      <c r="B177" s="61" t="s">
        <v>7</v>
      </c>
      <c r="C177" s="6"/>
      <c r="D177" s="62"/>
      <c r="E177" s="63"/>
    </row>
    <row r="178" spans="1:5" s="44" customFormat="1" ht="20.25" hidden="1" customHeight="1">
      <c r="A178" s="8" t="s">
        <v>191</v>
      </c>
      <c r="B178" s="61" t="s">
        <v>7</v>
      </c>
      <c r="C178" s="6"/>
      <c r="D178" s="62"/>
      <c r="E178" s="63"/>
    </row>
    <row r="179" spans="1:5" s="44" customFormat="1" ht="20.25" hidden="1" customHeight="1">
      <c r="A179" s="8" t="s">
        <v>192</v>
      </c>
      <c r="B179" s="61" t="s">
        <v>7</v>
      </c>
      <c r="C179" s="6"/>
      <c r="D179" s="62"/>
      <c r="E179" s="63"/>
    </row>
    <row r="180" spans="1:5" s="44" customFormat="1" ht="20.25" hidden="1" customHeight="1">
      <c r="A180" s="11" t="s">
        <v>193</v>
      </c>
      <c r="B180" s="61" t="s">
        <v>7</v>
      </c>
      <c r="C180" s="6"/>
      <c r="D180" s="62"/>
      <c r="E180" s="63"/>
    </row>
    <row r="181" spans="1:5" s="44" customFormat="1" ht="20.25" hidden="1" customHeight="1">
      <c r="A181" s="8" t="s">
        <v>194</v>
      </c>
      <c r="B181" s="61" t="s">
        <v>7</v>
      </c>
      <c r="C181" s="6"/>
      <c r="D181" s="62"/>
      <c r="E181" s="63"/>
    </row>
    <row r="182" spans="1:5" s="44" customFormat="1" ht="20.25" hidden="1" customHeight="1">
      <c r="A182" s="8" t="s">
        <v>195</v>
      </c>
      <c r="B182" s="61" t="s">
        <v>7</v>
      </c>
      <c r="C182" s="6"/>
      <c r="D182" s="62"/>
      <c r="E182" s="63"/>
    </row>
    <row r="183" spans="1:5" s="44" customFormat="1" ht="20.25" hidden="1" customHeight="1">
      <c r="A183" s="11" t="s">
        <v>196</v>
      </c>
      <c r="B183" s="61" t="s">
        <v>7</v>
      </c>
      <c r="C183" s="6"/>
      <c r="D183" s="62"/>
      <c r="E183" s="63"/>
    </row>
    <row r="184" spans="1:5" s="44" customFormat="1" ht="20.25" hidden="1" customHeight="1">
      <c r="A184" s="11" t="s">
        <v>197</v>
      </c>
      <c r="B184" s="61" t="s">
        <v>7</v>
      </c>
      <c r="C184" s="6"/>
      <c r="D184" s="62"/>
      <c r="E184" s="63"/>
    </row>
    <row r="185" spans="1:5" s="44" customFormat="1" ht="20.25" customHeight="1">
      <c r="A185" s="10" t="s">
        <v>198</v>
      </c>
      <c r="B185" s="64" t="s">
        <v>7</v>
      </c>
      <c r="C185" s="65">
        <v>300</v>
      </c>
      <c r="D185" s="66">
        <f>VLOOKUP(A185,'2.7'!A185:D470,4,)</f>
        <v>7000</v>
      </c>
      <c r="E185" s="88">
        <f t="shared" ref="E185:E186" si="0">+D185*C185</f>
        <v>2100000</v>
      </c>
    </row>
    <row r="186" spans="1:5" s="44" customFormat="1" ht="20.25" customHeight="1">
      <c r="A186" s="19" t="s">
        <v>199</v>
      </c>
      <c r="B186" s="64" t="s">
        <v>49</v>
      </c>
      <c r="C186" s="65">
        <v>72</v>
      </c>
      <c r="D186" s="66">
        <f>VLOOKUP(A186,'2.7'!A186:D471,4,)</f>
        <v>1800</v>
      </c>
      <c r="E186" s="88">
        <f t="shared" si="0"/>
        <v>129600</v>
      </c>
    </row>
    <row r="187" spans="1:5" s="44" customFormat="1" ht="20.25" hidden="1" customHeight="1">
      <c r="A187" s="11" t="s">
        <v>200</v>
      </c>
      <c r="B187" s="61" t="s">
        <v>7</v>
      </c>
      <c r="C187" s="6"/>
      <c r="D187" s="62"/>
      <c r="E187" s="63"/>
    </row>
    <row r="188" spans="1:5" s="44" customFormat="1" ht="20.25" customHeight="1">
      <c r="A188" s="10" t="s">
        <v>201</v>
      </c>
      <c r="B188" s="64" t="s">
        <v>7</v>
      </c>
      <c r="C188" s="65">
        <v>6</v>
      </c>
      <c r="D188" s="66">
        <f>VLOOKUP(A188,'2.7'!A188:D473,4,)</f>
        <v>20000</v>
      </c>
      <c r="E188" s="88">
        <f>+D188*C188</f>
        <v>120000</v>
      </c>
    </row>
    <row r="189" spans="1:5" s="44" customFormat="1" ht="20.25" hidden="1" customHeight="1">
      <c r="A189" s="11" t="s">
        <v>202</v>
      </c>
      <c r="B189" s="61" t="s">
        <v>49</v>
      </c>
      <c r="C189" s="6"/>
      <c r="D189" s="62"/>
      <c r="E189" s="63"/>
    </row>
    <row r="190" spans="1:5" s="44" customFormat="1" ht="20.25" hidden="1" customHeight="1">
      <c r="A190" s="8" t="s">
        <v>203</v>
      </c>
      <c r="B190" s="61" t="s">
        <v>49</v>
      </c>
      <c r="C190" s="6"/>
      <c r="D190" s="62"/>
      <c r="E190" s="63"/>
    </row>
    <row r="191" spans="1:5" s="44" customFormat="1" ht="20.25" hidden="1" customHeight="1">
      <c r="A191" s="15" t="s">
        <v>204</v>
      </c>
      <c r="B191" s="61" t="s">
        <v>7</v>
      </c>
      <c r="C191" s="6"/>
      <c r="D191" s="62"/>
      <c r="E191" s="63"/>
    </row>
    <row r="192" spans="1:5" s="44" customFormat="1" ht="20.25" hidden="1" customHeight="1">
      <c r="A192" s="15" t="s">
        <v>205</v>
      </c>
      <c r="B192" s="61" t="s">
        <v>7</v>
      </c>
      <c r="C192" s="6"/>
      <c r="D192" s="62"/>
      <c r="E192" s="63"/>
    </row>
    <row r="193" spans="1:5" s="44" customFormat="1" ht="20.25" hidden="1" customHeight="1">
      <c r="A193" s="15" t="s">
        <v>206</v>
      </c>
      <c r="B193" s="61" t="s">
        <v>7</v>
      </c>
      <c r="C193" s="6"/>
      <c r="D193" s="62"/>
      <c r="E193" s="63"/>
    </row>
    <row r="194" spans="1:5" s="44" customFormat="1" ht="20.25" hidden="1" customHeight="1">
      <c r="A194" s="15" t="s">
        <v>207</v>
      </c>
      <c r="B194" s="61" t="s">
        <v>49</v>
      </c>
      <c r="C194" s="6"/>
      <c r="D194" s="62"/>
      <c r="E194" s="63"/>
    </row>
    <row r="195" spans="1:5" s="44" customFormat="1" ht="20.25" hidden="1" customHeight="1">
      <c r="A195" s="11" t="s">
        <v>208</v>
      </c>
      <c r="B195" s="61" t="s">
        <v>7</v>
      </c>
      <c r="C195" s="6"/>
      <c r="D195" s="62"/>
      <c r="E195" s="63"/>
    </row>
    <row r="196" spans="1:5" s="44" customFormat="1" ht="20.25" hidden="1" customHeight="1">
      <c r="A196" s="8" t="s">
        <v>209</v>
      </c>
      <c r="B196" s="61" t="s">
        <v>49</v>
      </c>
      <c r="C196" s="6"/>
      <c r="D196" s="62"/>
      <c r="E196" s="63"/>
    </row>
    <row r="197" spans="1:5" s="44" customFormat="1" ht="20.25" hidden="1" customHeight="1">
      <c r="A197" s="30" t="s">
        <v>210</v>
      </c>
      <c r="B197" s="61" t="s">
        <v>49</v>
      </c>
      <c r="C197" s="6"/>
      <c r="D197" s="62"/>
      <c r="E197" s="63"/>
    </row>
    <row r="198" spans="1:5" s="44" customFormat="1" ht="20.25" hidden="1" customHeight="1">
      <c r="A198" s="30" t="s">
        <v>211</v>
      </c>
      <c r="B198" s="61" t="s">
        <v>49</v>
      </c>
      <c r="C198" s="6"/>
      <c r="D198" s="62"/>
      <c r="E198" s="63"/>
    </row>
    <row r="199" spans="1:5" s="44" customFormat="1" ht="20.25" hidden="1" customHeight="1">
      <c r="A199" s="30" t="s">
        <v>212</v>
      </c>
      <c r="B199" s="61" t="s">
        <v>49</v>
      </c>
      <c r="C199" s="6"/>
      <c r="D199" s="62"/>
      <c r="E199" s="63"/>
    </row>
    <row r="200" spans="1:5" s="44" customFormat="1" ht="20.25" hidden="1" customHeight="1">
      <c r="A200" s="30" t="s">
        <v>213</v>
      </c>
      <c r="B200" s="61" t="s">
        <v>49</v>
      </c>
      <c r="C200" s="6"/>
      <c r="D200" s="62"/>
      <c r="E200" s="63"/>
    </row>
    <row r="201" spans="1:5" s="44" customFormat="1" ht="20.25" hidden="1" customHeight="1">
      <c r="A201" s="8" t="s">
        <v>214</v>
      </c>
      <c r="B201" s="61" t="s">
        <v>7</v>
      </c>
      <c r="C201" s="6"/>
      <c r="D201" s="62"/>
      <c r="E201" s="63"/>
    </row>
    <row r="202" spans="1:5" s="44" customFormat="1" ht="20.25" hidden="1" customHeight="1">
      <c r="A202" s="31" t="s">
        <v>215</v>
      </c>
      <c r="B202" s="61" t="s">
        <v>54</v>
      </c>
      <c r="C202" s="6"/>
      <c r="D202" s="62"/>
      <c r="E202" s="63"/>
    </row>
    <row r="203" spans="1:5" s="44" customFormat="1" ht="20.25" customHeight="1">
      <c r="A203" s="19" t="s">
        <v>216</v>
      </c>
      <c r="B203" s="64" t="s">
        <v>7</v>
      </c>
      <c r="C203" s="65">
        <v>305</v>
      </c>
      <c r="D203" s="66">
        <f>VLOOKUP(A203,'2.7'!A203:D488,4,)</f>
        <v>19000</v>
      </c>
      <c r="E203" s="88">
        <f t="shared" ref="E203:E204" si="1">+D203*C203</f>
        <v>5795000</v>
      </c>
    </row>
    <row r="204" spans="1:5" s="44" customFormat="1" ht="20.25" customHeight="1">
      <c r="A204" s="10" t="s">
        <v>217</v>
      </c>
      <c r="B204" s="64" t="s">
        <v>7</v>
      </c>
      <c r="C204" s="65">
        <v>350</v>
      </c>
      <c r="D204" s="66">
        <f>VLOOKUP(A204,'2.7'!A204:D489,4,)</f>
        <v>19000</v>
      </c>
      <c r="E204" s="88">
        <f t="shared" si="1"/>
        <v>6650000</v>
      </c>
    </row>
    <row r="205" spans="1:5" s="44" customFormat="1" ht="20.25" hidden="1" customHeight="1">
      <c r="A205" s="8" t="s">
        <v>218</v>
      </c>
      <c r="B205" s="61" t="s">
        <v>49</v>
      </c>
      <c r="C205" s="6"/>
      <c r="D205" s="74"/>
      <c r="E205" s="63"/>
    </row>
    <row r="206" spans="1:5" s="44" customFormat="1" ht="20.25" customHeight="1">
      <c r="A206" s="19" t="s">
        <v>219</v>
      </c>
      <c r="B206" s="64" t="s">
        <v>7</v>
      </c>
      <c r="C206" s="65">
        <v>200</v>
      </c>
      <c r="D206" s="66">
        <f>VLOOKUP(A206,'2.7'!A206:D491,4,)</f>
        <v>13000</v>
      </c>
      <c r="E206" s="88">
        <f>+D206*C206</f>
        <v>2600000</v>
      </c>
    </row>
    <row r="207" spans="1:5" s="44" customFormat="1" ht="20.25" hidden="1" customHeight="1">
      <c r="A207" s="32" t="s">
        <v>220</v>
      </c>
      <c r="B207" s="61" t="s">
        <v>49</v>
      </c>
      <c r="C207" s="6"/>
      <c r="D207" s="74"/>
      <c r="E207" s="63"/>
    </row>
    <row r="208" spans="1:5" s="44" customFormat="1" ht="20.25" hidden="1" customHeight="1">
      <c r="A208" s="32" t="s">
        <v>221</v>
      </c>
      <c r="B208" s="61" t="s">
        <v>49</v>
      </c>
      <c r="C208" s="6"/>
      <c r="D208" s="74"/>
      <c r="E208" s="63"/>
    </row>
    <row r="209" spans="1:5" s="44" customFormat="1" ht="20.25" hidden="1" customHeight="1">
      <c r="A209" s="8" t="s">
        <v>222</v>
      </c>
      <c r="B209" s="61" t="s">
        <v>7</v>
      </c>
      <c r="C209" s="6"/>
      <c r="D209" s="62"/>
      <c r="E209" s="63"/>
    </row>
    <row r="210" spans="1:5" s="44" customFormat="1" ht="20.25" customHeight="1">
      <c r="A210" s="10" t="s">
        <v>223</v>
      </c>
      <c r="B210" s="64" t="s">
        <v>7</v>
      </c>
      <c r="C210" s="65">
        <v>13</v>
      </c>
      <c r="D210" s="66">
        <v>36000</v>
      </c>
      <c r="E210" s="88">
        <f>+D210*C210</f>
        <v>468000</v>
      </c>
    </row>
    <row r="211" spans="1:5" s="44" customFormat="1" ht="20.25" hidden="1" customHeight="1">
      <c r="A211" s="8" t="s">
        <v>224</v>
      </c>
      <c r="B211" s="61" t="s">
        <v>7</v>
      </c>
      <c r="C211" s="6"/>
      <c r="D211" s="62"/>
      <c r="E211" s="63"/>
    </row>
    <row r="212" spans="1:5" s="44" customFormat="1" ht="20.25" customHeight="1">
      <c r="A212" s="19" t="s">
        <v>225</v>
      </c>
      <c r="B212" s="64" t="s">
        <v>7</v>
      </c>
      <c r="C212" s="65">
        <v>10</v>
      </c>
      <c r="D212" s="66">
        <v>12000</v>
      </c>
      <c r="E212" s="88">
        <f>+D212*C212</f>
        <v>120000</v>
      </c>
    </row>
    <row r="213" spans="1:5" s="44" customFormat="1" ht="20.25" hidden="1" customHeight="1">
      <c r="A213" s="8" t="s">
        <v>226</v>
      </c>
      <c r="B213" s="61" t="s">
        <v>49</v>
      </c>
      <c r="C213" s="6"/>
      <c r="D213" s="62"/>
      <c r="E213" s="63"/>
    </row>
    <row r="214" spans="1:5" s="44" customFormat="1" ht="20.25" hidden="1" customHeight="1">
      <c r="A214" s="8" t="s">
        <v>227</v>
      </c>
      <c r="B214" s="61" t="s">
        <v>7</v>
      </c>
      <c r="C214" s="6"/>
      <c r="D214" s="62"/>
      <c r="E214" s="63"/>
    </row>
    <row r="215" spans="1:5" s="44" customFormat="1" ht="20.25" hidden="1" customHeight="1">
      <c r="A215" s="33" t="s">
        <v>228</v>
      </c>
      <c r="B215" s="61" t="s">
        <v>49</v>
      </c>
      <c r="C215" s="6"/>
      <c r="D215" s="62"/>
      <c r="E215" s="63"/>
    </row>
    <row r="216" spans="1:5" s="44" customFormat="1" ht="20.25" hidden="1" customHeight="1">
      <c r="A216" s="8" t="s">
        <v>229</v>
      </c>
      <c r="B216" s="61" t="s">
        <v>7</v>
      </c>
      <c r="C216" s="6"/>
      <c r="D216" s="62"/>
      <c r="E216" s="63"/>
    </row>
    <row r="217" spans="1:5" s="44" customFormat="1" ht="20.25" customHeight="1">
      <c r="A217" s="19" t="s">
        <v>230</v>
      </c>
      <c r="B217" s="64" t="s">
        <v>7</v>
      </c>
      <c r="C217" s="65">
        <v>210</v>
      </c>
      <c r="D217" s="66">
        <f>VLOOKUP(A217,'2.7'!A217:D502,4,)</f>
        <v>16000</v>
      </c>
      <c r="E217" s="88">
        <f>+D217*C217</f>
        <v>3360000</v>
      </c>
    </row>
    <row r="218" spans="1:5" s="44" customFormat="1" ht="20.25" hidden="1" customHeight="1">
      <c r="A218" s="8" t="s">
        <v>231</v>
      </c>
      <c r="B218" s="61" t="s">
        <v>49</v>
      </c>
      <c r="C218" s="6"/>
      <c r="D218" s="62"/>
      <c r="E218" s="63"/>
    </row>
    <row r="219" spans="1:5" s="44" customFormat="1" ht="20.25" hidden="1" customHeight="1">
      <c r="A219" s="8" t="s">
        <v>232</v>
      </c>
      <c r="B219" s="61" t="s">
        <v>49</v>
      </c>
      <c r="C219" s="6"/>
      <c r="D219" s="62"/>
      <c r="E219" s="63"/>
    </row>
    <row r="220" spans="1:5" s="44" customFormat="1" ht="20.25" hidden="1" customHeight="1">
      <c r="A220" s="15" t="s">
        <v>233</v>
      </c>
      <c r="B220" s="61" t="s">
        <v>7</v>
      </c>
      <c r="C220" s="6"/>
      <c r="D220" s="62"/>
      <c r="E220" s="63"/>
    </row>
    <row r="221" spans="1:5" s="44" customFormat="1" ht="20.25" hidden="1" customHeight="1">
      <c r="A221" s="15" t="s">
        <v>234</v>
      </c>
      <c r="B221" s="61" t="s">
        <v>49</v>
      </c>
      <c r="C221" s="6"/>
      <c r="D221" s="62"/>
      <c r="E221" s="63"/>
    </row>
    <row r="222" spans="1:5" s="44" customFormat="1" ht="20.25" hidden="1" customHeight="1">
      <c r="A222" s="15" t="s">
        <v>235</v>
      </c>
      <c r="B222" s="61" t="s">
        <v>7</v>
      </c>
      <c r="C222" s="6"/>
      <c r="D222" s="62"/>
      <c r="E222" s="63"/>
    </row>
    <row r="223" spans="1:5" s="44" customFormat="1" ht="20.25" hidden="1" customHeight="1">
      <c r="A223" s="15" t="s">
        <v>236</v>
      </c>
      <c r="B223" s="61" t="s">
        <v>49</v>
      </c>
      <c r="C223" s="6"/>
      <c r="D223" s="62"/>
      <c r="E223" s="63"/>
    </row>
    <row r="224" spans="1:5" s="44" customFormat="1" ht="20.25" hidden="1" customHeight="1">
      <c r="A224" s="8" t="s">
        <v>237</v>
      </c>
      <c r="B224" s="61" t="s">
        <v>7</v>
      </c>
      <c r="C224" s="6"/>
      <c r="D224" s="62"/>
      <c r="E224" s="63"/>
    </row>
    <row r="225" spans="1:5" s="44" customFormat="1" ht="20.25" hidden="1" customHeight="1">
      <c r="A225" s="8" t="s">
        <v>238</v>
      </c>
      <c r="B225" s="61" t="s">
        <v>7</v>
      </c>
      <c r="C225" s="6"/>
      <c r="D225" s="62"/>
      <c r="E225" s="63"/>
    </row>
    <row r="226" spans="1:5" s="44" customFormat="1" ht="20.25" hidden="1" customHeight="1">
      <c r="A226" s="15" t="s">
        <v>239</v>
      </c>
      <c r="B226" s="61" t="s">
        <v>49</v>
      </c>
      <c r="C226" s="6"/>
      <c r="D226" s="62"/>
      <c r="E226" s="63"/>
    </row>
    <row r="227" spans="1:5" s="44" customFormat="1" ht="20.25" hidden="1" customHeight="1">
      <c r="A227" s="15" t="s">
        <v>240</v>
      </c>
      <c r="B227" s="61" t="s">
        <v>49</v>
      </c>
      <c r="C227" s="6"/>
      <c r="D227" s="62"/>
      <c r="E227" s="63"/>
    </row>
    <row r="228" spans="1:5" s="44" customFormat="1" ht="20.25" customHeight="1">
      <c r="A228" s="10" t="s">
        <v>241</v>
      </c>
      <c r="B228" s="64" t="s">
        <v>7</v>
      </c>
      <c r="C228" s="65">
        <v>870</v>
      </c>
      <c r="D228" s="66">
        <f>VLOOKUP(A228,'2.7'!A228:D513,4,)</f>
        <v>37000</v>
      </c>
      <c r="E228" s="88">
        <f>+D228*C228</f>
        <v>32190000</v>
      </c>
    </row>
    <row r="229" spans="1:5" s="44" customFormat="1" ht="20.25" hidden="1" customHeight="1">
      <c r="A229" s="11" t="s">
        <v>242</v>
      </c>
      <c r="B229" s="61" t="s">
        <v>68</v>
      </c>
      <c r="C229" s="6"/>
      <c r="D229" s="62"/>
      <c r="E229" s="63"/>
    </row>
    <row r="230" spans="1:5" s="44" customFormat="1" ht="20.25" hidden="1" customHeight="1">
      <c r="A230" s="10" t="s">
        <v>243</v>
      </c>
      <c r="B230" s="61" t="s">
        <v>68</v>
      </c>
      <c r="C230" s="6"/>
      <c r="D230" s="62"/>
      <c r="E230" s="63"/>
    </row>
    <row r="231" spans="1:5" s="44" customFormat="1" ht="20.25" hidden="1" customHeight="1">
      <c r="A231" s="15" t="s">
        <v>244</v>
      </c>
      <c r="B231" s="61" t="s">
        <v>7</v>
      </c>
      <c r="C231" s="6"/>
      <c r="D231" s="62"/>
      <c r="E231" s="63"/>
    </row>
    <row r="232" spans="1:5" s="44" customFormat="1" ht="20.25" hidden="1" customHeight="1">
      <c r="A232" s="10" t="s">
        <v>245</v>
      </c>
      <c r="B232" s="61" t="s">
        <v>7</v>
      </c>
      <c r="C232" s="6"/>
      <c r="D232" s="62"/>
      <c r="E232" s="63"/>
    </row>
    <row r="233" spans="1:5" s="44" customFormat="1" ht="20.25" hidden="1" customHeight="1">
      <c r="A233" s="10" t="s">
        <v>246</v>
      </c>
      <c r="B233" s="61" t="s">
        <v>7</v>
      </c>
      <c r="C233" s="6"/>
      <c r="D233" s="62"/>
      <c r="E233" s="63"/>
    </row>
    <row r="234" spans="1:5" s="44" customFormat="1" ht="20.25" hidden="1" customHeight="1">
      <c r="A234" s="10" t="s">
        <v>247</v>
      </c>
      <c r="B234" s="61" t="s">
        <v>39</v>
      </c>
      <c r="C234" s="6"/>
      <c r="D234" s="62"/>
      <c r="E234" s="63"/>
    </row>
    <row r="235" spans="1:5" s="44" customFormat="1" ht="20.25" hidden="1" customHeight="1">
      <c r="A235" s="8" t="s">
        <v>248</v>
      </c>
      <c r="B235" s="61" t="s">
        <v>7</v>
      </c>
      <c r="C235" s="6"/>
      <c r="D235" s="62"/>
      <c r="E235" s="63"/>
    </row>
    <row r="236" spans="1:5" s="44" customFormat="1" ht="20.25" hidden="1" customHeight="1">
      <c r="A236" s="8" t="s">
        <v>249</v>
      </c>
      <c r="B236" s="61" t="s">
        <v>7</v>
      </c>
      <c r="C236" s="6"/>
      <c r="D236" s="62"/>
      <c r="E236" s="63"/>
    </row>
    <row r="237" spans="1:5" s="44" customFormat="1" ht="20.25" hidden="1" customHeight="1">
      <c r="A237" s="10" t="s">
        <v>250</v>
      </c>
      <c r="B237" s="61" t="s">
        <v>7</v>
      </c>
      <c r="C237" s="6"/>
      <c r="D237" s="62"/>
      <c r="E237" s="63"/>
    </row>
    <row r="238" spans="1:5" s="44" customFormat="1" ht="20.25" hidden="1" customHeight="1">
      <c r="A238" s="32" t="s">
        <v>251</v>
      </c>
      <c r="B238" s="61" t="s">
        <v>7</v>
      </c>
      <c r="C238" s="6"/>
      <c r="D238" s="62"/>
      <c r="E238" s="63"/>
    </row>
    <row r="239" spans="1:5" s="44" customFormat="1" ht="20.25" hidden="1" customHeight="1">
      <c r="A239" s="8" t="s">
        <v>252</v>
      </c>
      <c r="B239" s="61" t="s">
        <v>7</v>
      </c>
      <c r="C239" s="6"/>
      <c r="D239" s="62"/>
      <c r="E239" s="63"/>
    </row>
    <row r="240" spans="1:5" s="44" customFormat="1" ht="20.25" hidden="1" customHeight="1">
      <c r="A240" s="8" t="s">
        <v>253</v>
      </c>
      <c r="B240" s="61" t="s">
        <v>21</v>
      </c>
      <c r="C240" s="6"/>
      <c r="D240" s="62"/>
      <c r="E240" s="63"/>
    </row>
    <row r="241" spans="1:5" s="44" customFormat="1" ht="20.25" hidden="1" customHeight="1">
      <c r="A241" s="12" t="s">
        <v>254</v>
      </c>
      <c r="B241" s="61" t="s">
        <v>68</v>
      </c>
      <c r="C241" s="6"/>
      <c r="D241" s="62"/>
      <c r="E241" s="63"/>
    </row>
    <row r="242" spans="1:5" s="44" customFormat="1" ht="20.25" hidden="1" customHeight="1">
      <c r="A242" s="12" t="s">
        <v>255</v>
      </c>
      <c r="B242" s="61" t="s">
        <v>68</v>
      </c>
      <c r="C242" s="6"/>
      <c r="D242" s="62"/>
      <c r="E242" s="63"/>
    </row>
    <row r="243" spans="1:5" s="44" customFormat="1" ht="20.25" hidden="1" customHeight="1">
      <c r="A243" s="30" t="s">
        <v>256</v>
      </c>
      <c r="B243" s="61" t="s">
        <v>49</v>
      </c>
      <c r="C243" s="6"/>
      <c r="D243" s="62"/>
      <c r="E243" s="63"/>
    </row>
    <row r="244" spans="1:5" s="44" customFormat="1" ht="20.25" hidden="1" customHeight="1">
      <c r="A244" s="8" t="s">
        <v>257</v>
      </c>
      <c r="B244" s="61" t="s">
        <v>7</v>
      </c>
      <c r="C244" s="6"/>
      <c r="D244" s="62"/>
      <c r="E244" s="63"/>
    </row>
    <row r="245" spans="1:5" s="44" customFormat="1" ht="20.25" hidden="1" customHeight="1">
      <c r="A245" s="8" t="s">
        <v>258</v>
      </c>
      <c r="B245" s="61" t="s">
        <v>49</v>
      </c>
      <c r="C245" s="6"/>
      <c r="D245" s="62"/>
      <c r="E245" s="63"/>
    </row>
    <row r="246" spans="1:5" s="44" customFormat="1" ht="20.25" hidden="1" customHeight="1">
      <c r="A246" s="8" t="s">
        <v>259</v>
      </c>
      <c r="B246" s="61" t="s">
        <v>7</v>
      </c>
      <c r="C246" s="14"/>
      <c r="D246" s="62"/>
      <c r="E246" s="63"/>
    </row>
    <row r="247" spans="1:5" s="44" customFormat="1" ht="20.25" hidden="1" customHeight="1">
      <c r="A247" s="30" t="s">
        <v>260</v>
      </c>
      <c r="B247" s="61" t="s">
        <v>49</v>
      </c>
      <c r="C247" s="6"/>
      <c r="D247" s="62"/>
      <c r="E247" s="63"/>
    </row>
    <row r="248" spans="1:5" s="44" customFormat="1" ht="20.25" hidden="1" customHeight="1">
      <c r="A248" s="8" t="s">
        <v>261</v>
      </c>
      <c r="B248" s="61" t="s">
        <v>49</v>
      </c>
      <c r="C248" s="14"/>
      <c r="D248" s="75"/>
      <c r="E248" s="63"/>
    </row>
    <row r="249" spans="1:5" s="44" customFormat="1" ht="20.25" customHeight="1">
      <c r="A249" s="19" t="s">
        <v>262</v>
      </c>
      <c r="B249" s="64" t="s">
        <v>7</v>
      </c>
      <c r="C249" s="65">
        <v>1</v>
      </c>
      <c r="D249" s="66">
        <f>VLOOKUP(A249,'2.7'!A249:D534,4,)</f>
        <v>14000</v>
      </c>
      <c r="E249" s="88">
        <f>+D249*C249</f>
        <v>14000</v>
      </c>
    </row>
    <row r="250" spans="1:5" s="44" customFormat="1" ht="20.25" hidden="1" customHeight="1">
      <c r="A250" s="10" t="s">
        <v>263</v>
      </c>
      <c r="B250" s="61" t="s">
        <v>7</v>
      </c>
      <c r="C250" s="6"/>
      <c r="D250" s="62"/>
      <c r="E250" s="63"/>
    </row>
    <row r="251" spans="1:5" s="44" customFormat="1" ht="20.25" hidden="1" customHeight="1">
      <c r="A251" s="10" t="s">
        <v>264</v>
      </c>
      <c r="B251" s="61" t="s">
        <v>54</v>
      </c>
      <c r="C251" s="6"/>
      <c r="D251" s="62"/>
      <c r="E251" s="63"/>
    </row>
    <row r="252" spans="1:5" s="44" customFormat="1" ht="20.25" customHeight="1">
      <c r="A252" s="19" t="s">
        <v>265</v>
      </c>
      <c r="B252" s="64" t="s">
        <v>7</v>
      </c>
      <c r="C252" s="65">
        <v>155</v>
      </c>
      <c r="D252" s="66">
        <f>VLOOKUP(A252,'2.7'!A252:D537,4,)</f>
        <v>26000</v>
      </c>
      <c r="E252" s="88">
        <f>+D252*C252</f>
        <v>4030000</v>
      </c>
    </row>
    <row r="253" spans="1:5" s="44" customFormat="1" ht="20.25" hidden="1" customHeight="1">
      <c r="A253" s="8" t="s">
        <v>266</v>
      </c>
      <c r="B253" s="61" t="s">
        <v>7</v>
      </c>
      <c r="C253" s="6"/>
      <c r="D253" s="62"/>
      <c r="E253" s="63"/>
    </row>
    <row r="254" spans="1:5" s="44" customFormat="1" ht="20.25" hidden="1" customHeight="1">
      <c r="A254" s="8" t="s">
        <v>267</v>
      </c>
      <c r="B254" s="61" t="s">
        <v>21</v>
      </c>
      <c r="C254" s="6"/>
      <c r="D254" s="62"/>
      <c r="E254" s="63"/>
    </row>
    <row r="255" spans="1:5" s="44" customFormat="1" ht="20.25" customHeight="1">
      <c r="A255" s="19" t="s">
        <v>268</v>
      </c>
      <c r="B255" s="64" t="s">
        <v>54</v>
      </c>
      <c r="C255" s="65">
        <v>39</v>
      </c>
      <c r="D255" s="66">
        <f>VLOOKUP(A255,'2.7'!A255:D540,4,)</f>
        <v>10000</v>
      </c>
      <c r="E255" s="88">
        <f>+D255*C255</f>
        <v>390000</v>
      </c>
    </row>
    <row r="256" spans="1:5" s="44" customFormat="1" ht="20.25" hidden="1" customHeight="1">
      <c r="A256" s="8" t="s">
        <v>269</v>
      </c>
      <c r="B256" s="61" t="s">
        <v>7</v>
      </c>
      <c r="C256" s="6"/>
      <c r="D256" s="62"/>
      <c r="E256" s="63"/>
    </row>
    <row r="257" spans="1:5" s="44" customFormat="1" ht="20.25" hidden="1" customHeight="1">
      <c r="A257" s="15" t="s">
        <v>270</v>
      </c>
      <c r="B257" s="61" t="s">
        <v>7</v>
      </c>
      <c r="C257" s="6"/>
      <c r="D257" s="62"/>
      <c r="E257" s="63"/>
    </row>
    <row r="258" spans="1:5" s="44" customFormat="1" ht="20.25" hidden="1" customHeight="1">
      <c r="A258" s="19" t="s">
        <v>271</v>
      </c>
      <c r="B258" s="61" t="s">
        <v>7</v>
      </c>
      <c r="C258" s="6"/>
      <c r="D258" s="62"/>
      <c r="E258" s="63"/>
    </row>
    <row r="259" spans="1:5" s="44" customFormat="1" ht="20.25" hidden="1" customHeight="1">
      <c r="A259" s="19" t="s">
        <v>272</v>
      </c>
      <c r="B259" s="61" t="s">
        <v>7</v>
      </c>
      <c r="C259" s="6"/>
      <c r="D259" s="62"/>
      <c r="E259" s="63"/>
    </row>
    <row r="260" spans="1:5" s="44" customFormat="1" ht="20.25" customHeight="1">
      <c r="A260" s="19" t="s">
        <v>273</v>
      </c>
      <c r="B260" s="64" t="s">
        <v>7</v>
      </c>
      <c r="C260" s="65">
        <v>95</v>
      </c>
      <c r="D260" s="66">
        <f>VLOOKUP(A260,'2.7'!A260:D545,4,)</f>
        <v>34000</v>
      </c>
      <c r="E260" s="88">
        <f>+D260*C260</f>
        <v>3230000</v>
      </c>
    </row>
    <row r="261" spans="1:5" s="44" customFormat="1" ht="20.25" hidden="1" customHeight="1">
      <c r="A261" s="8" t="s">
        <v>274</v>
      </c>
      <c r="B261" s="61" t="s">
        <v>7</v>
      </c>
      <c r="C261" s="6"/>
      <c r="D261" s="62"/>
      <c r="E261" s="63"/>
    </row>
    <row r="262" spans="1:5" s="44" customFormat="1" ht="20.25" hidden="1" customHeight="1">
      <c r="A262" s="8" t="s">
        <v>275</v>
      </c>
      <c r="B262" s="61" t="s">
        <v>21</v>
      </c>
      <c r="C262" s="6"/>
      <c r="D262" s="62"/>
      <c r="E262" s="63"/>
    </row>
    <row r="263" spans="1:5" s="44" customFormat="1" ht="20.25" hidden="1" customHeight="1">
      <c r="A263" s="8" t="s">
        <v>276</v>
      </c>
      <c r="B263" s="61" t="s">
        <v>54</v>
      </c>
      <c r="C263" s="6"/>
      <c r="D263" s="62"/>
      <c r="E263" s="63"/>
    </row>
    <row r="264" spans="1:5" s="44" customFormat="1" ht="20.25" customHeight="1">
      <c r="A264" s="19" t="s">
        <v>277</v>
      </c>
      <c r="B264" s="64" t="s">
        <v>7</v>
      </c>
      <c r="C264" s="65">
        <v>55</v>
      </c>
      <c r="D264" s="66">
        <f>VLOOKUP(A264,'2.7'!A264:D549,4,)</f>
        <v>18000</v>
      </c>
      <c r="E264" s="88">
        <f>+D264*C264</f>
        <v>990000</v>
      </c>
    </row>
    <row r="265" spans="1:5" s="44" customFormat="1" ht="20.25" hidden="1" customHeight="1">
      <c r="A265" s="8" t="s">
        <v>278</v>
      </c>
      <c r="B265" s="61" t="s">
        <v>7</v>
      </c>
      <c r="C265" s="6"/>
      <c r="D265" s="62"/>
      <c r="E265" s="63"/>
    </row>
    <row r="266" spans="1:5" s="44" customFormat="1" ht="20.25" hidden="1" customHeight="1">
      <c r="A266" s="8" t="s">
        <v>279</v>
      </c>
      <c r="B266" s="61" t="s">
        <v>21</v>
      </c>
      <c r="C266" s="6"/>
      <c r="D266" s="62"/>
      <c r="E266" s="63"/>
    </row>
    <row r="267" spans="1:5" s="44" customFormat="1" ht="20.25" hidden="1" customHeight="1">
      <c r="A267" s="8" t="s">
        <v>280</v>
      </c>
      <c r="B267" s="61" t="s">
        <v>7</v>
      </c>
      <c r="C267" s="14"/>
      <c r="D267" s="62"/>
      <c r="E267" s="63"/>
    </row>
    <row r="268" spans="1:5" s="44" customFormat="1" ht="20.25" hidden="1" customHeight="1">
      <c r="A268" s="12" t="s">
        <v>281</v>
      </c>
      <c r="B268" s="61" t="s">
        <v>7</v>
      </c>
      <c r="C268" s="6"/>
      <c r="D268" s="62"/>
      <c r="E268" s="63"/>
    </row>
    <row r="269" spans="1:5" s="44" customFormat="1" ht="20.25" hidden="1" customHeight="1">
      <c r="A269" s="8" t="s">
        <v>282</v>
      </c>
      <c r="B269" s="61" t="s">
        <v>7</v>
      </c>
      <c r="C269" s="6"/>
      <c r="D269" s="62"/>
      <c r="E269" s="63"/>
    </row>
    <row r="270" spans="1:5" s="44" customFormat="1" ht="20.25" hidden="1" customHeight="1">
      <c r="A270" s="10" t="s">
        <v>283</v>
      </c>
      <c r="B270" s="61" t="s">
        <v>7</v>
      </c>
      <c r="C270" s="6"/>
      <c r="D270" s="62"/>
      <c r="E270" s="63"/>
    </row>
    <row r="271" spans="1:5" s="44" customFormat="1" ht="20.25" customHeight="1">
      <c r="A271" s="19" t="s">
        <v>284</v>
      </c>
      <c r="B271" s="64" t="s">
        <v>49</v>
      </c>
      <c r="C271" s="65">
        <v>32</v>
      </c>
      <c r="D271" s="66">
        <v>12000</v>
      </c>
      <c r="E271" s="88">
        <f>+D271*C271</f>
        <v>384000</v>
      </c>
    </row>
    <row r="272" spans="1:5" s="44" customFormat="1" ht="20.25" hidden="1" customHeight="1">
      <c r="A272" s="8" t="s">
        <v>285</v>
      </c>
      <c r="B272" s="61" t="s">
        <v>7</v>
      </c>
      <c r="C272" s="6"/>
      <c r="D272" s="62"/>
      <c r="E272" s="63"/>
    </row>
    <row r="273" spans="1:5" s="44" customFormat="1" ht="20.25" hidden="1" customHeight="1">
      <c r="A273" s="8" t="s">
        <v>286</v>
      </c>
      <c r="B273" s="61" t="s">
        <v>7</v>
      </c>
      <c r="C273" s="6"/>
      <c r="D273" s="62"/>
      <c r="E273" s="63"/>
    </row>
    <row r="274" spans="1:5" s="44" customFormat="1" ht="20.25" hidden="1" customHeight="1">
      <c r="A274" s="8" t="s">
        <v>287</v>
      </c>
      <c r="B274" s="61" t="s">
        <v>68</v>
      </c>
      <c r="C274" s="6"/>
      <c r="D274" s="62"/>
      <c r="E274" s="63"/>
    </row>
    <row r="275" spans="1:5" s="44" customFormat="1" ht="20.25" customHeight="1">
      <c r="A275" s="19" t="s">
        <v>288</v>
      </c>
      <c r="B275" s="64" t="s">
        <v>7</v>
      </c>
      <c r="C275" s="65">
        <v>18</v>
      </c>
      <c r="D275" s="66">
        <f>VLOOKUP(A275,'2.7'!A275:D560,4,)</f>
        <v>14000</v>
      </c>
      <c r="E275" s="88">
        <f>+D275*C275</f>
        <v>252000</v>
      </c>
    </row>
    <row r="276" spans="1:5" s="44" customFormat="1" ht="20.25" hidden="1" customHeight="1">
      <c r="A276" s="8" t="s">
        <v>289</v>
      </c>
      <c r="B276" s="61" t="s">
        <v>57</v>
      </c>
      <c r="C276" s="6"/>
      <c r="D276" s="62"/>
      <c r="E276" s="63"/>
    </row>
    <row r="277" spans="1:5" s="44" customFormat="1" ht="20.25" hidden="1" customHeight="1">
      <c r="A277" s="8" t="s">
        <v>290</v>
      </c>
      <c r="B277" s="61" t="s">
        <v>7</v>
      </c>
      <c r="C277" s="6"/>
      <c r="D277" s="62"/>
      <c r="E277" s="63"/>
    </row>
    <row r="278" spans="1:5" s="44" customFormat="1" ht="20.25" hidden="1" customHeight="1">
      <c r="A278" s="30" t="s">
        <v>291</v>
      </c>
      <c r="B278" s="61" t="s">
        <v>49</v>
      </c>
      <c r="C278" s="6"/>
      <c r="D278" s="62"/>
      <c r="E278" s="63"/>
    </row>
    <row r="279" spans="1:5" s="44" customFormat="1" ht="20.25" hidden="1" customHeight="1">
      <c r="A279" s="8" t="s">
        <v>292</v>
      </c>
      <c r="B279" s="61" t="s">
        <v>49</v>
      </c>
      <c r="C279" s="6"/>
      <c r="D279" s="62"/>
      <c r="E279" s="63"/>
    </row>
    <row r="280" spans="1:5" s="44" customFormat="1" ht="20.25" hidden="1" customHeight="1">
      <c r="A280" s="30" t="s">
        <v>293</v>
      </c>
      <c r="B280" s="61" t="s">
        <v>49</v>
      </c>
      <c r="C280" s="6"/>
      <c r="D280" s="62"/>
      <c r="E280" s="63"/>
    </row>
    <row r="281" spans="1:5" s="44" customFormat="1" ht="20.25" hidden="1" customHeight="1">
      <c r="A281" s="30" t="s">
        <v>294</v>
      </c>
      <c r="B281" s="61" t="s">
        <v>49</v>
      </c>
      <c r="C281" s="6"/>
      <c r="D281" s="62"/>
      <c r="E281" s="63"/>
    </row>
    <row r="282" spans="1:5" s="44" customFormat="1" ht="20.25" hidden="1" customHeight="1">
      <c r="A282" s="11" t="s">
        <v>295</v>
      </c>
      <c r="B282" s="61" t="s">
        <v>7</v>
      </c>
      <c r="C282" s="14"/>
      <c r="D282" s="62"/>
      <c r="E282" s="63"/>
    </row>
    <row r="283" spans="1:5" s="44" customFormat="1" ht="20.25" hidden="1" customHeight="1">
      <c r="A283" s="11" t="s">
        <v>296</v>
      </c>
      <c r="B283" s="61" t="s">
        <v>49</v>
      </c>
      <c r="C283" s="6"/>
      <c r="D283" s="76"/>
      <c r="E283" s="63"/>
    </row>
    <row r="284" spans="1:5" s="44" customFormat="1" ht="20.25" hidden="1" customHeight="1">
      <c r="A284" s="10" t="s">
        <v>297</v>
      </c>
      <c r="B284" s="61" t="s">
        <v>7</v>
      </c>
      <c r="C284" s="6"/>
      <c r="D284" s="62"/>
      <c r="E284" s="63"/>
    </row>
    <row r="285" spans="1:5" s="44" customFormat="1" ht="20.25" hidden="1" customHeight="1">
      <c r="A285" s="10" t="s">
        <v>298</v>
      </c>
      <c r="B285" s="61" t="s">
        <v>7</v>
      </c>
      <c r="C285" s="6"/>
      <c r="D285" s="62"/>
      <c r="E285" s="63"/>
    </row>
    <row r="286" spans="1:5" s="44" customFormat="1" ht="20.25" hidden="1" customHeight="1">
      <c r="A286" s="15" t="s">
        <v>299</v>
      </c>
      <c r="B286" s="61" t="s">
        <v>68</v>
      </c>
      <c r="C286" s="6"/>
      <c r="D286" s="62"/>
      <c r="E286" s="63"/>
    </row>
    <row r="287" spans="1:5" s="44" customFormat="1" ht="20.25" hidden="1" customHeight="1">
      <c r="A287" s="15" t="s">
        <v>300</v>
      </c>
      <c r="B287" s="61" t="s">
        <v>54</v>
      </c>
      <c r="C287" s="6"/>
      <c r="D287" s="62"/>
      <c r="E287" s="63"/>
    </row>
    <row r="288" spans="1:5" s="44" customFormat="1" ht="20.25" hidden="1" customHeight="1">
      <c r="A288" s="15" t="s">
        <v>301</v>
      </c>
      <c r="B288" s="61" t="s">
        <v>54</v>
      </c>
      <c r="C288" s="6"/>
      <c r="D288" s="62"/>
      <c r="E288" s="63"/>
    </row>
    <row r="289" spans="1:5" s="44" customFormat="1" ht="20.25" hidden="1" customHeight="1">
      <c r="A289" s="8" t="s">
        <v>302</v>
      </c>
      <c r="B289" s="61" t="s">
        <v>7</v>
      </c>
      <c r="C289" s="6"/>
      <c r="D289" s="77"/>
      <c r="E289" s="63"/>
    </row>
    <row r="290" spans="1:5" s="44" customFormat="1" ht="20.25" hidden="1" customHeight="1">
      <c r="A290" s="15" t="s">
        <v>303</v>
      </c>
      <c r="B290" s="61" t="s">
        <v>49</v>
      </c>
      <c r="C290" s="6"/>
      <c r="D290" s="62"/>
      <c r="E290" s="63"/>
    </row>
    <row r="291" spans="1:5" s="44" customFormat="1" ht="20.25" hidden="1" customHeight="1">
      <c r="A291" s="8" t="s">
        <v>304</v>
      </c>
      <c r="B291" s="61" t="s">
        <v>7</v>
      </c>
      <c r="C291" s="6"/>
      <c r="D291" s="77"/>
      <c r="E291" s="63"/>
    </row>
    <row r="292" spans="1:5" s="44" customFormat="1" ht="20.25" hidden="1" customHeight="1">
      <c r="A292" s="8" t="s">
        <v>305</v>
      </c>
      <c r="B292" s="61" t="s">
        <v>7</v>
      </c>
      <c r="C292" s="6"/>
      <c r="D292" s="68"/>
      <c r="E292" s="63"/>
    </row>
    <row r="293" spans="1:5" s="44" customFormat="1" ht="20.25" hidden="1" customHeight="1">
      <c r="A293" s="15" t="s">
        <v>306</v>
      </c>
      <c r="B293" s="61" t="s">
        <v>54</v>
      </c>
      <c r="C293" s="6"/>
      <c r="D293" s="62"/>
      <c r="E293" s="63"/>
    </row>
    <row r="294" spans="1:5" s="44" customFormat="1" ht="20.25" hidden="1" customHeight="1">
      <c r="A294" s="23" t="s">
        <v>307</v>
      </c>
      <c r="B294" s="61" t="s">
        <v>7</v>
      </c>
      <c r="C294" s="6"/>
      <c r="D294" s="62"/>
      <c r="E294" s="63"/>
    </row>
    <row r="295" spans="1:5" s="44" customFormat="1" ht="20.25" customHeight="1">
      <c r="A295" s="19" t="s">
        <v>308</v>
      </c>
      <c r="B295" s="64" t="s">
        <v>7</v>
      </c>
      <c r="C295" s="65">
        <v>120</v>
      </c>
      <c r="D295" s="66">
        <v>10000</v>
      </c>
      <c r="E295" s="88">
        <f>+D295*C295</f>
        <v>1200000</v>
      </c>
    </row>
    <row r="296" spans="1:5" s="44" customFormat="1" ht="20.25" hidden="1" customHeight="1">
      <c r="A296" s="12" t="s">
        <v>309</v>
      </c>
      <c r="B296" s="61" t="s">
        <v>9</v>
      </c>
      <c r="C296" s="6"/>
      <c r="D296" s="62"/>
      <c r="E296" s="63"/>
    </row>
    <row r="297" spans="1:5" s="44" customFormat="1" ht="20.25" hidden="1" customHeight="1">
      <c r="A297" s="12" t="s">
        <v>310</v>
      </c>
      <c r="B297" s="61" t="s">
        <v>68</v>
      </c>
      <c r="C297" s="6"/>
      <c r="D297" s="62"/>
      <c r="E297" s="63"/>
    </row>
    <row r="298" spans="1:5" s="44" customFormat="1" ht="20.25" hidden="1" customHeight="1">
      <c r="A298" s="11" t="s">
        <v>311</v>
      </c>
      <c r="B298" s="61" t="s">
        <v>7</v>
      </c>
      <c r="C298" s="6"/>
      <c r="D298" s="74"/>
      <c r="E298" s="63"/>
    </row>
    <row r="299" spans="1:5" s="44" customFormat="1" ht="20.25" hidden="1" customHeight="1">
      <c r="A299" s="15" t="s">
        <v>312</v>
      </c>
      <c r="B299" s="61" t="s">
        <v>49</v>
      </c>
      <c r="C299" s="6"/>
      <c r="D299" s="74"/>
      <c r="E299" s="63"/>
    </row>
    <row r="300" spans="1:5" s="44" customFormat="1" ht="20.25" hidden="1" customHeight="1">
      <c r="A300" s="12" t="s">
        <v>313</v>
      </c>
      <c r="B300" s="61" t="s">
        <v>49</v>
      </c>
      <c r="C300" s="6"/>
      <c r="D300" s="62"/>
      <c r="E300" s="63"/>
    </row>
    <row r="301" spans="1:5" s="44" customFormat="1" ht="20.25" hidden="1" customHeight="1">
      <c r="A301" s="8" t="s">
        <v>314</v>
      </c>
      <c r="B301" s="61" t="s">
        <v>7</v>
      </c>
      <c r="C301" s="6"/>
      <c r="D301" s="62"/>
      <c r="E301" s="63"/>
    </row>
    <row r="302" spans="1:5" s="44" customFormat="1" ht="20.25" hidden="1" customHeight="1">
      <c r="A302" s="15" t="s">
        <v>315</v>
      </c>
      <c r="B302" s="61" t="s">
        <v>68</v>
      </c>
      <c r="C302" s="6"/>
      <c r="D302" s="62"/>
      <c r="E302" s="63"/>
    </row>
    <row r="303" spans="1:5" s="44" customFormat="1" ht="20.25" hidden="1" customHeight="1">
      <c r="A303" s="8" t="s">
        <v>316</v>
      </c>
      <c r="B303" s="61" t="s">
        <v>7</v>
      </c>
      <c r="C303" s="6"/>
      <c r="D303" s="62"/>
      <c r="E303" s="63"/>
    </row>
    <row r="304" spans="1:5" s="44" customFormat="1" ht="20.25" hidden="1" customHeight="1">
      <c r="A304" s="8" t="s">
        <v>317</v>
      </c>
      <c r="B304" s="61" t="s">
        <v>7</v>
      </c>
      <c r="C304" s="6"/>
      <c r="D304" s="62"/>
      <c r="E304" s="63"/>
    </row>
    <row r="305" spans="1:5" s="44" customFormat="1" ht="20.25" hidden="1" customHeight="1">
      <c r="A305" s="10" t="s">
        <v>318</v>
      </c>
      <c r="B305" s="61" t="s">
        <v>7</v>
      </c>
      <c r="C305" s="6"/>
      <c r="D305" s="62"/>
      <c r="E305" s="63"/>
    </row>
    <row r="306" spans="1:5" s="44" customFormat="1" ht="20.25" hidden="1" customHeight="1">
      <c r="A306" s="11" t="s">
        <v>319</v>
      </c>
      <c r="B306" s="61" t="s">
        <v>7</v>
      </c>
      <c r="C306" s="6"/>
      <c r="D306" s="62"/>
      <c r="E306" s="63"/>
    </row>
    <row r="307" spans="1:5" s="44" customFormat="1" ht="20.25" hidden="1" customHeight="1">
      <c r="A307" s="11" t="s">
        <v>320</v>
      </c>
      <c r="B307" s="61" t="s">
        <v>7</v>
      </c>
      <c r="C307" s="6"/>
      <c r="D307" s="62"/>
      <c r="E307" s="63"/>
    </row>
    <row r="308" spans="1:5" s="44" customFormat="1" ht="20.25" hidden="1" customHeight="1">
      <c r="A308" s="8" t="s">
        <v>321</v>
      </c>
      <c r="B308" s="61" t="s">
        <v>7</v>
      </c>
      <c r="C308" s="6"/>
      <c r="D308" s="62"/>
      <c r="E308" s="63"/>
    </row>
    <row r="309" spans="1:5" s="44" customFormat="1" ht="20.25" hidden="1" customHeight="1">
      <c r="A309" s="8" t="s">
        <v>322</v>
      </c>
      <c r="B309" s="61" t="s">
        <v>93</v>
      </c>
      <c r="C309" s="6"/>
      <c r="D309" s="62"/>
      <c r="E309" s="63"/>
    </row>
    <row r="310" spans="1:5" s="44" customFormat="1" ht="20.25" hidden="1" customHeight="1">
      <c r="A310" s="8" t="s">
        <v>323</v>
      </c>
      <c r="B310" s="61" t="s">
        <v>49</v>
      </c>
      <c r="C310" s="6"/>
      <c r="D310" s="62"/>
      <c r="E310" s="63"/>
    </row>
    <row r="311" spans="1:5" s="44" customFormat="1" ht="20.25" customHeight="1">
      <c r="A311" s="12" t="s">
        <v>324</v>
      </c>
      <c r="B311" s="64" t="s">
        <v>7</v>
      </c>
      <c r="C311" s="65">
        <v>3</v>
      </c>
      <c r="D311" s="66">
        <v>33000</v>
      </c>
      <c r="E311" s="88">
        <f>+D311*C311</f>
        <v>99000</v>
      </c>
    </row>
    <row r="312" spans="1:5" s="44" customFormat="1" ht="20.25" hidden="1" customHeight="1">
      <c r="A312" s="12" t="s">
        <v>325</v>
      </c>
      <c r="B312" s="61" t="s">
        <v>7</v>
      </c>
      <c r="C312" s="6"/>
      <c r="D312" s="62"/>
      <c r="E312" s="63"/>
    </row>
    <row r="313" spans="1:5" s="44" customFormat="1" ht="20.25" hidden="1" customHeight="1">
      <c r="A313" s="19" t="s">
        <v>326</v>
      </c>
      <c r="B313" s="61" t="s">
        <v>7</v>
      </c>
      <c r="C313" s="6"/>
      <c r="D313" s="62"/>
      <c r="E313" s="63"/>
    </row>
    <row r="314" spans="1:5" s="44" customFormat="1" ht="20.25" hidden="1" customHeight="1">
      <c r="A314" s="12" t="s">
        <v>327</v>
      </c>
      <c r="B314" s="61" t="s">
        <v>49</v>
      </c>
      <c r="C314" s="6"/>
      <c r="D314" s="62"/>
      <c r="E314" s="63"/>
    </row>
    <row r="315" spans="1:5" s="44" customFormat="1" ht="20.25" hidden="1" customHeight="1">
      <c r="A315" s="8" t="s">
        <v>328</v>
      </c>
      <c r="B315" s="61" t="s">
        <v>57</v>
      </c>
      <c r="C315" s="6"/>
      <c r="D315" s="62"/>
      <c r="E315" s="63"/>
    </row>
    <row r="316" spans="1:5" s="44" customFormat="1" ht="20.25" customHeight="1">
      <c r="A316" s="19" t="s">
        <v>329</v>
      </c>
      <c r="B316" s="64" t="s">
        <v>57</v>
      </c>
      <c r="C316" s="65">
        <v>25</v>
      </c>
      <c r="D316" s="66">
        <v>6800</v>
      </c>
      <c r="E316" s="88">
        <f>+D316*C316</f>
        <v>170000</v>
      </c>
    </row>
    <row r="317" spans="1:5" s="44" customFormat="1" ht="20.25" hidden="1" customHeight="1">
      <c r="A317" s="8" t="s">
        <v>330</v>
      </c>
      <c r="B317" s="61" t="s">
        <v>93</v>
      </c>
      <c r="C317" s="6"/>
      <c r="D317" s="62"/>
      <c r="E317" s="78"/>
    </row>
    <row r="318" spans="1:5" s="44" customFormat="1" ht="20.25" hidden="1" customHeight="1">
      <c r="A318" s="8" t="s">
        <v>331</v>
      </c>
      <c r="B318" s="61" t="s">
        <v>7</v>
      </c>
      <c r="C318" s="6"/>
      <c r="D318" s="62"/>
      <c r="E318" s="63"/>
    </row>
    <row r="319" spans="1:5" s="44" customFormat="1" ht="20.25" hidden="1" customHeight="1">
      <c r="A319" s="19" t="s">
        <v>332</v>
      </c>
      <c r="B319" s="61" t="s">
        <v>7</v>
      </c>
      <c r="C319" s="6"/>
      <c r="D319" s="62"/>
      <c r="E319" s="63"/>
    </row>
    <row r="320" spans="1:5" s="44" customFormat="1" ht="20.25" hidden="1" customHeight="1">
      <c r="A320" s="8" t="s">
        <v>333</v>
      </c>
      <c r="B320" s="61" t="s">
        <v>57</v>
      </c>
      <c r="C320" s="6"/>
      <c r="D320" s="62"/>
      <c r="E320" s="63"/>
    </row>
    <row r="321" spans="1:5" s="44" customFormat="1" ht="20.25" hidden="1" customHeight="1">
      <c r="A321" s="8" t="s">
        <v>334</v>
      </c>
      <c r="B321" s="61" t="s">
        <v>7</v>
      </c>
      <c r="C321" s="6"/>
      <c r="D321" s="62"/>
      <c r="E321" s="63"/>
    </row>
    <row r="322" spans="1:5" s="44" customFormat="1" ht="20.25" hidden="1" customHeight="1">
      <c r="A322" s="11" t="s">
        <v>335</v>
      </c>
      <c r="B322" s="61" t="s">
        <v>7</v>
      </c>
      <c r="C322" s="6"/>
      <c r="D322" s="62"/>
      <c r="E322" s="63"/>
    </row>
    <row r="323" spans="1:5" s="44" customFormat="1" ht="20.25" hidden="1" customHeight="1">
      <c r="A323" s="8" t="s">
        <v>336</v>
      </c>
      <c r="B323" s="61" t="s">
        <v>7</v>
      </c>
      <c r="C323" s="34"/>
      <c r="D323" s="62"/>
      <c r="E323" s="63"/>
    </row>
    <row r="324" spans="1:5" s="44" customFormat="1" ht="20.25" hidden="1" customHeight="1">
      <c r="A324" s="8" t="s">
        <v>337</v>
      </c>
      <c r="B324" s="61" t="s">
        <v>57</v>
      </c>
      <c r="C324" s="6"/>
      <c r="D324" s="62"/>
      <c r="E324" s="63"/>
    </row>
    <row r="325" spans="1:5" s="44" customFormat="1" ht="20.25" hidden="1" customHeight="1">
      <c r="A325" s="8" t="s">
        <v>338</v>
      </c>
      <c r="B325" s="61" t="s">
        <v>49</v>
      </c>
      <c r="C325" s="6"/>
      <c r="D325" s="62"/>
      <c r="E325" s="63"/>
    </row>
    <row r="326" spans="1:5" s="44" customFormat="1" ht="20.25" hidden="1" customHeight="1">
      <c r="A326" s="19" t="s">
        <v>339</v>
      </c>
      <c r="B326" s="61" t="s">
        <v>7</v>
      </c>
      <c r="C326" s="6"/>
      <c r="D326" s="62"/>
      <c r="E326" s="63"/>
    </row>
    <row r="327" spans="1:5" s="44" customFormat="1" ht="20.25" hidden="1" customHeight="1">
      <c r="A327" s="19" t="s">
        <v>340</v>
      </c>
      <c r="B327" s="61" t="s">
        <v>7</v>
      </c>
      <c r="C327" s="6"/>
      <c r="D327" s="62"/>
      <c r="E327" s="63"/>
    </row>
    <row r="328" spans="1:5" s="44" customFormat="1" ht="20.25" customHeight="1">
      <c r="A328" s="19" t="s">
        <v>341</v>
      </c>
      <c r="B328" s="64" t="s">
        <v>7</v>
      </c>
      <c r="C328" s="65">
        <v>1</v>
      </c>
      <c r="D328" s="66">
        <v>30000</v>
      </c>
      <c r="E328" s="88">
        <f>+D328*C328</f>
        <v>30000</v>
      </c>
    </row>
    <row r="329" spans="1:5" s="44" customFormat="1" ht="20.25" hidden="1" customHeight="1">
      <c r="A329" s="8" t="s">
        <v>342</v>
      </c>
      <c r="B329" s="61" t="s">
        <v>7</v>
      </c>
      <c r="C329" s="6"/>
      <c r="D329" s="62"/>
      <c r="E329" s="63"/>
    </row>
    <row r="330" spans="1:5" s="44" customFormat="1" ht="20.25" hidden="1" customHeight="1">
      <c r="A330" s="19" t="s">
        <v>343</v>
      </c>
      <c r="B330" s="61" t="s">
        <v>7</v>
      </c>
      <c r="C330" s="6"/>
      <c r="D330" s="62"/>
      <c r="E330" s="63"/>
    </row>
    <row r="331" spans="1:5" s="44" customFormat="1" ht="20.25" hidden="1" customHeight="1">
      <c r="A331" s="8" t="s">
        <v>344</v>
      </c>
      <c r="B331" s="61" t="s">
        <v>57</v>
      </c>
      <c r="C331" s="6"/>
      <c r="D331" s="62"/>
      <c r="E331" s="63"/>
    </row>
    <row r="332" spans="1:5" s="44" customFormat="1" ht="20.25" hidden="1" customHeight="1">
      <c r="A332" s="8" t="s">
        <v>345</v>
      </c>
      <c r="B332" s="61" t="s">
        <v>57</v>
      </c>
      <c r="C332" s="6"/>
      <c r="D332" s="62"/>
      <c r="E332" s="63"/>
    </row>
    <row r="333" spans="1:5" s="44" customFormat="1" ht="20.25" hidden="1" customHeight="1">
      <c r="A333" s="8" t="s">
        <v>346</v>
      </c>
      <c r="B333" s="61" t="s">
        <v>57</v>
      </c>
      <c r="C333" s="6"/>
      <c r="D333" s="62"/>
      <c r="E333" s="63"/>
    </row>
    <row r="334" spans="1:5" s="44" customFormat="1" ht="20.25" hidden="1" customHeight="1">
      <c r="A334" s="8" t="s">
        <v>347</v>
      </c>
      <c r="B334" s="61" t="s">
        <v>57</v>
      </c>
      <c r="C334" s="6"/>
      <c r="D334" s="62"/>
      <c r="E334" s="63"/>
    </row>
    <row r="335" spans="1:5" s="44" customFormat="1" ht="20.25" hidden="1" customHeight="1">
      <c r="A335" s="8" t="s">
        <v>348</v>
      </c>
      <c r="B335" s="61" t="s">
        <v>57</v>
      </c>
      <c r="C335" s="6"/>
      <c r="D335" s="62"/>
      <c r="E335" s="63"/>
    </row>
    <row r="336" spans="1:5" s="44" customFormat="1" ht="20.25" customHeight="1">
      <c r="A336" s="19" t="s">
        <v>349</v>
      </c>
      <c r="B336" s="64" t="s">
        <v>93</v>
      </c>
      <c r="C336" s="65">
        <v>6</v>
      </c>
      <c r="D336" s="66">
        <v>28000</v>
      </c>
      <c r="E336" s="88">
        <f>+D336*C336</f>
        <v>168000</v>
      </c>
    </row>
    <row r="337" spans="1:5" s="44" customFormat="1" ht="20.25" hidden="1" customHeight="1">
      <c r="A337" s="8" t="s">
        <v>350</v>
      </c>
      <c r="B337" s="61" t="s">
        <v>7</v>
      </c>
      <c r="C337" s="6"/>
      <c r="D337" s="62"/>
      <c r="E337" s="63"/>
    </row>
    <row r="338" spans="1:5" s="44" customFormat="1" ht="20.25" hidden="1" customHeight="1">
      <c r="A338" s="8" t="s">
        <v>351</v>
      </c>
      <c r="B338" s="61" t="s">
        <v>7</v>
      </c>
      <c r="C338" s="6"/>
      <c r="D338" s="62"/>
      <c r="E338" s="63"/>
    </row>
    <row r="339" spans="1:5" s="44" customFormat="1" ht="20.25" hidden="1" customHeight="1">
      <c r="A339" s="10" t="s">
        <v>352</v>
      </c>
      <c r="B339" s="61" t="s">
        <v>54</v>
      </c>
      <c r="C339" s="6"/>
      <c r="D339" s="62"/>
      <c r="E339" s="63"/>
    </row>
    <row r="340" spans="1:5" s="44" customFormat="1" ht="20.25" hidden="1" customHeight="1">
      <c r="A340" s="10" t="s">
        <v>353</v>
      </c>
      <c r="B340" s="61" t="s">
        <v>7</v>
      </c>
      <c r="C340" s="6"/>
      <c r="D340" s="62"/>
      <c r="E340" s="63"/>
    </row>
    <row r="341" spans="1:5" s="44" customFormat="1" ht="20.25" customHeight="1">
      <c r="A341" s="79"/>
      <c r="B341" s="80">
        <v>0</v>
      </c>
      <c r="C341" s="80">
        <v>3943</v>
      </c>
      <c r="D341" s="81"/>
      <c r="E341" s="92">
        <f>SUBTOTAL(9,E4:E336)</f>
        <v>77137300</v>
      </c>
    </row>
    <row r="342" spans="1:5" ht="36" customHeight="1">
      <c r="A342" s="205" t="s">
        <v>354</v>
      </c>
      <c r="B342" s="54" t="s">
        <v>2</v>
      </c>
      <c r="C342" s="55" t="s">
        <v>3</v>
      </c>
      <c r="D342" s="56" t="s">
        <v>4</v>
      </c>
      <c r="E342" s="93" t="s">
        <v>5</v>
      </c>
    </row>
    <row r="343" spans="1:5" ht="20.25" hidden="1" customHeight="1">
      <c r="A343" s="206"/>
      <c r="B343" s="58"/>
      <c r="C343" s="37"/>
      <c r="D343" s="94"/>
      <c r="E343" s="94"/>
    </row>
    <row r="344" spans="1:5" ht="20.25" hidden="1" customHeight="1">
      <c r="A344" s="5" t="s">
        <v>6</v>
      </c>
      <c r="B344" s="61" t="s">
        <v>7</v>
      </c>
      <c r="C344" s="6"/>
      <c r="D344" s="95"/>
      <c r="E344" s="95"/>
    </row>
    <row r="345" spans="1:5" ht="20.25" hidden="1" customHeight="1">
      <c r="A345" s="7" t="s">
        <v>8</v>
      </c>
      <c r="B345" s="61" t="s">
        <v>9</v>
      </c>
      <c r="C345" s="6"/>
      <c r="D345" s="95"/>
      <c r="E345" s="95"/>
    </row>
    <row r="346" spans="1:5" ht="20.25" hidden="1" customHeight="1">
      <c r="A346" s="5" t="s">
        <v>10</v>
      </c>
      <c r="B346" s="61" t="s">
        <v>7</v>
      </c>
      <c r="C346" s="6"/>
      <c r="D346" s="95"/>
      <c r="E346" s="95"/>
    </row>
    <row r="347" spans="1:5" ht="20.25" customHeight="1">
      <c r="A347" s="87" t="s">
        <v>11</v>
      </c>
      <c r="B347" s="64" t="s">
        <v>7</v>
      </c>
      <c r="C347" s="65">
        <v>140</v>
      </c>
      <c r="D347" s="64">
        <f>VLOOKUP(A347,'2.7'!A347:D555,4,)</f>
        <v>4500</v>
      </c>
      <c r="E347" s="96">
        <f>+D347*C347</f>
        <v>630000</v>
      </c>
    </row>
    <row r="348" spans="1:5" ht="20.25" hidden="1" customHeight="1">
      <c r="A348" s="8" t="s">
        <v>12</v>
      </c>
      <c r="B348" s="61" t="s">
        <v>9</v>
      </c>
      <c r="C348" s="6"/>
      <c r="D348" s="95"/>
      <c r="E348" s="95"/>
    </row>
    <row r="349" spans="1:5" ht="20.25" hidden="1" customHeight="1">
      <c r="A349" s="9" t="s">
        <v>13</v>
      </c>
      <c r="B349" s="61" t="s">
        <v>7</v>
      </c>
      <c r="C349" s="6"/>
      <c r="D349" s="95"/>
      <c r="E349" s="95"/>
    </row>
    <row r="350" spans="1:5" ht="20.25" hidden="1" customHeight="1">
      <c r="A350" s="5" t="s">
        <v>14</v>
      </c>
      <c r="B350" s="61" t="s">
        <v>7</v>
      </c>
      <c r="C350" s="6"/>
      <c r="D350" s="95"/>
      <c r="E350" s="95"/>
    </row>
    <row r="351" spans="1:5" ht="20.25" hidden="1" customHeight="1">
      <c r="A351" s="5" t="s">
        <v>15</v>
      </c>
      <c r="B351" s="61" t="s">
        <v>7</v>
      </c>
      <c r="C351" s="6"/>
      <c r="D351" s="95"/>
      <c r="E351" s="95"/>
    </row>
    <row r="352" spans="1:5" ht="20.25" hidden="1" customHeight="1">
      <c r="A352" s="10" t="s">
        <v>355</v>
      </c>
      <c r="B352" s="61" t="s">
        <v>7</v>
      </c>
      <c r="C352" s="6"/>
      <c r="D352" s="95"/>
      <c r="E352" s="95"/>
    </row>
    <row r="353" spans="1:5" ht="20.25" hidden="1" customHeight="1">
      <c r="A353" s="8" t="s">
        <v>18</v>
      </c>
      <c r="B353" s="61" t="s">
        <v>7</v>
      </c>
      <c r="C353" s="6"/>
      <c r="D353" s="95"/>
      <c r="E353" s="95"/>
    </row>
    <row r="354" spans="1:5" ht="20.25" customHeight="1">
      <c r="A354" s="19" t="s">
        <v>19</v>
      </c>
      <c r="B354" s="64" t="s">
        <v>7</v>
      </c>
      <c r="C354" s="65">
        <v>5</v>
      </c>
      <c r="D354" s="64">
        <f>VLOOKUP(A354,'2.7'!A354:D562,4,)</f>
        <v>10000</v>
      </c>
      <c r="E354" s="96">
        <f>+D354*C354</f>
        <v>50000</v>
      </c>
    </row>
    <row r="355" spans="1:5" ht="20.25" hidden="1" customHeight="1">
      <c r="A355" s="11" t="s">
        <v>20</v>
      </c>
      <c r="B355" s="61" t="s">
        <v>21</v>
      </c>
      <c r="C355" s="6"/>
      <c r="D355" s="95"/>
      <c r="E355" s="95"/>
    </row>
    <row r="356" spans="1:5" ht="20.25" hidden="1" customHeight="1">
      <c r="A356" s="11" t="s">
        <v>22</v>
      </c>
      <c r="B356" s="61" t="s">
        <v>7</v>
      </c>
      <c r="C356" s="6"/>
      <c r="D356" s="95"/>
      <c r="E356" s="95"/>
    </row>
    <row r="357" spans="1:5" ht="20.25" hidden="1" customHeight="1">
      <c r="A357" s="8" t="s">
        <v>23</v>
      </c>
      <c r="B357" s="61" t="s">
        <v>7</v>
      </c>
      <c r="C357" s="6"/>
      <c r="D357" s="95"/>
      <c r="E357" s="95"/>
    </row>
    <row r="358" spans="1:5" ht="20.25" hidden="1" customHeight="1">
      <c r="A358" s="8" t="s">
        <v>24</v>
      </c>
      <c r="B358" s="61" t="s">
        <v>7</v>
      </c>
      <c r="C358" s="6"/>
      <c r="D358" s="95"/>
      <c r="E358" s="95"/>
    </row>
    <row r="359" spans="1:5" ht="20.25" hidden="1" customHeight="1">
      <c r="A359" s="12" t="s">
        <v>25</v>
      </c>
      <c r="B359" s="61" t="s">
        <v>21</v>
      </c>
      <c r="C359" s="6"/>
      <c r="D359" s="95"/>
      <c r="E359" s="95"/>
    </row>
    <row r="360" spans="1:5" ht="20.25" hidden="1" customHeight="1">
      <c r="A360" s="10" t="s">
        <v>26</v>
      </c>
      <c r="B360" s="61" t="s">
        <v>7</v>
      </c>
      <c r="C360" s="6"/>
      <c r="D360" s="95"/>
      <c r="E360" s="95"/>
    </row>
    <row r="361" spans="1:5" ht="20.25" customHeight="1">
      <c r="A361" s="19" t="s">
        <v>27</v>
      </c>
      <c r="B361" s="64" t="s">
        <v>7</v>
      </c>
      <c r="C361" s="65">
        <v>2790</v>
      </c>
      <c r="D361" s="64">
        <f>VLOOKUP(A361,'2.7'!A361:D569,4,)</f>
        <v>13000</v>
      </c>
      <c r="E361" s="96">
        <f>+D361*C361</f>
        <v>36270000</v>
      </c>
    </row>
    <row r="362" spans="1:5" ht="20.25" hidden="1" customHeight="1">
      <c r="A362" s="11" t="s">
        <v>28</v>
      </c>
      <c r="B362" s="61" t="s">
        <v>21</v>
      </c>
      <c r="C362" s="6"/>
      <c r="D362" s="95"/>
      <c r="E362" s="95"/>
    </row>
    <row r="363" spans="1:5" ht="20.25" hidden="1" customHeight="1">
      <c r="A363" s="11" t="s">
        <v>29</v>
      </c>
      <c r="B363" s="61" t="s">
        <v>7</v>
      </c>
      <c r="C363" s="6"/>
      <c r="D363" s="95"/>
      <c r="E363" s="95"/>
    </row>
    <row r="364" spans="1:5" ht="20.25" hidden="1" customHeight="1">
      <c r="A364" s="8" t="s">
        <v>30</v>
      </c>
      <c r="B364" s="61" t="s">
        <v>7</v>
      </c>
      <c r="C364" s="6"/>
      <c r="D364" s="95"/>
      <c r="E364" s="95"/>
    </row>
    <row r="365" spans="1:5" ht="20.25" hidden="1" customHeight="1">
      <c r="A365" s="8" t="s">
        <v>31</v>
      </c>
      <c r="B365" s="61" t="s">
        <v>21</v>
      </c>
      <c r="C365" s="6"/>
      <c r="D365" s="95"/>
      <c r="E365" s="95"/>
    </row>
    <row r="366" spans="1:5" ht="20.25" hidden="1" customHeight="1">
      <c r="A366" s="8" t="s">
        <v>32</v>
      </c>
      <c r="B366" s="61" t="s">
        <v>7</v>
      </c>
      <c r="C366" s="6"/>
      <c r="D366" s="95"/>
      <c r="E366" s="95"/>
    </row>
    <row r="367" spans="1:5" ht="20.25" hidden="1" customHeight="1">
      <c r="A367" s="8" t="s">
        <v>33</v>
      </c>
      <c r="B367" s="61" t="s">
        <v>21</v>
      </c>
      <c r="C367" s="6"/>
      <c r="D367" s="95"/>
      <c r="E367" s="95"/>
    </row>
    <row r="368" spans="1:5" ht="20.25" hidden="1" customHeight="1">
      <c r="A368" s="8" t="s">
        <v>34</v>
      </c>
      <c r="B368" s="61" t="s">
        <v>7</v>
      </c>
      <c r="C368" s="6"/>
      <c r="D368" s="95"/>
      <c r="E368" s="95"/>
    </row>
    <row r="369" spans="1:5" ht="20.25" hidden="1" customHeight="1">
      <c r="A369" s="8" t="s">
        <v>35</v>
      </c>
      <c r="B369" s="61" t="s">
        <v>7</v>
      </c>
      <c r="C369" s="6"/>
      <c r="D369" s="95"/>
      <c r="E369" s="95"/>
    </row>
    <row r="370" spans="1:5" ht="20.25" hidden="1" customHeight="1">
      <c r="A370" s="11" t="s">
        <v>37</v>
      </c>
      <c r="B370" s="61" t="s">
        <v>7</v>
      </c>
      <c r="C370" s="6"/>
      <c r="D370" s="95"/>
      <c r="E370" s="95"/>
    </row>
    <row r="371" spans="1:5" ht="20.25" hidden="1" customHeight="1">
      <c r="A371" s="11" t="s">
        <v>46</v>
      </c>
      <c r="B371" s="61" t="s">
        <v>7</v>
      </c>
      <c r="C371" s="6"/>
      <c r="D371" s="95"/>
      <c r="E371" s="95"/>
    </row>
    <row r="372" spans="1:5" ht="20.25" hidden="1" customHeight="1">
      <c r="A372" s="8" t="s">
        <v>47</v>
      </c>
      <c r="B372" s="61" t="s">
        <v>7</v>
      </c>
      <c r="C372" s="6"/>
      <c r="D372" s="95"/>
      <c r="E372" s="95"/>
    </row>
    <row r="373" spans="1:5" ht="20.25" hidden="1" customHeight="1">
      <c r="A373" s="8" t="s">
        <v>48</v>
      </c>
      <c r="B373" s="61" t="s">
        <v>49</v>
      </c>
      <c r="C373" s="6"/>
      <c r="D373" s="95"/>
      <c r="E373" s="95"/>
    </row>
    <row r="374" spans="1:5" ht="20.25" hidden="1" customHeight="1">
      <c r="A374" s="10" t="s">
        <v>356</v>
      </c>
      <c r="B374" s="61" t="s">
        <v>7</v>
      </c>
      <c r="C374" s="14"/>
      <c r="D374" s="95"/>
      <c r="E374" s="95"/>
    </row>
    <row r="375" spans="1:5" ht="20.25" hidden="1" customHeight="1">
      <c r="A375" s="10" t="s">
        <v>50</v>
      </c>
      <c r="B375" s="61" t="s">
        <v>7</v>
      </c>
      <c r="C375" s="14"/>
      <c r="D375" s="95"/>
      <c r="E375" s="95"/>
    </row>
    <row r="376" spans="1:5" ht="20.25" hidden="1" customHeight="1">
      <c r="A376" s="8" t="s">
        <v>51</v>
      </c>
      <c r="B376" s="61" t="s">
        <v>7</v>
      </c>
      <c r="C376" s="6"/>
      <c r="D376" s="95"/>
      <c r="E376" s="95"/>
    </row>
    <row r="377" spans="1:5" ht="20.25" hidden="1" customHeight="1">
      <c r="A377" s="8" t="s">
        <v>52</v>
      </c>
      <c r="B377" s="61" t="s">
        <v>7</v>
      </c>
      <c r="C377" s="6"/>
      <c r="D377" s="95"/>
      <c r="E377" s="95"/>
    </row>
    <row r="378" spans="1:5" ht="20.25" hidden="1" customHeight="1">
      <c r="A378" s="15" t="s">
        <v>53</v>
      </c>
      <c r="B378" s="61" t="s">
        <v>54</v>
      </c>
      <c r="C378" s="6"/>
      <c r="D378" s="95"/>
      <c r="E378" s="95"/>
    </row>
    <row r="379" spans="1:5" ht="20.25" hidden="1" customHeight="1">
      <c r="A379" s="8" t="s">
        <v>55</v>
      </c>
      <c r="B379" s="61" t="s">
        <v>7</v>
      </c>
      <c r="C379" s="6"/>
      <c r="D379" s="95"/>
      <c r="E379" s="95"/>
    </row>
    <row r="380" spans="1:5" ht="20.25" hidden="1" customHeight="1">
      <c r="A380" s="8" t="s">
        <v>56</v>
      </c>
      <c r="B380" s="61" t="s">
        <v>57</v>
      </c>
      <c r="C380" s="6"/>
      <c r="D380" s="95"/>
      <c r="E380" s="95"/>
    </row>
    <row r="381" spans="1:5" ht="20.25" hidden="1" customHeight="1">
      <c r="A381" s="8" t="s">
        <v>58</v>
      </c>
      <c r="B381" s="61" t="s">
        <v>7</v>
      </c>
      <c r="C381" s="6"/>
      <c r="D381" s="95"/>
      <c r="E381" s="95"/>
    </row>
    <row r="382" spans="1:5" ht="20.25" hidden="1" customHeight="1">
      <c r="A382" s="8" t="s">
        <v>59</v>
      </c>
      <c r="B382" s="61" t="s">
        <v>7</v>
      </c>
      <c r="C382" s="6"/>
      <c r="D382" s="95"/>
      <c r="E382" s="95"/>
    </row>
    <row r="383" spans="1:5" ht="20.25" hidden="1" customHeight="1">
      <c r="A383" s="12" t="s">
        <v>60</v>
      </c>
      <c r="B383" s="61" t="s">
        <v>57</v>
      </c>
      <c r="C383" s="6"/>
      <c r="D383" s="95"/>
      <c r="E383" s="95"/>
    </row>
    <row r="384" spans="1:5" ht="20.25" hidden="1" customHeight="1">
      <c r="A384" s="10" t="s">
        <v>61</v>
      </c>
      <c r="B384" s="61" t="s">
        <v>7</v>
      </c>
      <c r="C384" s="6"/>
      <c r="D384" s="95"/>
      <c r="E384" s="95"/>
    </row>
    <row r="385" spans="1:5" ht="20.25" hidden="1" customHeight="1">
      <c r="A385" s="12" t="s">
        <v>62</v>
      </c>
      <c r="B385" s="61" t="s">
        <v>54</v>
      </c>
      <c r="C385" s="6"/>
      <c r="D385" s="95"/>
      <c r="E385" s="95"/>
    </row>
    <row r="386" spans="1:5" ht="20.25" customHeight="1">
      <c r="A386" s="19" t="s">
        <v>63</v>
      </c>
      <c r="B386" s="64" t="s">
        <v>7</v>
      </c>
      <c r="C386" s="65">
        <v>15</v>
      </c>
      <c r="D386" s="64">
        <v>24000</v>
      </c>
      <c r="E386" s="96">
        <f>+D386*C386</f>
        <v>360000</v>
      </c>
    </row>
    <row r="387" spans="1:5" ht="20.25" hidden="1" customHeight="1">
      <c r="A387" s="8" t="s">
        <v>64</v>
      </c>
      <c r="B387" s="61" t="s">
        <v>7</v>
      </c>
      <c r="C387" s="6"/>
      <c r="D387" s="95"/>
      <c r="E387" s="95"/>
    </row>
    <row r="388" spans="1:5" ht="20.25" customHeight="1">
      <c r="A388" s="10" t="s">
        <v>65</v>
      </c>
      <c r="B388" s="64" t="s">
        <v>7</v>
      </c>
      <c r="C388" s="65">
        <v>585</v>
      </c>
      <c r="D388" s="64">
        <f>VLOOKUP(A388,'2.7'!A388:D596,4,)</f>
        <v>20000</v>
      </c>
      <c r="E388" s="96">
        <f>+D388*C388</f>
        <v>11700000</v>
      </c>
    </row>
    <row r="389" spans="1:5" ht="20.25" hidden="1" customHeight="1">
      <c r="A389" s="16" t="s">
        <v>66</v>
      </c>
      <c r="B389" s="61" t="s">
        <v>7</v>
      </c>
      <c r="C389" s="6"/>
      <c r="D389" s="95"/>
      <c r="E389" s="95"/>
    </row>
    <row r="390" spans="1:5" ht="20.25" hidden="1" customHeight="1">
      <c r="A390" s="15" t="s">
        <v>67</v>
      </c>
      <c r="B390" s="61" t="s">
        <v>68</v>
      </c>
      <c r="C390" s="6"/>
      <c r="D390" s="95"/>
      <c r="E390" s="95"/>
    </row>
    <row r="391" spans="1:5" ht="20.25" hidden="1" customHeight="1">
      <c r="A391" s="15" t="s">
        <v>69</v>
      </c>
      <c r="B391" s="61" t="s">
        <v>68</v>
      </c>
      <c r="C391" s="6"/>
      <c r="D391" s="95"/>
      <c r="E391" s="95"/>
    </row>
    <row r="392" spans="1:5" ht="20.25" hidden="1" customHeight="1">
      <c r="A392" s="15" t="s">
        <v>70</v>
      </c>
      <c r="B392" s="61" t="s">
        <v>7</v>
      </c>
      <c r="C392" s="6"/>
      <c r="D392" s="95"/>
      <c r="E392" s="95"/>
    </row>
    <row r="393" spans="1:5" ht="20.25" hidden="1" customHeight="1">
      <c r="A393" s="8" t="s">
        <v>71</v>
      </c>
      <c r="B393" s="61" t="s">
        <v>7</v>
      </c>
      <c r="C393" s="6"/>
      <c r="D393" s="95"/>
      <c r="E393" s="95"/>
    </row>
    <row r="394" spans="1:5" ht="20.25" hidden="1" customHeight="1">
      <c r="A394" s="10" t="s">
        <v>72</v>
      </c>
      <c r="B394" s="61" t="s">
        <v>7</v>
      </c>
      <c r="C394" s="6"/>
      <c r="D394" s="95"/>
      <c r="E394" s="95"/>
    </row>
    <row r="395" spans="1:5" ht="20.25" hidden="1" customHeight="1">
      <c r="A395" s="8" t="s">
        <v>73</v>
      </c>
      <c r="B395" s="61" t="s">
        <v>7</v>
      </c>
      <c r="C395" s="6"/>
      <c r="D395" s="95"/>
      <c r="E395" s="95"/>
    </row>
    <row r="396" spans="1:5" ht="20.25" hidden="1" customHeight="1">
      <c r="A396" s="8" t="s">
        <v>74</v>
      </c>
      <c r="B396" s="61" t="s">
        <v>7</v>
      </c>
      <c r="C396" s="6"/>
      <c r="D396" s="95"/>
      <c r="E396" s="95"/>
    </row>
    <row r="397" spans="1:5" ht="20.25" hidden="1" customHeight="1">
      <c r="A397" s="15" t="s">
        <v>75</v>
      </c>
      <c r="B397" s="61" t="s">
        <v>68</v>
      </c>
      <c r="C397" s="6"/>
      <c r="D397" s="95"/>
      <c r="E397" s="95"/>
    </row>
    <row r="398" spans="1:5" ht="20.25" hidden="1" customHeight="1">
      <c r="A398" s="8" t="s">
        <v>76</v>
      </c>
      <c r="B398" s="61" t="s">
        <v>49</v>
      </c>
      <c r="C398" s="6"/>
      <c r="D398" s="95"/>
      <c r="E398" s="95"/>
    </row>
    <row r="399" spans="1:5" ht="20.25" hidden="1" customHeight="1">
      <c r="A399" s="17" t="s">
        <v>77</v>
      </c>
      <c r="B399" s="61" t="s">
        <v>7</v>
      </c>
      <c r="C399" s="6"/>
      <c r="D399" s="95"/>
      <c r="E399" s="95"/>
    </row>
    <row r="400" spans="1:5" ht="20.25" hidden="1" customHeight="1">
      <c r="A400" s="8" t="s">
        <v>78</v>
      </c>
      <c r="B400" s="61" t="s">
        <v>7</v>
      </c>
      <c r="C400" s="6"/>
      <c r="D400" s="95"/>
      <c r="E400" s="95"/>
    </row>
    <row r="401" spans="1:5" ht="20.25" hidden="1" customHeight="1">
      <c r="A401" s="8" t="s">
        <v>79</v>
      </c>
      <c r="B401" s="61" t="s">
        <v>7</v>
      </c>
      <c r="C401" s="6"/>
      <c r="D401" s="95"/>
      <c r="E401" s="95"/>
    </row>
    <row r="402" spans="1:5" ht="20.25" hidden="1" customHeight="1">
      <c r="A402" s="18" t="s">
        <v>80</v>
      </c>
      <c r="B402" s="61" t="s">
        <v>7</v>
      </c>
      <c r="C402" s="6"/>
      <c r="D402" s="95"/>
      <c r="E402" s="95"/>
    </row>
    <row r="403" spans="1:5" ht="20.25" hidden="1" customHeight="1">
      <c r="A403" s="38" t="s">
        <v>81</v>
      </c>
      <c r="B403" s="61" t="s">
        <v>7</v>
      </c>
      <c r="C403" s="6"/>
      <c r="D403" s="95"/>
      <c r="E403" s="95"/>
    </row>
    <row r="404" spans="1:5" ht="20.25" hidden="1" customHeight="1">
      <c r="A404" s="11" t="s">
        <v>82</v>
      </c>
      <c r="B404" s="61" t="s">
        <v>68</v>
      </c>
      <c r="C404" s="6"/>
      <c r="D404" s="95"/>
      <c r="E404" s="95"/>
    </row>
    <row r="405" spans="1:5" ht="20.25" hidden="1" customHeight="1">
      <c r="A405" s="10" t="s">
        <v>83</v>
      </c>
      <c r="B405" s="61" t="s">
        <v>7</v>
      </c>
      <c r="C405" s="6"/>
      <c r="D405" s="95"/>
      <c r="E405" s="95"/>
    </row>
    <row r="406" spans="1:5" ht="20.25" hidden="1" customHeight="1">
      <c r="A406" s="11" t="s">
        <v>84</v>
      </c>
      <c r="B406" s="61" t="s">
        <v>7</v>
      </c>
      <c r="C406" s="6"/>
      <c r="D406" s="95"/>
      <c r="E406" s="95"/>
    </row>
    <row r="407" spans="1:5" ht="20.25" hidden="1" customHeight="1">
      <c r="A407" s="11" t="s">
        <v>85</v>
      </c>
      <c r="B407" s="61" t="s">
        <v>7</v>
      </c>
      <c r="C407" s="6"/>
      <c r="D407" s="95"/>
      <c r="E407" s="95"/>
    </row>
    <row r="408" spans="1:5" ht="20.25" hidden="1" customHeight="1">
      <c r="A408" s="11" t="s">
        <v>86</v>
      </c>
      <c r="B408" s="61" t="s">
        <v>68</v>
      </c>
      <c r="C408" s="6"/>
      <c r="D408" s="95"/>
      <c r="E408" s="95"/>
    </row>
    <row r="409" spans="1:5" ht="20.25" hidden="1" customHeight="1">
      <c r="A409" s="18" t="s">
        <v>87</v>
      </c>
      <c r="B409" s="61" t="s">
        <v>7</v>
      </c>
      <c r="C409" s="6"/>
      <c r="D409" s="95"/>
      <c r="E409" s="95"/>
    </row>
    <row r="410" spans="1:5" ht="20.25" hidden="1" customHeight="1">
      <c r="A410" s="8" t="s">
        <v>88</v>
      </c>
      <c r="B410" s="61" t="s">
        <v>68</v>
      </c>
      <c r="C410" s="6"/>
      <c r="D410" s="95"/>
      <c r="E410" s="95"/>
    </row>
    <row r="411" spans="1:5" ht="20.25" hidden="1" customHeight="1">
      <c r="A411" s="8" t="s">
        <v>89</v>
      </c>
      <c r="B411" s="61" t="s">
        <v>54</v>
      </c>
      <c r="C411" s="6"/>
      <c r="D411" s="95"/>
      <c r="E411" s="95"/>
    </row>
    <row r="412" spans="1:5" ht="20.25" hidden="1" customHeight="1">
      <c r="A412" s="11" t="s">
        <v>357</v>
      </c>
      <c r="B412" s="61" t="s">
        <v>7</v>
      </c>
      <c r="C412" s="6"/>
      <c r="D412" s="95"/>
      <c r="E412" s="95"/>
    </row>
    <row r="413" spans="1:5" ht="20.25" customHeight="1">
      <c r="A413" s="19" t="s">
        <v>90</v>
      </c>
      <c r="B413" s="64" t="s">
        <v>7</v>
      </c>
      <c r="C413" s="65">
        <v>50</v>
      </c>
      <c r="D413" s="64">
        <f>VLOOKUP(A413,'2.7'!A413:D621,4,)</f>
        <v>25000</v>
      </c>
      <c r="E413" s="96">
        <f>+D413*C413</f>
        <v>1250000</v>
      </c>
    </row>
    <row r="414" spans="1:5" ht="20.25" hidden="1" customHeight="1">
      <c r="A414" s="12" t="s">
        <v>91</v>
      </c>
      <c r="B414" s="61" t="s">
        <v>54</v>
      </c>
      <c r="C414" s="6"/>
      <c r="D414" s="95"/>
      <c r="E414" s="95"/>
    </row>
    <row r="415" spans="1:5" ht="20.25" hidden="1" customHeight="1">
      <c r="A415" s="8" t="s">
        <v>92</v>
      </c>
      <c r="B415" s="61" t="s">
        <v>93</v>
      </c>
      <c r="C415" s="6"/>
      <c r="D415" s="95"/>
      <c r="E415" s="95"/>
    </row>
    <row r="416" spans="1:5" ht="20.25" hidden="1" customHeight="1">
      <c r="A416" s="8" t="s">
        <v>94</v>
      </c>
      <c r="B416" s="61" t="s">
        <v>7</v>
      </c>
      <c r="C416" s="6"/>
      <c r="D416" s="95"/>
      <c r="E416" s="95"/>
    </row>
    <row r="417" spans="1:5" ht="20.25" hidden="1" customHeight="1">
      <c r="A417" s="8" t="s">
        <v>95</v>
      </c>
      <c r="B417" s="61" t="s">
        <v>7</v>
      </c>
      <c r="C417" s="6"/>
      <c r="D417" s="95"/>
      <c r="E417" s="95"/>
    </row>
    <row r="418" spans="1:5" ht="20.25" hidden="1" customHeight="1">
      <c r="A418" s="11" t="s">
        <v>96</v>
      </c>
      <c r="B418" s="61" t="s">
        <v>7</v>
      </c>
      <c r="C418" s="14"/>
      <c r="D418" s="95"/>
      <c r="E418" s="95"/>
    </row>
    <row r="419" spans="1:5" ht="20.25" hidden="1" customHeight="1">
      <c r="A419" s="11" t="s">
        <v>97</v>
      </c>
      <c r="B419" s="61" t="s">
        <v>7</v>
      </c>
      <c r="C419" s="14"/>
      <c r="D419" s="95"/>
      <c r="E419" s="95"/>
    </row>
    <row r="420" spans="1:5" ht="20.25" hidden="1" customHeight="1">
      <c r="A420" s="11" t="s">
        <v>98</v>
      </c>
      <c r="B420" s="61" t="s">
        <v>54</v>
      </c>
      <c r="C420" s="14"/>
      <c r="D420" s="95"/>
      <c r="E420" s="95"/>
    </row>
    <row r="421" spans="1:5" ht="20.25" hidden="1" customHeight="1">
      <c r="A421" s="8" t="s">
        <v>99</v>
      </c>
      <c r="B421" s="61" t="s">
        <v>7</v>
      </c>
      <c r="C421" s="6"/>
      <c r="D421" s="95"/>
      <c r="E421" s="95"/>
    </row>
    <row r="422" spans="1:5" ht="20.25" hidden="1" customHeight="1">
      <c r="A422" s="8" t="s">
        <v>100</v>
      </c>
      <c r="B422" s="61" t="s">
        <v>7</v>
      </c>
      <c r="C422" s="6"/>
      <c r="D422" s="95"/>
      <c r="E422" s="95"/>
    </row>
    <row r="423" spans="1:5" ht="20.25" hidden="1" customHeight="1">
      <c r="A423" s="8" t="s">
        <v>101</v>
      </c>
      <c r="B423" s="61" t="s">
        <v>49</v>
      </c>
      <c r="C423" s="6"/>
      <c r="D423" s="95"/>
      <c r="E423" s="95"/>
    </row>
    <row r="424" spans="1:5" ht="20.25" hidden="1" customHeight="1">
      <c r="A424" s="8" t="s">
        <v>102</v>
      </c>
      <c r="B424" s="61" t="s">
        <v>7</v>
      </c>
      <c r="C424" s="6"/>
      <c r="D424" s="95"/>
      <c r="E424" s="95"/>
    </row>
    <row r="425" spans="1:5" ht="20.25" hidden="1" customHeight="1">
      <c r="A425" s="8" t="s">
        <v>103</v>
      </c>
      <c r="B425" s="61" t="s">
        <v>49</v>
      </c>
      <c r="C425" s="6"/>
      <c r="D425" s="95"/>
      <c r="E425" s="95"/>
    </row>
    <row r="426" spans="1:5" ht="20.25" customHeight="1">
      <c r="A426" s="19" t="s">
        <v>104</v>
      </c>
      <c r="B426" s="64" t="s">
        <v>7</v>
      </c>
      <c r="C426" s="65">
        <v>47</v>
      </c>
      <c r="D426" s="64">
        <f>VLOOKUP(A426,'2.7'!A426:D634,4,)</f>
        <v>9000</v>
      </c>
      <c r="E426" s="96">
        <f>+D426*C426</f>
        <v>423000</v>
      </c>
    </row>
    <row r="427" spans="1:5" ht="20.25" hidden="1" customHeight="1">
      <c r="A427" s="19" t="s">
        <v>105</v>
      </c>
      <c r="B427" s="61" t="s">
        <v>17</v>
      </c>
      <c r="C427" s="6"/>
      <c r="D427" s="95"/>
      <c r="E427" s="95"/>
    </row>
    <row r="428" spans="1:5" ht="20.25" hidden="1" customHeight="1">
      <c r="A428" s="19" t="s">
        <v>106</v>
      </c>
      <c r="B428" s="61" t="s">
        <v>68</v>
      </c>
      <c r="C428" s="6"/>
      <c r="D428" s="95"/>
      <c r="E428" s="95"/>
    </row>
    <row r="429" spans="1:5" ht="20.25" hidden="1" customHeight="1">
      <c r="A429" s="19" t="s">
        <v>107</v>
      </c>
      <c r="B429" s="61" t="s">
        <v>68</v>
      </c>
      <c r="C429" s="6"/>
      <c r="D429" s="95"/>
      <c r="E429" s="95"/>
    </row>
    <row r="430" spans="1:5" ht="20.25" hidden="1" customHeight="1">
      <c r="A430" s="10" t="s">
        <v>108</v>
      </c>
      <c r="B430" s="61" t="s">
        <v>7</v>
      </c>
      <c r="C430" s="6"/>
      <c r="D430" s="95"/>
      <c r="E430" s="95"/>
    </row>
    <row r="431" spans="1:5" ht="20.25" hidden="1" customHeight="1">
      <c r="A431" s="12" t="s">
        <v>109</v>
      </c>
      <c r="B431" s="61" t="s">
        <v>54</v>
      </c>
      <c r="C431" s="6"/>
      <c r="D431" s="95"/>
      <c r="E431" s="95"/>
    </row>
    <row r="432" spans="1:5" ht="20.25" hidden="1" customHeight="1">
      <c r="A432" s="10" t="s">
        <v>358</v>
      </c>
      <c r="B432" s="61" t="s">
        <v>7</v>
      </c>
      <c r="C432" s="6"/>
      <c r="D432" s="95"/>
      <c r="E432" s="95"/>
    </row>
    <row r="433" spans="1:5" ht="20.25" hidden="1" customHeight="1">
      <c r="A433" s="8" t="s">
        <v>110</v>
      </c>
      <c r="B433" s="61" t="s">
        <v>7</v>
      </c>
      <c r="C433" s="6"/>
      <c r="D433" s="95"/>
      <c r="E433" s="95"/>
    </row>
    <row r="434" spans="1:5" ht="20.25" hidden="1" customHeight="1">
      <c r="A434" s="8" t="s">
        <v>111</v>
      </c>
      <c r="B434" s="61" t="s">
        <v>49</v>
      </c>
      <c r="C434" s="6"/>
      <c r="D434" s="95"/>
      <c r="E434" s="95"/>
    </row>
    <row r="435" spans="1:5" ht="20.25" hidden="1" customHeight="1">
      <c r="A435" s="10" t="s">
        <v>359</v>
      </c>
      <c r="B435" s="61" t="s">
        <v>7</v>
      </c>
      <c r="C435" s="6"/>
      <c r="D435" s="95"/>
      <c r="E435" s="95"/>
    </row>
    <row r="436" spans="1:5" ht="20.25" hidden="1" customHeight="1">
      <c r="A436" s="10" t="s">
        <v>360</v>
      </c>
      <c r="B436" s="61" t="s">
        <v>49</v>
      </c>
      <c r="C436" s="6"/>
      <c r="D436" s="95"/>
      <c r="E436" s="95"/>
    </row>
    <row r="437" spans="1:5" ht="20.25" hidden="1" customHeight="1">
      <c r="A437" s="8" t="s">
        <v>113</v>
      </c>
      <c r="B437" s="61" t="s">
        <v>7</v>
      </c>
      <c r="C437" s="14"/>
      <c r="D437" s="95"/>
      <c r="E437" s="95"/>
    </row>
    <row r="438" spans="1:5" ht="20.25" hidden="1" customHeight="1">
      <c r="A438" s="19" t="s">
        <v>115</v>
      </c>
      <c r="B438" s="61" t="s">
        <v>49</v>
      </c>
      <c r="C438" s="6"/>
      <c r="D438" s="95"/>
      <c r="E438" s="95"/>
    </row>
    <row r="439" spans="1:5" ht="20.25" hidden="1" customHeight="1">
      <c r="A439" s="10" t="s">
        <v>116</v>
      </c>
      <c r="B439" s="61" t="s">
        <v>7</v>
      </c>
      <c r="C439" s="6"/>
      <c r="D439" s="95"/>
      <c r="E439" s="95"/>
    </row>
    <row r="440" spans="1:5" ht="20.25" hidden="1" customHeight="1">
      <c r="A440" s="10" t="s">
        <v>361</v>
      </c>
      <c r="B440" s="61" t="s">
        <v>7</v>
      </c>
      <c r="C440" s="6"/>
      <c r="D440" s="95"/>
      <c r="E440" s="95"/>
    </row>
    <row r="441" spans="1:5" ht="20.25" hidden="1" customHeight="1">
      <c r="A441" s="8" t="s">
        <v>117</v>
      </c>
      <c r="B441" s="61" t="s">
        <v>7</v>
      </c>
      <c r="C441" s="6"/>
      <c r="D441" s="95"/>
      <c r="E441" s="95"/>
    </row>
    <row r="442" spans="1:5" ht="20.25" hidden="1" customHeight="1">
      <c r="A442" s="15" t="s">
        <v>118</v>
      </c>
      <c r="B442" s="61" t="s">
        <v>9</v>
      </c>
      <c r="C442" s="6"/>
      <c r="D442" s="95"/>
      <c r="E442" s="95"/>
    </row>
    <row r="443" spans="1:5" ht="20.25" hidden="1" customHeight="1">
      <c r="A443" s="22" t="s">
        <v>119</v>
      </c>
      <c r="B443" s="61" t="s">
        <v>7</v>
      </c>
      <c r="C443" s="6"/>
      <c r="D443" s="95"/>
      <c r="E443" s="95"/>
    </row>
    <row r="444" spans="1:5" ht="20.25" hidden="1" customHeight="1">
      <c r="A444" s="22" t="s">
        <v>120</v>
      </c>
      <c r="B444" s="61" t="s">
        <v>9</v>
      </c>
      <c r="C444" s="6"/>
      <c r="D444" s="95"/>
      <c r="E444" s="95"/>
    </row>
    <row r="445" spans="1:5" ht="20.25" hidden="1" customHeight="1">
      <c r="A445" s="21" t="s">
        <v>121</v>
      </c>
      <c r="B445" s="61" t="s">
        <v>7</v>
      </c>
      <c r="C445" s="6"/>
      <c r="D445" s="95"/>
      <c r="E445" s="95"/>
    </row>
    <row r="446" spans="1:5" ht="20.25" hidden="1" customHeight="1">
      <c r="A446" s="23" t="s">
        <v>122</v>
      </c>
      <c r="B446" s="61" t="s">
        <v>39</v>
      </c>
      <c r="C446" s="6"/>
      <c r="D446" s="95"/>
      <c r="E446" s="95"/>
    </row>
    <row r="447" spans="1:5" ht="20.25" hidden="1" customHeight="1">
      <c r="A447" s="8" t="s">
        <v>123</v>
      </c>
      <c r="B447" s="61" t="s">
        <v>7</v>
      </c>
      <c r="C447" s="6"/>
      <c r="D447" s="95"/>
      <c r="E447" s="95"/>
    </row>
    <row r="448" spans="1:5" ht="20.25" hidden="1" customHeight="1">
      <c r="A448" s="8" t="s">
        <v>124</v>
      </c>
      <c r="B448" s="61" t="s">
        <v>7</v>
      </c>
      <c r="C448" s="6"/>
      <c r="D448" s="95"/>
      <c r="E448" s="95"/>
    </row>
    <row r="449" spans="1:5" ht="20.25" hidden="1" customHeight="1">
      <c r="A449" s="8" t="s">
        <v>125</v>
      </c>
      <c r="B449" s="61" t="s">
        <v>7</v>
      </c>
      <c r="C449" s="6"/>
      <c r="D449" s="95"/>
      <c r="E449" s="95"/>
    </row>
    <row r="450" spans="1:5" ht="20.25" hidden="1" customHeight="1">
      <c r="A450" s="8" t="s">
        <v>126</v>
      </c>
      <c r="B450" s="61" t="s">
        <v>57</v>
      </c>
      <c r="C450" s="6"/>
      <c r="D450" s="95"/>
      <c r="E450" s="95"/>
    </row>
    <row r="451" spans="1:5" ht="20.25" hidden="1" customHeight="1">
      <c r="A451" s="8" t="s">
        <v>128</v>
      </c>
      <c r="B451" s="61" t="s">
        <v>7</v>
      </c>
      <c r="C451" s="6"/>
      <c r="D451" s="95"/>
      <c r="E451" s="95"/>
    </row>
    <row r="452" spans="1:5" ht="20.25" hidden="1" customHeight="1">
      <c r="A452" s="8" t="s">
        <v>129</v>
      </c>
      <c r="B452" s="61" t="s">
        <v>54</v>
      </c>
      <c r="C452" s="6"/>
      <c r="D452" s="95"/>
      <c r="E452" s="95"/>
    </row>
    <row r="453" spans="1:5" ht="20.25" hidden="1" customHeight="1">
      <c r="A453" s="8" t="s">
        <v>362</v>
      </c>
      <c r="B453" s="61" t="s">
        <v>7</v>
      </c>
      <c r="C453" s="6"/>
      <c r="D453" s="95"/>
      <c r="E453" s="95"/>
    </row>
    <row r="454" spans="1:5" ht="20.25" hidden="1" customHeight="1">
      <c r="A454" s="8" t="s">
        <v>130</v>
      </c>
      <c r="B454" s="61" t="s">
        <v>7</v>
      </c>
      <c r="C454" s="6"/>
      <c r="D454" s="95"/>
      <c r="E454" s="95"/>
    </row>
    <row r="455" spans="1:5" ht="20.25" hidden="1" customHeight="1">
      <c r="A455" s="10" t="s">
        <v>131</v>
      </c>
      <c r="B455" s="61" t="s">
        <v>7</v>
      </c>
      <c r="C455" s="6"/>
      <c r="D455" s="95"/>
      <c r="E455" s="95"/>
    </row>
    <row r="456" spans="1:5" ht="20.25" hidden="1" customHeight="1">
      <c r="A456" s="19" t="s">
        <v>132</v>
      </c>
      <c r="B456" s="61" t="s">
        <v>21</v>
      </c>
      <c r="C456" s="6"/>
      <c r="D456" s="95"/>
      <c r="E456" s="95"/>
    </row>
    <row r="457" spans="1:5" ht="20.25" hidden="1" customHeight="1">
      <c r="A457" s="8" t="s">
        <v>133</v>
      </c>
      <c r="B457" s="61" t="s">
        <v>134</v>
      </c>
      <c r="C457" s="6"/>
      <c r="D457" s="95"/>
      <c r="E457" s="95"/>
    </row>
    <row r="458" spans="1:5" ht="20.25" hidden="1" customHeight="1">
      <c r="A458" s="10" t="s">
        <v>135</v>
      </c>
      <c r="B458" s="61" t="s">
        <v>134</v>
      </c>
      <c r="C458" s="6"/>
      <c r="D458" s="95"/>
      <c r="E458" s="95"/>
    </row>
    <row r="459" spans="1:5" ht="20.25" hidden="1" customHeight="1">
      <c r="A459" s="10" t="s">
        <v>136</v>
      </c>
      <c r="B459" s="61" t="s">
        <v>134</v>
      </c>
      <c r="C459" s="6"/>
      <c r="D459" s="95"/>
      <c r="E459" s="95"/>
    </row>
    <row r="460" spans="1:5" ht="20.25" customHeight="1">
      <c r="A460" s="19" t="s">
        <v>137</v>
      </c>
      <c r="B460" s="64" t="s">
        <v>7</v>
      </c>
      <c r="C460" s="65">
        <v>15</v>
      </c>
      <c r="D460" s="64">
        <f>VLOOKUP(A460,'2.7'!A460:D668,4,)</f>
        <v>10000</v>
      </c>
      <c r="E460" s="96">
        <f>+D460*C460</f>
        <v>150000</v>
      </c>
    </row>
    <row r="461" spans="1:5" ht="20.25" hidden="1" customHeight="1">
      <c r="A461" s="9" t="s">
        <v>139</v>
      </c>
      <c r="B461" s="61" t="s">
        <v>7</v>
      </c>
      <c r="C461" s="6"/>
      <c r="D461" s="95"/>
      <c r="E461" s="95"/>
    </row>
    <row r="462" spans="1:5" ht="20.25" hidden="1" customHeight="1">
      <c r="A462" s="12" t="s">
        <v>140</v>
      </c>
      <c r="B462" s="61" t="s">
        <v>68</v>
      </c>
      <c r="C462" s="6"/>
      <c r="D462" s="95"/>
      <c r="E462" s="95"/>
    </row>
    <row r="463" spans="1:5" ht="20.25" hidden="1" customHeight="1">
      <c r="A463" s="11" t="s">
        <v>141</v>
      </c>
      <c r="B463" s="61" t="s">
        <v>68</v>
      </c>
      <c r="C463" s="14"/>
      <c r="D463" s="95"/>
      <c r="E463" s="95"/>
    </row>
    <row r="464" spans="1:5" ht="20.25" hidden="1" customHeight="1">
      <c r="A464" s="11" t="s">
        <v>142</v>
      </c>
      <c r="B464" s="61" t="s">
        <v>7</v>
      </c>
      <c r="C464" s="14"/>
      <c r="D464" s="95"/>
      <c r="E464" s="95"/>
    </row>
    <row r="465" spans="1:5" ht="20.25" hidden="1" customHeight="1">
      <c r="A465" s="11" t="s">
        <v>143</v>
      </c>
      <c r="B465" s="61" t="s">
        <v>7</v>
      </c>
      <c r="C465" s="14"/>
      <c r="D465" s="95"/>
      <c r="E465" s="95"/>
    </row>
    <row r="466" spans="1:5" ht="20.25" hidden="1" customHeight="1">
      <c r="A466" s="11" t="s">
        <v>144</v>
      </c>
      <c r="B466" s="61" t="s">
        <v>7</v>
      </c>
      <c r="C466" s="24"/>
      <c r="D466" s="95"/>
      <c r="E466" s="95"/>
    </row>
    <row r="467" spans="1:5" ht="20.25" hidden="1" customHeight="1">
      <c r="A467" s="25" t="s">
        <v>145</v>
      </c>
      <c r="B467" s="61" t="s">
        <v>54</v>
      </c>
      <c r="C467" s="6"/>
      <c r="D467" s="95"/>
      <c r="E467" s="95"/>
    </row>
    <row r="468" spans="1:5" ht="20.25" hidden="1" customHeight="1">
      <c r="A468" s="11" t="s">
        <v>146</v>
      </c>
      <c r="B468" s="61" t="s">
        <v>7</v>
      </c>
      <c r="C468" s="14"/>
      <c r="D468" s="95"/>
      <c r="E468" s="95"/>
    </row>
    <row r="469" spans="1:5" ht="20.25" hidden="1" customHeight="1">
      <c r="A469" s="8" t="s">
        <v>147</v>
      </c>
      <c r="B469" s="61" t="s">
        <v>7</v>
      </c>
      <c r="C469" s="6"/>
      <c r="D469" s="95"/>
      <c r="E469" s="95"/>
    </row>
    <row r="470" spans="1:5" ht="20.25" hidden="1" customHeight="1">
      <c r="A470" s="8" t="s">
        <v>148</v>
      </c>
      <c r="B470" s="61" t="s">
        <v>17</v>
      </c>
      <c r="C470" s="6"/>
      <c r="D470" s="95"/>
      <c r="E470" s="95"/>
    </row>
    <row r="471" spans="1:5" ht="20.25" customHeight="1">
      <c r="A471" s="19" t="s">
        <v>150</v>
      </c>
      <c r="B471" s="64" t="s">
        <v>7</v>
      </c>
      <c r="C471" s="65">
        <v>48</v>
      </c>
      <c r="D471" s="64">
        <f>VLOOKUP(A471,'2.7'!A471:D679,4,)</f>
        <v>13000</v>
      </c>
      <c r="E471" s="96">
        <f>+D471*C471</f>
        <v>624000</v>
      </c>
    </row>
    <row r="472" spans="1:5" ht="20.25" hidden="1" customHeight="1">
      <c r="A472" s="15" t="s">
        <v>151</v>
      </c>
      <c r="B472" s="61" t="s">
        <v>49</v>
      </c>
      <c r="C472" s="6"/>
      <c r="D472" s="95"/>
      <c r="E472" s="95"/>
    </row>
    <row r="473" spans="1:5" ht="20.25" hidden="1" customHeight="1">
      <c r="A473" s="11" t="s">
        <v>152</v>
      </c>
      <c r="B473" s="61" t="s">
        <v>7</v>
      </c>
      <c r="C473" s="6"/>
      <c r="D473" s="95"/>
      <c r="E473" s="95"/>
    </row>
    <row r="474" spans="1:5" ht="20.25" hidden="1" customHeight="1">
      <c r="A474" s="11" t="s">
        <v>153</v>
      </c>
      <c r="B474" s="61" t="s">
        <v>49</v>
      </c>
      <c r="C474" s="6"/>
      <c r="D474" s="95"/>
      <c r="E474" s="95"/>
    </row>
    <row r="475" spans="1:5" ht="20.25" hidden="1" customHeight="1">
      <c r="A475" s="8" t="s">
        <v>154</v>
      </c>
      <c r="B475" s="61" t="s">
        <v>7</v>
      </c>
      <c r="C475" s="6"/>
      <c r="D475" s="95"/>
      <c r="E475" s="95"/>
    </row>
    <row r="476" spans="1:5" ht="20.25" hidden="1" customHeight="1">
      <c r="A476" s="8" t="s">
        <v>363</v>
      </c>
      <c r="B476" s="61" t="s">
        <v>7</v>
      </c>
      <c r="C476" s="6"/>
      <c r="D476" s="95"/>
      <c r="E476" s="95"/>
    </row>
    <row r="477" spans="1:5" ht="20.25" hidden="1" customHeight="1">
      <c r="A477" s="8" t="s">
        <v>156</v>
      </c>
      <c r="B477" s="61" t="s">
        <v>7</v>
      </c>
      <c r="C477" s="14"/>
      <c r="D477" s="95"/>
      <c r="E477" s="95"/>
    </row>
    <row r="478" spans="1:5" ht="20.25" hidden="1" customHeight="1">
      <c r="A478" s="8" t="s">
        <v>157</v>
      </c>
      <c r="B478" s="61" t="s">
        <v>54</v>
      </c>
      <c r="C478" s="14"/>
      <c r="D478" s="95"/>
      <c r="E478" s="95"/>
    </row>
    <row r="479" spans="1:5" ht="20.25" hidden="1" customHeight="1">
      <c r="A479" s="8" t="s">
        <v>158</v>
      </c>
      <c r="B479" s="61"/>
      <c r="C479" s="6"/>
      <c r="D479" s="95"/>
      <c r="E479" s="95"/>
    </row>
    <row r="480" spans="1:5" ht="20.25" hidden="1" customHeight="1">
      <c r="A480" s="8" t="s">
        <v>159</v>
      </c>
      <c r="B480" s="61" t="s">
        <v>7</v>
      </c>
      <c r="C480" s="14"/>
      <c r="D480" s="95"/>
      <c r="E480" s="95"/>
    </row>
    <row r="481" spans="1:5" ht="20.25" hidden="1" customHeight="1">
      <c r="A481" s="8" t="s">
        <v>160</v>
      </c>
      <c r="B481" s="61" t="s">
        <v>54</v>
      </c>
      <c r="C481" s="14"/>
      <c r="D481" s="95"/>
      <c r="E481" s="95"/>
    </row>
    <row r="482" spans="1:5" ht="20.25" hidden="1" customHeight="1">
      <c r="A482" s="8" t="s">
        <v>161</v>
      </c>
      <c r="B482" s="61" t="s">
        <v>7</v>
      </c>
      <c r="C482" s="14"/>
      <c r="D482" s="95"/>
      <c r="E482" s="95"/>
    </row>
    <row r="483" spans="1:5" ht="20.25" hidden="1" customHeight="1">
      <c r="A483" s="8" t="s">
        <v>162</v>
      </c>
      <c r="B483" s="61" t="s">
        <v>54</v>
      </c>
      <c r="C483" s="14"/>
      <c r="D483" s="95"/>
      <c r="E483" s="95"/>
    </row>
    <row r="484" spans="1:5" ht="20.25" hidden="1" customHeight="1">
      <c r="A484" s="8" t="s">
        <v>163</v>
      </c>
      <c r="B484" s="61" t="s">
        <v>7</v>
      </c>
      <c r="C484" s="14"/>
      <c r="D484" s="95"/>
      <c r="E484" s="95"/>
    </row>
    <row r="485" spans="1:5" ht="20.25" hidden="1" customHeight="1">
      <c r="A485" s="8" t="s">
        <v>164</v>
      </c>
      <c r="B485" s="61" t="s">
        <v>7</v>
      </c>
      <c r="C485" s="14"/>
      <c r="D485" s="95"/>
      <c r="E485" s="95"/>
    </row>
    <row r="486" spans="1:5" ht="20.25" hidden="1" customHeight="1">
      <c r="A486" s="8" t="s">
        <v>165</v>
      </c>
      <c r="B486" s="61" t="s">
        <v>7</v>
      </c>
      <c r="C486" s="14"/>
      <c r="D486" s="95"/>
      <c r="E486" s="95"/>
    </row>
    <row r="487" spans="1:5" ht="20.25" hidden="1" customHeight="1">
      <c r="A487" s="8" t="s">
        <v>166</v>
      </c>
      <c r="B487" s="61" t="s">
        <v>54</v>
      </c>
      <c r="C487" s="14"/>
      <c r="D487" s="95"/>
      <c r="E487" s="95"/>
    </row>
    <row r="488" spans="1:5" ht="20.25" hidden="1" customHeight="1">
      <c r="A488" s="8" t="s">
        <v>167</v>
      </c>
      <c r="B488" s="61" t="s">
        <v>7</v>
      </c>
      <c r="C488" s="6"/>
      <c r="D488" s="95"/>
      <c r="E488" s="95"/>
    </row>
    <row r="489" spans="1:5" ht="20.25" hidden="1" customHeight="1">
      <c r="A489" s="8" t="s">
        <v>364</v>
      </c>
      <c r="B489" s="61" t="s">
        <v>7</v>
      </c>
      <c r="C489" s="6"/>
      <c r="D489" s="95"/>
      <c r="E489" s="95"/>
    </row>
    <row r="490" spans="1:5" ht="20.25" hidden="1" customHeight="1">
      <c r="A490" s="8" t="s">
        <v>168</v>
      </c>
      <c r="B490" s="61" t="s">
        <v>7</v>
      </c>
      <c r="C490" s="6"/>
      <c r="D490" s="95"/>
      <c r="E490" s="95"/>
    </row>
    <row r="491" spans="1:5" ht="20.25" customHeight="1">
      <c r="A491" s="19" t="s">
        <v>169</v>
      </c>
      <c r="B491" s="64" t="s">
        <v>49</v>
      </c>
      <c r="C491" s="65">
        <v>9</v>
      </c>
      <c r="D491" s="64">
        <v>10000</v>
      </c>
      <c r="E491" s="96">
        <f>+D491*C491</f>
        <v>90000</v>
      </c>
    </row>
    <row r="492" spans="1:5" ht="20.25" hidden="1" customHeight="1">
      <c r="A492" s="8" t="s">
        <v>170</v>
      </c>
      <c r="B492" s="61" t="s">
        <v>49</v>
      </c>
      <c r="C492" s="6"/>
      <c r="D492" s="95"/>
      <c r="E492" s="95"/>
    </row>
    <row r="493" spans="1:5" ht="20.25" hidden="1" customHeight="1">
      <c r="A493" s="15" t="s">
        <v>171</v>
      </c>
      <c r="B493" s="61" t="s">
        <v>49</v>
      </c>
      <c r="C493" s="6"/>
      <c r="D493" s="95"/>
      <c r="E493" s="95"/>
    </row>
    <row r="494" spans="1:5" ht="20.25" hidden="1" customHeight="1">
      <c r="A494" s="8" t="s">
        <v>172</v>
      </c>
      <c r="B494" s="61" t="s">
        <v>7</v>
      </c>
      <c r="C494" s="6"/>
      <c r="D494" s="95"/>
      <c r="E494" s="95"/>
    </row>
    <row r="495" spans="1:5" ht="20.25" hidden="1" customHeight="1">
      <c r="A495" s="8" t="s">
        <v>173</v>
      </c>
      <c r="B495" s="61" t="s">
        <v>7</v>
      </c>
      <c r="C495" s="6"/>
      <c r="D495" s="95"/>
      <c r="E495" s="95"/>
    </row>
    <row r="496" spans="1:5" ht="20.25" customHeight="1">
      <c r="A496" s="19" t="s">
        <v>174</v>
      </c>
      <c r="B496" s="64" t="s">
        <v>49</v>
      </c>
      <c r="C496" s="65">
        <v>31</v>
      </c>
      <c r="D496" s="64">
        <v>9000</v>
      </c>
      <c r="E496" s="96">
        <f>+D496*C496</f>
        <v>279000</v>
      </c>
    </row>
    <row r="497" spans="1:5" ht="20.25" hidden="1" customHeight="1">
      <c r="A497" s="8" t="s">
        <v>175</v>
      </c>
      <c r="B497" s="61" t="s">
        <v>49</v>
      </c>
      <c r="C497" s="6"/>
      <c r="D497" s="95"/>
      <c r="E497" s="95"/>
    </row>
    <row r="498" spans="1:5" ht="20.25" hidden="1" customHeight="1">
      <c r="A498" s="8" t="s">
        <v>176</v>
      </c>
      <c r="B498" s="61" t="s">
        <v>49</v>
      </c>
      <c r="C498" s="14"/>
      <c r="D498" s="95"/>
      <c r="E498" s="95"/>
    </row>
    <row r="499" spans="1:5" ht="20.25" hidden="1" customHeight="1">
      <c r="A499" s="16" t="s">
        <v>177</v>
      </c>
      <c r="B499" s="61" t="s">
        <v>7</v>
      </c>
      <c r="C499" s="14"/>
      <c r="D499" s="95"/>
      <c r="E499" s="95"/>
    </row>
    <row r="500" spans="1:5" ht="20.25" hidden="1" customHeight="1">
      <c r="A500" s="8" t="s">
        <v>178</v>
      </c>
      <c r="B500" s="61" t="s">
        <v>54</v>
      </c>
      <c r="C500" s="14"/>
      <c r="D500" s="95"/>
      <c r="E500" s="95"/>
    </row>
    <row r="501" spans="1:5" ht="20.25" hidden="1" customHeight="1">
      <c r="A501" s="8" t="s">
        <v>180</v>
      </c>
      <c r="B501" s="61" t="s">
        <v>7</v>
      </c>
      <c r="C501" s="6"/>
      <c r="D501" s="95"/>
      <c r="E501" s="95"/>
    </row>
    <row r="502" spans="1:5" ht="20.25" hidden="1" customHeight="1">
      <c r="A502" s="15" t="s">
        <v>181</v>
      </c>
      <c r="B502" s="61" t="s">
        <v>54</v>
      </c>
      <c r="C502" s="6"/>
      <c r="D502" s="95"/>
      <c r="E502" s="95"/>
    </row>
    <row r="503" spans="1:5" ht="20.25" customHeight="1">
      <c r="A503" s="19" t="s">
        <v>365</v>
      </c>
      <c r="B503" s="64" t="s">
        <v>54</v>
      </c>
      <c r="C503" s="65">
        <v>152</v>
      </c>
      <c r="D503" s="64">
        <v>9000</v>
      </c>
      <c r="E503" s="96">
        <f>+D503*C503</f>
        <v>1368000</v>
      </c>
    </row>
    <row r="504" spans="1:5" ht="20.25" hidden="1" customHeight="1">
      <c r="A504" s="11" t="s">
        <v>182</v>
      </c>
      <c r="B504" s="61" t="s">
        <v>7</v>
      </c>
      <c r="C504" s="6"/>
      <c r="D504" s="95"/>
      <c r="E504" s="95"/>
    </row>
    <row r="505" spans="1:5" ht="20.25" hidden="1" customHeight="1">
      <c r="A505" s="8" t="s">
        <v>183</v>
      </c>
      <c r="B505" s="61" t="s">
        <v>54</v>
      </c>
      <c r="C505" s="6"/>
      <c r="D505" s="95"/>
      <c r="E505" s="95"/>
    </row>
    <row r="506" spans="1:5" ht="20.25" hidden="1" customHeight="1">
      <c r="A506" s="8" t="s">
        <v>185</v>
      </c>
      <c r="B506" s="61" t="s">
        <v>7</v>
      </c>
      <c r="C506" s="6"/>
      <c r="D506" s="95"/>
      <c r="E506" s="95"/>
    </row>
    <row r="507" spans="1:5" ht="20.25" hidden="1" customHeight="1">
      <c r="A507" s="8" t="s">
        <v>186</v>
      </c>
      <c r="B507" s="61" t="s">
        <v>7</v>
      </c>
      <c r="C507" s="6"/>
      <c r="D507" s="95"/>
      <c r="E507" s="95"/>
    </row>
    <row r="508" spans="1:5" ht="20.25" hidden="1" customHeight="1">
      <c r="A508" s="18" t="s">
        <v>187</v>
      </c>
      <c r="B508" s="61" t="s">
        <v>7</v>
      </c>
      <c r="C508" s="6"/>
      <c r="D508" s="95"/>
      <c r="E508" s="95"/>
    </row>
    <row r="509" spans="1:5" ht="20.25" hidden="1" customHeight="1">
      <c r="A509" s="8" t="s">
        <v>188</v>
      </c>
      <c r="B509" s="61" t="s">
        <v>49</v>
      </c>
      <c r="C509" s="6"/>
      <c r="D509" s="95"/>
      <c r="E509" s="95"/>
    </row>
    <row r="510" spans="1:5" ht="20.25" hidden="1" customHeight="1">
      <c r="A510" s="28" t="s">
        <v>189</v>
      </c>
      <c r="B510" s="71" t="s">
        <v>7</v>
      </c>
      <c r="C510" s="29"/>
      <c r="D510" s="97"/>
      <c r="E510" s="97"/>
    </row>
    <row r="511" spans="1:5" ht="20.25" hidden="1" customHeight="1">
      <c r="A511" s="10" t="s">
        <v>190</v>
      </c>
      <c r="B511" s="61" t="s">
        <v>7</v>
      </c>
      <c r="C511" s="6"/>
      <c r="D511" s="95"/>
      <c r="E511" s="95"/>
    </row>
    <row r="512" spans="1:5" ht="20.25" hidden="1" customHeight="1">
      <c r="A512" s="8" t="s">
        <v>191</v>
      </c>
      <c r="B512" s="61" t="s">
        <v>7</v>
      </c>
      <c r="C512" s="6"/>
      <c r="D512" s="95"/>
      <c r="E512" s="95"/>
    </row>
    <row r="513" spans="1:5" ht="20.25" hidden="1" customHeight="1">
      <c r="A513" s="8" t="s">
        <v>192</v>
      </c>
      <c r="B513" s="61" t="s">
        <v>7</v>
      </c>
      <c r="C513" s="6"/>
      <c r="D513" s="95"/>
      <c r="E513" s="95"/>
    </row>
    <row r="514" spans="1:5" ht="20.25" hidden="1" customHeight="1">
      <c r="A514" s="11" t="s">
        <v>193</v>
      </c>
      <c r="B514" s="61" t="s">
        <v>7</v>
      </c>
      <c r="C514" s="6"/>
      <c r="D514" s="95"/>
      <c r="E514" s="95"/>
    </row>
    <row r="515" spans="1:5" ht="20.25" hidden="1" customHeight="1">
      <c r="A515" s="8" t="s">
        <v>194</v>
      </c>
      <c r="B515" s="61" t="s">
        <v>7</v>
      </c>
      <c r="C515" s="6"/>
      <c r="D515" s="95"/>
      <c r="E515" s="95"/>
    </row>
    <row r="516" spans="1:5" ht="20.25" hidden="1" customHeight="1">
      <c r="A516" s="8" t="s">
        <v>195</v>
      </c>
      <c r="B516" s="61" t="s">
        <v>7</v>
      </c>
      <c r="C516" s="6"/>
      <c r="D516" s="95"/>
      <c r="E516" s="95"/>
    </row>
    <row r="517" spans="1:5" ht="20.25" hidden="1" customHeight="1">
      <c r="A517" s="11" t="s">
        <v>196</v>
      </c>
      <c r="B517" s="61" t="s">
        <v>7</v>
      </c>
      <c r="C517" s="6"/>
      <c r="D517" s="95"/>
      <c r="E517" s="95"/>
    </row>
    <row r="518" spans="1:5" ht="20.25" hidden="1" customHeight="1">
      <c r="A518" s="11" t="s">
        <v>197</v>
      </c>
      <c r="B518" s="61" t="s">
        <v>7</v>
      </c>
      <c r="C518" s="6"/>
      <c r="D518" s="95"/>
      <c r="E518" s="95"/>
    </row>
    <row r="519" spans="1:5" ht="20.25" customHeight="1">
      <c r="A519" s="10" t="s">
        <v>198</v>
      </c>
      <c r="B519" s="64" t="s">
        <v>7</v>
      </c>
      <c r="C519" s="65">
        <v>1700</v>
      </c>
      <c r="D519" s="64">
        <v>6500</v>
      </c>
      <c r="E519" s="96">
        <f>+D519*C519</f>
        <v>11050000</v>
      </c>
    </row>
    <row r="520" spans="1:5" ht="20.25" hidden="1" customHeight="1">
      <c r="A520" s="8" t="s">
        <v>199</v>
      </c>
      <c r="B520" s="61" t="s">
        <v>49</v>
      </c>
      <c r="C520" s="6"/>
      <c r="D520" s="95"/>
      <c r="E520" s="95"/>
    </row>
    <row r="521" spans="1:5" ht="20.25" hidden="1" customHeight="1">
      <c r="A521" s="11" t="s">
        <v>200</v>
      </c>
      <c r="B521" s="61" t="s">
        <v>7</v>
      </c>
      <c r="C521" s="6"/>
      <c r="D521" s="95"/>
      <c r="E521" s="95"/>
    </row>
    <row r="522" spans="1:5" ht="20.25" hidden="1" customHeight="1">
      <c r="A522" s="11" t="s">
        <v>201</v>
      </c>
      <c r="B522" s="61" t="s">
        <v>7</v>
      </c>
      <c r="C522" s="6"/>
      <c r="D522" s="95"/>
      <c r="E522" s="95"/>
    </row>
    <row r="523" spans="1:5" ht="20.25" hidden="1" customHeight="1">
      <c r="A523" s="11" t="s">
        <v>202</v>
      </c>
      <c r="B523" s="61" t="s">
        <v>49</v>
      </c>
      <c r="C523" s="6"/>
      <c r="D523" s="95"/>
      <c r="E523" s="95"/>
    </row>
    <row r="524" spans="1:5" ht="20.25" hidden="1" customHeight="1">
      <c r="A524" s="8" t="s">
        <v>203</v>
      </c>
      <c r="B524" s="61" t="s">
        <v>49</v>
      </c>
      <c r="C524" s="6"/>
      <c r="D524" s="95"/>
      <c r="E524" s="95"/>
    </row>
    <row r="525" spans="1:5" ht="20.25" hidden="1" customHeight="1">
      <c r="A525" s="15" t="s">
        <v>204</v>
      </c>
      <c r="B525" s="61" t="s">
        <v>7</v>
      </c>
      <c r="C525" s="6"/>
      <c r="D525" s="95"/>
      <c r="E525" s="95"/>
    </row>
    <row r="526" spans="1:5" ht="20.25" hidden="1" customHeight="1">
      <c r="A526" s="15" t="s">
        <v>205</v>
      </c>
      <c r="B526" s="61" t="s">
        <v>7</v>
      </c>
      <c r="C526" s="6"/>
      <c r="D526" s="95"/>
      <c r="E526" s="95"/>
    </row>
    <row r="527" spans="1:5" ht="20.25" hidden="1" customHeight="1">
      <c r="A527" s="15" t="s">
        <v>206</v>
      </c>
      <c r="B527" s="61" t="s">
        <v>7</v>
      </c>
      <c r="C527" s="6"/>
      <c r="D527" s="95"/>
      <c r="E527" s="95"/>
    </row>
    <row r="528" spans="1:5" ht="20.25" hidden="1" customHeight="1">
      <c r="A528" s="15" t="s">
        <v>207</v>
      </c>
      <c r="B528" s="61" t="s">
        <v>49</v>
      </c>
      <c r="C528" s="6"/>
      <c r="D528" s="95"/>
      <c r="E528" s="95"/>
    </row>
    <row r="529" spans="1:5" ht="20.25" hidden="1" customHeight="1">
      <c r="A529" s="11" t="s">
        <v>208</v>
      </c>
      <c r="B529" s="61" t="s">
        <v>7</v>
      </c>
      <c r="C529" s="6"/>
      <c r="D529" s="95"/>
      <c r="E529" s="95"/>
    </row>
    <row r="530" spans="1:5" ht="20.25" hidden="1" customHeight="1">
      <c r="A530" s="8" t="s">
        <v>209</v>
      </c>
      <c r="B530" s="61" t="s">
        <v>49</v>
      </c>
      <c r="C530" s="6"/>
      <c r="D530" s="95"/>
      <c r="E530" s="95"/>
    </row>
    <row r="531" spans="1:5" ht="20.25" hidden="1" customHeight="1">
      <c r="A531" s="30" t="s">
        <v>210</v>
      </c>
      <c r="B531" s="61" t="s">
        <v>49</v>
      </c>
      <c r="C531" s="6"/>
      <c r="D531" s="95"/>
      <c r="E531" s="95"/>
    </row>
    <row r="532" spans="1:5" ht="20.25" hidden="1" customHeight="1">
      <c r="A532" s="30" t="s">
        <v>211</v>
      </c>
      <c r="B532" s="61" t="s">
        <v>49</v>
      </c>
      <c r="C532" s="6"/>
      <c r="D532" s="95"/>
      <c r="E532" s="95"/>
    </row>
    <row r="533" spans="1:5" ht="20.25" hidden="1" customHeight="1">
      <c r="A533" s="30" t="s">
        <v>212</v>
      </c>
      <c r="B533" s="61" t="s">
        <v>49</v>
      </c>
      <c r="C533" s="6"/>
      <c r="D533" s="95"/>
      <c r="E533" s="95"/>
    </row>
    <row r="534" spans="1:5" ht="20.25" hidden="1" customHeight="1">
      <c r="A534" s="30" t="s">
        <v>213</v>
      </c>
      <c r="B534" s="61" t="s">
        <v>49</v>
      </c>
      <c r="C534" s="6"/>
      <c r="D534" s="95"/>
      <c r="E534" s="95"/>
    </row>
    <row r="535" spans="1:5" ht="20.25" hidden="1" customHeight="1">
      <c r="A535" s="8" t="s">
        <v>214</v>
      </c>
      <c r="B535" s="61" t="s">
        <v>7</v>
      </c>
      <c r="C535" s="6"/>
      <c r="D535" s="95"/>
      <c r="E535" s="95"/>
    </row>
    <row r="536" spans="1:5" ht="20.25" hidden="1" customHeight="1">
      <c r="A536" s="31" t="s">
        <v>215</v>
      </c>
      <c r="B536" s="61" t="s">
        <v>54</v>
      </c>
      <c r="C536" s="6"/>
      <c r="D536" s="95"/>
      <c r="E536" s="95"/>
    </row>
    <row r="537" spans="1:5" ht="20.25" hidden="1" customHeight="1">
      <c r="A537" s="8" t="s">
        <v>216</v>
      </c>
      <c r="B537" s="61" t="s">
        <v>7</v>
      </c>
      <c r="C537" s="6"/>
      <c r="D537" s="95"/>
      <c r="E537" s="95"/>
    </row>
    <row r="538" spans="1:5" ht="20.25" hidden="1" customHeight="1">
      <c r="A538" s="11" t="s">
        <v>217</v>
      </c>
      <c r="B538" s="61" t="s">
        <v>7</v>
      </c>
      <c r="C538" s="6"/>
      <c r="D538" s="95"/>
      <c r="E538" s="95"/>
    </row>
    <row r="539" spans="1:5" ht="20.25" hidden="1" customHeight="1">
      <c r="A539" s="8" t="s">
        <v>366</v>
      </c>
      <c r="B539" s="61" t="s">
        <v>49</v>
      </c>
      <c r="C539" s="6"/>
      <c r="D539" s="95"/>
      <c r="E539" s="95"/>
    </row>
    <row r="540" spans="1:5" ht="20.25" hidden="1" customHeight="1">
      <c r="A540" s="8" t="s">
        <v>218</v>
      </c>
      <c r="B540" s="61" t="s">
        <v>49</v>
      </c>
      <c r="C540" s="6"/>
      <c r="D540" s="95"/>
      <c r="E540" s="95"/>
    </row>
    <row r="541" spans="1:5" ht="20.25" customHeight="1">
      <c r="A541" s="19" t="s">
        <v>219</v>
      </c>
      <c r="B541" s="64" t="s">
        <v>7</v>
      </c>
      <c r="C541" s="65">
        <v>220</v>
      </c>
      <c r="D541" s="64">
        <f>VLOOKUP(A541,'2.7'!A541:D749,4,)</f>
        <v>13000</v>
      </c>
      <c r="E541" s="96">
        <f>+D541*C541</f>
        <v>2860000</v>
      </c>
    </row>
    <row r="542" spans="1:5" ht="20.25" hidden="1" customHeight="1">
      <c r="A542" s="32" t="s">
        <v>220</v>
      </c>
      <c r="B542" s="61" t="s">
        <v>49</v>
      </c>
      <c r="C542" s="6"/>
      <c r="D542" s="95"/>
      <c r="E542" s="95"/>
    </row>
    <row r="543" spans="1:5" ht="20.25" hidden="1" customHeight="1">
      <c r="A543" s="32" t="s">
        <v>221</v>
      </c>
      <c r="B543" s="61" t="s">
        <v>49</v>
      </c>
      <c r="C543" s="6"/>
      <c r="D543" s="95"/>
      <c r="E543" s="95"/>
    </row>
    <row r="544" spans="1:5" ht="20.25" hidden="1" customHeight="1">
      <c r="A544" s="8" t="s">
        <v>222</v>
      </c>
      <c r="B544" s="61" t="s">
        <v>7</v>
      </c>
      <c r="C544" s="6"/>
      <c r="D544" s="95"/>
      <c r="E544" s="95"/>
    </row>
    <row r="545" spans="1:5" ht="20.25" hidden="1" customHeight="1">
      <c r="A545" s="10" t="s">
        <v>223</v>
      </c>
      <c r="B545" s="61" t="s">
        <v>7</v>
      </c>
      <c r="C545" s="6"/>
      <c r="D545" s="95"/>
      <c r="E545" s="95"/>
    </row>
    <row r="546" spans="1:5" ht="20.25" hidden="1" customHeight="1">
      <c r="A546" s="8" t="s">
        <v>224</v>
      </c>
      <c r="B546" s="61" t="s">
        <v>7</v>
      </c>
      <c r="C546" s="6"/>
      <c r="D546" s="95"/>
      <c r="E546" s="95"/>
    </row>
    <row r="547" spans="1:5" ht="20.25" hidden="1" customHeight="1">
      <c r="A547" s="10" t="s">
        <v>367</v>
      </c>
      <c r="B547" s="61" t="s">
        <v>7</v>
      </c>
      <c r="C547" s="6"/>
      <c r="D547" s="95"/>
      <c r="E547" s="95"/>
    </row>
    <row r="548" spans="1:5" ht="20.25" hidden="1" customHeight="1">
      <c r="A548" s="8" t="s">
        <v>225</v>
      </c>
      <c r="B548" s="61" t="s">
        <v>7</v>
      </c>
      <c r="C548" s="6"/>
      <c r="D548" s="95"/>
      <c r="E548" s="95"/>
    </row>
    <row r="549" spans="1:5" ht="20.25" hidden="1" customHeight="1">
      <c r="A549" s="8" t="s">
        <v>226</v>
      </c>
      <c r="B549" s="61" t="s">
        <v>49</v>
      </c>
      <c r="C549" s="6"/>
      <c r="D549" s="95"/>
      <c r="E549" s="95"/>
    </row>
    <row r="550" spans="1:5" ht="20.25" hidden="1" customHeight="1">
      <c r="A550" s="8" t="s">
        <v>368</v>
      </c>
      <c r="B550" s="61" t="s">
        <v>49</v>
      </c>
      <c r="C550" s="6"/>
      <c r="D550" s="95"/>
      <c r="E550" s="95"/>
    </row>
    <row r="551" spans="1:5" ht="20.25" hidden="1" customHeight="1">
      <c r="A551" s="8" t="s">
        <v>369</v>
      </c>
      <c r="B551" s="61" t="s">
        <v>49</v>
      </c>
      <c r="C551" s="6"/>
      <c r="D551" s="95"/>
      <c r="E551" s="95"/>
    </row>
    <row r="552" spans="1:5" ht="20.25" hidden="1" customHeight="1">
      <c r="A552" s="8" t="s">
        <v>227</v>
      </c>
      <c r="B552" s="61" t="s">
        <v>7</v>
      </c>
      <c r="C552" s="6"/>
      <c r="D552" s="95"/>
      <c r="E552" s="95"/>
    </row>
    <row r="553" spans="1:5" ht="20.25" hidden="1" customHeight="1">
      <c r="A553" s="33" t="s">
        <v>228</v>
      </c>
      <c r="B553" s="61" t="s">
        <v>49</v>
      </c>
      <c r="C553" s="6"/>
      <c r="D553" s="95"/>
      <c r="E553" s="95"/>
    </row>
    <row r="554" spans="1:5" ht="20.25" hidden="1" customHeight="1">
      <c r="A554" s="8" t="s">
        <v>229</v>
      </c>
      <c r="B554" s="61" t="s">
        <v>7</v>
      </c>
      <c r="C554" s="6"/>
      <c r="D554" s="95"/>
      <c r="E554" s="95"/>
    </row>
    <row r="555" spans="1:5" ht="20.25" customHeight="1">
      <c r="A555" s="19" t="s">
        <v>230</v>
      </c>
      <c r="B555" s="64" t="s">
        <v>7</v>
      </c>
      <c r="C555" s="65">
        <v>78</v>
      </c>
      <c r="D555" s="64">
        <f>VLOOKUP(A555,'2.7'!A555:D763,4,)</f>
        <v>16000</v>
      </c>
      <c r="E555" s="96">
        <f>+D555*C555</f>
        <v>1248000</v>
      </c>
    </row>
    <row r="556" spans="1:5" ht="20.25" hidden="1" customHeight="1">
      <c r="A556" s="8" t="s">
        <v>231</v>
      </c>
      <c r="B556" s="61" t="s">
        <v>49</v>
      </c>
      <c r="C556" s="6"/>
      <c r="D556" s="95"/>
      <c r="E556" s="95"/>
    </row>
    <row r="557" spans="1:5" ht="20.25" hidden="1" customHeight="1">
      <c r="A557" s="8" t="s">
        <v>370</v>
      </c>
      <c r="B557" s="61" t="s">
        <v>7</v>
      </c>
      <c r="C557" s="6"/>
      <c r="D557" s="95"/>
      <c r="E557" s="95"/>
    </row>
    <row r="558" spans="1:5" ht="20.25" hidden="1" customHeight="1">
      <c r="A558" s="8" t="s">
        <v>232</v>
      </c>
      <c r="B558" s="61" t="s">
        <v>49</v>
      </c>
      <c r="C558" s="6"/>
      <c r="D558" s="95"/>
      <c r="E558" s="95"/>
    </row>
    <row r="559" spans="1:5" ht="20.25" hidden="1" customHeight="1">
      <c r="A559" s="15" t="s">
        <v>233</v>
      </c>
      <c r="B559" s="61" t="s">
        <v>7</v>
      </c>
      <c r="C559" s="6"/>
      <c r="D559" s="95"/>
      <c r="E559" s="95"/>
    </row>
    <row r="560" spans="1:5" ht="20.25" hidden="1" customHeight="1">
      <c r="A560" s="15" t="s">
        <v>234</v>
      </c>
      <c r="B560" s="61" t="s">
        <v>49</v>
      </c>
      <c r="C560" s="6"/>
      <c r="D560" s="95"/>
      <c r="E560" s="95"/>
    </row>
    <row r="561" spans="1:5" ht="20.25" hidden="1" customHeight="1">
      <c r="A561" s="15" t="s">
        <v>235</v>
      </c>
      <c r="B561" s="61" t="s">
        <v>7</v>
      </c>
      <c r="C561" s="6"/>
      <c r="D561" s="95"/>
      <c r="E561" s="95"/>
    </row>
    <row r="562" spans="1:5" ht="20.25" hidden="1" customHeight="1">
      <c r="A562" s="15" t="s">
        <v>236</v>
      </c>
      <c r="B562" s="61" t="s">
        <v>49</v>
      </c>
      <c r="C562" s="6"/>
      <c r="D562" s="95"/>
      <c r="E562" s="95"/>
    </row>
    <row r="563" spans="1:5" ht="20.25" hidden="1" customHeight="1">
      <c r="A563" s="8" t="s">
        <v>237</v>
      </c>
      <c r="B563" s="61" t="s">
        <v>7</v>
      </c>
      <c r="C563" s="6"/>
      <c r="D563" s="95"/>
      <c r="E563" s="95"/>
    </row>
    <row r="564" spans="1:5" ht="20.25" hidden="1" customHeight="1">
      <c r="A564" s="8" t="s">
        <v>238</v>
      </c>
      <c r="B564" s="61" t="s">
        <v>7</v>
      </c>
      <c r="C564" s="6"/>
      <c r="D564" s="95"/>
      <c r="E564" s="95"/>
    </row>
    <row r="565" spans="1:5" ht="20.25" hidden="1" customHeight="1">
      <c r="A565" s="15" t="s">
        <v>239</v>
      </c>
      <c r="B565" s="61" t="s">
        <v>49</v>
      </c>
      <c r="C565" s="6"/>
      <c r="D565" s="95"/>
      <c r="E565" s="95"/>
    </row>
    <row r="566" spans="1:5" ht="20.25" hidden="1" customHeight="1">
      <c r="A566" s="15" t="s">
        <v>240</v>
      </c>
      <c r="B566" s="61" t="s">
        <v>49</v>
      </c>
      <c r="C566" s="6"/>
      <c r="D566" s="95"/>
      <c r="E566" s="95"/>
    </row>
    <row r="567" spans="1:5" ht="20.25" hidden="1" customHeight="1">
      <c r="A567" s="10" t="s">
        <v>241</v>
      </c>
      <c r="B567" s="61" t="s">
        <v>7</v>
      </c>
      <c r="C567" s="6"/>
      <c r="D567" s="95"/>
      <c r="E567" s="95"/>
    </row>
    <row r="568" spans="1:5" ht="20.25" hidden="1" customHeight="1">
      <c r="A568" s="11" t="s">
        <v>242</v>
      </c>
      <c r="B568" s="61" t="s">
        <v>68</v>
      </c>
      <c r="C568" s="6"/>
      <c r="D568" s="95"/>
      <c r="E568" s="95"/>
    </row>
    <row r="569" spans="1:5" ht="20.25" hidden="1" customHeight="1">
      <c r="A569" s="19" t="s">
        <v>371</v>
      </c>
      <c r="B569" s="61" t="s">
        <v>7</v>
      </c>
      <c r="C569" s="6"/>
      <c r="D569" s="95"/>
      <c r="E569" s="95"/>
    </row>
    <row r="570" spans="1:5" ht="20.25" hidden="1" customHeight="1">
      <c r="A570" s="19" t="s">
        <v>372</v>
      </c>
      <c r="B570" s="61" t="s">
        <v>68</v>
      </c>
      <c r="C570" s="6"/>
      <c r="D570" s="95"/>
      <c r="E570" s="95"/>
    </row>
    <row r="571" spans="1:5" ht="20.25" hidden="1" customHeight="1">
      <c r="A571" s="10" t="s">
        <v>247</v>
      </c>
      <c r="B571" s="61" t="s">
        <v>39</v>
      </c>
      <c r="C571" s="6"/>
      <c r="D571" s="95"/>
      <c r="E571" s="95"/>
    </row>
    <row r="572" spans="1:5" ht="20.25" hidden="1" customHeight="1">
      <c r="A572" s="8" t="s">
        <v>252</v>
      </c>
      <c r="B572" s="61" t="s">
        <v>7</v>
      </c>
      <c r="C572" s="6"/>
      <c r="D572" s="95"/>
      <c r="E572" s="95"/>
    </row>
    <row r="573" spans="1:5" ht="20.25" hidden="1" customHeight="1">
      <c r="A573" s="8" t="s">
        <v>253</v>
      </c>
      <c r="B573" s="61" t="s">
        <v>21</v>
      </c>
      <c r="C573" s="6"/>
      <c r="D573" s="95"/>
      <c r="E573" s="95"/>
    </row>
    <row r="574" spans="1:5" ht="20.25" hidden="1" customHeight="1">
      <c r="A574" s="12" t="s">
        <v>254</v>
      </c>
      <c r="B574" s="61" t="s">
        <v>68</v>
      </c>
      <c r="C574" s="6"/>
      <c r="D574" s="95"/>
      <c r="E574" s="95"/>
    </row>
    <row r="575" spans="1:5" ht="20.25" hidden="1" customHeight="1">
      <c r="A575" s="12" t="s">
        <v>255</v>
      </c>
      <c r="B575" s="61" t="s">
        <v>68</v>
      </c>
      <c r="C575" s="6"/>
      <c r="D575" s="95"/>
      <c r="E575" s="95"/>
    </row>
    <row r="576" spans="1:5" ht="20.25" hidden="1" customHeight="1">
      <c r="A576" s="30" t="s">
        <v>256</v>
      </c>
      <c r="B576" s="61" t="s">
        <v>49</v>
      </c>
      <c r="C576" s="6"/>
      <c r="D576" s="95"/>
      <c r="E576" s="95"/>
    </row>
    <row r="577" spans="1:5" ht="20.25" hidden="1" customHeight="1">
      <c r="A577" s="8" t="s">
        <v>257</v>
      </c>
      <c r="B577" s="61" t="s">
        <v>7</v>
      </c>
      <c r="C577" s="6"/>
      <c r="D577" s="95"/>
      <c r="E577" s="95"/>
    </row>
    <row r="578" spans="1:5" ht="20.25" hidden="1" customHeight="1">
      <c r="A578" s="8" t="s">
        <v>258</v>
      </c>
      <c r="B578" s="61" t="s">
        <v>49</v>
      </c>
      <c r="C578" s="6"/>
      <c r="D578" s="95"/>
      <c r="E578" s="95"/>
    </row>
    <row r="579" spans="1:5" ht="20.25" hidden="1" customHeight="1">
      <c r="A579" s="8" t="s">
        <v>259</v>
      </c>
      <c r="B579" s="61" t="s">
        <v>7</v>
      </c>
      <c r="C579" s="14"/>
      <c r="D579" s="95"/>
      <c r="E579" s="95"/>
    </row>
    <row r="580" spans="1:5" ht="20.25" hidden="1" customHeight="1">
      <c r="A580" s="30" t="s">
        <v>260</v>
      </c>
      <c r="B580" s="61" t="s">
        <v>49</v>
      </c>
      <c r="C580" s="6"/>
      <c r="D580" s="95"/>
      <c r="E580" s="95"/>
    </row>
    <row r="581" spans="1:5" ht="20.25" hidden="1" customHeight="1">
      <c r="A581" s="8" t="s">
        <v>261</v>
      </c>
      <c r="B581" s="61" t="s">
        <v>49</v>
      </c>
      <c r="C581" s="14"/>
      <c r="D581" s="95"/>
      <c r="E581" s="95"/>
    </row>
    <row r="582" spans="1:5" ht="20.25" hidden="1" customHeight="1">
      <c r="A582" s="8" t="s">
        <v>262</v>
      </c>
      <c r="B582" s="61" t="s">
        <v>7</v>
      </c>
      <c r="C582" s="6"/>
      <c r="D582" s="95"/>
      <c r="E582" s="95"/>
    </row>
    <row r="583" spans="1:5" ht="20.25" hidden="1" customHeight="1">
      <c r="A583" s="10" t="s">
        <v>264</v>
      </c>
      <c r="B583" s="61" t="s">
        <v>54</v>
      </c>
      <c r="C583" s="6"/>
      <c r="D583" s="95"/>
      <c r="E583" s="95"/>
    </row>
    <row r="584" spans="1:5" ht="20.25" hidden="1" customHeight="1">
      <c r="A584" s="8" t="s">
        <v>265</v>
      </c>
      <c r="B584" s="61" t="s">
        <v>7</v>
      </c>
      <c r="C584" s="6"/>
      <c r="D584" s="95"/>
      <c r="E584" s="95"/>
    </row>
    <row r="585" spans="1:5" ht="20.25" hidden="1" customHeight="1">
      <c r="A585" s="8" t="s">
        <v>266</v>
      </c>
      <c r="B585" s="61" t="s">
        <v>7</v>
      </c>
      <c r="C585" s="6"/>
      <c r="D585" s="95"/>
      <c r="E585" s="95"/>
    </row>
    <row r="586" spans="1:5" ht="20.25" hidden="1" customHeight="1">
      <c r="A586" s="8" t="s">
        <v>267</v>
      </c>
      <c r="B586" s="61" t="s">
        <v>21</v>
      </c>
      <c r="C586" s="6"/>
      <c r="D586" s="95"/>
      <c r="E586" s="95"/>
    </row>
    <row r="587" spans="1:5" ht="20.25" hidden="1" customHeight="1">
      <c r="A587" s="8" t="s">
        <v>268</v>
      </c>
      <c r="B587" s="61" t="s">
        <v>54</v>
      </c>
      <c r="C587" s="6"/>
      <c r="D587" s="95"/>
      <c r="E587" s="95"/>
    </row>
    <row r="588" spans="1:5" ht="20.25" hidden="1" customHeight="1">
      <c r="A588" s="8" t="s">
        <v>269</v>
      </c>
      <c r="B588" s="61" t="s">
        <v>7</v>
      </c>
      <c r="C588" s="6"/>
      <c r="D588" s="95"/>
      <c r="E588" s="95"/>
    </row>
    <row r="589" spans="1:5" ht="20.25" hidden="1" customHeight="1">
      <c r="A589" s="15" t="s">
        <v>270</v>
      </c>
      <c r="B589" s="61" t="s">
        <v>7</v>
      </c>
      <c r="C589" s="6"/>
      <c r="D589" s="95"/>
      <c r="E589" s="95"/>
    </row>
    <row r="590" spans="1:5" ht="20.25" hidden="1" customHeight="1">
      <c r="A590" s="19" t="s">
        <v>271</v>
      </c>
      <c r="B590" s="61" t="s">
        <v>7</v>
      </c>
      <c r="C590" s="6"/>
      <c r="D590" s="95"/>
      <c r="E590" s="95"/>
    </row>
    <row r="591" spans="1:5" ht="20.25" hidden="1" customHeight="1">
      <c r="A591" s="19" t="s">
        <v>272</v>
      </c>
      <c r="B591" s="61" t="s">
        <v>7</v>
      </c>
      <c r="C591" s="6"/>
      <c r="D591" s="95"/>
      <c r="E591" s="95"/>
    </row>
    <row r="592" spans="1:5" ht="20.25" hidden="1" customHeight="1">
      <c r="A592" s="8" t="s">
        <v>273</v>
      </c>
      <c r="B592" s="61" t="s">
        <v>7</v>
      </c>
      <c r="C592" s="6"/>
      <c r="D592" s="95"/>
      <c r="E592" s="95"/>
    </row>
    <row r="593" spans="1:5" ht="20.25" hidden="1" customHeight="1">
      <c r="A593" s="8" t="s">
        <v>274</v>
      </c>
      <c r="B593" s="61" t="s">
        <v>7</v>
      </c>
      <c r="C593" s="6"/>
      <c r="D593" s="95"/>
      <c r="E593" s="95"/>
    </row>
    <row r="594" spans="1:5" ht="20.25" hidden="1" customHeight="1">
      <c r="A594" s="8" t="s">
        <v>275</v>
      </c>
      <c r="B594" s="61" t="s">
        <v>21</v>
      </c>
      <c r="C594" s="6"/>
      <c r="D594" s="95"/>
      <c r="E594" s="95"/>
    </row>
    <row r="595" spans="1:5" ht="20.25" hidden="1" customHeight="1">
      <c r="A595" s="8" t="s">
        <v>276</v>
      </c>
      <c r="B595" s="61" t="s">
        <v>54</v>
      </c>
      <c r="C595" s="6"/>
      <c r="D595" s="95"/>
      <c r="E595" s="95"/>
    </row>
    <row r="596" spans="1:5" ht="20.25" hidden="1" customHeight="1">
      <c r="A596" s="8" t="s">
        <v>277</v>
      </c>
      <c r="B596" s="61" t="s">
        <v>7</v>
      </c>
      <c r="C596" s="6"/>
      <c r="D596" s="95"/>
      <c r="E596" s="95"/>
    </row>
    <row r="597" spans="1:5" ht="20.25" hidden="1" customHeight="1">
      <c r="A597" s="8" t="s">
        <v>278</v>
      </c>
      <c r="B597" s="61" t="s">
        <v>7</v>
      </c>
      <c r="C597" s="6"/>
      <c r="D597" s="95"/>
      <c r="E597" s="95"/>
    </row>
    <row r="598" spans="1:5" ht="20.25" hidden="1" customHeight="1">
      <c r="A598" s="8" t="s">
        <v>279</v>
      </c>
      <c r="B598" s="61" t="s">
        <v>21</v>
      </c>
      <c r="C598" s="6"/>
      <c r="D598" s="95"/>
      <c r="E598" s="95"/>
    </row>
    <row r="599" spans="1:5" ht="20.25" hidden="1" customHeight="1">
      <c r="A599" s="8" t="s">
        <v>280</v>
      </c>
      <c r="B599" s="61" t="s">
        <v>7</v>
      </c>
      <c r="C599" s="14"/>
      <c r="D599" s="95"/>
      <c r="E599" s="95"/>
    </row>
    <row r="600" spans="1:5" ht="20.25" hidden="1" customHeight="1">
      <c r="A600" s="12" t="s">
        <v>281</v>
      </c>
      <c r="B600" s="61" t="s">
        <v>7</v>
      </c>
      <c r="C600" s="6"/>
      <c r="D600" s="95"/>
      <c r="E600" s="95"/>
    </row>
    <row r="601" spans="1:5" ht="20.25" hidden="1" customHeight="1">
      <c r="A601" s="8" t="s">
        <v>282</v>
      </c>
      <c r="B601" s="61" t="s">
        <v>7</v>
      </c>
      <c r="C601" s="6"/>
      <c r="D601" s="95"/>
      <c r="E601" s="95"/>
    </row>
    <row r="602" spans="1:5" ht="20.25" hidden="1" customHeight="1">
      <c r="A602" s="10" t="s">
        <v>373</v>
      </c>
      <c r="B602" s="61" t="s">
        <v>7</v>
      </c>
      <c r="C602" s="6"/>
      <c r="D602" s="95"/>
      <c r="E602" s="95"/>
    </row>
    <row r="603" spans="1:5" ht="20.25" hidden="1" customHeight="1">
      <c r="A603" s="10" t="s">
        <v>283</v>
      </c>
      <c r="B603" s="61" t="s">
        <v>7</v>
      </c>
      <c r="C603" s="6"/>
      <c r="D603" s="95"/>
      <c r="E603" s="95"/>
    </row>
    <row r="604" spans="1:5" ht="20.25" hidden="1" customHeight="1">
      <c r="A604" s="8" t="s">
        <v>284</v>
      </c>
      <c r="B604" s="61" t="s">
        <v>49</v>
      </c>
      <c r="C604" s="6"/>
      <c r="D604" s="95"/>
      <c r="E604" s="95"/>
    </row>
    <row r="605" spans="1:5" ht="20.25" hidden="1" customHeight="1">
      <c r="A605" s="8" t="s">
        <v>374</v>
      </c>
      <c r="B605" s="61" t="s">
        <v>49</v>
      </c>
      <c r="C605" s="6"/>
      <c r="D605" s="95"/>
      <c r="E605" s="95"/>
    </row>
    <row r="606" spans="1:5" ht="20.25" hidden="1" customHeight="1">
      <c r="A606" s="8" t="s">
        <v>285</v>
      </c>
      <c r="B606" s="61" t="s">
        <v>7</v>
      </c>
      <c r="C606" s="6"/>
      <c r="D606" s="95"/>
      <c r="E606" s="95"/>
    </row>
    <row r="607" spans="1:5" ht="20.25" hidden="1" customHeight="1">
      <c r="A607" s="8" t="s">
        <v>375</v>
      </c>
      <c r="B607" s="61"/>
      <c r="C607" s="6"/>
      <c r="D607" s="95"/>
      <c r="E607" s="95"/>
    </row>
    <row r="608" spans="1:5" ht="20.25" hidden="1" customHeight="1">
      <c r="A608" s="8" t="s">
        <v>287</v>
      </c>
      <c r="B608" s="61" t="s">
        <v>68</v>
      </c>
      <c r="C608" s="6"/>
      <c r="D608" s="95"/>
      <c r="E608" s="95"/>
    </row>
    <row r="609" spans="1:5" ht="20.25" hidden="1" customHeight="1">
      <c r="A609" s="8" t="s">
        <v>288</v>
      </c>
      <c r="B609" s="61" t="s">
        <v>7</v>
      </c>
      <c r="C609" s="6"/>
      <c r="D609" s="95"/>
      <c r="E609" s="95"/>
    </row>
    <row r="610" spans="1:5" ht="20.25" hidden="1" customHeight="1">
      <c r="A610" s="8" t="s">
        <v>289</v>
      </c>
      <c r="B610" s="61" t="s">
        <v>57</v>
      </c>
      <c r="C610" s="6"/>
      <c r="D610" s="95"/>
      <c r="E610" s="95"/>
    </row>
    <row r="611" spans="1:5" ht="20.25" hidden="1" customHeight="1">
      <c r="A611" s="30" t="s">
        <v>291</v>
      </c>
      <c r="B611" s="61" t="s">
        <v>49</v>
      </c>
      <c r="C611" s="6"/>
      <c r="D611" s="95"/>
      <c r="E611" s="95"/>
    </row>
    <row r="612" spans="1:5" ht="20.25" hidden="1" customHeight="1">
      <c r="A612" s="8" t="s">
        <v>292</v>
      </c>
      <c r="B612" s="61" t="s">
        <v>49</v>
      </c>
      <c r="C612" s="6"/>
      <c r="D612" s="95"/>
      <c r="E612" s="95"/>
    </row>
    <row r="613" spans="1:5" ht="20.25" hidden="1" customHeight="1">
      <c r="A613" s="30" t="s">
        <v>293</v>
      </c>
      <c r="B613" s="61" t="s">
        <v>49</v>
      </c>
      <c r="C613" s="6"/>
      <c r="D613" s="95"/>
      <c r="E613" s="95"/>
    </row>
    <row r="614" spans="1:5" ht="20.25" hidden="1" customHeight="1">
      <c r="A614" s="10" t="s">
        <v>376</v>
      </c>
      <c r="B614" s="61" t="s">
        <v>7</v>
      </c>
      <c r="C614" s="6"/>
      <c r="D614" s="95"/>
      <c r="E614" s="95"/>
    </row>
    <row r="615" spans="1:5" ht="20.25" hidden="1" customHeight="1">
      <c r="A615" s="30" t="s">
        <v>294</v>
      </c>
      <c r="B615" s="61" t="s">
        <v>49</v>
      </c>
      <c r="C615" s="6"/>
      <c r="D615" s="95"/>
      <c r="E615" s="95"/>
    </row>
    <row r="616" spans="1:5" ht="20.25" hidden="1" customHeight="1">
      <c r="A616" s="11" t="s">
        <v>295</v>
      </c>
      <c r="B616" s="61" t="s">
        <v>7</v>
      </c>
      <c r="C616" s="14"/>
      <c r="D616" s="95"/>
      <c r="E616" s="95"/>
    </row>
    <row r="617" spans="1:5" ht="20.25" hidden="1" customHeight="1">
      <c r="A617" s="15" t="s">
        <v>299</v>
      </c>
      <c r="B617" s="61" t="s">
        <v>68</v>
      </c>
      <c r="C617" s="6"/>
      <c r="D617" s="95"/>
      <c r="E617" s="95"/>
    </row>
    <row r="618" spans="1:5" ht="20.25" hidden="1" customHeight="1">
      <c r="A618" s="15" t="s">
        <v>300</v>
      </c>
      <c r="B618" s="61" t="s">
        <v>54</v>
      </c>
      <c r="C618" s="6"/>
      <c r="D618" s="95"/>
      <c r="E618" s="95"/>
    </row>
    <row r="619" spans="1:5" ht="20.25" hidden="1" customHeight="1">
      <c r="A619" s="15" t="s">
        <v>301</v>
      </c>
      <c r="B619" s="61" t="s">
        <v>54</v>
      </c>
      <c r="C619" s="6"/>
      <c r="D619" s="95"/>
      <c r="E619" s="95"/>
    </row>
    <row r="620" spans="1:5" ht="20.25" hidden="1" customHeight="1">
      <c r="A620" s="8" t="s">
        <v>302</v>
      </c>
      <c r="B620" s="61" t="s">
        <v>7</v>
      </c>
      <c r="C620" s="6"/>
      <c r="D620" s="95"/>
      <c r="E620" s="95"/>
    </row>
    <row r="621" spans="1:5" ht="20.25" hidden="1" customHeight="1">
      <c r="A621" s="15" t="s">
        <v>303</v>
      </c>
      <c r="B621" s="61" t="s">
        <v>49</v>
      </c>
      <c r="C621" s="6"/>
      <c r="D621" s="95"/>
      <c r="E621" s="95"/>
    </row>
    <row r="622" spans="1:5" ht="20.25" hidden="1" customHeight="1">
      <c r="A622" s="8" t="s">
        <v>304</v>
      </c>
      <c r="B622" s="61" t="s">
        <v>7</v>
      </c>
      <c r="C622" s="6"/>
      <c r="D622" s="95"/>
      <c r="E622" s="95"/>
    </row>
    <row r="623" spans="1:5" ht="20.25" hidden="1" customHeight="1">
      <c r="A623" s="8" t="s">
        <v>305</v>
      </c>
      <c r="B623" s="61" t="s">
        <v>7</v>
      </c>
      <c r="C623" s="6"/>
      <c r="D623" s="95"/>
      <c r="E623" s="95"/>
    </row>
    <row r="624" spans="1:5" ht="20.25" hidden="1" customHeight="1">
      <c r="A624" s="15" t="s">
        <v>306</v>
      </c>
      <c r="B624" s="61" t="s">
        <v>54</v>
      </c>
      <c r="C624" s="6"/>
      <c r="D624" s="95"/>
      <c r="E624" s="95"/>
    </row>
    <row r="625" spans="1:5" ht="20.25" hidden="1" customHeight="1">
      <c r="A625" s="23" t="s">
        <v>307</v>
      </c>
      <c r="B625" s="61" t="s">
        <v>7</v>
      </c>
      <c r="C625" s="6"/>
      <c r="D625" s="95"/>
      <c r="E625" s="95"/>
    </row>
    <row r="626" spans="1:5" ht="20.25" hidden="1" customHeight="1">
      <c r="A626" s="8" t="s">
        <v>308</v>
      </c>
      <c r="B626" s="61" t="s">
        <v>7</v>
      </c>
      <c r="C626" s="6"/>
      <c r="D626" s="95"/>
      <c r="E626" s="95"/>
    </row>
    <row r="627" spans="1:5" ht="20.25" hidden="1" customHeight="1">
      <c r="A627" s="12" t="s">
        <v>309</v>
      </c>
      <c r="B627" s="61" t="s">
        <v>9</v>
      </c>
      <c r="C627" s="6"/>
      <c r="D627" s="95"/>
      <c r="E627" s="95"/>
    </row>
    <row r="628" spans="1:5" ht="20.25" hidden="1" customHeight="1">
      <c r="A628" s="11" t="s">
        <v>311</v>
      </c>
      <c r="B628" s="61" t="s">
        <v>7</v>
      </c>
      <c r="C628" s="6"/>
      <c r="D628" s="95"/>
      <c r="E628" s="95"/>
    </row>
    <row r="629" spans="1:5" ht="20.25" hidden="1" customHeight="1">
      <c r="A629" s="15" t="s">
        <v>312</v>
      </c>
      <c r="B629" s="61" t="s">
        <v>49</v>
      </c>
      <c r="C629" s="6"/>
      <c r="D629" s="95"/>
      <c r="E629" s="95"/>
    </row>
    <row r="630" spans="1:5" ht="20.25" hidden="1" customHeight="1">
      <c r="A630" s="12" t="s">
        <v>313</v>
      </c>
      <c r="B630" s="61" t="s">
        <v>49</v>
      </c>
      <c r="C630" s="6"/>
      <c r="D630" s="95"/>
      <c r="E630" s="95"/>
    </row>
    <row r="631" spans="1:5" ht="20.25" hidden="1" customHeight="1">
      <c r="A631" s="8" t="s">
        <v>314</v>
      </c>
      <c r="B631" s="61" t="s">
        <v>7</v>
      </c>
      <c r="C631" s="6"/>
      <c r="D631" s="95"/>
      <c r="E631" s="95"/>
    </row>
    <row r="632" spans="1:5" ht="20.25" hidden="1" customHeight="1">
      <c r="A632" s="15" t="s">
        <v>315</v>
      </c>
      <c r="B632" s="61" t="s">
        <v>68</v>
      </c>
      <c r="C632" s="6"/>
      <c r="D632" s="95"/>
      <c r="E632" s="95"/>
    </row>
    <row r="633" spans="1:5" ht="20.25" hidden="1" customHeight="1">
      <c r="A633" s="11" t="s">
        <v>377</v>
      </c>
      <c r="B633" s="61" t="s">
        <v>7</v>
      </c>
      <c r="C633" s="6"/>
      <c r="D633" s="95"/>
      <c r="E633" s="95"/>
    </row>
    <row r="634" spans="1:5" ht="20.25" hidden="1" customHeight="1">
      <c r="A634" s="8" t="s">
        <v>378</v>
      </c>
      <c r="B634" s="61" t="s">
        <v>7</v>
      </c>
      <c r="C634" s="6"/>
      <c r="D634" s="95"/>
      <c r="E634" s="95"/>
    </row>
    <row r="635" spans="1:5" ht="20.25" hidden="1" customHeight="1">
      <c r="A635" s="10" t="s">
        <v>318</v>
      </c>
      <c r="B635" s="61" t="s">
        <v>7</v>
      </c>
      <c r="C635" s="6"/>
      <c r="D635" s="95"/>
      <c r="E635" s="95"/>
    </row>
    <row r="636" spans="1:5" ht="20.25" hidden="1" customHeight="1">
      <c r="A636" s="8" t="s">
        <v>379</v>
      </c>
      <c r="B636" s="61" t="s">
        <v>7</v>
      </c>
      <c r="C636" s="6"/>
      <c r="D636" s="95"/>
      <c r="E636" s="95"/>
    </row>
    <row r="637" spans="1:5" ht="20.25" hidden="1" customHeight="1">
      <c r="A637" s="11" t="s">
        <v>319</v>
      </c>
      <c r="B637" s="61" t="s">
        <v>7</v>
      </c>
      <c r="C637" s="6"/>
      <c r="D637" s="95"/>
      <c r="E637" s="95"/>
    </row>
    <row r="638" spans="1:5" ht="20.25" hidden="1" customHeight="1">
      <c r="A638" s="11" t="s">
        <v>320</v>
      </c>
      <c r="B638" s="61" t="s">
        <v>7</v>
      </c>
      <c r="C638" s="6"/>
      <c r="D638" s="95"/>
      <c r="E638" s="95"/>
    </row>
    <row r="639" spans="1:5" ht="20.25" hidden="1" customHeight="1">
      <c r="A639" s="8" t="s">
        <v>321</v>
      </c>
      <c r="B639" s="61" t="s">
        <v>7</v>
      </c>
      <c r="C639" s="6"/>
      <c r="D639" s="95"/>
      <c r="E639" s="95"/>
    </row>
    <row r="640" spans="1:5" ht="20.25" hidden="1" customHeight="1">
      <c r="A640" s="8" t="s">
        <v>322</v>
      </c>
      <c r="B640" s="61" t="s">
        <v>93</v>
      </c>
      <c r="C640" s="6"/>
      <c r="D640" s="95"/>
      <c r="E640" s="95"/>
    </row>
    <row r="641" spans="1:5" ht="20.25" hidden="1" customHeight="1">
      <c r="A641" s="8" t="s">
        <v>323</v>
      </c>
      <c r="B641" s="61" t="s">
        <v>49</v>
      </c>
      <c r="C641" s="6"/>
      <c r="D641" s="95"/>
      <c r="E641" s="95"/>
    </row>
    <row r="642" spans="1:5" ht="20.25" hidden="1" customHeight="1">
      <c r="A642" s="12" t="s">
        <v>324</v>
      </c>
      <c r="B642" s="61" t="s">
        <v>7</v>
      </c>
      <c r="C642" s="6"/>
      <c r="D642" s="95"/>
      <c r="E642" s="95"/>
    </row>
    <row r="643" spans="1:5" ht="20.25" hidden="1" customHeight="1">
      <c r="A643" s="12" t="s">
        <v>325</v>
      </c>
      <c r="B643" s="61" t="s">
        <v>7</v>
      </c>
      <c r="C643" s="6"/>
      <c r="D643" s="95"/>
      <c r="E643" s="95"/>
    </row>
    <row r="644" spans="1:5" ht="20.25" hidden="1" customHeight="1">
      <c r="A644" s="19" t="s">
        <v>326</v>
      </c>
      <c r="B644" s="61" t="s">
        <v>7</v>
      </c>
      <c r="C644" s="6"/>
      <c r="D644" s="95"/>
      <c r="E644" s="95"/>
    </row>
    <row r="645" spans="1:5" ht="20.25" hidden="1" customHeight="1">
      <c r="A645" s="12" t="s">
        <v>327</v>
      </c>
      <c r="B645" s="61" t="s">
        <v>49</v>
      </c>
      <c r="C645" s="6"/>
      <c r="D645" s="95"/>
      <c r="E645" s="95"/>
    </row>
    <row r="646" spans="1:5" ht="20.25" hidden="1" customHeight="1">
      <c r="A646" s="8" t="s">
        <v>328</v>
      </c>
      <c r="B646" s="61" t="s">
        <v>57</v>
      </c>
      <c r="C646" s="6"/>
      <c r="D646" s="95"/>
      <c r="E646" s="95"/>
    </row>
    <row r="647" spans="1:5" ht="20.25" hidden="1" customHeight="1">
      <c r="A647" s="8" t="s">
        <v>329</v>
      </c>
      <c r="B647" s="61" t="s">
        <v>57</v>
      </c>
      <c r="C647" s="6"/>
      <c r="D647" s="95"/>
      <c r="E647" s="95"/>
    </row>
    <row r="648" spans="1:5" ht="20.25" hidden="1" customHeight="1">
      <c r="A648" s="8" t="s">
        <v>330</v>
      </c>
      <c r="B648" s="61" t="s">
        <v>93</v>
      </c>
      <c r="C648" s="6"/>
      <c r="D648" s="95"/>
      <c r="E648" s="95"/>
    </row>
    <row r="649" spans="1:5" ht="20.25" hidden="1" customHeight="1">
      <c r="A649" s="8" t="s">
        <v>331</v>
      </c>
      <c r="B649" s="61" t="s">
        <v>7</v>
      </c>
      <c r="C649" s="6"/>
      <c r="D649" s="95"/>
      <c r="E649" s="95"/>
    </row>
    <row r="650" spans="1:5" ht="20.25" hidden="1" customHeight="1">
      <c r="A650" s="19" t="s">
        <v>332</v>
      </c>
      <c r="B650" s="61" t="s">
        <v>7</v>
      </c>
      <c r="C650" s="6"/>
      <c r="D650" s="95"/>
      <c r="E650" s="95"/>
    </row>
    <row r="651" spans="1:5" ht="20.25" hidden="1" customHeight="1">
      <c r="A651" s="8" t="s">
        <v>333</v>
      </c>
      <c r="B651" s="61" t="s">
        <v>57</v>
      </c>
      <c r="C651" s="6"/>
      <c r="D651" s="95"/>
      <c r="E651" s="95"/>
    </row>
    <row r="652" spans="1:5" ht="20.25" hidden="1" customHeight="1">
      <c r="A652" s="8" t="s">
        <v>334</v>
      </c>
      <c r="B652" s="61" t="s">
        <v>7</v>
      </c>
      <c r="C652" s="6"/>
      <c r="D652" s="95"/>
      <c r="E652" s="95"/>
    </row>
    <row r="653" spans="1:5" ht="20.25" hidden="1" customHeight="1">
      <c r="A653" s="11" t="s">
        <v>335</v>
      </c>
      <c r="B653" s="61" t="s">
        <v>7</v>
      </c>
      <c r="C653" s="6"/>
      <c r="D653" s="95"/>
      <c r="E653" s="95"/>
    </row>
    <row r="654" spans="1:5" ht="20.25" hidden="1" customHeight="1">
      <c r="A654" s="8" t="s">
        <v>336</v>
      </c>
      <c r="B654" s="61" t="s">
        <v>7</v>
      </c>
      <c r="C654" s="34"/>
      <c r="D654" s="95"/>
      <c r="E654" s="95"/>
    </row>
    <row r="655" spans="1:5" ht="20.25" hidden="1" customHeight="1">
      <c r="A655" s="8" t="s">
        <v>337</v>
      </c>
      <c r="B655" s="61" t="s">
        <v>57</v>
      </c>
      <c r="C655" s="6"/>
      <c r="D655" s="95"/>
      <c r="E655" s="95"/>
    </row>
    <row r="656" spans="1:5" ht="20.25" hidden="1" customHeight="1">
      <c r="A656" s="8" t="s">
        <v>338</v>
      </c>
      <c r="B656" s="61" t="s">
        <v>49</v>
      </c>
      <c r="C656" s="6"/>
      <c r="D656" s="95"/>
      <c r="E656" s="95"/>
    </row>
    <row r="657" spans="1:5" ht="20.25" hidden="1" customHeight="1">
      <c r="A657" s="19" t="s">
        <v>339</v>
      </c>
      <c r="B657" s="61" t="s">
        <v>7</v>
      </c>
      <c r="C657" s="6"/>
      <c r="D657" s="95"/>
      <c r="E657" s="95"/>
    </row>
    <row r="658" spans="1:5" ht="20.25" hidden="1" customHeight="1">
      <c r="A658" s="19" t="s">
        <v>340</v>
      </c>
      <c r="B658" s="61" t="s">
        <v>7</v>
      </c>
      <c r="C658" s="6"/>
      <c r="D658" s="95"/>
      <c r="E658" s="95"/>
    </row>
    <row r="659" spans="1:5" ht="20.25" hidden="1" customHeight="1">
      <c r="A659" s="8" t="s">
        <v>341</v>
      </c>
      <c r="B659" s="61" t="s">
        <v>7</v>
      </c>
      <c r="C659" s="6"/>
      <c r="D659" s="95"/>
      <c r="E659" s="95"/>
    </row>
    <row r="660" spans="1:5" ht="20.25" hidden="1" customHeight="1">
      <c r="A660" s="8" t="s">
        <v>342</v>
      </c>
      <c r="B660" s="61" t="s">
        <v>7</v>
      </c>
      <c r="C660" s="6"/>
      <c r="D660" s="95"/>
      <c r="E660" s="95"/>
    </row>
    <row r="661" spans="1:5" ht="20.25" hidden="1" customHeight="1">
      <c r="A661" s="19" t="s">
        <v>343</v>
      </c>
      <c r="B661" s="61" t="s">
        <v>7</v>
      </c>
      <c r="C661" s="6"/>
      <c r="D661" s="95"/>
      <c r="E661" s="95"/>
    </row>
    <row r="662" spans="1:5" ht="20.25" hidden="1" customHeight="1">
      <c r="A662" s="8" t="s">
        <v>344</v>
      </c>
      <c r="B662" s="61" t="s">
        <v>57</v>
      </c>
      <c r="C662" s="6"/>
      <c r="D662" s="95"/>
      <c r="E662" s="95"/>
    </row>
    <row r="663" spans="1:5" ht="20.25" hidden="1" customHeight="1">
      <c r="A663" s="8" t="s">
        <v>345</v>
      </c>
      <c r="B663" s="61" t="s">
        <v>57</v>
      </c>
      <c r="C663" s="6"/>
      <c r="D663" s="95"/>
      <c r="E663" s="95"/>
    </row>
    <row r="664" spans="1:5" ht="20.25" hidden="1" customHeight="1">
      <c r="A664" s="8" t="s">
        <v>346</v>
      </c>
      <c r="B664" s="61" t="s">
        <v>57</v>
      </c>
      <c r="C664" s="6"/>
      <c r="D664" s="95"/>
      <c r="E664" s="95"/>
    </row>
    <row r="665" spans="1:5" ht="20.25" hidden="1" customHeight="1">
      <c r="A665" s="8" t="s">
        <v>347</v>
      </c>
      <c r="B665" s="61" t="s">
        <v>57</v>
      </c>
      <c r="C665" s="6"/>
      <c r="D665" s="95"/>
      <c r="E665" s="95"/>
    </row>
    <row r="666" spans="1:5" ht="20.25" hidden="1" customHeight="1">
      <c r="A666" s="8" t="s">
        <v>348</v>
      </c>
      <c r="B666" s="61" t="s">
        <v>57</v>
      </c>
      <c r="C666" s="6"/>
      <c r="D666" s="95"/>
      <c r="E666" s="95"/>
    </row>
    <row r="667" spans="1:5" ht="20.25" hidden="1" customHeight="1">
      <c r="A667" s="8" t="s">
        <v>349</v>
      </c>
      <c r="B667" s="61" t="s">
        <v>93</v>
      </c>
      <c r="C667" s="6"/>
      <c r="D667" s="95"/>
      <c r="E667" s="95"/>
    </row>
    <row r="668" spans="1:5" ht="20.25" hidden="1" customHeight="1">
      <c r="A668" s="8" t="s">
        <v>350</v>
      </c>
      <c r="B668" s="61" t="s">
        <v>7</v>
      </c>
      <c r="C668" s="6"/>
      <c r="D668" s="95"/>
      <c r="E668" s="95"/>
    </row>
    <row r="669" spans="1:5" ht="20.25" hidden="1" customHeight="1">
      <c r="A669" s="8" t="s">
        <v>351</v>
      </c>
      <c r="B669" s="61" t="s">
        <v>7</v>
      </c>
      <c r="C669" s="6"/>
      <c r="D669" s="95"/>
      <c r="E669" s="95"/>
    </row>
    <row r="670" spans="1:5" ht="20.25" hidden="1" customHeight="1">
      <c r="A670" s="10" t="s">
        <v>353</v>
      </c>
      <c r="B670" s="61" t="s">
        <v>7</v>
      </c>
      <c r="C670" s="6"/>
      <c r="D670" s="95"/>
      <c r="E670" s="95"/>
    </row>
    <row r="671" spans="1:5" ht="20.25" customHeight="1">
      <c r="A671" s="79"/>
      <c r="B671" s="80">
        <v>0</v>
      </c>
      <c r="C671" s="80">
        <v>5885</v>
      </c>
      <c r="D671" s="98"/>
      <c r="E671" s="99">
        <f>SUBTOTAL(9,E347:E555)</f>
        <v>68352000</v>
      </c>
    </row>
    <row r="672" spans="1:5" hidden="1">
      <c r="E672" s="100">
        <f>+E671+E341</f>
        <v>145489300</v>
      </c>
    </row>
    <row r="673" spans="5:5">
      <c r="E673" s="101">
        <f>+E671+E341</f>
        <v>145489300</v>
      </c>
    </row>
  </sheetData>
  <protectedRanges>
    <protectedRange password="CF71" sqref="C1:C340 C672:C65536" name="tho"/>
    <protectedRange password="CF19" sqref="F342:AL65536 F1:AL1" name="tho2_2_1_1_1_1_1_2_1"/>
    <protectedRange password="CF19" sqref="F2:AL340" name="tho2_2_1_1_1_1_1_2_1_1"/>
    <protectedRange password="CF71" sqref="C342:C670" name="tho_4"/>
  </protectedRanges>
  <autoFilter ref="A2:IT673" xr:uid="{00000000-0009-0000-0000-000002000000}">
    <filterColumn colId="2">
      <customFilters>
        <customFilter operator="notEqual" val=""/>
      </customFilters>
    </filterColumn>
  </autoFilter>
  <mergeCells count="2">
    <mergeCell ref="A2:A3"/>
    <mergeCell ref="A342:A3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UZ673"/>
  <sheetViews>
    <sheetView workbookViewId="0">
      <pane xSplit="1" ySplit="15" topLeftCell="B342" activePane="bottomRight" state="frozen"/>
      <selection pane="topRight"/>
      <selection pane="bottomLeft"/>
      <selection pane="bottomRight" activeCell="E519" sqref="E519"/>
    </sheetView>
  </sheetViews>
  <sheetFormatPr defaultColWidth="0" defaultRowHeight="16.8"/>
  <cols>
    <col min="1" max="1" width="41.44140625" style="47" customWidth="1"/>
    <col min="2" max="2" width="6.44140625" style="48" customWidth="1"/>
    <col min="3" max="3" width="13" style="47" customWidth="1"/>
    <col min="4" max="4" width="22.88671875" style="49" customWidth="1"/>
    <col min="5" max="5" width="23.5546875" style="50" customWidth="1"/>
    <col min="6" max="6" width="8.88671875" style="47" customWidth="1"/>
    <col min="7" max="9" width="9.109375" style="47" customWidth="1"/>
    <col min="10" max="10" width="7" style="47" customWidth="1"/>
    <col min="11" max="11" width="8.88671875" style="47" customWidth="1"/>
    <col min="12" max="12" width="9.109375" style="47" customWidth="1"/>
    <col min="13" max="13" width="7" style="47" customWidth="1"/>
    <col min="14" max="14" width="8.88671875" style="47" customWidth="1"/>
    <col min="15" max="15" width="9.109375" style="47" customWidth="1"/>
    <col min="16" max="16" width="7" style="47" customWidth="1"/>
    <col min="17" max="17" width="8.88671875" style="47" customWidth="1"/>
    <col min="18" max="18" width="9.109375" style="47" customWidth="1"/>
    <col min="19" max="19" width="7" style="47" customWidth="1"/>
    <col min="20" max="20" width="8.88671875" style="47" customWidth="1"/>
    <col min="21" max="21" width="9.109375" style="47" customWidth="1"/>
    <col min="22" max="22" width="7" style="47" customWidth="1"/>
    <col min="23" max="23" width="9.109375" style="47" customWidth="1"/>
    <col min="24" max="24" width="8.44140625" style="47" customWidth="1"/>
    <col min="25" max="33" width="11.44140625" style="47" customWidth="1"/>
    <col min="34" max="36" width="7" style="47" customWidth="1"/>
    <col min="37" max="37" width="8.88671875" style="47" customWidth="1"/>
    <col min="38" max="38" width="41.44140625" style="47" customWidth="1"/>
    <col min="39" max="39" width="6.44140625" style="47" customWidth="1"/>
    <col min="40" max="40" width="14.5546875" style="47" customWidth="1"/>
    <col min="41" max="41" width="11.44140625" style="47" customWidth="1"/>
    <col min="42" max="42" width="13" style="47" customWidth="1"/>
    <col min="43" max="43" width="25.44140625" style="47" customWidth="1"/>
    <col min="44" max="44" width="9.44140625" style="47" customWidth="1"/>
    <col min="45" max="45" width="8.88671875" style="47" hidden="1" customWidth="1"/>
    <col min="46" max="46" width="0" style="47" hidden="1" customWidth="1"/>
    <col min="47" max="47" width="7" style="47" hidden="1" customWidth="1"/>
    <col min="48" max="48" width="8.88671875" style="47" hidden="1" customWidth="1"/>
    <col min="49" max="49" width="0" style="47" hidden="1" customWidth="1"/>
    <col min="50" max="50" width="7" style="47" hidden="1" customWidth="1"/>
    <col min="51" max="51" width="8.88671875" style="47" hidden="1" customWidth="1"/>
    <col min="52" max="52" width="0" style="47" hidden="1" customWidth="1"/>
    <col min="53" max="53" width="7" style="47" hidden="1" customWidth="1"/>
    <col min="54" max="54" width="8.88671875" style="47" customWidth="1"/>
    <col min="55" max="55" width="9.44140625" style="47" customWidth="1"/>
    <col min="56" max="56" width="10.109375" style="47" customWidth="1"/>
    <col min="57" max="64" width="11.44140625" style="47" hidden="1" customWidth="1"/>
    <col min="65" max="68" width="7" style="47" hidden="1" customWidth="1"/>
    <col min="69" max="69" width="13.88671875" style="47" customWidth="1"/>
    <col min="70" max="70" width="11.44140625" style="47" customWidth="1"/>
    <col min="71" max="71" width="56.88671875" style="47" customWidth="1"/>
    <col min="72" max="72" width="9.109375" style="47" customWidth="1"/>
    <col min="73" max="73" width="24.44140625" style="47" customWidth="1"/>
    <col min="74" max="74" width="22.88671875" style="47" customWidth="1"/>
    <col min="75" max="75" width="14.5546875" style="47" customWidth="1"/>
    <col min="76" max="76" width="5" style="47" customWidth="1"/>
    <col min="77" max="77" width="5" style="47" hidden="1" customWidth="1"/>
    <col min="78" max="78" width="0" style="47" hidden="1" customWidth="1"/>
    <col min="79" max="79" width="5" style="47" customWidth="1"/>
    <col min="80" max="80" width="0" style="47" hidden="1" customWidth="1"/>
    <col min="81" max="81" width="6.44140625" style="47" hidden="1" customWidth="1"/>
    <col min="82" max="82" width="5" style="47" customWidth="1"/>
    <col min="83" max="83" width="5" style="47" hidden="1" customWidth="1"/>
    <col min="84" max="84" width="6.44140625" style="47" hidden="1" customWidth="1"/>
    <col min="85" max="85" width="5" style="47" customWidth="1"/>
    <col min="86" max="86" width="5" style="47" hidden="1" customWidth="1"/>
    <col min="87" max="87" width="6.44140625" style="47" hidden="1" customWidth="1"/>
    <col min="88" max="88" width="5" style="47" customWidth="1"/>
    <col min="89" max="89" width="5" style="47" hidden="1" customWidth="1"/>
    <col min="90" max="90" width="6.44140625" style="47" hidden="1" customWidth="1"/>
    <col min="91" max="91" width="5" style="47" customWidth="1"/>
    <col min="92" max="92" width="5" style="47" hidden="1" customWidth="1"/>
    <col min="93" max="94" width="6.44140625" style="47" hidden="1" customWidth="1"/>
    <col min="95" max="95" width="5" style="47" hidden="1" customWidth="1"/>
    <col min="96" max="96" width="9.44140625" style="47" hidden="1" customWidth="1"/>
    <col min="97" max="97" width="0" style="47" hidden="1" customWidth="1"/>
    <col min="98" max="98" width="6.44140625" style="47" hidden="1" customWidth="1"/>
    <col min="99" max="99" width="7.109375" style="47" hidden="1" customWidth="1"/>
    <col min="100" max="101" width="6.44140625" style="47" hidden="1" customWidth="1"/>
    <col min="102" max="102" width="7.109375" style="47" hidden="1" customWidth="1"/>
    <col min="103" max="104" width="6.44140625" style="47" hidden="1" customWidth="1"/>
    <col min="105" max="105" width="7.109375" style="47" hidden="1" customWidth="1"/>
    <col min="106" max="107" width="6.44140625" style="47" hidden="1" customWidth="1"/>
    <col min="108" max="108" width="7.109375" style="47" hidden="1" customWidth="1"/>
    <col min="109" max="110" width="6.44140625" style="47" hidden="1" customWidth="1"/>
    <col min="111" max="111" width="7.109375" style="47" hidden="1" customWidth="1"/>
    <col min="112" max="113" width="6.44140625" style="47" hidden="1" customWidth="1"/>
    <col min="114" max="114" width="0" style="47" hidden="1" customWidth="1"/>
    <col min="115" max="116" width="6.44140625" style="47" hidden="1" customWidth="1"/>
    <col min="117" max="117" width="7.109375" style="47" hidden="1" customWidth="1"/>
    <col min="118" max="119" width="6.44140625" style="47" hidden="1" customWidth="1"/>
    <col min="120" max="120" width="7.109375" style="47" hidden="1" customWidth="1"/>
    <col min="121" max="121" width="6.44140625" style="47" hidden="1" customWidth="1"/>
    <col min="122" max="122" width="0" style="47" hidden="1" customWidth="1"/>
    <col min="123" max="124" width="6.44140625" style="47" hidden="1" customWidth="1"/>
    <col min="125" max="125" width="0" style="47" hidden="1" customWidth="1"/>
    <col min="126" max="126" width="9.44140625" style="47" hidden="1" customWidth="1"/>
    <col min="127" max="127" width="6.44140625" style="47" hidden="1" customWidth="1"/>
    <col min="128" max="128" width="0" style="47" hidden="1" customWidth="1"/>
    <col min="129" max="129" width="9.44140625" style="47" hidden="1" customWidth="1"/>
    <col min="130" max="130" width="6.44140625" style="47" hidden="1" customWidth="1"/>
    <col min="131" max="131" width="0" style="47" hidden="1" customWidth="1"/>
    <col min="132" max="132" width="9.44140625" style="47" hidden="1" customWidth="1"/>
    <col min="133" max="133" width="6.44140625" style="47" hidden="1" customWidth="1"/>
    <col min="134" max="134" width="7.44140625" style="47" hidden="1" customWidth="1"/>
    <col min="135" max="135" width="9.44140625" style="47" hidden="1" customWidth="1"/>
    <col min="136" max="136" width="6.44140625" style="47" hidden="1" customWidth="1"/>
    <col min="137" max="137" width="0" style="47" hidden="1" customWidth="1"/>
    <col min="138" max="138" width="9.44140625" style="47" hidden="1" customWidth="1"/>
    <col min="139" max="139" width="6.44140625" style="47" hidden="1" customWidth="1"/>
    <col min="140" max="140" width="0" style="47" hidden="1" customWidth="1"/>
    <col min="141" max="141" width="9.44140625" style="47" hidden="1" customWidth="1"/>
    <col min="142" max="142" width="0" style="47" hidden="1" customWidth="1"/>
    <col min="143" max="143" width="9" style="47" hidden="1" customWidth="1"/>
    <col min="144" max="144" width="0" style="47" hidden="1" customWidth="1"/>
    <col min="145" max="145" width="11" style="47" hidden="1" customWidth="1"/>
    <col min="146" max="146" width="6.44140625" style="47" hidden="1" customWidth="1"/>
    <col min="147" max="147" width="0" style="47" hidden="1" customWidth="1"/>
    <col min="148" max="149" width="6.44140625" style="47" hidden="1" customWidth="1"/>
    <col min="150" max="150" width="0" style="47" hidden="1" customWidth="1"/>
    <col min="151" max="151" width="7" style="47" hidden="1" customWidth="1"/>
    <col min="152" max="152" width="8.88671875" style="47" hidden="1" customWidth="1"/>
    <col min="153" max="153" width="0" style="47" hidden="1" customWidth="1"/>
    <col min="154" max="154" width="9.44140625" style="47" customWidth="1"/>
    <col min="155" max="155" width="8.88671875" style="47" hidden="1" customWidth="1"/>
    <col min="156" max="156" width="5" style="47" customWidth="1"/>
    <col min="157" max="158" width="0" style="47" hidden="1" customWidth="1"/>
    <col min="159" max="159" width="7" style="47" hidden="1" customWidth="1"/>
    <col min="160" max="160" width="8.88671875" style="47" hidden="1" customWidth="1"/>
    <col min="161" max="161" width="0" style="47" hidden="1" customWidth="1"/>
    <col min="162" max="162" width="7" style="47" hidden="1" customWidth="1"/>
    <col min="163" max="163" width="8.88671875" style="47" hidden="1" customWidth="1"/>
    <col min="164" max="164" width="0" style="47" hidden="1" customWidth="1"/>
    <col min="165" max="165" width="7" style="47" hidden="1" customWidth="1"/>
    <col min="166" max="166" width="8.88671875" style="47" hidden="1" customWidth="1"/>
    <col min="167" max="167" width="0" style="47" hidden="1" customWidth="1"/>
    <col min="168" max="168" width="7" style="47" hidden="1" customWidth="1"/>
    <col min="169" max="169" width="8.88671875" style="47" hidden="1" customWidth="1"/>
    <col min="170" max="170" width="0" style="47" hidden="1" customWidth="1"/>
    <col min="171" max="171" width="7" style="47" hidden="1" customWidth="1"/>
    <col min="172" max="172" width="0" style="47" hidden="1" customWidth="1"/>
    <col min="173" max="173" width="6.44140625" style="47" customWidth="1"/>
    <col min="174" max="182" width="11.44140625" style="47" hidden="1" customWidth="1"/>
    <col min="183" max="183" width="7" style="47" hidden="1" customWidth="1"/>
    <col min="184" max="184" width="0" style="47" hidden="1" customWidth="1"/>
    <col min="185" max="185" width="7" style="47" hidden="1" customWidth="1"/>
    <col min="186" max="186" width="8.88671875" style="47" hidden="1" customWidth="1"/>
    <col min="187" max="189" width="0" style="47" hidden="1" customWidth="1"/>
    <col min="190" max="190" width="7.109375" style="47" customWidth="1"/>
    <col min="191" max="191" width="8.88671875" style="47" hidden="1" customWidth="1"/>
    <col min="192" max="192" width="0" style="47" hidden="1" customWidth="1"/>
    <col min="193" max="193" width="7" style="47" hidden="1" customWidth="1"/>
    <col min="194" max="194" width="8.88671875" style="47" hidden="1" customWidth="1"/>
    <col min="195" max="195" width="0" style="47" hidden="1" customWidth="1"/>
    <col min="196" max="196" width="7" style="47" hidden="1" customWidth="1"/>
    <col min="197" max="197" width="8.88671875" style="47" hidden="1" customWidth="1"/>
    <col min="198" max="198" width="6.44140625" style="47" customWidth="1"/>
    <col min="199" max="199" width="7" style="47" hidden="1" customWidth="1"/>
    <col min="200" max="200" width="8.88671875" style="47" hidden="1" customWidth="1"/>
    <col min="201" max="201" width="6.88671875" style="47" customWidth="1"/>
    <col min="202" max="202" width="7" style="47" hidden="1" customWidth="1"/>
    <col min="203" max="203" width="0" style="47" hidden="1" customWidth="1"/>
    <col min="204" max="204" width="6.88671875" style="47" customWidth="1"/>
    <col min="205" max="206" width="11.44140625" style="47" hidden="1" customWidth="1"/>
    <col min="207" max="207" width="6.44140625" style="47" customWidth="1"/>
    <col min="208" max="212" width="11.44140625" style="47" hidden="1" customWidth="1"/>
    <col min="213" max="213" width="6.44140625" style="47" customWidth="1"/>
    <col min="214" max="215" width="7" style="47" hidden="1" customWidth="1"/>
    <col min="216" max="216" width="7.44140625" style="47" customWidth="1"/>
    <col min="217" max="217" width="8.88671875" style="47" hidden="1" customWidth="1"/>
    <col min="218" max="218" width="9.44140625" style="47" customWidth="1"/>
    <col min="219" max="219" width="0" style="47" hidden="1" customWidth="1"/>
    <col min="220" max="220" width="9" style="47" customWidth="1"/>
    <col min="221" max="221" width="7" style="47" hidden="1" customWidth="1"/>
    <col min="222" max="222" width="8.88671875" style="47" hidden="1" customWidth="1"/>
    <col min="223" max="223" width="8.44140625" style="47" customWidth="1"/>
    <col min="224" max="224" width="7" style="47" hidden="1" customWidth="1"/>
    <col min="225" max="225" width="8.88671875" style="47" hidden="1" customWidth="1"/>
    <col min="226" max="226" width="6.44140625" style="47" customWidth="1"/>
    <col min="227" max="227" width="7" style="47" hidden="1" customWidth="1"/>
    <col min="228" max="228" width="8.88671875" style="47" hidden="1" customWidth="1"/>
    <col min="229" max="229" width="7" style="47" customWidth="1"/>
    <col min="230" max="230" width="7" style="47" hidden="1" customWidth="1"/>
    <col min="231" max="231" width="8.88671875" style="47" hidden="1" customWidth="1"/>
    <col min="232" max="234" width="7" style="47" customWidth="1"/>
    <col min="235" max="235" width="8.44140625" style="47" hidden="1" customWidth="1"/>
    <col min="236" max="236" width="11.44140625" style="47" hidden="1" customWidth="1"/>
    <col min="237" max="237" width="7.44140625" style="47" customWidth="1"/>
    <col min="238" max="239" width="11.44140625" style="47" hidden="1" customWidth="1"/>
    <col min="240" max="240" width="7" style="47" customWidth="1"/>
    <col min="241" max="242" width="11.44140625" style="47" hidden="1" customWidth="1"/>
    <col min="243" max="243" width="7" style="47" customWidth="1"/>
    <col min="244" max="244" width="11.44140625" style="47" hidden="1" customWidth="1"/>
    <col min="245" max="245" width="7" style="47" hidden="1" customWidth="1"/>
    <col min="246" max="246" width="7" style="47" customWidth="1"/>
    <col min="247" max="247" width="7" style="47" hidden="1" customWidth="1"/>
    <col min="248" max="248" width="6.44140625" style="47" customWidth="1"/>
    <col min="249" max="250" width="11.44140625" style="47" hidden="1" customWidth="1"/>
    <col min="251" max="254" width="7" style="47" hidden="1" customWidth="1"/>
    <col min="255" max="258" width="11.44140625" style="47" hidden="1" customWidth="1"/>
    <col min="259" max="293" width="11.44140625" style="47" hidden="1"/>
    <col min="294" max="294" width="41.44140625" style="47" customWidth="1"/>
    <col min="295" max="295" width="6.44140625" style="47" customWidth="1"/>
    <col min="296" max="296" width="14.5546875" style="47" customWidth="1"/>
    <col min="297" max="297" width="11.44140625" style="47" customWidth="1"/>
    <col min="298" max="298" width="13" style="47" customWidth="1"/>
    <col min="299" max="299" width="25.44140625" style="47" customWidth="1"/>
    <col min="300" max="300" width="9.44140625" style="47" customWidth="1"/>
    <col min="301" max="309" width="11.44140625" style="47" hidden="1" customWidth="1"/>
    <col min="310" max="310" width="8.88671875" style="47" customWidth="1"/>
    <col min="311" max="311" width="9.44140625" style="47" customWidth="1"/>
    <col min="312" max="312" width="10.109375" style="47" customWidth="1"/>
    <col min="313" max="324" width="11.44140625" style="47" hidden="1" customWidth="1"/>
    <col min="325" max="325" width="13.88671875" style="47" customWidth="1"/>
    <col min="326" max="326" width="11.44140625" style="47" customWidth="1"/>
    <col min="327" max="327" width="56.88671875" style="47" customWidth="1"/>
    <col min="328" max="328" width="9.109375" style="47" customWidth="1"/>
    <col min="329" max="329" width="24.44140625" style="47" customWidth="1"/>
    <col min="330" max="330" width="22.88671875" style="47" customWidth="1"/>
    <col min="331" max="331" width="14.5546875" style="47" customWidth="1"/>
    <col min="332" max="332" width="5" style="47" customWidth="1"/>
    <col min="333" max="334" width="11.44140625" style="47" hidden="1" customWidth="1"/>
    <col min="335" max="335" width="5" style="47" customWidth="1"/>
    <col min="336" max="337" width="11.44140625" style="47" hidden="1" customWidth="1"/>
    <col min="338" max="338" width="5" style="47" customWidth="1"/>
    <col min="339" max="340" width="11.44140625" style="47" hidden="1" customWidth="1"/>
    <col min="341" max="341" width="5" style="47" customWidth="1"/>
    <col min="342" max="343" width="11.44140625" style="47" hidden="1" customWidth="1"/>
    <col min="344" max="344" width="5" style="47" customWidth="1"/>
    <col min="345" max="346" width="11.44140625" style="47" hidden="1" customWidth="1"/>
    <col min="347" max="347" width="5" style="47" customWidth="1"/>
    <col min="348" max="409" width="11.44140625" style="47" hidden="1" customWidth="1"/>
    <col min="410" max="410" width="9.44140625" style="47" customWidth="1"/>
    <col min="411" max="411" width="11.44140625" style="47" hidden="1" customWidth="1"/>
    <col min="412" max="412" width="5" style="47" customWidth="1"/>
    <col min="413" max="428" width="11.44140625" style="47" hidden="1" customWidth="1"/>
    <col min="429" max="429" width="6.44140625" style="47" customWidth="1"/>
    <col min="430" max="445" width="11.44140625" style="47" hidden="1" customWidth="1"/>
    <col min="446" max="446" width="7.109375" style="47" customWidth="1"/>
    <col min="447" max="453" width="11.44140625" style="47" hidden="1" customWidth="1"/>
    <col min="454" max="454" width="6.44140625" style="47" customWidth="1"/>
    <col min="455" max="456" width="11.44140625" style="47" hidden="1" customWidth="1"/>
    <col min="457" max="457" width="6.88671875" style="47" customWidth="1"/>
    <col min="458" max="459" width="11.44140625" style="47" hidden="1" customWidth="1"/>
    <col min="460" max="460" width="6.88671875" style="47" customWidth="1"/>
    <col min="461" max="462" width="11.44140625" style="47" hidden="1" customWidth="1"/>
    <col min="463" max="463" width="6.44140625" style="47" customWidth="1"/>
    <col min="464" max="468" width="11.44140625" style="47" hidden="1" customWidth="1"/>
    <col min="469" max="469" width="6.44140625" style="47" customWidth="1"/>
    <col min="470" max="471" width="11.44140625" style="47" hidden="1" customWidth="1"/>
    <col min="472" max="472" width="7.44140625" style="47" customWidth="1"/>
    <col min="473" max="473" width="11.44140625" style="47" hidden="1" customWidth="1"/>
    <col min="474" max="474" width="9.44140625" style="47" customWidth="1"/>
    <col min="475" max="475" width="11.44140625" style="47" hidden="1" customWidth="1"/>
    <col min="476" max="476" width="9" style="47" customWidth="1"/>
    <col min="477" max="478" width="11.44140625" style="47" hidden="1" customWidth="1"/>
    <col min="479" max="479" width="8.44140625" style="47" customWidth="1"/>
    <col min="480" max="481" width="11.44140625" style="47" hidden="1" customWidth="1"/>
    <col min="482" max="482" width="6.44140625" style="47" customWidth="1"/>
    <col min="483" max="484" width="11.44140625" style="47" hidden="1" customWidth="1"/>
    <col min="485" max="485" width="7" style="47" customWidth="1"/>
    <col min="486" max="487" width="11.44140625" style="47" hidden="1" customWidth="1"/>
    <col min="488" max="490" width="7" style="47" customWidth="1"/>
    <col min="491" max="492" width="11.44140625" style="47" hidden="1" customWidth="1"/>
    <col min="493" max="493" width="7.44140625" style="47" customWidth="1"/>
    <col min="494" max="495" width="11.44140625" style="47" hidden="1" customWidth="1"/>
    <col min="496" max="496" width="7" style="47" customWidth="1"/>
    <col min="497" max="498" width="11.44140625" style="47" hidden="1" customWidth="1"/>
    <col min="499" max="499" width="7" style="47" customWidth="1"/>
    <col min="500" max="501" width="11.44140625" style="47" hidden="1" customWidth="1"/>
    <col min="502" max="502" width="7" style="47" customWidth="1"/>
    <col min="503" max="503" width="11.44140625" style="47" hidden="1" customWidth="1"/>
    <col min="504" max="504" width="6.44140625" style="47" customWidth="1"/>
    <col min="505" max="514" width="11.44140625" style="47" hidden="1" customWidth="1"/>
    <col min="515" max="549" width="11.44140625" style="47" hidden="1"/>
    <col min="550" max="550" width="41.44140625" style="47" customWidth="1"/>
    <col min="551" max="551" width="6.44140625" style="47" customWidth="1"/>
    <col min="552" max="552" width="14.5546875" style="47" customWidth="1"/>
    <col min="553" max="553" width="11.44140625" style="47" customWidth="1"/>
    <col min="554" max="554" width="13" style="47" customWidth="1"/>
    <col min="555" max="555" width="25.44140625" style="47" customWidth="1"/>
    <col min="556" max="556" width="9.44140625" style="47" customWidth="1"/>
    <col min="557" max="565" width="11.44140625" style="47" hidden="1" customWidth="1"/>
    <col min="566" max="566" width="8.88671875" style="47" customWidth="1"/>
    <col min="567" max="567" width="9.44140625" style="47" customWidth="1"/>
    <col min="568" max="568" width="10.109375" style="47" customWidth="1"/>
    <col min="569" max="580" width="11.44140625" style="47" hidden="1" customWidth="1"/>
    <col min="581" max="581" width="13.88671875" style="47" customWidth="1"/>
    <col min="582" max="582" width="11.44140625" style="47" customWidth="1"/>
    <col min="583" max="583" width="56.88671875" style="47" customWidth="1"/>
    <col min="584" max="584" width="9.109375" style="47" customWidth="1"/>
    <col min="585" max="585" width="24.44140625" style="47" customWidth="1"/>
    <col min="586" max="586" width="22.88671875" style="47" customWidth="1"/>
    <col min="587" max="587" width="14.5546875" style="47" customWidth="1"/>
    <col min="588" max="588" width="5" style="47" customWidth="1"/>
    <col min="589" max="590" width="11.44140625" style="47" hidden="1" customWidth="1"/>
    <col min="591" max="591" width="5" style="47" customWidth="1"/>
    <col min="592" max="593" width="11.44140625" style="47" hidden="1" customWidth="1"/>
    <col min="594" max="594" width="5" style="47" customWidth="1"/>
    <col min="595" max="596" width="11.44140625" style="47" hidden="1" customWidth="1"/>
    <col min="597" max="597" width="5" style="47" customWidth="1"/>
    <col min="598" max="599" width="11.44140625" style="47" hidden="1" customWidth="1"/>
    <col min="600" max="600" width="5" style="47" customWidth="1"/>
    <col min="601" max="602" width="11.44140625" style="47" hidden="1" customWidth="1"/>
    <col min="603" max="603" width="5" style="47" customWidth="1"/>
    <col min="604" max="665" width="11.44140625" style="47" hidden="1" customWidth="1"/>
    <col min="666" max="666" width="9.44140625" style="47" customWidth="1"/>
    <col min="667" max="667" width="11.44140625" style="47" hidden="1" customWidth="1"/>
    <col min="668" max="668" width="5" style="47" customWidth="1"/>
    <col min="669" max="684" width="11.44140625" style="47" hidden="1" customWidth="1"/>
    <col min="685" max="685" width="6.44140625" style="47" customWidth="1"/>
    <col min="686" max="701" width="11.44140625" style="47" hidden="1" customWidth="1"/>
    <col min="702" max="702" width="7.109375" style="47" customWidth="1"/>
    <col min="703" max="709" width="11.44140625" style="47" hidden="1" customWidth="1"/>
    <col min="710" max="710" width="6.44140625" style="47" customWidth="1"/>
    <col min="711" max="712" width="11.44140625" style="47" hidden="1" customWidth="1"/>
    <col min="713" max="713" width="6.88671875" style="47" customWidth="1"/>
    <col min="714" max="715" width="11.44140625" style="47" hidden="1" customWidth="1"/>
    <col min="716" max="716" width="6.88671875" style="47" customWidth="1"/>
    <col min="717" max="718" width="11.44140625" style="47" hidden="1" customWidth="1"/>
    <col min="719" max="719" width="6.44140625" style="47" customWidth="1"/>
    <col min="720" max="724" width="11.44140625" style="47" hidden="1" customWidth="1"/>
    <col min="725" max="725" width="6.44140625" style="47" customWidth="1"/>
    <col min="726" max="727" width="11.44140625" style="47" hidden="1" customWidth="1"/>
    <col min="728" max="728" width="7.44140625" style="47" customWidth="1"/>
    <col min="729" max="729" width="11.44140625" style="47" hidden="1" customWidth="1"/>
    <col min="730" max="730" width="9.44140625" style="47" customWidth="1"/>
    <col min="731" max="731" width="11.44140625" style="47" hidden="1" customWidth="1"/>
    <col min="732" max="732" width="9" style="47" customWidth="1"/>
    <col min="733" max="734" width="11.44140625" style="47" hidden="1" customWidth="1"/>
    <col min="735" max="735" width="8.44140625" style="47" customWidth="1"/>
    <col min="736" max="737" width="11.44140625" style="47" hidden="1" customWidth="1"/>
    <col min="738" max="738" width="6.44140625" style="47" customWidth="1"/>
    <col min="739" max="740" width="11.44140625" style="47" hidden="1" customWidth="1"/>
    <col min="741" max="741" width="7" style="47" customWidth="1"/>
    <col min="742" max="743" width="11.44140625" style="47" hidden="1" customWidth="1"/>
    <col min="744" max="746" width="7" style="47" customWidth="1"/>
    <col min="747" max="748" width="11.44140625" style="47" hidden="1" customWidth="1"/>
    <col min="749" max="749" width="7.44140625" style="47" customWidth="1"/>
    <col min="750" max="751" width="11.44140625" style="47" hidden="1" customWidth="1"/>
    <col min="752" max="752" width="7" style="47" customWidth="1"/>
    <col min="753" max="754" width="11.44140625" style="47" hidden="1" customWidth="1"/>
    <col min="755" max="755" width="7" style="47" customWidth="1"/>
    <col min="756" max="757" width="11.44140625" style="47" hidden="1" customWidth="1"/>
    <col min="758" max="758" width="7" style="47" customWidth="1"/>
    <col min="759" max="759" width="11.44140625" style="47" hidden="1" customWidth="1"/>
    <col min="760" max="760" width="6.44140625" style="47" customWidth="1"/>
    <col min="761" max="770" width="11.44140625" style="47" hidden="1" customWidth="1"/>
    <col min="771" max="805" width="11.44140625" style="47" hidden="1"/>
    <col min="806" max="806" width="41.44140625" style="47" customWidth="1"/>
    <col min="807" max="807" width="6.44140625" style="47" customWidth="1"/>
    <col min="808" max="808" width="14.5546875" style="47" customWidth="1"/>
    <col min="809" max="809" width="11.44140625" style="47" customWidth="1"/>
    <col min="810" max="810" width="13" style="47" customWidth="1"/>
    <col min="811" max="811" width="25.44140625" style="47" customWidth="1"/>
    <col min="812" max="812" width="9.44140625" style="47" customWidth="1"/>
    <col min="813" max="821" width="11.44140625" style="47" hidden="1" customWidth="1"/>
    <col min="822" max="822" width="8.88671875" style="47" customWidth="1"/>
    <col min="823" max="823" width="9.44140625" style="47" customWidth="1"/>
    <col min="824" max="824" width="10.109375" style="47" customWidth="1"/>
    <col min="825" max="836" width="11.44140625" style="47" hidden="1" customWidth="1"/>
    <col min="837" max="837" width="13.88671875" style="47" customWidth="1"/>
    <col min="838" max="838" width="11.44140625" style="47" customWidth="1"/>
    <col min="839" max="839" width="56.88671875" style="47" customWidth="1"/>
    <col min="840" max="840" width="9.109375" style="47" customWidth="1"/>
    <col min="841" max="841" width="24.44140625" style="47" customWidth="1"/>
    <col min="842" max="842" width="22.88671875" style="47" customWidth="1"/>
    <col min="843" max="843" width="14.5546875" style="47" customWidth="1"/>
    <col min="844" max="844" width="5" style="47" customWidth="1"/>
    <col min="845" max="846" width="11.44140625" style="47" hidden="1" customWidth="1"/>
    <col min="847" max="847" width="5" style="47" customWidth="1"/>
    <col min="848" max="849" width="11.44140625" style="47" hidden="1" customWidth="1"/>
    <col min="850" max="850" width="5" style="47" customWidth="1"/>
    <col min="851" max="852" width="11.44140625" style="47" hidden="1" customWidth="1"/>
    <col min="853" max="853" width="5" style="47" customWidth="1"/>
    <col min="854" max="855" width="11.44140625" style="47" hidden="1" customWidth="1"/>
    <col min="856" max="856" width="5" style="47" customWidth="1"/>
    <col min="857" max="858" width="11.44140625" style="47" hidden="1" customWidth="1"/>
    <col min="859" max="859" width="5" style="47" customWidth="1"/>
    <col min="860" max="921" width="11.44140625" style="47" hidden="1" customWidth="1"/>
    <col min="922" max="922" width="9.44140625" style="47" customWidth="1"/>
    <col min="923" max="923" width="11.44140625" style="47" hidden="1" customWidth="1"/>
    <col min="924" max="924" width="5" style="47" customWidth="1"/>
    <col min="925" max="940" width="11.44140625" style="47" hidden="1" customWidth="1"/>
    <col min="941" max="941" width="6.44140625" style="47" customWidth="1"/>
    <col min="942" max="957" width="11.44140625" style="47" hidden="1" customWidth="1"/>
    <col min="958" max="958" width="7.109375" style="47" customWidth="1"/>
    <col min="959" max="965" width="11.44140625" style="47" hidden="1" customWidth="1"/>
    <col min="966" max="966" width="6.44140625" style="47" customWidth="1"/>
    <col min="967" max="968" width="11.44140625" style="47" hidden="1" customWidth="1"/>
    <col min="969" max="969" width="6.88671875" style="47" customWidth="1"/>
    <col min="970" max="971" width="11.44140625" style="47" hidden="1" customWidth="1"/>
    <col min="972" max="972" width="6.88671875" style="47" customWidth="1"/>
    <col min="973" max="974" width="11.44140625" style="47" hidden="1" customWidth="1"/>
    <col min="975" max="975" width="6.44140625" style="47" customWidth="1"/>
    <col min="976" max="980" width="11.44140625" style="47" hidden="1" customWidth="1"/>
    <col min="981" max="981" width="6.44140625" style="47" customWidth="1"/>
    <col min="982" max="983" width="11.44140625" style="47" hidden="1" customWidth="1"/>
    <col min="984" max="984" width="7.44140625" style="47" customWidth="1"/>
    <col min="985" max="985" width="11.44140625" style="47" hidden="1" customWidth="1"/>
    <col min="986" max="986" width="9.44140625" style="47" customWidth="1"/>
    <col min="987" max="987" width="11.44140625" style="47" hidden="1" customWidth="1"/>
    <col min="988" max="988" width="9" style="47" customWidth="1"/>
    <col min="989" max="990" width="11.44140625" style="47" hidden="1" customWidth="1"/>
    <col min="991" max="991" width="8.44140625" style="47" customWidth="1"/>
    <col min="992" max="993" width="11.44140625" style="47" hidden="1" customWidth="1"/>
    <col min="994" max="994" width="6.44140625" style="47" customWidth="1"/>
    <col min="995" max="996" width="11.44140625" style="47" hidden="1" customWidth="1"/>
    <col min="997" max="997" width="7" style="47" customWidth="1"/>
    <col min="998" max="999" width="11.44140625" style="47" hidden="1" customWidth="1"/>
    <col min="1000" max="1002" width="7" style="47" customWidth="1"/>
    <col min="1003" max="1004" width="11.44140625" style="47" hidden="1" customWidth="1"/>
    <col min="1005" max="1005" width="7.44140625" style="47" customWidth="1"/>
    <col min="1006" max="1007" width="11.44140625" style="47" hidden="1" customWidth="1"/>
    <col min="1008" max="1008" width="7" style="47" customWidth="1"/>
    <col min="1009" max="1010" width="11.44140625" style="47" hidden="1" customWidth="1"/>
    <col min="1011" max="1011" width="7" style="47" customWidth="1"/>
    <col min="1012" max="1013" width="11.44140625" style="47" hidden="1" customWidth="1"/>
    <col min="1014" max="1014" width="7" style="47" customWidth="1"/>
    <col min="1015" max="1015" width="11.44140625" style="47" hidden="1" customWidth="1"/>
    <col min="1016" max="1016" width="6.44140625" style="47" customWidth="1"/>
    <col min="1017" max="1026" width="11.44140625" style="47" hidden="1" customWidth="1"/>
    <col min="1027" max="1061" width="11.44140625" style="47" hidden="1"/>
    <col min="1062" max="1062" width="41.44140625" style="47" customWidth="1"/>
    <col min="1063" max="1063" width="6.44140625" style="47" customWidth="1"/>
    <col min="1064" max="1064" width="14.5546875" style="47" customWidth="1"/>
    <col min="1065" max="1065" width="11.44140625" style="47" customWidth="1"/>
    <col min="1066" max="1066" width="13" style="47" customWidth="1"/>
    <col min="1067" max="1067" width="25.44140625" style="47" customWidth="1"/>
    <col min="1068" max="1068" width="9.44140625" style="47" customWidth="1"/>
    <col min="1069" max="1077" width="11.44140625" style="47" hidden="1" customWidth="1"/>
    <col min="1078" max="1078" width="8.88671875" style="47" customWidth="1"/>
    <col min="1079" max="1079" width="9.44140625" style="47" customWidth="1"/>
    <col min="1080" max="1080" width="10.109375" style="47" customWidth="1"/>
    <col min="1081" max="1092" width="11.44140625" style="47" hidden="1" customWidth="1"/>
    <col min="1093" max="1093" width="13.88671875" style="47" customWidth="1"/>
    <col min="1094" max="1094" width="11.44140625" style="47" customWidth="1"/>
    <col min="1095" max="1095" width="56.88671875" style="47" customWidth="1"/>
    <col min="1096" max="1096" width="9.109375" style="47" customWidth="1"/>
    <col min="1097" max="1097" width="24.44140625" style="47" customWidth="1"/>
    <col min="1098" max="1098" width="22.88671875" style="47" customWidth="1"/>
    <col min="1099" max="1099" width="14.5546875" style="47" customWidth="1"/>
    <col min="1100" max="1100" width="5" style="47" customWidth="1"/>
    <col min="1101" max="1102" width="11.44140625" style="47" hidden="1" customWidth="1"/>
    <col min="1103" max="1103" width="5" style="47" customWidth="1"/>
    <col min="1104" max="1105" width="11.44140625" style="47" hidden="1" customWidth="1"/>
    <col min="1106" max="1106" width="5" style="47" customWidth="1"/>
    <col min="1107" max="1108" width="11.44140625" style="47" hidden="1" customWidth="1"/>
    <col min="1109" max="1109" width="5" style="47" customWidth="1"/>
    <col min="1110" max="1111" width="11.44140625" style="47" hidden="1" customWidth="1"/>
    <col min="1112" max="1112" width="5" style="47" customWidth="1"/>
    <col min="1113" max="1114" width="11.44140625" style="47" hidden="1" customWidth="1"/>
    <col min="1115" max="1115" width="5" style="47" customWidth="1"/>
    <col min="1116" max="1177" width="11.44140625" style="47" hidden="1" customWidth="1"/>
    <col min="1178" max="1178" width="9.44140625" style="47" customWidth="1"/>
    <col min="1179" max="1179" width="11.44140625" style="47" hidden="1" customWidth="1"/>
    <col min="1180" max="1180" width="5" style="47" customWidth="1"/>
    <col min="1181" max="1196" width="11.44140625" style="47" hidden="1" customWidth="1"/>
    <col min="1197" max="1197" width="6.44140625" style="47" customWidth="1"/>
    <col min="1198" max="1213" width="11.44140625" style="47" hidden="1" customWidth="1"/>
    <col min="1214" max="1214" width="7.109375" style="47" customWidth="1"/>
    <col min="1215" max="1221" width="11.44140625" style="47" hidden="1" customWidth="1"/>
    <col min="1222" max="1222" width="6.44140625" style="47" customWidth="1"/>
    <col min="1223" max="1224" width="11.44140625" style="47" hidden="1" customWidth="1"/>
    <col min="1225" max="1225" width="6.88671875" style="47" customWidth="1"/>
    <col min="1226" max="1227" width="11.44140625" style="47" hidden="1" customWidth="1"/>
    <col min="1228" max="1228" width="6.88671875" style="47" customWidth="1"/>
    <col min="1229" max="1230" width="11.44140625" style="47" hidden="1" customWidth="1"/>
    <col min="1231" max="1231" width="6.44140625" style="47" customWidth="1"/>
    <col min="1232" max="1236" width="11.44140625" style="47" hidden="1" customWidth="1"/>
    <col min="1237" max="1237" width="6.44140625" style="47" customWidth="1"/>
    <col min="1238" max="1239" width="11.44140625" style="47" hidden="1" customWidth="1"/>
    <col min="1240" max="1240" width="7.44140625" style="47" customWidth="1"/>
    <col min="1241" max="1241" width="11.44140625" style="47" hidden="1" customWidth="1"/>
    <col min="1242" max="1242" width="9.44140625" style="47" customWidth="1"/>
    <col min="1243" max="1243" width="11.44140625" style="47" hidden="1" customWidth="1"/>
    <col min="1244" max="1244" width="9" style="47" customWidth="1"/>
    <col min="1245" max="1246" width="11.44140625" style="47" hidden="1" customWidth="1"/>
    <col min="1247" max="1247" width="8.44140625" style="47" customWidth="1"/>
    <col min="1248" max="1249" width="11.44140625" style="47" hidden="1" customWidth="1"/>
    <col min="1250" max="1250" width="6.44140625" style="47" customWidth="1"/>
    <col min="1251" max="1252" width="11.44140625" style="47" hidden="1" customWidth="1"/>
    <col min="1253" max="1253" width="7" style="47" customWidth="1"/>
    <col min="1254" max="1255" width="11.44140625" style="47" hidden="1" customWidth="1"/>
    <col min="1256" max="1258" width="7" style="47" customWidth="1"/>
    <col min="1259" max="1260" width="11.44140625" style="47" hidden="1" customWidth="1"/>
    <col min="1261" max="1261" width="7.44140625" style="47" customWidth="1"/>
    <col min="1262" max="1263" width="11.44140625" style="47" hidden="1" customWidth="1"/>
    <col min="1264" max="1264" width="7" style="47" customWidth="1"/>
    <col min="1265" max="1266" width="11.44140625" style="47" hidden="1" customWidth="1"/>
    <col min="1267" max="1267" width="7" style="47" customWidth="1"/>
    <col min="1268" max="1269" width="11.44140625" style="47" hidden="1" customWidth="1"/>
    <col min="1270" max="1270" width="7" style="47" customWidth="1"/>
    <col min="1271" max="1271" width="11.44140625" style="47" hidden="1" customWidth="1"/>
    <col min="1272" max="1272" width="6.44140625" style="47" customWidth="1"/>
    <col min="1273" max="1282" width="11.44140625" style="47" hidden="1" customWidth="1"/>
    <col min="1283" max="1317" width="11.44140625" style="47" hidden="1"/>
    <col min="1318" max="1318" width="41.44140625" style="47" customWidth="1"/>
    <col min="1319" max="1319" width="6.44140625" style="47" customWidth="1"/>
    <col min="1320" max="1320" width="14.5546875" style="47" customWidth="1"/>
    <col min="1321" max="1321" width="11.44140625" style="47" customWidth="1"/>
    <col min="1322" max="1322" width="13" style="47" customWidth="1"/>
    <col min="1323" max="1323" width="25.44140625" style="47" customWidth="1"/>
    <col min="1324" max="1324" width="9.44140625" style="47" customWidth="1"/>
    <col min="1325" max="1333" width="11.44140625" style="47" hidden="1" customWidth="1"/>
    <col min="1334" max="1334" width="8.88671875" style="47" customWidth="1"/>
    <col min="1335" max="1335" width="9.44140625" style="47" customWidth="1"/>
    <col min="1336" max="1336" width="10.109375" style="47" customWidth="1"/>
    <col min="1337" max="1348" width="11.44140625" style="47" hidden="1" customWidth="1"/>
    <col min="1349" max="1349" width="13.88671875" style="47" customWidth="1"/>
    <col min="1350" max="1350" width="11.44140625" style="47" customWidth="1"/>
    <col min="1351" max="1351" width="56.88671875" style="47" customWidth="1"/>
    <col min="1352" max="1352" width="9.109375" style="47" customWidth="1"/>
    <col min="1353" max="1353" width="24.44140625" style="47" customWidth="1"/>
    <col min="1354" max="1354" width="22.88671875" style="47" customWidth="1"/>
    <col min="1355" max="1355" width="14.5546875" style="47" customWidth="1"/>
    <col min="1356" max="1356" width="5" style="47" customWidth="1"/>
    <col min="1357" max="1358" width="11.44140625" style="47" hidden="1" customWidth="1"/>
    <col min="1359" max="1359" width="5" style="47" customWidth="1"/>
    <col min="1360" max="1361" width="11.44140625" style="47" hidden="1" customWidth="1"/>
    <col min="1362" max="1362" width="5" style="47" customWidth="1"/>
    <col min="1363" max="1364" width="11.44140625" style="47" hidden="1" customWidth="1"/>
    <col min="1365" max="1365" width="5" style="47" customWidth="1"/>
    <col min="1366" max="1367" width="11.44140625" style="47" hidden="1" customWidth="1"/>
    <col min="1368" max="1368" width="5" style="47" customWidth="1"/>
    <col min="1369" max="1370" width="11.44140625" style="47" hidden="1" customWidth="1"/>
    <col min="1371" max="1371" width="5" style="47" customWidth="1"/>
    <col min="1372" max="1433" width="11.44140625" style="47" hidden="1" customWidth="1"/>
    <col min="1434" max="1434" width="9.44140625" style="47" customWidth="1"/>
    <col min="1435" max="1435" width="11.44140625" style="47" hidden="1" customWidth="1"/>
    <col min="1436" max="1436" width="5" style="47" customWidth="1"/>
    <col min="1437" max="1452" width="11.44140625" style="47" hidden="1" customWidth="1"/>
    <col min="1453" max="1453" width="6.44140625" style="47" customWidth="1"/>
    <col min="1454" max="1469" width="11.44140625" style="47" hidden="1" customWidth="1"/>
    <col min="1470" max="1470" width="7.109375" style="47" customWidth="1"/>
    <col min="1471" max="1477" width="11.44140625" style="47" hidden="1" customWidth="1"/>
    <col min="1478" max="1478" width="6.44140625" style="47" customWidth="1"/>
    <col min="1479" max="1480" width="11.44140625" style="47" hidden="1" customWidth="1"/>
    <col min="1481" max="1481" width="6.88671875" style="47" customWidth="1"/>
    <col min="1482" max="1483" width="11.44140625" style="47" hidden="1" customWidth="1"/>
    <col min="1484" max="1484" width="6.88671875" style="47" customWidth="1"/>
    <col min="1485" max="1486" width="11.44140625" style="47" hidden="1" customWidth="1"/>
    <col min="1487" max="1487" width="6.44140625" style="47" customWidth="1"/>
    <col min="1488" max="1492" width="11.44140625" style="47" hidden="1" customWidth="1"/>
    <col min="1493" max="1493" width="6.44140625" style="47" customWidth="1"/>
    <col min="1494" max="1495" width="11.44140625" style="47" hidden="1" customWidth="1"/>
    <col min="1496" max="1496" width="7.44140625" style="47" customWidth="1"/>
    <col min="1497" max="1497" width="11.44140625" style="47" hidden="1" customWidth="1"/>
    <col min="1498" max="1498" width="9.44140625" style="47" customWidth="1"/>
    <col min="1499" max="1499" width="11.44140625" style="47" hidden="1" customWidth="1"/>
    <col min="1500" max="1500" width="9" style="47" customWidth="1"/>
    <col min="1501" max="1502" width="11.44140625" style="47" hidden="1" customWidth="1"/>
    <col min="1503" max="1503" width="8.44140625" style="47" customWidth="1"/>
    <col min="1504" max="1505" width="11.44140625" style="47" hidden="1" customWidth="1"/>
    <col min="1506" max="1506" width="6.44140625" style="47" customWidth="1"/>
    <col min="1507" max="1508" width="11.44140625" style="47" hidden="1" customWidth="1"/>
    <col min="1509" max="1509" width="7" style="47" customWidth="1"/>
    <col min="1510" max="1511" width="11.44140625" style="47" hidden="1" customWidth="1"/>
    <col min="1512" max="1514" width="7" style="47" customWidth="1"/>
    <col min="1515" max="1516" width="11.44140625" style="47" hidden="1" customWidth="1"/>
    <col min="1517" max="1517" width="7.44140625" style="47" customWidth="1"/>
    <col min="1518" max="1519" width="11.44140625" style="47" hidden="1" customWidth="1"/>
    <col min="1520" max="1520" width="7" style="47" customWidth="1"/>
    <col min="1521" max="1522" width="11.44140625" style="47" hidden="1" customWidth="1"/>
    <col min="1523" max="1523" width="7" style="47" customWidth="1"/>
    <col min="1524" max="1525" width="11.44140625" style="47" hidden="1" customWidth="1"/>
    <col min="1526" max="1526" width="7" style="47" customWidth="1"/>
    <col min="1527" max="1527" width="11.44140625" style="47" hidden="1" customWidth="1"/>
    <col min="1528" max="1528" width="6.44140625" style="47" customWidth="1"/>
    <col min="1529" max="1538" width="11.44140625" style="47" hidden="1" customWidth="1"/>
    <col min="1539" max="1573" width="11.44140625" style="47" hidden="1"/>
    <col min="1574" max="1574" width="41.44140625" style="47" customWidth="1"/>
    <col min="1575" max="1575" width="6.44140625" style="47" customWidth="1"/>
    <col min="1576" max="1576" width="14.5546875" style="47" customWidth="1"/>
    <col min="1577" max="1577" width="11.44140625" style="47" customWidth="1"/>
    <col min="1578" max="1578" width="13" style="47" customWidth="1"/>
    <col min="1579" max="1579" width="25.44140625" style="47" customWidth="1"/>
    <col min="1580" max="1580" width="9.44140625" style="47" customWidth="1"/>
    <col min="1581" max="1589" width="11.44140625" style="47" hidden="1" customWidth="1"/>
    <col min="1590" max="1590" width="8.88671875" style="47" customWidth="1"/>
    <col min="1591" max="1591" width="9.44140625" style="47" customWidth="1"/>
    <col min="1592" max="1592" width="10.109375" style="47" customWidth="1"/>
    <col min="1593" max="1604" width="11.44140625" style="47" hidden="1" customWidth="1"/>
    <col min="1605" max="1605" width="13.88671875" style="47" customWidth="1"/>
    <col min="1606" max="1606" width="11.44140625" style="47" customWidth="1"/>
    <col min="1607" max="1607" width="56.88671875" style="47" customWidth="1"/>
    <col min="1608" max="1608" width="9.109375" style="47" customWidth="1"/>
    <col min="1609" max="1609" width="24.44140625" style="47" customWidth="1"/>
    <col min="1610" max="1610" width="22.88671875" style="47" customWidth="1"/>
    <col min="1611" max="1611" width="14.5546875" style="47" customWidth="1"/>
    <col min="1612" max="1612" width="5" style="47" customWidth="1"/>
    <col min="1613" max="1614" width="11.44140625" style="47" hidden="1" customWidth="1"/>
    <col min="1615" max="1615" width="5" style="47" customWidth="1"/>
    <col min="1616" max="1617" width="11.44140625" style="47" hidden="1" customWidth="1"/>
    <col min="1618" max="1618" width="5" style="47" customWidth="1"/>
    <col min="1619" max="1620" width="11.44140625" style="47" hidden="1" customWidth="1"/>
    <col min="1621" max="1621" width="5" style="47" customWidth="1"/>
    <col min="1622" max="1623" width="11.44140625" style="47" hidden="1" customWidth="1"/>
    <col min="1624" max="1624" width="5" style="47" customWidth="1"/>
    <col min="1625" max="1626" width="11.44140625" style="47" hidden="1" customWidth="1"/>
    <col min="1627" max="1627" width="5" style="47" customWidth="1"/>
    <col min="1628" max="1689" width="11.44140625" style="47" hidden="1" customWidth="1"/>
    <col min="1690" max="1690" width="9.44140625" style="47" customWidth="1"/>
    <col min="1691" max="1691" width="11.44140625" style="47" hidden="1" customWidth="1"/>
    <col min="1692" max="1692" width="5" style="47" customWidth="1"/>
    <col min="1693" max="1708" width="11.44140625" style="47" hidden="1" customWidth="1"/>
    <col min="1709" max="1709" width="6.44140625" style="47" customWidth="1"/>
    <col min="1710" max="1725" width="11.44140625" style="47" hidden="1" customWidth="1"/>
    <col min="1726" max="1726" width="7.109375" style="47" customWidth="1"/>
    <col min="1727" max="1733" width="11.44140625" style="47" hidden="1" customWidth="1"/>
    <col min="1734" max="1734" width="6.44140625" style="47" customWidth="1"/>
    <col min="1735" max="1736" width="11.44140625" style="47" hidden="1" customWidth="1"/>
    <col min="1737" max="1737" width="6.88671875" style="47" customWidth="1"/>
    <col min="1738" max="1739" width="11.44140625" style="47" hidden="1" customWidth="1"/>
    <col min="1740" max="1740" width="6.88671875" style="47" customWidth="1"/>
    <col min="1741" max="1742" width="11.44140625" style="47" hidden="1" customWidth="1"/>
    <col min="1743" max="1743" width="6.44140625" style="47" customWidth="1"/>
    <col min="1744" max="1748" width="11.44140625" style="47" hidden="1" customWidth="1"/>
    <col min="1749" max="1749" width="6.44140625" style="47" customWidth="1"/>
    <col min="1750" max="1751" width="11.44140625" style="47" hidden="1" customWidth="1"/>
    <col min="1752" max="1752" width="7.44140625" style="47" customWidth="1"/>
    <col min="1753" max="1753" width="11.44140625" style="47" hidden="1" customWidth="1"/>
    <col min="1754" max="1754" width="9.44140625" style="47" customWidth="1"/>
    <col min="1755" max="1755" width="11.44140625" style="47" hidden="1" customWidth="1"/>
    <col min="1756" max="1756" width="9" style="47" customWidth="1"/>
    <col min="1757" max="1758" width="11.44140625" style="47" hidden="1" customWidth="1"/>
    <col min="1759" max="1759" width="8.44140625" style="47" customWidth="1"/>
    <col min="1760" max="1761" width="11.44140625" style="47" hidden="1" customWidth="1"/>
    <col min="1762" max="1762" width="6.44140625" style="47" customWidth="1"/>
    <col min="1763" max="1764" width="11.44140625" style="47" hidden="1" customWidth="1"/>
    <col min="1765" max="1765" width="7" style="47" customWidth="1"/>
    <col min="1766" max="1767" width="11.44140625" style="47" hidden="1" customWidth="1"/>
    <col min="1768" max="1770" width="7" style="47" customWidth="1"/>
    <col min="1771" max="1772" width="11.44140625" style="47" hidden="1" customWidth="1"/>
    <col min="1773" max="1773" width="7.44140625" style="47" customWidth="1"/>
    <col min="1774" max="1775" width="11.44140625" style="47" hidden="1" customWidth="1"/>
    <col min="1776" max="1776" width="7" style="47" customWidth="1"/>
    <col min="1777" max="1778" width="11.44140625" style="47" hidden="1" customWidth="1"/>
    <col min="1779" max="1779" width="7" style="47" customWidth="1"/>
    <col min="1780" max="1781" width="11.44140625" style="47" hidden="1" customWidth="1"/>
    <col min="1782" max="1782" width="7" style="47" customWidth="1"/>
    <col min="1783" max="1783" width="11.44140625" style="47" hidden="1" customWidth="1"/>
    <col min="1784" max="1784" width="6.44140625" style="47" customWidth="1"/>
    <col min="1785" max="1794" width="11.44140625" style="47" hidden="1" customWidth="1"/>
    <col min="1795" max="1829" width="11.44140625" style="47" hidden="1"/>
    <col min="1830" max="1830" width="41.44140625" style="47" customWidth="1"/>
    <col min="1831" max="1831" width="6.44140625" style="47" customWidth="1"/>
    <col min="1832" max="1832" width="14.5546875" style="47" customWidth="1"/>
    <col min="1833" max="1833" width="11.44140625" style="47" customWidth="1"/>
    <col min="1834" max="1834" width="13" style="47" customWidth="1"/>
    <col min="1835" max="1835" width="25.44140625" style="47" customWidth="1"/>
    <col min="1836" max="1836" width="9.44140625" style="47" customWidth="1"/>
    <col min="1837" max="1845" width="11.44140625" style="47" hidden="1" customWidth="1"/>
    <col min="1846" max="1846" width="8.88671875" style="47" customWidth="1"/>
    <col min="1847" max="1847" width="9.44140625" style="47" customWidth="1"/>
    <col min="1848" max="1848" width="10.109375" style="47" customWidth="1"/>
    <col min="1849" max="1860" width="11.44140625" style="47" hidden="1" customWidth="1"/>
    <col min="1861" max="1861" width="13.88671875" style="47" customWidth="1"/>
    <col min="1862" max="1862" width="11.44140625" style="47" customWidth="1"/>
    <col min="1863" max="1863" width="56.88671875" style="47" customWidth="1"/>
    <col min="1864" max="1864" width="9.109375" style="47" customWidth="1"/>
    <col min="1865" max="1865" width="24.44140625" style="47" customWidth="1"/>
    <col min="1866" max="1866" width="22.88671875" style="47" customWidth="1"/>
    <col min="1867" max="1867" width="14.5546875" style="47" customWidth="1"/>
    <col min="1868" max="1868" width="5" style="47" customWidth="1"/>
    <col min="1869" max="1870" width="11.44140625" style="47" hidden="1" customWidth="1"/>
    <col min="1871" max="1871" width="5" style="47" customWidth="1"/>
    <col min="1872" max="1873" width="11.44140625" style="47" hidden="1" customWidth="1"/>
    <col min="1874" max="1874" width="5" style="47" customWidth="1"/>
    <col min="1875" max="1876" width="11.44140625" style="47" hidden="1" customWidth="1"/>
    <col min="1877" max="1877" width="5" style="47" customWidth="1"/>
    <col min="1878" max="1879" width="11.44140625" style="47" hidden="1" customWidth="1"/>
    <col min="1880" max="1880" width="5" style="47" customWidth="1"/>
    <col min="1881" max="1882" width="11.44140625" style="47" hidden="1" customWidth="1"/>
    <col min="1883" max="1883" width="5" style="47" customWidth="1"/>
    <col min="1884" max="1945" width="11.44140625" style="47" hidden="1" customWidth="1"/>
    <col min="1946" max="1946" width="9.44140625" style="47" customWidth="1"/>
    <col min="1947" max="1947" width="11.44140625" style="47" hidden="1" customWidth="1"/>
    <col min="1948" max="1948" width="5" style="47" customWidth="1"/>
    <col min="1949" max="1964" width="11.44140625" style="47" hidden="1" customWidth="1"/>
    <col min="1965" max="1965" width="6.44140625" style="47" customWidth="1"/>
    <col min="1966" max="1981" width="11.44140625" style="47" hidden="1" customWidth="1"/>
    <col min="1982" max="1982" width="7.109375" style="47" customWidth="1"/>
    <col min="1983" max="1989" width="11.44140625" style="47" hidden="1" customWidth="1"/>
    <col min="1990" max="1990" width="6.44140625" style="47" customWidth="1"/>
    <col min="1991" max="1992" width="11.44140625" style="47" hidden="1" customWidth="1"/>
    <col min="1993" max="1993" width="6.88671875" style="47" customWidth="1"/>
    <col min="1994" max="1995" width="11.44140625" style="47" hidden="1" customWidth="1"/>
    <col min="1996" max="1996" width="6.88671875" style="47" customWidth="1"/>
    <col min="1997" max="1998" width="11.44140625" style="47" hidden="1" customWidth="1"/>
    <col min="1999" max="1999" width="6.44140625" style="47" customWidth="1"/>
    <col min="2000" max="2004" width="11.44140625" style="47" hidden="1" customWidth="1"/>
    <col min="2005" max="2005" width="6.44140625" style="47" customWidth="1"/>
    <col min="2006" max="2007" width="11.44140625" style="47" hidden="1" customWidth="1"/>
    <col min="2008" max="2008" width="7.44140625" style="47" customWidth="1"/>
    <col min="2009" max="2009" width="11.44140625" style="47" hidden="1" customWidth="1"/>
    <col min="2010" max="2010" width="9.44140625" style="47" customWidth="1"/>
    <col min="2011" max="2011" width="11.44140625" style="47" hidden="1" customWidth="1"/>
    <col min="2012" max="2012" width="9" style="47" customWidth="1"/>
    <col min="2013" max="2014" width="11.44140625" style="47" hidden="1" customWidth="1"/>
    <col min="2015" max="2015" width="8.44140625" style="47" customWidth="1"/>
    <col min="2016" max="2017" width="11.44140625" style="47" hidden="1" customWidth="1"/>
    <col min="2018" max="2018" width="6.44140625" style="47" customWidth="1"/>
    <col min="2019" max="2020" width="11.44140625" style="47" hidden="1" customWidth="1"/>
    <col min="2021" max="2021" width="7" style="47" customWidth="1"/>
    <col min="2022" max="2023" width="11.44140625" style="47" hidden="1" customWidth="1"/>
    <col min="2024" max="2026" width="7" style="47" customWidth="1"/>
    <col min="2027" max="2028" width="11.44140625" style="47" hidden="1" customWidth="1"/>
    <col min="2029" max="2029" width="7.44140625" style="47" customWidth="1"/>
    <col min="2030" max="2031" width="11.44140625" style="47" hidden="1" customWidth="1"/>
    <col min="2032" max="2032" width="7" style="47" customWidth="1"/>
    <col min="2033" max="2034" width="11.44140625" style="47" hidden="1" customWidth="1"/>
    <col min="2035" max="2035" width="7" style="47" customWidth="1"/>
    <col min="2036" max="2037" width="11.44140625" style="47" hidden="1" customWidth="1"/>
    <col min="2038" max="2038" width="7" style="47" customWidth="1"/>
    <col min="2039" max="2039" width="11.44140625" style="47" hidden="1" customWidth="1"/>
    <col min="2040" max="2040" width="6.44140625" style="47" customWidth="1"/>
    <col min="2041" max="2050" width="11.44140625" style="47" hidden="1" customWidth="1"/>
    <col min="2051" max="2085" width="11.44140625" style="47" hidden="1"/>
    <col min="2086" max="2086" width="41.44140625" style="47" customWidth="1"/>
    <col min="2087" max="2087" width="6.44140625" style="47" customWidth="1"/>
    <col min="2088" max="2088" width="14.5546875" style="47" customWidth="1"/>
    <col min="2089" max="2089" width="11.44140625" style="47" customWidth="1"/>
    <col min="2090" max="2090" width="13" style="47" customWidth="1"/>
    <col min="2091" max="2091" width="25.44140625" style="47" customWidth="1"/>
    <col min="2092" max="2092" width="9.44140625" style="47" customWidth="1"/>
    <col min="2093" max="2101" width="11.44140625" style="47" hidden="1" customWidth="1"/>
    <col min="2102" max="2102" width="8.88671875" style="47" customWidth="1"/>
    <col min="2103" max="2103" width="9.44140625" style="47" customWidth="1"/>
    <col min="2104" max="2104" width="10.109375" style="47" customWidth="1"/>
    <col min="2105" max="2116" width="11.44140625" style="47" hidden="1" customWidth="1"/>
    <col min="2117" max="2117" width="13.88671875" style="47" customWidth="1"/>
    <col min="2118" max="2118" width="11.44140625" style="47" customWidth="1"/>
    <col min="2119" max="2119" width="56.88671875" style="47" customWidth="1"/>
    <col min="2120" max="2120" width="9.109375" style="47" customWidth="1"/>
    <col min="2121" max="2121" width="24.44140625" style="47" customWidth="1"/>
    <col min="2122" max="2122" width="22.88671875" style="47" customWidth="1"/>
    <col min="2123" max="2123" width="14.5546875" style="47" customWidth="1"/>
    <col min="2124" max="2124" width="5" style="47" customWidth="1"/>
    <col min="2125" max="2126" width="11.44140625" style="47" hidden="1" customWidth="1"/>
    <col min="2127" max="2127" width="5" style="47" customWidth="1"/>
    <col min="2128" max="2129" width="11.44140625" style="47" hidden="1" customWidth="1"/>
    <col min="2130" max="2130" width="5" style="47" customWidth="1"/>
    <col min="2131" max="2132" width="11.44140625" style="47" hidden="1" customWidth="1"/>
    <col min="2133" max="2133" width="5" style="47" customWidth="1"/>
    <col min="2134" max="2135" width="11.44140625" style="47" hidden="1" customWidth="1"/>
    <col min="2136" max="2136" width="5" style="47" customWidth="1"/>
    <col min="2137" max="2138" width="11.44140625" style="47" hidden="1" customWidth="1"/>
    <col min="2139" max="2139" width="5" style="47" customWidth="1"/>
    <col min="2140" max="2201" width="11.44140625" style="47" hidden="1" customWidth="1"/>
    <col min="2202" max="2202" width="9.44140625" style="47" customWidth="1"/>
    <col min="2203" max="2203" width="11.44140625" style="47" hidden="1" customWidth="1"/>
    <col min="2204" max="2204" width="5" style="47" customWidth="1"/>
    <col min="2205" max="2220" width="11.44140625" style="47" hidden="1" customWidth="1"/>
    <col min="2221" max="2221" width="6.44140625" style="47" customWidth="1"/>
    <col min="2222" max="2237" width="11.44140625" style="47" hidden="1" customWidth="1"/>
    <col min="2238" max="2238" width="7.109375" style="47" customWidth="1"/>
    <col min="2239" max="2245" width="11.44140625" style="47" hidden="1" customWidth="1"/>
    <col min="2246" max="2246" width="6.44140625" style="47" customWidth="1"/>
    <col min="2247" max="2248" width="11.44140625" style="47" hidden="1" customWidth="1"/>
    <col min="2249" max="2249" width="6.88671875" style="47" customWidth="1"/>
    <col min="2250" max="2251" width="11.44140625" style="47" hidden="1" customWidth="1"/>
    <col min="2252" max="2252" width="6.88671875" style="47" customWidth="1"/>
    <col min="2253" max="2254" width="11.44140625" style="47" hidden="1" customWidth="1"/>
    <col min="2255" max="2255" width="6.44140625" style="47" customWidth="1"/>
    <col min="2256" max="2260" width="11.44140625" style="47" hidden="1" customWidth="1"/>
    <col min="2261" max="2261" width="6.44140625" style="47" customWidth="1"/>
    <col min="2262" max="2263" width="11.44140625" style="47" hidden="1" customWidth="1"/>
    <col min="2264" max="2264" width="7.44140625" style="47" customWidth="1"/>
    <col min="2265" max="2265" width="11.44140625" style="47" hidden="1" customWidth="1"/>
    <col min="2266" max="2266" width="9.44140625" style="47" customWidth="1"/>
    <col min="2267" max="2267" width="11.44140625" style="47" hidden="1" customWidth="1"/>
    <col min="2268" max="2268" width="9" style="47" customWidth="1"/>
    <col min="2269" max="2270" width="11.44140625" style="47" hidden="1" customWidth="1"/>
    <col min="2271" max="2271" width="8.44140625" style="47" customWidth="1"/>
    <col min="2272" max="2273" width="11.44140625" style="47" hidden="1" customWidth="1"/>
    <col min="2274" max="2274" width="6.44140625" style="47" customWidth="1"/>
    <col min="2275" max="2276" width="11.44140625" style="47" hidden="1" customWidth="1"/>
    <col min="2277" max="2277" width="7" style="47" customWidth="1"/>
    <col min="2278" max="2279" width="11.44140625" style="47" hidden="1" customWidth="1"/>
    <col min="2280" max="2282" width="7" style="47" customWidth="1"/>
    <col min="2283" max="2284" width="11.44140625" style="47" hidden="1" customWidth="1"/>
    <col min="2285" max="2285" width="7.44140625" style="47" customWidth="1"/>
    <col min="2286" max="2287" width="11.44140625" style="47" hidden="1" customWidth="1"/>
    <col min="2288" max="2288" width="7" style="47" customWidth="1"/>
    <col min="2289" max="2290" width="11.44140625" style="47" hidden="1" customWidth="1"/>
    <col min="2291" max="2291" width="7" style="47" customWidth="1"/>
    <col min="2292" max="2293" width="11.44140625" style="47" hidden="1" customWidth="1"/>
    <col min="2294" max="2294" width="7" style="47" customWidth="1"/>
    <col min="2295" max="2295" width="11.44140625" style="47" hidden="1" customWidth="1"/>
    <col min="2296" max="2296" width="6.44140625" style="47" customWidth="1"/>
    <col min="2297" max="2306" width="11.44140625" style="47" hidden="1" customWidth="1"/>
    <col min="2307" max="2341" width="11.44140625" style="47" hidden="1"/>
    <col min="2342" max="2342" width="41.44140625" style="47" customWidth="1"/>
    <col min="2343" max="2343" width="6.44140625" style="47" customWidth="1"/>
    <col min="2344" max="2344" width="14.5546875" style="47" customWidth="1"/>
    <col min="2345" max="2345" width="11.44140625" style="47" customWidth="1"/>
    <col min="2346" max="2346" width="13" style="47" customWidth="1"/>
    <col min="2347" max="2347" width="25.44140625" style="47" customWidth="1"/>
    <col min="2348" max="2348" width="9.44140625" style="47" customWidth="1"/>
    <col min="2349" max="2357" width="11.44140625" style="47" hidden="1" customWidth="1"/>
    <col min="2358" max="2358" width="8.88671875" style="47" customWidth="1"/>
    <col min="2359" max="2359" width="9.44140625" style="47" customWidth="1"/>
    <col min="2360" max="2360" width="10.109375" style="47" customWidth="1"/>
    <col min="2361" max="2372" width="11.44140625" style="47" hidden="1" customWidth="1"/>
    <col min="2373" max="2373" width="13.88671875" style="47" customWidth="1"/>
    <col min="2374" max="2374" width="11.44140625" style="47" customWidth="1"/>
    <col min="2375" max="2375" width="56.88671875" style="47" customWidth="1"/>
    <col min="2376" max="2376" width="9.109375" style="47" customWidth="1"/>
    <col min="2377" max="2377" width="24.44140625" style="47" customWidth="1"/>
    <col min="2378" max="2378" width="22.88671875" style="47" customWidth="1"/>
    <col min="2379" max="2379" width="14.5546875" style="47" customWidth="1"/>
    <col min="2380" max="2380" width="5" style="47" customWidth="1"/>
    <col min="2381" max="2382" width="11.44140625" style="47" hidden="1" customWidth="1"/>
    <col min="2383" max="2383" width="5" style="47" customWidth="1"/>
    <col min="2384" max="2385" width="11.44140625" style="47" hidden="1" customWidth="1"/>
    <col min="2386" max="2386" width="5" style="47" customWidth="1"/>
    <col min="2387" max="2388" width="11.44140625" style="47" hidden="1" customWidth="1"/>
    <col min="2389" max="2389" width="5" style="47" customWidth="1"/>
    <col min="2390" max="2391" width="11.44140625" style="47" hidden="1" customWidth="1"/>
    <col min="2392" max="2392" width="5" style="47" customWidth="1"/>
    <col min="2393" max="2394" width="11.44140625" style="47" hidden="1" customWidth="1"/>
    <col min="2395" max="2395" width="5" style="47" customWidth="1"/>
    <col min="2396" max="2457" width="11.44140625" style="47" hidden="1" customWidth="1"/>
    <col min="2458" max="2458" width="9.44140625" style="47" customWidth="1"/>
    <col min="2459" max="2459" width="11.44140625" style="47" hidden="1" customWidth="1"/>
    <col min="2460" max="2460" width="5" style="47" customWidth="1"/>
    <col min="2461" max="2476" width="11.44140625" style="47" hidden="1" customWidth="1"/>
    <col min="2477" max="2477" width="6.44140625" style="47" customWidth="1"/>
    <col min="2478" max="2493" width="11.44140625" style="47" hidden="1" customWidth="1"/>
    <col min="2494" max="2494" width="7.109375" style="47" customWidth="1"/>
    <col min="2495" max="2501" width="11.44140625" style="47" hidden="1" customWidth="1"/>
    <col min="2502" max="2502" width="6.44140625" style="47" customWidth="1"/>
    <col min="2503" max="2504" width="11.44140625" style="47" hidden="1" customWidth="1"/>
    <col min="2505" max="2505" width="6.88671875" style="47" customWidth="1"/>
    <col min="2506" max="2507" width="11.44140625" style="47" hidden="1" customWidth="1"/>
    <col min="2508" max="2508" width="6.88671875" style="47" customWidth="1"/>
    <col min="2509" max="2510" width="11.44140625" style="47" hidden="1" customWidth="1"/>
    <col min="2511" max="2511" width="6.44140625" style="47" customWidth="1"/>
    <col min="2512" max="2516" width="11.44140625" style="47" hidden="1" customWidth="1"/>
    <col min="2517" max="2517" width="6.44140625" style="47" customWidth="1"/>
    <col min="2518" max="2519" width="11.44140625" style="47" hidden="1" customWidth="1"/>
    <col min="2520" max="2520" width="7.44140625" style="47" customWidth="1"/>
    <col min="2521" max="2521" width="11.44140625" style="47" hidden="1" customWidth="1"/>
    <col min="2522" max="2522" width="9.44140625" style="47" customWidth="1"/>
    <col min="2523" max="2523" width="11.44140625" style="47" hidden="1" customWidth="1"/>
    <col min="2524" max="2524" width="9" style="47" customWidth="1"/>
    <col min="2525" max="2526" width="11.44140625" style="47" hidden="1" customWidth="1"/>
    <col min="2527" max="2527" width="8.44140625" style="47" customWidth="1"/>
    <col min="2528" max="2529" width="11.44140625" style="47" hidden="1" customWidth="1"/>
    <col min="2530" max="2530" width="6.44140625" style="47" customWidth="1"/>
    <col min="2531" max="2532" width="11.44140625" style="47" hidden="1" customWidth="1"/>
    <col min="2533" max="2533" width="7" style="47" customWidth="1"/>
    <col min="2534" max="2535" width="11.44140625" style="47" hidden="1" customWidth="1"/>
    <col min="2536" max="2538" width="7" style="47" customWidth="1"/>
    <col min="2539" max="2540" width="11.44140625" style="47" hidden="1" customWidth="1"/>
    <col min="2541" max="2541" width="7.44140625" style="47" customWidth="1"/>
    <col min="2542" max="2543" width="11.44140625" style="47" hidden="1" customWidth="1"/>
    <col min="2544" max="2544" width="7" style="47" customWidth="1"/>
    <col min="2545" max="2546" width="11.44140625" style="47" hidden="1" customWidth="1"/>
    <col min="2547" max="2547" width="7" style="47" customWidth="1"/>
    <col min="2548" max="2549" width="11.44140625" style="47" hidden="1" customWidth="1"/>
    <col min="2550" max="2550" width="7" style="47" customWidth="1"/>
    <col min="2551" max="2551" width="11.44140625" style="47" hidden="1" customWidth="1"/>
    <col min="2552" max="2552" width="6.44140625" style="47" customWidth="1"/>
    <col min="2553" max="2562" width="11.44140625" style="47" hidden="1" customWidth="1"/>
    <col min="2563" max="2597" width="11.44140625" style="47" hidden="1"/>
    <col min="2598" max="2598" width="41.44140625" style="47" customWidth="1"/>
    <col min="2599" max="2599" width="6.44140625" style="47" customWidth="1"/>
    <col min="2600" max="2600" width="14.5546875" style="47" customWidth="1"/>
    <col min="2601" max="2601" width="11.44140625" style="47" customWidth="1"/>
    <col min="2602" max="2602" width="13" style="47" customWidth="1"/>
    <col min="2603" max="2603" width="25.44140625" style="47" customWidth="1"/>
    <col min="2604" max="2604" width="9.44140625" style="47" customWidth="1"/>
    <col min="2605" max="2613" width="11.44140625" style="47" hidden="1" customWidth="1"/>
    <col min="2614" max="2614" width="8.88671875" style="47" customWidth="1"/>
    <col min="2615" max="2615" width="9.44140625" style="47" customWidth="1"/>
    <col min="2616" max="2616" width="10.109375" style="47" customWidth="1"/>
    <col min="2617" max="2628" width="11.44140625" style="47" hidden="1" customWidth="1"/>
    <col min="2629" max="2629" width="13.88671875" style="47" customWidth="1"/>
    <col min="2630" max="2630" width="11.44140625" style="47" customWidth="1"/>
    <col min="2631" max="2631" width="56.88671875" style="47" customWidth="1"/>
    <col min="2632" max="2632" width="9.109375" style="47" customWidth="1"/>
    <col min="2633" max="2633" width="24.44140625" style="47" customWidth="1"/>
    <col min="2634" max="2634" width="22.88671875" style="47" customWidth="1"/>
    <col min="2635" max="2635" width="14.5546875" style="47" customWidth="1"/>
    <col min="2636" max="2636" width="5" style="47" customWidth="1"/>
    <col min="2637" max="2638" width="11.44140625" style="47" hidden="1" customWidth="1"/>
    <col min="2639" max="2639" width="5" style="47" customWidth="1"/>
    <col min="2640" max="2641" width="11.44140625" style="47" hidden="1" customWidth="1"/>
    <col min="2642" max="2642" width="5" style="47" customWidth="1"/>
    <col min="2643" max="2644" width="11.44140625" style="47" hidden="1" customWidth="1"/>
    <col min="2645" max="2645" width="5" style="47" customWidth="1"/>
    <col min="2646" max="2647" width="11.44140625" style="47" hidden="1" customWidth="1"/>
    <col min="2648" max="2648" width="5" style="47" customWidth="1"/>
    <col min="2649" max="2650" width="11.44140625" style="47" hidden="1" customWidth="1"/>
    <col min="2651" max="2651" width="5" style="47" customWidth="1"/>
    <col min="2652" max="2713" width="11.44140625" style="47" hidden="1" customWidth="1"/>
    <col min="2714" max="2714" width="9.44140625" style="47" customWidth="1"/>
    <col min="2715" max="2715" width="11.44140625" style="47" hidden="1" customWidth="1"/>
    <col min="2716" max="2716" width="5" style="47" customWidth="1"/>
    <col min="2717" max="2732" width="11.44140625" style="47" hidden="1" customWidth="1"/>
    <col min="2733" max="2733" width="6.44140625" style="47" customWidth="1"/>
    <col min="2734" max="2749" width="11.44140625" style="47" hidden="1" customWidth="1"/>
    <col min="2750" max="2750" width="7.109375" style="47" customWidth="1"/>
    <col min="2751" max="2757" width="11.44140625" style="47" hidden="1" customWidth="1"/>
    <col min="2758" max="2758" width="6.44140625" style="47" customWidth="1"/>
    <col min="2759" max="2760" width="11.44140625" style="47" hidden="1" customWidth="1"/>
    <col min="2761" max="2761" width="6.88671875" style="47" customWidth="1"/>
    <col min="2762" max="2763" width="11.44140625" style="47" hidden="1" customWidth="1"/>
    <col min="2764" max="2764" width="6.88671875" style="47" customWidth="1"/>
    <col min="2765" max="2766" width="11.44140625" style="47" hidden="1" customWidth="1"/>
    <col min="2767" max="2767" width="6.44140625" style="47" customWidth="1"/>
    <col min="2768" max="2772" width="11.44140625" style="47" hidden="1" customWidth="1"/>
    <col min="2773" max="2773" width="6.44140625" style="47" customWidth="1"/>
    <col min="2774" max="2775" width="11.44140625" style="47" hidden="1" customWidth="1"/>
    <col min="2776" max="2776" width="7.44140625" style="47" customWidth="1"/>
    <col min="2777" max="2777" width="11.44140625" style="47" hidden="1" customWidth="1"/>
    <col min="2778" max="2778" width="9.44140625" style="47" customWidth="1"/>
    <col min="2779" max="2779" width="11.44140625" style="47" hidden="1" customWidth="1"/>
    <col min="2780" max="2780" width="9" style="47" customWidth="1"/>
    <col min="2781" max="2782" width="11.44140625" style="47" hidden="1" customWidth="1"/>
    <col min="2783" max="2783" width="8.44140625" style="47" customWidth="1"/>
    <col min="2784" max="2785" width="11.44140625" style="47" hidden="1" customWidth="1"/>
    <col min="2786" max="2786" width="6.44140625" style="47" customWidth="1"/>
    <col min="2787" max="2788" width="11.44140625" style="47" hidden="1" customWidth="1"/>
    <col min="2789" max="2789" width="7" style="47" customWidth="1"/>
    <col min="2790" max="2791" width="11.44140625" style="47" hidden="1" customWidth="1"/>
    <col min="2792" max="2794" width="7" style="47" customWidth="1"/>
    <col min="2795" max="2796" width="11.44140625" style="47" hidden="1" customWidth="1"/>
    <col min="2797" max="2797" width="7.44140625" style="47" customWidth="1"/>
    <col min="2798" max="2799" width="11.44140625" style="47" hidden="1" customWidth="1"/>
    <col min="2800" max="2800" width="7" style="47" customWidth="1"/>
    <col min="2801" max="2802" width="11.44140625" style="47" hidden="1" customWidth="1"/>
    <col min="2803" max="2803" width="7" style="47" customWidth="1"/>
    <col min="2804" max="2805" width="11.44140625" style="47" hidden="1" customWidth="1"/>
    <col min="2806" max="2806" width="7" style="47" customWidth="1"/>
    <col min="2807" max="2807" width="11.44140625" style="47" hidden="1" customWidth="1"/>
    <col min="2808" max="2808" width="6.44140625" style="47" customWidth="1"/>
    <col min="2809" max="2818" width="11.44140625" style="47" hidden="1" customWidth="1"/>
    <col min="2819" max="2853" width="11.44140625" style="47" hidden="1"/>
    <col min="2854" max="2854" width="41.44140625" style="47" customWidth="1"/>
    <col min="2855" max="2855" width="6.44140625" style="47" customWidth="1"/>
    <col min="2856" max="2856" width="14.5546875" style="47" customWidth="1"/>
    <col min="2857" max="2857" width="11.44140625" style="47" customWidth="1"/>
    <col min="2858" max="2858" width="13" style="47" customWidth="1"/>
    <col min="2859" max="2859" width="25.44140625" style="47" customWidth="1"/>
    <col min="2860" max="2860" width="9.44140625" style="47" customWidth="1"/>
    <col min="2861" max="2869" width="11.44140625" style="47" hidden="1" customWidth="1"/>
    <col min="2870" max="2870" width="8.88671875" style="47" customWidth="1"/>
    <col min="2871" max="2871" width="9.44140625" style="47" customWidth="1"/>
    <col min="2872" max="2872" width="10.109375" style="47" customWidth="1"/>
    <col min="2873" max="2884" width="11.44140625" style="47" hidden="1" customWidth="1"/>
    <col min="2885" max="2885" width="13.88671875" style="47" customWidth="1"/>
    <col min="2886" max="2886" width="11.44140625" style="47" customWidth="1"/>
    <col min="2887" max="2887" width="56.88671875" style="47" customWidth="1"/>
    <col min="2888" max="2888" width="9.109375" style="47" customWidth="1"/>
    <col min="2889" max="2889" width="24.44140625" style="47" customWidth="1"/>
    <col min="2890" max="2890" width="22.88671875" style="47" customWidth="1"/>
    <col min="2891" max="2891" width="14.5546875" style="47" customWidth="1"/>
    <col min="2892" max="2892" width="5" style="47" customWidth="1"/>
    <col min="2893" max="2894" width="11.44140625" style="47" hidden="1" customWidth="1"/>
    <col min="2895" max="2895" width="5" style="47" customWidth="1"/>
    <col min="2896" max="2897" width="11.44140625" style="47" hidden="1" customWidth="1"/>
    <col min="2898" max="2898" width="5" style="47" customWidth="1"/>
    <col min="2899" max="2900" width="11.44140625" style="47" hidden="1" customWidth="1"/>
    <col min="2901" max="2901" width="5" style="47" customWidth="1"/>
    <col min="2902" max="2903" width="11.44140625" style="47" hidden="1" customWidth="1"/>
    <col min="2904" max="2904" width="5" style="47" customWidth="1"/>
    <col min="2905" max="2906" width="11.44140625" style="47" hidden="1" customWidth="1"/>
    <col min="2907" max="2907" width="5" style="47" customWidth="1"/>
    <col min="2908" max="2969" width="11.44140625" style="47" hidden="1" customWidth="1"/>
    <col min="2970" max="2970" width="9.44140625" style="47" customWidth="1"/>
    <col min="2971" max="2971" width="11.44140625" style="47" hidden="1" customWidth="1"/>
    <col min="2972" max="2972" width="5" style="47" customWidth="1"/>
    <col min="2973" max="2988" width="11.44140625" style="47" hidden="1" customWidth="1"/>
    <col min="2989" max="2989" width="6.44140625" style="47" customWidth="1"/>
    <col min="2990" max="3005" width="11.44140625" style="47" hidden="1" customWidth="1"/>
    <col min="3006" max="3006" width="7.109375" style="47" customWidth="1"/>
    <col min="3007" max="3013" width="11.44140625" style="47" hidden="1" customWidth="1"/>
    <col min="3014" max="3014" width="6.44140625" style="47" customWidth="1"/>
    <col min="3015" max="3016" width="11.44140625" style="47" hidden="1" customWidth="1"/>
    <col min="3017" max="3017" width="6.88671875" style="47" customWidth="1"/>
    <col min="3018" max="3019" width="11.44140625" style="47" hidden="1" customWidth="1"/>
    <col min="3020" max="3020" width="6.88671875" style="47" customWidth="1"/>
    <col min="3021" max="3022" width="11.44140625" style="47" hidden="1" customWidth="1"/>
    <col min="3023" max="3023" width="6.44140625" style="47" customWidth="1"/>
    <col min="3024" max="3028" width="11.44140625" style="47" hidden="1" customWidth="1"/>
    <col min="3029" max="3029" width="6.44140625" style="47" customWidth="1"/>
    <col min="3030" max="3031" width="11.44140625" style="47" hidden="1" customWidth="1"/>
    <col min="3032" max="3032" width="7.44140625" style="47" customWidth="1"/>
    <col min="3033" max="3033" width="11.44140625" style="47" hidden="1" customWidth="1"/>
    <col min="3034" max="3034" width="9.44140625" style="47" customWidth="1"/>
    <col min="3035" max="3035" width="11.44140625" style="47" hidden="1" customWidth="1"/>
    <col min="3036" max="3036" width="9" style="47" customWidth="1"/>
    <col min="3037" max="3038" width="11.44140625" style="47" hidden="1" customWidth="1"/>
    <col min="3039" max="3039" width="8.44140625" style="47" customWidth="1"/>
    <col min="3040" max="3041" width="11.44140625" style="47" hidden="1" customWidth="1"/>
    <col min="3042" max="3042" width="6.44140625" style="47" customWidth="1"/>
    <col min="3043" max="3044" width="11.44140625" style="47" hidden="1" customWidth="1"/>
    <col min="3045" max="3045" width="7" style="47" customWidth="1"/>
    <col min="3046" max="3047" width="11.44140625" style="47" hidden="1" customWidth="1"/>
    <col min="3048" max="3050" width="7" style="47" customWidth="1"/>
    <col min="3051" max="3052" width="11.44140625" style="47" hidden="1" customWidth="1"/>
    <col min="3053" max="3053" width="7.44140625" style="47" customWidth="1"/>
    <col min="3054" max="3055" width="11.44140625" style="47" hidden="1" customWidth="1"/>
    <col min="3056" max="3056" width="7" style="47" customWidth="1"/>
    <col min="3057" max="3058" width="11.44140625" style="47" hidden="1" customWidth="1"/>
    <col min="3059" max="3059" width="7" style="47" customWidth="1"/>
    <col min="3060" max="3061" width="11.44140625" style="47" hidden="1" customWidth="1"/>
    <col min="3062" max="3062" width="7" style="47" customWidth="1"/>
    <col min="3063" max="3063" width="11.44140625" style="47" hidden="1" customWidth="1"/>
    <col min="3064" max="3064" width="6.44140625" style="47" customWidth="1"/>
    <col min="3065" max="3074" width="11.44140625" style="47" hidden="1" customWidth="1"/>
    <col min="3075" max="3109" width="11.44140625" style="47" hidden="1"/>
    <col min="3110" max="3110" width="41.44140625" style="47" customWidth="1"/>
    <col min="3111" max="3111" width="6.44140625" style="47" customWidth="1"/>
    <col min="3112" max="3112" width="14.5546875" style="47" customWidth="1"/>
    <col min="3113" max="3113" width="11.44140625" style="47" customWidth="1"/>
    <col min="3114" max="3114" width="13" style="47" customWidth="1"/>
    <col min="3115" max="3115" width="25.44140625" style="47" customWidth="1"/>
    <col min="3116" max="3116" width="9.44140625" style="47" customWidth="1"/>
    <col min="3117" max="3125" width="11.44140625" style="47" hidden="1" customWidth="1"/>
    <col min="3126" max="3126" width="8.88671875" style="47" customWidth="1"/>
    <col min="3127" max="3127" width="9.44140625" style="47" customWidth="1"/>
    <col min="3128" max="3128" width="10.109375" style="47" customWidth="1"/>
    <col min="3129" max="3140" width="11.44140625" style="47" hidden="1" customWidth="1"/>
    <col min="3141" max="3141" width="13.88671875" style="47" customWidth="1"/>
    <col min="3142" max="3142" width="11.44140625" style="47" customWidth="1"/>
    <col min="3143" max="3143" width="56.88671875" style="47" customWidth="1"/>
    <col min="3144" max="3144" width="9.109375" style="47" customWidth="1"/>
    <col min="3145" max="3145" width="24.44140625" style="47" customWidth="1"/>
    <col min="3146" max="3146" width="22.88671875" style="47" customWidth="1"/>
    <col min="3147" max="3147" width="14.5546875" style="47" customWidth="1"/>
    <col min="3148" max="3148" width="5" style="47" customWidth="1"/>
    <col min="3149" max="3150" width="11.44140625" style="47" hidden="1" customWidth="1"/>
    <col min="3151" max="3151" width="5" style="47" customWidth="1"/>
    <col min="3152" max="3153" width="11.44140625" style="47" hidden="1" customWidth="1"/>
    <col min="3154" max="3154" width="5" style="47" customWidth="1"/>
    <col min="3155" max="3156" width="11.44140625" style="47" hidden="1" customWidth="1"/>
    <col min="3157" max="3157" width="5" style="47" customWidth="1"/>
    <col min="3158" max="3159" width="11.44140625" style="47" hidden="1" customWidth="1"/>
    <col min="3160" max="3160" width="5" style="47" customWidth="1"/>
    <col min="3161" max="3162" width="11.44140625" style="47" hidden="1" customWidth="1"/>
    <col min="3163" max="3163" width="5" style="47" customWidth="1"/>
    <col min="3164" max="3225" width="11.44140625" style="47" hidden="1" customWidth="1"/>
    <col min="3226" max="3226" width="9.44140625" style="47" customWidth="1"/>
    <col min="3227" max="3227" width="11.44140625" style="47" hidden="1" customWidth="1"/>
    <col min="3228" max="3228" width="5" style="47" customWidth="1"/>
    <col min="3229" max="3244" width="11.44140625" style="47" hidden="1" customWidth="1"/>
    <col min="3245" max="3245" width="6.44140625" style="47" customWidth="1"/>
    <col min="3246" max="3261" width="11.44140625" style="47" hidden="1" customWidth="1"/>
    <col min="3262" max="3262" width="7.109375" style="47" customWidth="1"/>
    <col min="3263" max="3269" width="11.44140625" style="47" hidden="1" customWidth="1"/>
    <col min="3270" max="3270" width="6.44140625" style="47" customWidth="1"/>
    <col min="3271" max="3272" width="11.44140625" style="47" hidden="1" customWidth="1"/>
    <col min="3273" max="3273" width="6.88671875" style="47" customWidth="1"/>
    <col min="3274" max="3275" width="11.44140625" style="47" hidden="1" customWidth="1"/>
    <col min="3276" max="3276" width="6.88671875" style="47" customWidth="1"/>
    <col min="3277" max="3278" width="11.44140625" style="47" hidden="1" customWidth="1"/>
    <col min="3279" max="3279" width="6.44140625" style="47" customWidth="1"/>
    <col min="3280" max="3284" width="11.44140625" style="47" hidden="1" customWidth="1"/>
    <col min="3285" max="3285" width="6.44140625" style="47" customWidth="1"/>
    <col min="3286" max="3287" width="11.44140625" style="47" hidden="1" customWidth="1"/>
    <col min="3288" max="3288" width="7.44140625" style="47" customWidth="1"/>
    <col min="3289" max="3289" width="11.44140625" style="47" hidden="1" customWidth="1"/>
    <col min="3290" max="3290" width="9.44140625" style="47" customWidth="1"/>
    <col min="3291" max="3291" width="11.44140625" style="47" hidden="1" customWidth="1"/>
    <col min="3292" max="3292" width="9" style="47" customWidth="1"/>
    <col min="3293" max="3294" width="11.44140625" style="47" hidden="1" customWidth="1"/>
    <col min="3295" max="3295" width="8.44140625" style="47" customWidth="1"/>
    <col min="3296" max="3297" width="11.44140625" style="47" hidden="1" customWidth="1"/>
    <col min="3298" max="3298" width="6.44140625" style="47" customWidth="1"/>
    <col min="3299" max="3300" width="11.44140625" style="47" hidden="1" customWidth="1"/>
    <col min="3301" max="3301" width="7" style="47" customWidth="1"/>
    <col min="3302" max="3303" width="11.44140625" style="47" hidden="1" customWidth="1"/>
    <col min="3304" max="3306" width="7" style="47" customWidth="1"/>
    <col min="3307" max="3308" width="11.44140625" style="47" hidden="1" customWidth="1"/>
    <col min="3309" max="3309" width="7.44140625" style="47" customWidth="1"/>
    <col min="3310" max="3311" width="11.44140625" style="47" hidden="1" customWidth="1"/>
    <col min="3312" max="3312" width="7" style="47" customWidth="1"/>
    <col min="3313" max="3314" width="11.44140625" style="47" hidden="1" customWidth="1"/>
    <col min="3315" max="3315" width="7" style="47" customWidth="1"/>
    <col min="3316" max="3317" width="11.44140625" style="47" hidden="1" customWidth="1"/>
    <col min="3318" max="3318" width="7" style="47" customWidth="1"/>
    <col min="3319" max="3319" width="11.44140625" style="47" hidden="1" customWidth="1"/>
    <col min="3320" max="3320" width="6.44140625" style="47" customWidth="1"/>
    <col min="3321" max="3330" width="11.44140625" style="47" hidden="1" customWidth="1"/>
    <col min="3331" max="3365" width="11.44140625" style="47" hidden="1"/>
    <col min="3366" max="3366" width="41.44140625" style="47" customWidth="1"/>
    <col min="3367" max="3367" width="6.44140625" style="47" customWidth="1"/>
    <col min="3368" max="3368" width="14.5546875" style="47" customWidth="1"/>
    <col min="3369" max="3369" width="11.44140625" style="47" customWidth="1"/>
    <col min="3370" max="3370" width="13" style="47" customWidth="1"/>
    <col min="3371" max="3371" width="25.44140625" style="47" customWidth="1"/>
    <col min="3372" max="3372" width="9.44140625" style="47" customWidth="1"/>
    <col min="3373" max="3381" width="11.44140625" style="47" hidden="1" customWidth="1"/>
    <col min="3382" max="3382" width="8.88671875" style="47" customWidth="1"/>
    <col min="3383" max="3383" width="9.44140625" style="47" customWidth="1"/>
    <col min="3384" max="3384" width="10.109375" style="47" customWidth="1"/>
    <col min="3385" max="3396" width="11.44140625" style="47" hidden="1" customWidth="1"/>
    <col min="3397" max="3397" width="13.88671875" style="47" customWidth="1"/>
    <col min="3398" max="3398" width="11.44140625" style="47" customWidth="1"/>
    <col min="3399" max="3399" width="56.88671875" style="47" customWidth="1"/>
    <col min="3400" max="3400" width="9.109375" style="47" customWidth="1"/>
    <col min="3401" max="3401" width="24.44140625" style="47" customWidth="1"/>
    <col min="3402" max="3402" width="22.88671875" style="47" customWidth="1"/>
    <col min="3403" max="3403" width="14.5546875" style="47" customWidth="1"/>
    <col min="3404" max="3404" width="5" style="47" customWidth="1"/>
    <col min="3405" max="3406" width="11.44140625" style="47" hidden="1" customWidth="1"/>
    <col min="3407" max="3407" width="5" style="47" customWidth="1"/>
    <col min="3408" max="3409" width="11.44140625" style="47" hidden="1" customWidth="1"/>
    <col min="3410" max="3410" width="5" style="47" customWidth="1"/>
    <col min="3411" max="3412" width="11.44140625" style="47" hidden="1" customWidth="1"/>
    <col min="3413" max="3413" width="5" style="47" customWidth="1"/>
    <col min="3414" max="3415" width="11.44140625" style="47" hidden="1" customWidth="1"/>
    <col min="3416" max="3416" width="5" style="47" customWidth="1"/>
    <col min="3417" max="3418" width="11.44140625" style="47" hidden="1" customWidth="1"/>
    <col min="3419" max="3419" width="5" style="47" customWidth="1"/>
    <col min="3420" max="3481" width="11.44140625" style="47" hidden="1" customWidth="1"/>
    <col min="3482" max="3482" width="9.44140625" style="47" customWidth="1"/>
    <col min="3483" max="3483" width="11.44140625" style="47" hidden="1" customWidth="1"/>
    <col min="3484" max="3484" width="5" style="47" customWidth="1"/>
    <col min="3485" max="3500" width="11.44140625" style="47" hidden="1" customWidth="1"/>
    <col min="3501" max="3501" width="6.44140625" style="47" customWidth="1"/>
    <col min="3502" max="3517" width="11.44140625" style="47" hidden="1" customWidth="1"/>
    <col min="3518" max="3518" width="7.109375" style="47" customWidth="1"/>
    <col min="3519" max="3525" width="11.44140625" style="47" hidden="1" customWidth="1"/>
    <col min="3526" max="3526" width="6.44140625" style="47" customWidth="1"/>
    <col min="3527" max="3528" width="11.44140625" style="47" hidden="1" customWidth="1"/>
    <col min="3529" max="3529" width="6.88671875" style="47" customWidth="1"/>
    <col min="3530" max="3531" width="11.44140625" style="47" hidden="1" customWidth="1"/>
    <col min="3532" max="3532" width="6.88671875" style="47" customWidth="1"/>
    <col min="3533" max="3534" width="11.44140625" style="47" hidden="1" customWidth="1"/>
    <col min="3535" max="3535" width="6.44140625" style="47" customWidth="1"/>
    <col min="3536" max="3540" width="11.44140625" style="47" hidden="1" customWidth="1"/>
    <col min="3541" max="3541" width="6.44140625" style="47" customWidth="1"/>
    <col min="3542" max="3543" width="11.44140625" style="47" hidden="1" customWidth="1"/>
    <col min="3544" max="3544" width="7.44140625" style="47" customWidth="1"/>
    <col min="3545" max="3545" width="11.44140625" style="47" hidden="1" customWidth="1"/>
    <col min="3546" max="3546" width="9.44140625" style="47" customWidth="1"/>
    <col min="3547" max="3547" width="11.44140625" style="47" hidden="1" customWidth="1"/>
    <col min="3548" max="3548" width="9" style="47" customWidth="1"/>
    <col min="3549" max="3550" width="11.44140625" style="47" hidden="1" customWidth="1"/>
    <col min="3551" max="3551" width="8.44140625" style="47" customWidth="1"/>
    <col min="3552" max="3553" width="11.44140625" style="47" hidden="1" customWidth="1"/>
    <col min="3554" max="3554" width="6.44140625" style="47" customWidth="1"/>
    <col min="3555" max="3556" width="11.44140625" style="47" hidden="1" customWidth="1"/>
    <col min="3557" max="3557" width="7" style="47" customWidth="1"/>
    <col min="3558" max="3559" width="11.44140625" style="47" hidden="1" customWidth="1"/>
    <col min="3560" max="3562" width="7" style="47" customWidth="1"/>
    <col min="3563" max="3564" width="11.44140625" style="47" hidden="1" customWidth="1"/>
    <col min="3565" max="3565" width="7.44140625" style="47" customWidth="1"/>
    <col min="3566" max="3567" width="11.44140625" style="47" hidden="1" customWidth="1"/>
    <col min="3568" max="3568" width="7" style="47" customWidth="1"/>
    <col min="3569" max="3570" width="11.44140625" style="47" hidden="1" customWidth="1"/>
    <col min="3571" max="3571" width="7" style="47" customWidth="1"/>
    <col min="3572" max="3573" width="11.44140625" style="47" hidden="1" customWidth="1"/>
    <col min="3574" max="3574" width="7" style="47" customWidth="1"/>
    <col min="3575" max="3575" width="11.44140625" style="47" hidden="1" customWidth="1"/>
    <col min="3576" max="3576" width="6.44140625" style="47" customWidth="1"/>
    <col min="3577" max="3586" width="11.44140625" style="47" hidden="1" customWidth="1"/>
    <col min="3587" max="3621" width="11.44140625" style="47" hidden="1"/>
    <col min="3622" max="3622" width="41.44140625" style="47" customWidth="1"/>
    <col min="3623" max="3623" width="6.44140625" style="47" customWidth="1"/>
    <col min="3624" max="3624" width="14.5546875" style="47" customWidth="1"/>
    <col min="3625" max="3625" width="11.44140625" style="47" customWidth="1"/>
    <col min="3626" max="3626" width="13" style="47" customWidth="1"/>
    <col min="3627" max="3627" width="25.44140625" style="47" customWidth="1"/>
    <col min="3628" max="3628" width="9.44140625" style="47" customWidth="1"/>
    <col min="3629" max="3637" width="11.44140625" style="47" hidden="1" customWidth="1"/>
    <col min="3638" max="3638" width="8.88671875" style="47" customWidth="1"/>
    <col min="3639" max="3639" width="9.44140625" style="47" customWidth="1"/>
    <col min="3640" max="3640" width="10.109375" style="47" customWidth="1"/>
    <col min="3641" max="3652" width="11.44140625" style="47" hidden="1" customWidth="1"/>
    <col min="3653" max="3653" width="13.88671875" style="47" customWidth="1"/>
    <col min="3654" max="3654" width="11.44140625" style="47" customWidth="1"/>
    <col min="3655" max="3655" width="56.88671875" style="47" customWidth="1"/>
    <col min="3656" max="3656" width="9.109375" style="47" customWidth="1"/>
    <col min="3657" max="3657" width="24.44140625" style="47" customWidth="1"/>
    <col min="3658" max="3658" width="22.88671875" style="47" customWidth="1"/>
    <col min="3659" max="3659" width="14.5546875" style="47" customWidth="1"/>
    <col min="3660" max="3660" width="5" style="47" customWidth="1"/>
    <col min="3661" max="3662" width="11.44140625" style="47" hidden="1" customWidth="1"/>
    <col min="3663" max="3663" width="5" style="47" customWidth="1"/>
    <col min="3664" max="3665" width="11.44140625" style="47" hidden="1" customWidth="1"/>
    <col min="3666" max="3666" width="5" style="47" customWidth="1"/>
    <col min="3667" max="3668" width="11.44140625" style="47" hidden="1" customWidth="1"/>
    <col min="3669" max="3669" width="5" style="47" customWidth="1"/>
    <col min="3670" max="3671" width="11.44140625" style="47" hidden="1" customWidth="1"/>
    <col min="3672" max="3672" width="5" style="47" customWidth="1"/>
    <col min="3673" max="3674" width="11.44140625" style="47" hidden="1" customWidth="1"/>
    <col min="3675" max="3675" width="5" style="47" customWidth="1"/>
    <col min="3676" max="3737" width="11.44140625" style="47" hidden="1" customWidth="1"/>
    <col min="3738" max="3738" width="9.44140625" style="47" customWidth="1"/>
    <col min="3739" max="3739" width="11.44140625" style="47" hidden="1" customWidth="1"/>
    <col min="3740" max="3740" width="5" style="47" customWidth="1"/>
    <col min="3741" max="3756" width="11.44140625" style="47" hidden="1" customWidth="1"/>
    <col min="3757" max="3757" width="6.44140625" style="47" customWidth="1"/>
    <col min="3758" max="3773" width="11.44140625" style="47" hidden="1" customWidth="1"/>
    <col min="3774" max="3774" width="7.109375" style="47" customWidth="1"/>
    <col min="3775" max="3781" width="11.44140625" style="47" hidden="1" customWidth="1"/>
    <col min="3782" max="3782" width="6.44140625" style="47" customWidth="1"/>
    <col min="3783" max="3784" width="11.44140625" style="47" hidden="1" customWidth="1"/>
    <col min="3785" max="3785" width="6.88671875" style="47" customWidth="1"/>
    <col min="3786" max="3787" width="11.44140625" style="47" hidden="1" customWidth="1"/>
    <col min="3788" max="3788" width="6.88671875" style="47" customWidth="1"/>
    <col min="3789" max="3790" width="11.44140625" style="47" hidden="1" customWidth="1"/>
    <col min="3791" max="3791" width="6.44140625" style="47" customWidth="1"/>
    <col min="3792" max="3796" width="11.44140625" style="47" hidden="1" customWidth="1"/>
    <col min="3797" max="3797" width="6.44140625" style="47" customWidth="1"/>
    <col min="3798" max="3799" width="11.44140625" style="47" hidden="1" customWidth="1"/>
    <col min="3800" max="3800" width="7.44140625" style="47" customWidth="1"/>
    <col min="3801" max="3801" width="11.44140625" style="47" hidden="1" customWidth="1"/>
    <col min="3802" max="3802" width="9.44140625" style="47" customWidth="1"/>
    <col min="3803" max="3803" width="11.44140625" style="47" hidden="1" customWidth="1"/>
    <col min="3804" max="3804" width="9" style="47" customWidth="1"/>
    <col min="3805" max="3806" width="11.44140625" style="47" hidden="1" customWidth="1"/>
    <col min="3807" max="3807" width="8.44140625" style="47" customWidth="1"/>
    <col min="3808" max="3809" width="11.44140625" style="47" hidden="1" customWidth="1"/>
    <col min="3810" max="3810" width="6.44140625" style="47" customWidth="1"/>
    <col min="3811" max="3812" width="11.44140625" style="47" hidden="1" customWidth="1"/>
    <col min="3813" max="3813" width="7" style="47" customWidth="1"/>
    <col min="3814" max="3815" width="11.44140625" style="47" hidden="1" customWidth="1"/>
    <col min="3816" max="3818" width="7" style="47" customWidth="1"/>
    <col min="3819" max="3820" width="11.44140625" style="47" hidden="1" customWidth="1"/>
    <col min="3821" max="3821" width="7.44140625" style="47" customWidth="1"/>
    <col min="3822" max="3823" width="11.44140625" style="47" hidden="1" customWidth="1"/>
    <col min="3824" max="3824" width="7" style="47" customWidth="1"/>
    <col min="3825" max="3826" width="11.44140625" style="47" hidden="1" customWidth="1"/>
    <col min="3827" max="3827" width="7" style="47" customWidth="1"/>
    <col min="3828" max="3829" width="11.44140625" style="47" hidden="1" customWidth="1"/>
    <col min="3830" max="3830" width="7" style="47" customWidth="1"/>
    <col min="3831" max="3831" width="11.44140625" style="47" hidden="1" customWidth="1"/>
    <col min="3832" max="3832" width="6.44140625" style="47" customWidth="1"/>
    <col min="3833" max="3842" width="11.44140625" style="47" hidden="1" customWidth="1"/>
    <col min="3843" max="3877" width="11.44140625" style="47" hidden="1"/>
    <col min="3878" max="3878" width="41.44140625" style="47" customWidth="1"/>
    <col min="3879" max="3879" width="6.44140625" style="47" customWidth="1"/>
    <col min="3880" max="3880" width="14.5546875" style="47" customWidth="1"/>
    <col min="3881" max="3881" width="11.44140625" style="47" customWidth="1"/>
    <col min="3882" max="3882" width="13" style="47" customWidth="1"/>
    <col min="3883" max="3883" width="25.44140625" style="47" customWidth="1"/>
    <col min="3884" max="3884" width="9.44140625" style="47" customWidth="1"/>
    <col min="3885" max="3893" width="11.44140625" style="47" hidden="1" customWidth="1"/>
    <col min="3894" max="3894" width="8.88671875" style="47" customWidth="1"/>
    <col min="3895" max="3895" width="9.44140625" style="47" customWidth="1"/>
    <col min="3896" max="3896" width="10.109375" style="47" customWidth="1"/>
    <col min="3897" max="3908" width="11.44140625" style="47" hidden="1" customWidth="1"/>
    <col min="3909" max="3909" width="13.88671875" style="47" customWidth="1"/>
    <col min="3910" max="3910" width="11.44140625" style="47" customWidth="1"/>
    <col min="3911" max="3911" width="56.88671875" style="47" customWidth="1"/>
    <col min="3912" max="3912" width="9.109375" style="47" customWidth="1"/>
    <col min="3913" max="3913" width="24.44140625" style="47" customWidth="1"/>
    <col min="3914" max="3914" width="22.88671875" style="47" customWidth="1"/>
    <col min="3915" max="3915" width="14.5546875" style="47" customWidth="1"/>
    <col min="3916" max="3916" width="5" style="47" customWidth="1"/>
    <col min="3917" max="3918" width="11.44140625" style="47" hidden="1" customWidth="1"/>
    <col min="3919" max="3919" width="5" style="47" customWidth="1"/>
    <col min="3920" max="3921" width="11.44140625" style="47" hidden="1" customWidth="1"/>
    <col min="3922" max="3922" width="5" style="47" customWidth="1"/>
    <col min="3923" max="3924" width="11.44140625" style="47" hidden="1" customWidth="1"/>
    <col min="3925" max="3925" width="5" style="47" customWidth="1"/>
    <col min="3926" max="3927" width="11.44140625" style="47" hidden="1" customWidth="1"/>
    <col min="3928" max="3928" width="5" style="47" customWidth="1"/>
    <col min="3929" max="3930" width="11.44140625" style="47" hidden="1" customWidth="1"/>
    <col min="3931" max="3931" width="5" style="47" customWidth="1"/>
    <col min="3932" max="3993" width="11.44140625" style="47" hidden="1" customWidth="1"/>
    <col min="3994" max="3994" width="9.44140625" style="47" customWidth="1"/>
    <col min="3995" max="3995" width="11.44140625" style="47" hidden="1" customWidth="1"/>
    <col min="3996" max="3996" width="5" style="47" customWidth="1"/>
    <col min="3997" max="4012" width="11.44140625" style="47" hidden="1" customWidth="1"/>
    <col min="4013" max="4013" width="6.44140625" style="47" customWidth="1"/>
    <col min="4014" max="4029" width="11.44140625" style="47" hidden="1" customWidth="1"/>
    <col min="4030" max="4030" width="7.109375" style="47" customWidth="1"/>
    <col min="4031" max="4037" width="11.44140625" style="47" hidden="1" customWidth="1"/>
    <col min="4038" max="4038" width="6.44140625" style="47" customWidth="1"/>
    <col min="4039" max="4040" width="11.44140625" style="47" hidden="1" customWidth="1"/>
    <col min="4041" max="4041" width="6.88671875" style="47" customWidth="1"/>
    <col min="4042" max="4043" width="11.44140625" style="47" hidden="1" customWidth="1"/>
    <col min="4044" max="4044" width="6.88671875" style="47" customWidth="1"/>
    <col min="4045" max="4046" width="11.44140625" style="47" hidden="1" customWidth="1"/>
    <col min="4047" max="4047" width="6.44140625" style="47" customWidth="1"/>
    <col min="4048" max="4052" width="11.44140625" style="47" hidden="1" customWidth="1"/>
    <col min="4053" max="4053" width="6.44140625" style="47" customWidth="1"/>
    <col min="4054" max="4055" width="11.44140625" style="47" hidden="1" customWidth="1"/>
    <col min="4056" max="4056" width="7.44140625" style="47" customWidth="1"/>
    <col min="4057" max="4057" width="11.44140625" style="47" hidden="1" customWidth="1"/>
    <col min="4058" max="4058" width="9.44140625" style="47" customWidth="1"/>
    <col min="4059" max="4059" width="11.44140625" style="47" hidden="1" customWidth="1"/>
    <col min="4060" max="4060" width="9" style="47" customWidth="1"/>
    <col min="4061" max="4062" width="11.44140625" style="47" hidden="1" customWidth="1"/>
    <col min="4063" max="4063" width="8.44140625" style="47" customWidth="1"/>
    <col min="4064" max="4065" width="11.44140625" style="47" hidden="1" customWidth="1"/>
    <col min="4066" max="4066" width="6.44140625" style="47" customWidth="1"/>
    <col min="4067" max="4068" width="11.44140625" style="47" hidden="1" customWidth="1"/>
    <col min="4069" max="4069" width="7" style="47" customWidth="1"/>
    <col min="4070" max="4071" width="11.44140625" style="47" hidden="1" customWidth="1"/>
    <col min="4072" max="4074" width="7" style="47" customWidth="1"/>
    <col min="4075" max="4076" width="11.44140625" style="47" hidden="1" customWidth="1"/>
    <col min="4077" max="4077" width="7.44140625" style="47" customWidth="1"/>
    <col min="4078" max="4079" width="11.44140625" style="47" hidden="1" customWidth="1"/>
    <col min="4080" max="4080" width="7" style="47" customWidth="1"/>
    <col min="4081" max="4082" width="11.44140625" style="47" hidden="1" customWidth="1"/>
    <col min="4083" max="4083" width="7" style="47" customWidth="1"/>
    <col min="4084" max="4085" width="11.44140625" style="47" hidden="1" customWidth="1"/>
    <col min="4086" max="4086" width="7" style="47" customWidth="1"/>
    <col min="4087" max="4087" width="11.44140625" style="47" hidden="1" customWidth="1"/>
    <col min="4088" max="4088" width="6.44140625" style="47" customWidth="1"/>
    <col min="4089" max="4098" width="11.44140625" style="47" hidden="1" customWidth="1"/>
    <col min="4099" max="4133" width="11.44140625" style="47" hidden="1"/>
    <col min="4134" max="4134" width="41.44140625" style="47" customWidth="1"/>
    <col min="4135" max="4135" width="6.44140625" style="47" customWidth="1"/>
    <col min="4136" max="4136" width="14.5546875" style="47" customWidth="1"/>
    <col min="4137" max="4137" width="11.44140625" style="47" customWidth="1"/>
    <col min="4138" max="4138" width="13" style="47" customWidth="1"/>
    <col min="4139" max="4139" width="25.44140625" style="47" customWidth="1"/>
    <col min="4140" max="4140" width="9.44140625" style="47" customWidth="1"/>
    <col min="4141" max="4149" width="11.44140625" style="47" hidden="1" customWidth="1"/>
    <col min="4150" max="4150" width="8.88671875" style="47" customWidth="1"/>
    <col min="4151" max="4151" width="9.44140625" style="47" customWidth="1"/>
    <col min="4152" max="4152" width="10.109375" style="47" customWidth="1"/>
    <col min="4153" max="4164" width="11.44140625" style="47" hidden="1" customWidth="1"/>
    <col min="4165" max="4165" width="13.88671875" style="47" customWidth="1"/>
    <col min="4166" max="4166" width="11.44140625" style="47" customWidth="1"/>
    <col min="4167" max="4167" width="56.88671875" style="47" customWidth="1"/>
    <col min="4168" max="4168" width="9.109375" style="47" customWidth="1"/>
    <col min="4169" max="4169" width="24.44140625" style="47" customWidth="1"/>
    <col min="4170" max="4170" width="22.88671875" style="47" customWidth="1"/>
    <col min="4171" max="4171" width="14.5546875" style="47" customWidth="1"/>
    <col min="4172" max="4172" width="5" style="47" customWidth="1"/>
    <col min="4173" max="4174" width="11.44140625" style="47" hidden="1" customWidth="1"/>
    <col min="4175" max="4175" width="5" style="47" customWidth="1"/>
    <col min="4176" max="4177" width="11.44140625" style="47" hidden="1" customWidth="1"/>
    <col min="4178" max="4178" width="5" style="47" customWidth="1"/>
    <col min="4179" max="4180" width="11.44140625" style="47" hidden="1" customWidth="1"/>
    <col min="4181" max="4181" width="5" style="47" customWidth="1"/>
    <col min="4182" max="4183" width="11.44140625" style="47" hidden="1" customWidth="1"/>
    <col min="4184" max="4184" width="5" style="47" customWidth="1"/>
    <col min="4185" max="4186" width="11.44140625" style="47" hidden="1" customWidth="1"/>
    <col min="4187" max="4187" width="5" style="47" customWidth="1"/>
    <col min="4188" max="4249" width="11.44140625" style="47" hidden="1" customWidth="1"/>
    <col min="4250" max="4250" width="9.44140625" style="47" customWidth="1"/>
    <col min="4251" max="4251" width="11.44140625" style="47" hidden="1" customWidth="1"/>
    <col min="4252" max="4252" width="5" style="47" customWidth="1"/>
    <col min="4253" max="4268" width="11.44140625" style="47" hidden="1" customWidth="1"/>
    <col min="4269" max="4269" width="6.44140625" style="47" customWidth="1"/>
    <col min="4270" max="4285" width="11.44140625" style="47" hidden="1" customWidth="1"/>
    <col min="4286" max="4286" width="7.109375" style="47" customWidth="1"/>
    <col min="4287" max="4293" width="11.44140625" style="47" hidden="1" customWidth="1"/>
    <col min="4294" max="4294" width="6.44140625" style="47" customWidth="1"/>
    <col min="4295" max="4296" width="11.44140625" style="47" hidden="1" customWidth="1"/>
    <col min="4297" max="4297" width="6.88671875" style="47" customWidth="1"/>
    <col min="4298" max="4299" width="11.44140625" style="47" hidden="1" customWidth="1"/>
    <col min="4300" max="4300" width="6.88671875" style="47" customWidth="1"/>
    <col min="4301" max="4302" width="11.44140625" style="47" hidden="1" customWidth="1"/>
    <col min="4303" max="4303" width="6.44140625" style="47" customWidth="1"/>
    <col min="4304" max="4308" width="11.44140625" style="47" hidden="1" customWidth="1"/>
    <col min="4309" max="4309" width="6.44140625" style="47" customWidth="1"/>
    <col min="4310" max="4311" width="11.44140625" style="47" hidden="1" customWidth="1"/>
    <col min="4312" max="4312" width="7.44140625" style="47" customWidth="1"/>
    <col min="4313" max="4313" width="11.44140625" style="47" hidden="1" customWidth="1"/>
    <col min="4314" max="4314" width="9.44140625" style="47" customWidth="1"/>
    <col min="4315" max="4315" width="11.44140625" style="47" hidden="1" customWidth="1"/>
    <col min="4316" max="4316" width="9" style="47" customWidth="1"/>
    <col min="4317" max="4318" width="11.44140625" style="47" hidden="1" customWidth="1"/>
    <col min="4319" max="4319" width="8.44140625" style="47" customWidth="1"/>
    <col min="4320" max="4321" width="11.44140625" style="47" hidden="1" customWidth="1"/>
    <col min="4322" max="4322" width="6.44140625" style="47" customWidth="1"/>
    <col min="4323" max="4324" width="11.44140625" style="47" hidden="1" customWidth="1"/>
    <col min="4325" max="4325" width="7" style="47" customWidth="1"/>
    <col min="4326" max="4327" width="11.44140625" style="47" hidden="1" customWidth="1"/>
    <col min="4328" max="4330" width="7" style="47" customWidth="1"/>
    <col min="4331" max="4332" width="11.44140625" style="47" hidden="1" customWidth="1"/>
    <col min="4333" max="4333" width="7.44140625" style="47" customWidth="1"/>
    <col min="4334" max="4335" width="11.44140625" style="47" hidden="1" customWidth="1"/>
    <col min="4336" max="4336" width="7" style="47" customWidth="1"/>
    <col min="4337" max="4338" width="11.44140625" style="47" hidden="1" customWidth="1"/>
    <col min="4339" max="4339" width="7" style="47" customWidth="1"/>
    <col min="4340" max="4341" width="11.44140625" style="47" hidden="1" customWidth="1"/>
    <col min="4342" max="4342" width="7" style="47" customWidth="1"/>
    <col min="4343" max="4343" width="11.44140625" style="47" hidden="1" customWidth="1"/>
    <col min="4344" max="4344" width="6.44140625" style="47" customWidth="1"/>
    <col min="4345" max="4354" width="11.44140625" style="47" hidden="1" customWidth="1"/>
    <col min="4355" max="4389" width="11.44140625" style="47" hidden="1"/>
    <col min="4390" max="4390" width="41.44140625" style="47" customWidth="1"/>
    <col min="4391" max="4391" width="6.44140625" style="47" customWidth="1"/>
    <col min="4392" max="4392" width="14.5546875" style="47" customWidth="1"/>
    <col min="4393" max="4393" width="11.44140625" style="47" customWidth="1"/>
    <col min="4394" max="4394" width="13" style="47" customWidth="1"/>
    <col min="4395" max="4395" width="25.44140625" style="47" customWidth="1"/>
    <col min="4396" max="4396" width="9.44140625" style="47" customWidth="1"/>
    <col min="4397" max="4405" width="11.44140625" style="47" hidden="1" customWidth="1"/>
    <col min="4406" max="4406" width="8.88671875" style="47" customWidth="1"/>
    <col min="4407" max="4407" width="9.44140625" style="47" customWidth="1"/>
    <col min="4408" max="4408" width="10.109375" style="47" customWidth="1"/>
    <col min="4409" max="4420" width="11.44140625" style="47" hidden="1" customWidth="1"/>
    <col min="4421" max="4421" width="13.88671875" style="47" customWidth="1"/>
    <col min="4422" max="4422" width="11.44140625" style="47" customWidth="1"/>
    <col min="4423" max="4423" width="56.88671875" style="47" customWidth="1"/>
    <col min="4424" max="4424" width="9.109375" style="47" customWidth="1"/>
    <col min="4425" max="4425" width="24.44140625" style="47" customWidth="1"/>
    <col min="4426" max="4426" width="22.88671875" style="47" customWidth="1"/>
    <col min="4427" max="4427" width="14.5546875" style="47" customWidth="1"/>
    <col min="4428" max="4428" width="5" style="47" customWidth="1"/>
    <col min="4429" max="4430" width="11.44140625" style="47" hidden="1" customWidth="1"/>
    <col min="4431" max="4431" width="5" style="47" customWidth="1"/>
    <col min="4432" max="4433" width="11.44140625" style="47" hidden="1" customWidth="1"/>
    <col min="4434" max="4434" width="5" style="47" customWidth="1"/>
    <col min="4435" max="4436" width="11.44140625" style="47" hidden="1" customWidth="1"/>
    <col min="4437" max="4437" width="5" style="47" customWidth="1"/>
    <col min="4438" max="4439" width="11.44140625" style="47" hidden="1" customWidth="1"/>
    <col min="4440" max="4440" width="5" style="47" customWidth="1"/>
    <col min="4441" max="4442" width="11.44140625" style="47" hidden="1" customWidth="1"/>
    <col min="4443" max="4443" width="5" style="47" customWidth="1"/>
    <col min="4444" max="4505" width="11.44140625" style="47" hidden="1" customWidth="1"/>
    <col min="4506" max="4506" width="9.44140625" style="47" customWidth="1"/>
    <col min="4507" max="4507" width="11.44140625" style="47" hidden="1" customWidth="1"/>
    <col min="4508" max="4508" width="5" style="47" customWidth="1"/>
    <col min="4509" max="4524" width="11.44140625" style="47" hidden="1" customWidth="1"/>
    <col min="4525" max="4525" width="6.44140625" style="47" customWidth="1"/>
    <col min="4526" max="4541" width="11.44140625" style="47" hidden="1" customWidth="1"/>
    <col min="4542" max="4542" width="7.109375" style="47" customWidth="1"/>
    <col min="4543" max="4549" width="11.44140625" style="47" hidden="1" customWidth="1"/>
    <col min="4550" max="4550" width="6.44140625" style="47" customWidth="1"/>
    <col min="4551" max="4552" width="11.44140625" style="47" hidden="1" customWidth="1"/>
    <col min="4553" max="4553" width="6.88671875" style="47" customWidth="1"/>
    <col min="4554" max="4555" width="11.44140625" style="47" hidden="1" customWidth="1"/>
    <col min="4556" max="4556" width="6.88671875" style="47" customWidth="1"/>
    <col min="4557" max="4558" width="11.44140625" style="47" hidden="1" customWidth="1"/>
    <col min="4559" max="4559" width="6.44140625" style="47" customWidth="1"/>
    <col min="4560" max="4564" width="11.44140625" style="47" hidden="1" customWidth="1"/>
    <col min="4565" max="4565" width="6.44140625" style="47" customWidth="1"/>
    <col min="4566" max="4567" width="11.44140625" style="47" hidden="1" customWidth="1"/>
    <col min="4568" max="4568" width="7.44140625" style="47" customWidth="1"/>
    <col min="4569" max="4569" width="11.44140625" style="47" hidden="1" customWidth="1"/>
    <col min="4570" max="4570" width="9.44140625" style="47" customWidth="1"/>
    <col min="4571" max="4571" width="11.44140625" style="47" hidden="1" customWidth="1"/>
    <col min="4572" max="4572" width="9" style="47" customWidth="1"/>
    <col min="4573" max="4574" width="11.44140625" style="47" hidden="1" customWidth="1"/>
    <col min="4575" max="4575" width="8.44140625" style="47" customWidth="1"/>
    <col min="4576" max="4577" width="11.44140625" style="47" hidden="1" customWidth="1"/>
    <col min="4578" max="4578" width="6.44140625" style="47" customWidth="1"/>
    <col min="4579" max="4580" width="11.44140625" style="47" hidden="1" customWidth="1"/>
    <col min="4581" max="4581" width="7" style="47" customWidth="1"/>
    <col min="4582" max="4583" width="11.44140625" style="47" hidden="1" customWidth="1"/>
    <col min="4584" max="4586" width="7" style="47" customWidth="1"/>
    <col min="4587" max="4588" width="11.44140625" style="47" hidden="1" customWidth="1"/>
    <col min="4589" max="4589" width="7.44140625" style="47" customWidth="1"/>
    <col min="4590" max="4591" width="11.44140625" style="47" hidden="1" customWidth="1"/>
    <col min="4592" max="4592" width="7" style="47" customWidth="1"/>
    <col min="4593" max="4594" width="11.44140625" style="47" hidden="1" customWidth="1"/>
    <col min="4595" max="4595" width="7" style="47" customWidth="1"/>
    <col min="4596" max="4597" width="11.44140625" style="47" hidden="1" customWidth="1"/>
    <col min="4598" max="4598" width="7" style="47" customWidth="1"/>
    <col min="4599" max="4599" width="11.44140625" style="47" hidden="1" customWidth="1"/>
    <col min="4600" max="4600" width="6.44140625" style="47" customWidth="1"/>
    <col min="4601" max="4610" width="11.44140625" style="47" hidden="1" customWidth="1"/>
    <col min="4611" max="4645" width="11.44140625" style="47" hidden="1"/>
    <col min="4646" max="4646" width="41.44140625" style="47" customWidth="1"/>
    <col min="4647" max="4647" width="6.44140625" style="47" customWidth="1"/>
    <col min="4648" max="4648" width="14.5546875" style="47" customWidth="1"/>
    <col min="4649" max="4649" width="11.44140625" style="47" customWidth="1"/>
    <col min="4650" max="4650" width="13" style="47" customWidth="1"/>
    <col min="4651" max="4651" width="25.44140625" style="47" customWidth="1"/>
    <col min="4652" max="4652" width="9.44140625" style="47" customWidth="1"/>
    <col min="4653" max="4661" width="11.44140625" style="47" hidden="1" customWidth="1"/>
    <col min="4662" max="4662" width="8.88671875" style="47" customWidth="1"/>
    <col min="4663" max="4663" width="9.44140625" style="47" customWidth="1"/>
    <col min="4664" max="4664" width="10.109375" style="47" customWidth="1"/>
    <col min="4665" max="4676" width="11.44140625" style="47" hidden="1" customWidth="1"/>
    <col min="4677" max="4677" width="13.88671875" style="47" customWidth="1"/>
    <col min="4678" max="4678" width="11.44140625" style="47" customWidth="1"/>
    <col min="4679" max="4679" width="56.88671875" style="47" customWidth="1"/>
    <col min="4680" max="4680" width="9.109375" style="47" customWidth="1"/>
    <col min="4681" max="4681" width="24.44140625" style="47" customWidth="1"/>
    <col min="4682" max="4682" width="22.88671875" style="47" customWidth="1"/>
    <col min="4683" max="4683" width="14.5546875" style="47" customWidth="1"/>
    <col min="4684" max="4684" width="5" style="47" customWidth="1"/>
    <col min="4685" max="4686" width="11.44140625" style="47" hidden="1" customWidth="1"/>
    <col min="4687" max="4687" width="5" style="47" customWidth="1"/>
    <col min="4688" max="4689" width="11.44140625" style="47" hidden="1" customWidth="1"/>
    <col min="4690" max="4690" width="5" style="47" customWidth="1"/>
    <col min="4691" max="4692" width="11.44140625" style="47" hidden="1" customWidth="1"/>
    <col min="4693" max="4693" width="5" style="47" customWidth="1"/>
    <col min="4694" max="4695" width="11.44140625" style="47" hidden="1" customWidth="1"/>
    <col min="4696" max="4696" width="5" style="47" customWidth="1"/>
    <col min="4697" max="4698" width="11.44140625" style="47" hidden="1" customWidth="1"/>
    <col min="4699" max="4699" width="5" style="47" customWidth="1"/>
    <col min="4700" max="4761" width="11.44140625" style="47" hidden="1" customWidth="1"/>
    <col min="4762" max="4762" width="9.44140625" style="47" customWidth="1"/>
    <col min="4763" max="4763" width="11.44140625" style="47" hidden="1" customWidth="1"/>
    <col min="4764" max="4764" width="5" style="47" customWidth="1"/>
    <col min="4765" max="4780" width="11.44140625" style="47" hidden="1" customWidth="1"/>
    <col min="4781" max="4781" width="6.44140625" style="47" customWidth="1"/>
    <col min="4782" max="4797" width="11.44140625" style="47" hidden="1" customWidth="1"/>
    <col min="4798" max="4798" width="7.109375" style="47" customWidth="1"/>
    <col min="4799" max="4805" width="11.44140625" style="47" hidden="1" customWidth="1"/>
    <col min="4806" max="4806" width="6.44140625" style="47" customWidth="1"/>
    <col min="4807" max="4808" width="11.44140625" style="47" hidden="1" customWidth="1"/>
    <col min="4809" max="4809" width="6.88671875" style="47" customWidth="1"/>
    <col min="4810" max="4811" width="11.44140625" style="47" hidden="1" customWidth="1"/>
    <col min="4812" max="4812" width="6.88671875" style="47" customWidth="1"/>
    <col min="4813" max="4814" width="11.44140625" style="47" hidden="1" customWidth="1"/>
    <col min="4815" max="4815" width="6.44140625" style="47" customWidth="1"/>
    <col min="4816" max="4820" width="11.44140625" style="47" hidden="1" customWidth="1"/>
    <col min="4821" max="4821" width="6.44140625" style="47" customWidth="1"/>
    <col min="4822" max="4823" width="11.44140625" style="47" hidden="1" customWidth="1"/>
    <col min="4824" max="4824" width="7.44140625" style="47" customWidth="1"/>
    <col min="4825" max="4825" width="11.44140625" style="47" hidden="1" customWidth="1"/>
    <col min="4826" max="4826" width="9.44140625" style="47" customWidth="1"/>
    <col min="4827" max="4827" width="11.44140625" style="47" hidden="1" customWidth="1"/>
    <col min="4828" max="4828" width="9" style="47" customWidth="1"/>
    <col min="4829" max="4830" width="11.44140625" style="47" hidden="1" customWidth="1"/>
    <col min="4831" max="4831" width="8.44140625" style="47" customWidth="1"/>
    <col min="4832" max="4833" width="11.44140625" style="47" hidden="1" customWidth="1"/>
    <col min="4834" max="4834" width="6.44140625" style="47" customWidth="1"/>
    <col min="4835" max="4836" width="11.44140625" style="47" hidden="1" customWidth="1"/>
    <col min="4837" max="4837" width="7" style="47" customWidth="1"/>
    <col min="4838" max="4839" width="11.44140625" style="47" hidden="1" customWidth="1"/>
    <col min="4840" max="4842" width="7" style="47" customWidth="1"/>
    <col min="4843" max="4844" width="11.44140625" style="47" hidden="1" customWidth="1"/>
    <col min="4845" max="4845" width="7.44140625" style="47" customWidth="1"/>
    <col min="4846" max="4847" width="11.44140625" style="47" hidden="1" customWidth="1"/>
    <col min="4848" max="4848" width="7" style="47" customWidth="1"/>
    <col min="4849" max="4850" width="11.44140625" style="47" hidden="1" customWidth="1"/>
    <col min="4851" max="4851" width="7" style="47" customWidth="1"/>
    <col min="4852" max="4853" width="11.44140625" style="47" hidden="1" customWidth="1"/>
    <col min="4854" max="4854" width="7" style="47" customWidth="1"/>
    <col min="4855" max="4855" width="11.44140625" style="47" hidden="1" customWidth="1"/>
    <col min="4856" max="4856" width="6.44140625" style="47" customWidth="1"/>
    <col min="4857" max="4866" width="11.44140625" style="47" hidden="1" customWidth="1"/>
    <col min="4867" max="4901" width="11.44140625" style="47" hidden="1"/>
    <col min="4902" max="4902" width="41.44140625" style="47" customWidth="1"/>
    <col min="4903" max="4903" width="6.44140625" style="47" customWidth="1"/>
    <col min="4904" max="4904" width="14.5546875" style="47" customWidth="1"/>
    <col min="4905" max="4905" width="11.44140625" style="47" customWidth="1"/>
    <col min="4906" max="4906" width="13" style="47" customWidth="1"/>
    <col min="4907" max="4907" width="25.44140625" style="47" customWidth="1"/>
    <col min="4908" max="4908" width="9.44140625" style="47" customWidth="1"/>
    <col min="4909" max="4917" width="11.44140625" style="47" hidden="1" customWidth="1"/>
    <col min="4918" max="4918" width="8.88671875" style="47" customWidth="1"/>
    <col min="4919" max="4919" width="9.44140625" style="47" customWidth="1"/>
    <col min="4920" max="4920" width="10.109375" style="47" customWidth="1"/>
    <col min="4921" max="4932" width="11.44140625" style="47" hidden="1" customWidth="1"/>
    <col min="4933" max="4933" width="13.88671875" style="47" customWidth="1"/>
    <col min="4934" max="4934" width="11.44140625" style="47" customWidth="1"/>
    <col min="4935" max="4935" width="56.88671875" style="47" customWidth="1"/>
    <col min="4936" max="4936" width="9.109375" style="47" customWidth="1"/>
    <col min="4937" max="4937" width="24.44140625" style="47" customWidth="1"/>
    <col min="4938" max="4938" width="22.88671875" style="47" customWidth="1"/>
    <col min="4939" max="4939" width="14.5546875" style="47" customWidth="1"/>
    <col min="4940" max="4940" width="5" style="47" customWidth="1"/>
    <col min="4941" max="4942" width="11.44140625" style="47" hidden="1" customWidth="1"/>
    <col min="4943" max="4943" width="5" style="47" customWidth="1"/>
    <col min="4944" max="4945" width="11.44140625" style="47" hidden="1" customWidth="1"/>
    <col min="4946" max="4946" width="5" style="47" customWidth="1"/>
    <col min="4947" max="4948" width="11.44140625" style="47" hidden="1" customWidth="1"/>
    <col min="4949" max="4949" width="5" style="47" customWidth="1"/>
    <col min="4950" max="4951" width="11.44140625" style="47" hidden="1" customWidth="1"/>
    <col min="4952" max="4952" width="5" style="47" customWidth="1"/>
    <col min="4953" max="4954" width="11.44140625" style="47" hidden="1" customWidth="1"/>
    <col min="4955" max="4955" width="5" style="47" customWidth="1"/>
    <col min="4956" max="5017" width="11.44140625" style="47" hidden="1" customWidth="1"/>
    <col min="5018" max="5018" width="9.44140625" style="47" customWidth="1"/>
    <col min="5019" max="5019" width="11.44140625" style="47" hidden="1" customWidth="1"/>
    <col min="5020" max="5020" width="5" style="47" customWidth="1"/>
    <col min="5021" max="5036" width="11.44140625" style="47" hidden="1" customWidth="1"/>
    <col min="5037" max="5037" width="6.44140625" style="47" customWidth="1"/>
    <col min="5038" max="5053" width="11.44140625" style="47" hidden="1" customWidth="1"/>
    <col min="5054" max="5054" width="7.109375" style="47" customWidth="1"/>
    <col min="5055" max="5061" width="11.44140625" style="47" hidden="1" customWidth="1"/>
    <col min="5062" max="5062" width="6.44140625" style="47" customWidth="1"/>
    <col min="5063" max="5064" width="11.44140625" style="47" hidden="1" customWidth="1"/>
    <col min="5065" max="5065" width="6.88671875" style="47" customWidth="1"/>
    <col min="5066" max="5067" width="11.44140625" style="47" hidden="1" customWidth="1"/>
    <col min="5068" max="5068" width="6.88671875" style="47" customWidth="1"/>
    <col min="5069" max="5070" width="11.44140625" style="47" hidden="1" customWidth="1"/>
    <col min="5071" max="5071" width="6.44140625" style="47" customWidth="1"/>
    <col min="5072" max="5076" width="11.44140625" style="47" hidden="1" customWidth="1"/>
    <col min="5077" max="5077" width="6.44140625" style="47" customWidth="1"/>
    <col min="5078" max="5079" width="11.44140625" style="47" hidden="1" customWidth="1"/>
    <col min="5080" max="5080" width="7.44140625" style="47" customWidth="1"/>
    <col min="5081" max="5081" width="11.44140625" style="47" hidden="1" customWidth="1"/>
    <col min="5082" max="5082" width="9.44140625" style="47" customWidth="1"/>
    <col min="5083" max="5083" width="11.44140625" style="47" hidden="1" customWidth="1"/>
    <col min="5084" max="5084" width="9" style="47" customWidth="1"/>
    <col min="5085" max="5086" width="11.44140625" style="47" hidden="1" customWidth="1"/>
    <col min="5087" max="5087" width="8.44140625" style="47" customWidth="1"/>
    <col min="5088" max="5089" width="11.44140625" style="47" hidden="1" customWidth="1"/>
    <col min="5090" max="5090" width="6.44140625" style="47" customWidth="1"/>
    <col min="5091" max="5092" width="11.44140625" style="47" hidden="1" customWidth="1"/>
    <col min="5093" max="5093" width="7" style="47" customWidth="1"/>
    <col min="5094" max="5095" width="11.44140625" style="47" hidden="1" customWidth="1"/>
    <col min="5096" max="5098" width="7" style="47" customWidth="1"/>
    <col min="5099" max="5100" width="11.44140625" style="47" hidden="1" customWidth="1"/>
    <col min="5101" max="5101" width="7.44140625" style="47" customWidth="1"/>
    <col min="5102" max="5103" width="11.44140625" style="47" hidden="1" customWidth="1"/>
    <col min="5104" max="5104" width="7" style="47" customWidth="1"/>
    <col min="5105" max="5106" width="11.44140625" style="47" hidden="1" customWidth="1"/>
    <col min="5107" max="5107" width="7" style="47" customWidth="1"/>
    <col min="5108" max="5109" width="11.44140625" style="47" hidden="1" customWidth="1"/>
    <col min="5110" max="5110" width="7" style="47" customWidth="1"/>
    <col min="5111" max="5111" width="11.44140625" style="47" hidden="1" customWidth="1"/>
    <col min="5112" max="5112" width="6.44140625" style="47" customWidth="1"/>
    <col min="5113" max="5122" width="11.44140625" style="47" hidden="1" customWidth="1"/>
    <col min="5123" max="5157" width="11.44140625" style="47" hidden="1"/>
    <col min="5158" max="5158" width="41.44140625" style="47" customWidth="1"/>
    <col min="5159" max="5159" width="6.44140625" style="47" customWidth="1"/>
    <col min="5160" max="5160" width="14.5546875" style="47" customWidth="1"/>
    <col min="5161" max="5161" width="11.44140625" style="47" customWidth="1"/>
    <col min="5162" max="5162" width="13" style="47" customWidth="1"/>
    <col min="5163" max="5163" width="25.44140625" style="47" customWidth="1"/>
    <col min="5164" max="5164" width="9.44140625" style="47" customWidth="1"/>
    <col min="5165" max="5173" width="11.44140625" style="47" hidden="1" customWidth="1"/>
    <col min="5174" max="5174" width="8.88671875" style="47" customWidth="1"/>
    <col min="5175" max="5175" width="9.44140625" style="47" customWidth="1"/>
    <col min="5176" max="5176" width="10.109375" style="47" customWidth="1"/>
    <col min="5177" max="5188" width="11.44140625" style="47" hidden="1" customWidth="1"/>
    <col min="5189" max="5189" width="13.88671875" style="47" customWidth="1"/>
    <col min="5190" max="5190" width="11.44140625" style="47" customWidth="1"/>
    <col min="5191" max="5191" width="56.88671875" style="47" customWidth="1"/>
    <col min="5192" max="5192" width="9.109375" style="47" customWidth="1"/>
    <col min="5193" max="5193" width="24.44140625" style="47" customWidth="1"/>
    <col min="5194" max="5194" width="22.88671875" style="47" customWidth="1"/>
    <col min="5195" max="5195" width="14.5546875" style="47" customWidth="1"/>
    <col min="5196" max="5196" width="5" style="47" customWidth="1"/>
    <col min="5197" max="5198" width="11.44140625" style="47" hidden="1" customWidth="1"/>
    <col min="5199" max="5199" width="5" style="47" customWidth="1"/>
    <col min="5200" max="5201" width="11.44140625" style="47" hidden="1" customWidth="1"/>
    <col min="5202" max="5202" width="5" style="47" customWidth="1"/>
    <col min="5203" max="5204" width="11.44140625" style="47" hidden="1" customWidth="1"/>
    <col min="5205" max="5205" width="5" style="47" customWidth="1"/>
    <col min="5206" max="5207" width="11.44140625" style="47" hidden="1" customWidth="1"/>
    <col min="5208" max="5208" width="5" style="47" customWidth="1"/>
    <col min="5209" max="5210" width="11.44140625" style="47" hidden="1" customWidth="1"/>
    <col min="5211" max="5211" width="5" style="47" customWidth="1"/>
    <col min="5212" max="5273" width="11.44140625" style="47" hidden="1" customWidth="1"/>
    <col min="5274" max="5274" width="9.44140625" style="47" customWidth="1"/>
    <col min="5275" max="5275" width="11.44140625" style="47" hidden="1" customWidth="1"/>
    <col min="5276" max="5276" width="5" style="47" customWidth="1"/>
    <col min="5277" max="5292" width="11.44140625" style="47" hidden="1" customWidth="1"/>
    <col min="5293" max="5293" width="6.44140625" style="47" customWidth="1"/>
    <col min="5294" max="5309" width="11.44140625" style="47" hidden="1" customWidth="1"/>
    <col min="5310" max="5310" width="7.109375" style="47" customWidth="1"/>
    <col min="5311" max="5317" width="11.44140625" style="47" hidden="1" customWidth="1"/>
    <col min="5318" max="5318" width="6.44140625" style="47" customWidth="1"/>
    <col min="5319" max="5320" width="11.44140625" style="47" hidden="1" customWidth="1"/>
    <col min="5321" max="5321" width="6.88671875" style="47" customWidth="1"/>
    <col min="5322" max="5323" width="11.44140625" style="47" hidden="1" customWidth="1"/>
    <col min="5324" max="5324" width="6.88671875" style="47" customWidth="1"/>
    <col min="5325" max="5326" width="11.44140625" style="47" hidden="1" customWidth="1"/>
    <col min="5327" max="5327" width="6.44140625" style="47" customWidth="1"/>
    <col min="5328" max="5332" width="11.44140625" style="47" hidden="1" customWidth="1"/>
    <col min="5333" max="5333" width="6.44140625" style="47" customWidth="1"/>
    <col min="5334" max="5335" width="11.44140625" style="47" hidden="1" customWidth="1"/>
    <col min="5336" max="5336" width="7.44140625" style="47" customWidth="1"/>
    <col min="5337" max="5337" width="11.44140625" style="47" hidden="1" customWidth="1"/>
    <col min="5338" max="5338" width="9.44140625" style="47" customWidth="1"/>
    <col min="5339" max="5339" width="11.44140625" style="47" hidden="1" customWidth="1"/>
    <col min="5340" max="5340" width="9" style="47" customWidth="1"/>
    <col min="5341" max="5342" width="11.44140625" style="47" hidden="1" customWidth="1"/>
    <col min="5343" max="5343" width="8.44140625" style="47" customWidth="1"/>
    <col min="5344" max="5345" width="11.44140625" style="47" hidden="1" customWidth="1"/>
    <col min="5346" max="5346" width="6.44140625" style="47" customWidth="1"/>
    <col min="5347" max="5348" width="11.44140625" style="47" hidden="1" customWidth="1"/>
    <col min="5349" max="5349" width="7" style="47" customWidth="1"/>
    <col min="5350" max="5351" width="11.44140625" style="47" hidden="1" customWidth="1"/>
    <col min="5352" max="5354" width="7" style="47" customWidth="1"/>
    <col min="5355" max="5356" width="11.44140625" style="47" hidden="1" customWidth="1"/>
    <col min="5357" max="5357" width="7.44140625" style="47" customWidth="1"/>
    <col min="5358" max="5359" width="11.44140625" style="47" hidden="1" customWidth="1"/>
    <col min="5360" max="5360" width="7" style="47" customWidth="1"/>
    <col min="5361" max="5362" width="11.44140625" style="47" hidden="1" customWidth="1"/>
    <col min="5363" max="5363" width="7" style="47" customWidth="1"/>
    <col min="5364" max="5365" width="11.44140625" style="47" hidden="1" customWidth="1"/>
    <col min="5366" max="5366" width="7" style="47" customWidth="1"/>
    <col min="5367" max="5367" width="11.44140625" style="47" hidden="1" customWidth="1"/>
    <col min="5368" max="5368" width="6.44140625" style="47" customWidth="1"/>
    <col min="5369" max="5378" width="11.44140625" style="47" hidden="1" customWidth="1"/>
    <col min="5379" max="5413" width="11.44140625" style="47" hidden="1"/>
    <col min="5414" max="5414" width="41.44140625" style="47" customWidth="1"/>
    <col min="5415" max="5415" width="6.44140625" style="47" customWidth="1"/>
    <col min="5416" max="5416" width="14.5546875" style="47" customWidth="1"/>
    <col min="5417" max="5417" width="11.44140625" style="47" customWidth="1"/>
    <col min="5418" max="5418" width="13" style="47" customWidth="1"/>
    <col min="5419" max="5419" width="25.44140625" style="47" customWidth="1"/>
    <col min="5420" max="5420" width="9.44140625" style="47" customWidth="1"/>
    <col min="5421" max="5429" width="11.44140625" style="47" hidden="1" customWidth="1"/>
    <col min="5430" max="5430" width="8.88671875" style="47" customWidth="1"/>
    <col min="5431" max="5431" width="9.44140625" style="47" customWidth="1"/>
    <col min="5432" max="5432" width="10.109375" style="47" customWidth="1"/>
    <col min="5433" max="5444" width="11.44140625" style="47" hidden="1" customWidth="1"/>
    <col min="5445" max="5445" width="13.88671875" style="47" customWidth="1"/>
    <col min="5446" max="5446" width="11.44140625" style="47" customWidth="1"/>
    <col min="5447" max="5447" width="56.88671875" style="47" customWidth="1"/>
    <col min="5448" max="5448" width="9.109375" style="47" customWidth="1"/>
    <col min="5449" max="5449" width="24.44140625" style="47" customWidth="1"/>
    <col min="5450" max="5450" width="22.88671875" style="47" customWidth="1"/>
    <col min="5451" max="5451" width="14.5546875" style="47" customWidth="1"/>
    <col min="5452" max="5452" width="5" style="47" customWidth="1"/>
    <col min="5453" max="5454" width="11.44140625" style="47" hidden="1" customWidth="1"/>
    <col min="5455" max="5455" width="5" style="47" customWidth="1"/>
    <col min="5456" max="5457" width="11.44140625" style="47" hidden="1" customWidth="1"/>
    <col min="5458" max="5458" width="5" style="47" customWidth="1"/>
    <col min="5459" max="5460" width="11.44140625" style="47" hidden="1" customWidth="1"/>
    <col min="5461" max="5461" width="5" style="47" customWidth="1"/>
    <col min="5462" max="5463" width="11.44140625" style="47" hidden="1" customWidth="1"/>
    <col min="5464" max="5464" width="5" style="47" customWidth="1"/>
    <col min="5465" max="5466" width="11.44140625" style="47" hidden="1" customWidth="1"/>
    <col min="5467" max="5467" width="5" style="47" customWidth="1"/>
    <col min="5468" max="5529" width="11.44140625" style="47" hidden="1" customWidth="1"/>
    <col min="5530" max="5530" width="9.44140625" style="47" customWidth="1"/>
    <col min="5531" max="5531" width="11.44140625" style="47" hidden="1" customWidth="1"/>
    <col min="5532" max="5532" width="5" style="47" customWidth="1"/>
    <col min="5533" max="5548" width="11.44140625" style="47" hidden="1" customWidth="1"/>
    <col min="5549" max="5549" width="6.44140625" style="47" customWidth="1"/>
    <col min="5550" max="5565" width="11.44140625" style="47" hidden="1" customWidth="1"/>
    <col min="5566" max="5566" width="7.109375" style="47" customWidth="1"/>
    <col min="5567" max="5573" width="11.44140625" style="47" hidden="1" customWidth="1"/>
    <col min="5574" max="5574" width="6.44140625" style="47" customWidth="1"/>
    <col min="5575" max="5576" width="11.44140625" style="47" hidden="1" customWidth="1"/>
    <col min="5577" max="5577" width="6.88671875" style="47" customWidth="1"/>
    <col min="5578" max="5579" width="11.44140625" style="47" hidden="1" customWidth="1"/>
    <col min="5580" max="5580" width="6.88671875" style="47" customWidth="1"/>
    <col min="5581" max="5582" width="11.44140625" style="47" hidden="1" customWidth="1"/>
    <col min="5583" max="5583" width="6.44140625" style="47" customWidth="1"/>
    <col min="5584" max="5588" width="11.44140625" style="47" hidden="1" customWidth="1"/>
    <col min="5589" max="5589" width="6.44140625" style="47" customWidth="1"/>
    <col min="5590" max="5591" width="11.44140625" style="47" hidden="1" customWidth="1"/>
    <col min="5592" max="5592" width="7.44140625" style="47" customWidth="1"/>
    <col min="5593" max="5593" width="11.44140625" style="47" hidden="1" customWidth="1"/>
    <col min="5594" max="5594" width="9.44140625" style="47" customWidth="1"/>
    <col min="5595" max="5595" width="11.44140625" style="47" hidden="1" customWidth="1"/>
    <col min="5596" max="5596" width="9" style="47" customWidth="1"/>
    <col min="5597" max="5598" width="11.44140625" style="47" hidden="1" customWidth="1"/>
    <col min="5599" max="5599" width="8.44140625" style="47" customWidth="1"/>
    <col min="5600" max="5601" width="11.44140625" style="47" hidden="1" customWidth="1"/>
    <col min="5602" max="5602" width="6.44140625" style="47" customWidth="1"/>
    <col min="5603" max="5604" width="11.44140625" style="47" hidden="1" customWidth="1"/>
    <col min="5605" max="5605" width="7" style="47" customWidth="1"/>
    <col min="5606" max="5607" width="11.44140625" style="47" hidden="1" customWidth="1"/>
    <col min="5608" max="5610" width="7" style="47" customWidth="1"/>
    <col min="5611" max="5612" width="11.44140625" style="47" hidden="1" customWidth="1"/>
    <col min="5613" max="5613" width="7.44140625" style="47" customWidth="1"/>
    <col min="5614" max="5615" width="11.44140625" style="47" hidden="1" customWidth="1"/>
    <col min="5616" max="5616" width="7" style="47" customWidth="1"/>
    <col min="5617" max="5618" width="11.44140625" style="47" hidden="1" customWidth="1"/>
    <col min="5619" max="5619" width="7" style="47" customWidth="1"/>
    <col min="5620" max="5621" width="11.44140625" style="47" hidden="1" customWidth="1"/>
    <col min="5622" max="5622" width="7" style="47" customWidth="1"/>
    <col min="5623" max="5623" width="11.44140625" style="47" hidden="1" customWidth="1"/>
    <col min="5624" max="5624" width="6.44140625" style="47" customWidth="1"/>
    <col min="5625" max="5634" width="11.44140625" style="47" hidden="1" customWidth="1"/>
    <col min="5635" max="5669" width="11.44140625" style="47" hidden="1"/>
    <col min="5670" max="5670" width="41.44140625" style="47" customWidth="1"/>
    <col min="5671" max="5671" width="6.44140625" style="47" customWidth="1"/>
    <col min="5672" max="5672" width="14.5546875" style="47" customWidth="1"/>
    <col min="5673" max="5673" width="11.44140625" style="47" customWidth="1"/>
    <col min="5674" max="5674" width="13" style="47" customWidth="1"/>
    <col min="5675" max="5675" width="25.44140625" style="47" customWidth="1"/>
    <col min="5676" max="5676" width="9.44140625" style="47" customWidth="1"/>
    <col min="5677" max="5685" width="11.44140625" style="47" hidden="1" customWidth="1"/>
    <col min="5686" max="5686" width="8.88671875" style="47" customWidth="1"/>
    <col min="5687" max="5687" width="9.44140625" style="47" customWidth="1"/>
    <col min="5688" max="5688" width="10.109375" style="47" customWidth="1"/>
    <col min="5689" max="5700" width="11.44140625" style="47" hidden="1" customWidth="1"/>
    <col min="5701" max="5701" width="13.88671875" style="47" customWidth="1"/>
    <col min="5702" max="5702" width="11.44140625" style="47" customWidth="1"/>
    <col min="5703" max="5703" width="56.88671875" style="47" customWidth="1"/>
    <col min="5704" max="5704" width="9.109375" style="47" customWidth="1"/>
    <col min="5705" max="5705" width="24.44140625" style="47" customWidth="1"/>
    <col min="5706" max="5706" width="22.88671875" style="47" customWidth="1"/>
    <col min="5707" max="5707" width="14.5546875" style="47" customWidth="1"/>
    <col min="5708" max="5708" width="5" style="47" customWidth="1"/>
    <col min="5709" max="5710" width="11.44140625" style="47" hidden="1" customWidth="1"/>
    <col min="5711" max="5711" width="5" style="47" customWidth="1"/>
    <col min="5712" max="5713" width="11.44140625" style="47" hidden="1" customWidth="1"/>
    <col min="5714" max="5714" width="5" style="47" customWidth="1"/>
    <col min="5715" max="5716" width="11.44140625" style="47" hidden="1" customWidth="1"/>
    <col min="5717" max="5717" width="5" style="47" customWidth="1"/>
    <col min="5718" max="5719" width="11.44140625" style="47" hidden="1" customWidth="1"/>
    <col min="5720" max="5720" width="5" style="47" customWidth="1"/>
    <col min="5721" max="5722" width="11.44140625" style="47" hidden="1" customWidth="1"/>
    <col min="5723" max="5723" width="5" style="47" customWidth="1"/>
    <col min="5724" max="5785" width="11.44140625" style="47" hidden="1" customWidth="1"/>
    <col min="5786" max="5786" width="9.44140625" style="47" customWidth="1"/>
    <col min="5787" max="5787" width="11.44140625" style="47" hidden="1" customWidth="1"/>
    <col min="5788" max="5788" width="5" style="47" customWidth="1"/>
    <col min="5789" max="5804" width="11.44140625" style="47" hidden="1" customWidth="1"/>
    <col min="5805" max="5805" width="6.44140625" style="47" customWidth="1"/>
    <col min="5806" max="5821" width="11.44140625" style="47" hidden="1" customWidth="1"/>
    <col min="5822" max="5822" width="7.109375" style="47" customWidth="1"/>
    <col min="5823" max="5829" width="11.44140625" style="47" hidden="1" customWidth="1"/>
    <col min="5830" max="5830" width="6.44140625" style="47" customWidth="1"/>
    <col min="5831" max="5832" width="11.44140625" style="47" hidden="1" customWidth="1"/>
    <col min="5833" max="5833" width="6.88671875" style="47" customWidth="1"/>
    <col min="5834" max="5835" width="11.44140625" style="47" hidden="1" customWidth="1"/>
    <col min="5836" max="5836" width="6.88671875" style="47" customWidth="1"/>
    <col min="5837" max="5838" width="11.44140625" style="47" hidden="1" customWidth="1"/>
    <col min="5839" max="5839" width="6.44140625" style="47" customWidth="1"/>
    <col min="5840" max="5844" width="11.44140625" style="47" hidden="1" customWidth="1"/>
    <col min="5845" max="5845" width="6.44140625" style="47" customWidth="1"/>
    <col min="5846" max="5847" width="11.44140625" style="47" hidden="1" customWidth="1"/>
    <col min="5848" max="5848" width="7.44140625" style="47" customWidth="1"/>
    <col min="5849" max="5849" width="11.44140625" style="47" hidden="1" customWidth="1"/>
    <col min="5850" max="5850" width="9.44140625" style="47" customWidth="1"/>
    <col min="5851" max="5851" width="11.44140625" style="47" hidden="1" customWidth="1"/>
    <col min="5852" max="5852" width="9" style="47" customWidth="1"/>
    <col min="5853" max="5854" width="11.44140625" style="47" hidden="1" customWidth="1"/>
    <col min="5855" max="5855" width="8.44140625" style="47" customWidth="1"/>
    <col min="5856" max="5857" width="11.44140625" style="47" hidden="1" customWidth="1"/>
    <col min="5858" max="5858" width="6.44140625" style="47" customWidth="1"/>
    <col min="5859" max="5860" width="11.44140625" style="47" hidden="1" customWidth="1"/>
    <col min="5861" max="5861" width="7" style="47" customWidth="1"/>
    <col min="5862" max="5863" width="11.44140625" style="47" hidden="1" customWidth="1"/>
    <col min="5864" max="5866" width="7" style="47" customWidth="1"/>
    <col min="5867" max="5868" width="11.44140625" style="47" hidden="1" customWidth="1"/>
    <col min="5869" max="5869" width="7.44140625" style="47" customWidth="1"/>
    <col min="5870" max="5871" width="11.44140625" style="47" hidden="1" customWidth="1"/>
    <col min="5872" max="5872" width="7" style="47" customWidth="1"/>
    <col min="5873" max="5874" width="11.44140625" style="47" hidden="1" customWidth="1"/>
    <col min="5875" max="5875" width="7" style="47" customWidth="1"/>
    <col min="5876" max="5877" width="11.44140625" style="47" hidden="1" customWidth="1"/>
    <col min="5878" max="5878" width="7" style="47" customWidth="1"/>
    <col min="5879" max="5879" width="11.44140625" style="47" hidden="1" customWidth="1"/>
    <col min="5880" max="5880" width="6.44140625" style="47" customWidth="1"/>
    <col min="5881" max="5890" width="11.44140625" style="47" hidden="1" customWidth="1"/>
    <col min="5891" max="5925" width="11.44140625" style="47" hidden="1"/>
    <col min="5926" max="5926" width="41.44140625" style="47" customWidth="1"/>
    <col min="5927" max="5927" width="6.44140625" style="47" customWidth="1"/>
    <col min="5928" max="5928" width="14.5546875" style="47" customWidth="1"/>
    <col min="5929" max="5929" width="11.44140625" style="47" customWidth="1"/>
    <col min="5930" max="5930" width="13" style="47" customWidth="1"/>
    <col min="5931" max="5931" width="25.44140625" style="47" customWidth="1"/>
    <col min="5932" max="5932" width="9.44140625" style="47" customWidth="1"/>
    <col min="5933" max="5941" width="11.44140625" style="47" hidden="1" customWidth="1"/>
    <col min="5942" max="5942" width="8.88671875" style="47" customWidth="1"/>
    <col min="5943" max="5943" width="9.44140625" style="47" customWidth="1"/>
    <col min="5944" max="5944" width="10.109375" style="47" customWidth="1"/>
    <col min="5945" max="5956" width="11.44140625" style="47" hidden="1" customWidth="1"/>
    <col min="5957" max="5957" width="13.88671875" style="47" customWidth="1"/>
    <col min="5958" max="5958" width="11.44140625" style="47" customWidth="1"/>
    <col min="5959" max="5959" width="56.88671875" style="47" customWidth="1"/>
    <col min="5960" max="5960" width="9.109375" style="47" customWidth="1"/>
    <col min="5961" max="5961" width="24.44140625" style="47" customWidth="1"/>
    <col min="5962" max="5962" width="22.88671875" style="47" customWidth="1"/>
    <col min="5963" max="5963" width="14.5546875" style="47" customWidth="1"/>
    <col min="5964" max="5964" width="5" style="47" customWidth="1"/>
    <col min="5965" max="5966" width="11.44140625" style="47" hidden="1" customWidth="1"/>
    <col min="5967" max="5967" width="5" style="47" customWidth="1"/>
    <col min="5968" max="5969" width="11.44140625" style="47" hidden="1" customWidth="1"/>
    <col min="5970" max="5970" width="5" style="47" customWidth="1"/>
    <col min="5971" max="5972" width="11.44140625" style="47" hidden="1" customWidth="1"/>
    <col min="5973" max="5973" width="5" style="47" customWidth="1"/>
    <col min="5974" max="5975" width="11.44140625" style="47" hidden="1" customWidth="1"/>
    <col min="5976" max="5976" width="5" style="47" customWidth="1"/>
    <col min="5977" max="5978" width="11.44140625" style="47" hidden="1" customWidth="1"/>
    <col min="5979" max="5979" width="5" style="47" customWidth="1"/>
    <col min="5980" max="6041" width="11.44140625" style="47" hidden="1" customWidth="1"/>
    <col min="6042" max="6042" width="9.44140625" style="47" customWidth="1"/>
    <col min="6043" max="6043" width="11.44140625" style="47" hidden="1" customWidth="1"/>
    <col min="6044" max="6044" width="5" style="47" customWidth="1"/>
    <col min="6045" max="6060" width="11.44140625" style="47" hidden="1" customWidth="1"/>
    <col min="6061" max="6061" width="6.44140625" style="47" customWidth="1"/>
    <col min="6062" max="6077" width="11.44140625" style="47" hidden="1" customWidth="1"/>
    <col min="6078" max="6078" width="7.109375" style="47" customWidth="1"/>
    <col min="6079" max="6085" width="11.44140625" style="47" hidden="1" customWidth="1"/>
    <col min="6086" max="6086" width="6.44140625" style="47" customWidth="1"/>
    <col min="6087" max="6088" width="11.44140625" style="47" hidden="1" customWidth="1"/>
    <col min="6089" max="6089" width="6.88671875" style="47" customWidth="1"/>
    <col min="6090" max="6091" width="11.44140625" style="47" hidden="1" customWidth="1"/>
    <col min="6092" max="6092" width="6.88671875" style="47" customWidth="1"/>
    <col min="6093" max="6094" width="11.44140625" style="47" hidden="1" customWidth="1"/>
    <col min="6095" max="6095" width="6.44140625" style="47" customWidth="1"/>
    <col min="6096" max="6100" width="11.44140625" style="47" hidden="1" customWidth="1"/>
    <col min="6101" max="6101" width="6.44140625" style="47" customWidth="1"/>
    <col min="6102" max="6103" width="11.44140625" style="47" hidden="1" customWidth="1"/>
    <col min="6104" max="6104" width="7.44140625" style="47" customWidth="1"/>
    <col min="6105" max="6105" width="11.44140625" style="47" hidden="1" customWidth="1"/>
    <col min="6106" max="6106" width="9.44140625" style="47" customWidth="1"/>
    <col min="6107" max="6107" width="11.44140625" style="47" hidden="1" customWidth="1"/>
    <col min="6108" max="6108" width="9" style="47" customWidth="1"/>
    <col min="6109" max="6110" width="11.44140625" style="47" hidden="1" customWidth="1"/>
    <col min="6111" max="6111" width="8.44140625" style="47" customWidth="1"/>
    <col min="6112" max="6113" width="11.44140625" style="47" hidden="1" customWidth="1"/>
    <col min="6114" max="6114" width="6.44140625" style="47" customWidth="1"/>
    <col min="6115" max="6116" width="11.44140625" style="47" hidden="1" customWidth="1"/>
    <col min="6117" max="6117" width="7" style="47" customWidth="1"/>
    <col min="6118" max="6119" width="11.44140625" style="47" hidden="1" customWidth="1"/>
    <col min="6120" max="6122" width="7" style="47" customWidth="1"/>
    <col min="6123" max="6124" width="11.44140625" style="47" hidden="1" customWidth="1"/>
    <col min="6125" max="6125" width="7.44140625" style="47" customWidth="1"/>
    <col min="6126" max="6127" width="11.44140625" style="47" hidden="1" customWidth="1"/>
    <col min="6128" max="6128" width="7" style="47" customWidth="1"/>
    <col min="6129" max="6130" width="11.44140625" style="47" hidden="1" customWidth="1"/>
    <col min="6131" max="6131" width="7" style="47" customWidth="1"/>
    <col min="6132" max="6133" width="11.44140625" style="47" hidden="1" customWidth="1"/>
    <col min="6134" max="6134" width="7" style="47" customWidth="1"/>
    <col min="6135" max="6135" width="11.44140625" style="47" hidden="1" customWidth="1"/>
    <col min="6136" max="6136" width="6.44140625" style="47" customWidth="1"/>
    <col min="6137" max="6146" width="11.44140625" style="47" hidden="1" customWidth="1"/>
    <col min="6147" max="6181" width="11.44140625" style="47" hidden="1"/>
    <col min="6182" max="6182" width="41.44140625" style="47" customWidth="1"/>
    <col min="6183" max="6183" width="6.44140625" style="47" customWidth="1"/>
    <col min="6184" max="6184" width="14.5546875" style="47" customWidth="1"/>
    <col min="6185" max="6185" width="11.44140625" style="47" customWidth="1"/>
    <col min="6186" max="6186" width="13" style="47" customWidth="1"/>
    <col min="6187" max="6187" width="25.44140625" style="47" customWidth="1"/>
    <col min="6188" max="6188" width="9.44140625" style="47" customWidth="1"/>
    <col min="6189" max="6197" width="11.44140625" style="47" hidden="1" customWidth="1"/>
    <col min="6198" max="6198" width="8.88671875" style="47" customWidth="1"/>
    <col min="6199" max="6199" width="9.44140625" style="47" customWidth="1"/>
    <col min="6200" max="6200" width="10.109375" style="47" customWidth="1"/>
    <col min="6201" max="6212" width="11.44140625" style="47" hidden="1" customWidth="1"/>
    <col min="6213" max="6213" width="13.88671875" style="47" customWidth="1"/>
    <col min="6214" max="6214" width="11.44140625" style="47" customWidth="1"/>
    <col min="6215" max="6215" width="56.88671875" style="47" customWidth="1"/>
    <col min="6216" max="6216" width="9.109375" style="47" customWidth="1"/>
    <col min="6217" max="6217" width="24.44140625" style="47" customWidth="1"/>
    <col min="6218" max="6218" width="22.88671875" style="47" customWidth="1"/>
    <col min="6219" max="6219" width="14.5546875" style="47" customWidth="1"/>
    <col min="6220" max="6220" width="5" style="47" customWidth="1"/>
    <col min="6221" max="6222" width="11.44140625" style="47" hidden="1" customWidth="1"/>
    <col min="6223" max="6223" width="5" style="47" customWidth="1"/>
    <col min="6224" max="6225" width="11.44140625" style="47" hidden="1" customWidth="1"/>
    <col min="6226" max="6226" width="5" style="47" customWidth="1"/>
    <col min="6227" max="6228" width="11.44140625" style="47" hidden="1" customWidth="1"/>
    <col min="6229" max="6229" width="5" style="47" customWidth="1"/>
    <col min="6230" max="6231" width="11.44140625" style="47" hidden="1" customWidth="1"/>
    <col min="6232" max="6232" width="5" style="47" customWidth="1"/>
    <col min="6233" max="6234" width="11.44140625" style="47" hidden="1" customWidth="1"/>
    <col min="6235" max="6235" width="5" style="47" customWidth="1"/>
    <col min="6236" max="6297" width="11.44140625" style="47" hidden="1" customWidth="1"/>
    <col min="6298" max="6298" width="9.44140625" style="47" customWidth="1"/>
    <col min="6299" max="6299" width="11.44140625" style="47" hidden="1" customWidth="1"/>
    <col min="6300" max="6300" width="5" style="47" customWidth="1"/>
    <col min="6301" max="6316" width="11.44140625" style="47" hidden="1" customWidth="1"/>
    <col min="6317" max="6317" width="6.44140625" style="47" customWidth="1"/>
    <col min="6318" max="6333" width="11.44140625" style="47" hidden="1" customWidth="1"/>
    <col min="6334" max="6334" width="7.109375" style="47" customWidth="1"/>
    <col min="6335" max="6341" width="11.44140625" style="47" hidden="1" customWidth="1"/>
    <col min="6342" max="6342" width="6.44140625" style="47" customWidth="1"/>
    <col min="6343" max="6344" width="11.44140625" style="47" hidden="1" customWidth="1"/>
    <col min="6345" max="6345" width="6.88671875" style="47" customWidth="1"/>
    <col min="6346" max="6347" width="11.44140625" style="47" hidden="1" customWidth="1"/>
    <col min="6348" max="6348" width="6.88671875" style="47" customWidth="1"/>
    <col min="6349" max="6350" width="11.44140625" style="47" hidden="1" customWidth="1"/>
    <col min="6351" max="6351" width="6.44140625" style="47" customWidth="1"/>
    <col min="6352" max="6356" width="11.44140625" style="47" hidden="1" customWidth="1"/>
    <col min="6357" max="6357" width="6.44140625" style="47" customWidth="1"/>
    <col min="6358" max="6359" width="11.44140625" style="47" hidden="1" customWidth="1"/>
    <col min="6360" max="6360" width="7.44140625" style="47" customWidth="1"/>
    <col min="6361" max="6361" width="11.44140625" style="47" hidden="1" customWidth="1"/>
    <col min="6362" max="6362" width="9.44140625" style="47" customWidth="1"/>
    <col min="6363" max="6363" width="11.44140625" style="47" hidden="1" customWidth="1"/>
    <col min="6364" max="6364" width="9" style="47" customWidth="1"/>
    <col min="6365" max="6366" width="11.44140625" style="47" hidden="1" customWidth="1"/>
    <col min="6367" max="6367" width="8.44140625" style="47" customWidth="1"/>
    <col min="6368" max="6369" width="11.44140625" style="47" hidden="1" customWidth="1"/>
    <col min="6370" max="6370" width="6.44140625" style="47" customWidth="1"/>
    <col min="6371" max="6372" width="11.44140625" style="47" hidden="1" customWidth="1"/>
    <col min="6373" max="6373" width="7" style="47" customWidth="1"/>
    <col min="6374" max="6375" width="11.44140625" style="47" hidden="1" customWidth="1"/>
    <col min="6376" max="6378" width="7" style="47" customWidth="1"/>
    <col min="6379" max="6380" width="11.44140625" style="47" hidden="1" customWidth="1"/>
    <col min="6381" max="6381" width="7.44140625" style="47" customWidth="1"/>
    <col min="6382" max="6383" width="11.44140625" style="47" hidden="1" customWidth="1"/>
    <col min="6384" max="6384" width="7" style="47" customWidth="1"/>
    <col min="6385" max="6386" width="11.44140625" style="47" hidden="1" customWidth="1"/>
    <col min="6387" max="6387" width="7" style="47" customWidth="1"/>
    <col min="6388" max="6389" width="11.44140625" style="47" hidden="1" customWidth="1"/>
    <col min="6390" max="6390" width="7" style="47" customWidth="1"/>
    <col min="6391" max="6391" width="11.44140625" style="47" hidden="1" customWidth="1"/>
    <col min="6392" max="6392" width="6.44140625" style="47" customWidth="1"/>
    <col min="6393" max="6402" width="11.44140625" style="47" hidden="1" customWidth="1"/>
    <col min="6403" max="6437" width="11.44140625" style="47" hidden="1"/>
    <col min="6438" max="6438" width="41.44140625" style="47" customWidth="1"/>
    <col min="6439" max="6439" width="6.44140625" style="47" customWidth="1"/>
    <col min="6440" max="6440" width="14.5546875" style="47" customWidth="1"/>
    <col min="6441" max="6441" width="11.44140625" style="47" customWidth="1"/>
    <col min="6442" max="6442" width="13" style="47" customWidth="1"/>
    <col min="6443" max="6443" width="25.44140625" style="47" customWidth="1"/>
    <col min="6444" max="6444" width="9.44140625" style="47" customWidth="1"/>
    <col min="6445" max="6453" width="11.44140625" style="47" hidden="1" customWidth="1"/>
    <col min="6454" max="6454" width="8.88671875" style="47" customWidth="1"/>
    <col min="6455" max="6455" width="9.44140625" style="47" customWidth="1"/>
    <col min="6456" max="6456" width="10.109375" style="47" customWidth="1"/>
    <col min="6457" max="6468" width="11.44140625" style="47" hidden="1" customWidth="1"/>
    <col min="6469" max="6469" width="13.88671875" style="47" customWidth="1"/>
    <col min="6470" max="6470" width="11.44140625" style="47" customWidth="1"/>
    <col min="6471" max="6471" width="56.88671875" style="47" customWidth="1"/>
    <col min="6472" max="6472" width="9.109375" style="47" customWidth="1"/>
    <col min="6473" max="6473" width="24.44140625" style="47" customWidth="1"/>
    <col min="6474" max="6474" width="22.88671875" style="47" customWidth="1"/>
    <col min="6475" max="6475" width="14.5546875" style="47" customWidth="1"/>
    <col min="6476" max="6476" width="5" style="47" customWidth="1"/>
    <col min="6477" max="6478" width="11.44140625" style="47" hidden="1" customWidth="1"/>
    <col min="6479" max="6479" width="5" style="47" customWidth="1"/>
    <col min="6480" max="6481" width="11.44140625" style="47" hidden="1" customWidth="1"/>
    <col min="6482" max="6482" width="5" style="47" customWidth="1"/>
    <col min="6483" max="6484" width="11.44140625" style="47" hidden="1" customWidth="1"/>
    <col min="6485" max="6485" width="5" style="47" customWidth="1"/>
    <col min="6486" max="6487" width="11.44140625" style="47" hidden="1" customWidth="1"/>
    <col min="6488" max="6488" width="5" style="47" customWidth="1"/>
    <col min="6489" max="6490" width="11.44140625" style="47" hidden="1" customWidth="1"/>
    <col min="6491" max="6491" width="5" style="47" customWidth="1"/>
    <col min="6492" max="6553" width="11.44140625" style="47" hidden="1" customWidth="1"/>
    <col min="6554" max="6554" width="9.44140625" style="47" customWidth="1"/>
    <col min="6555" max="6555" width="11.44140625" style="47" hidden="1" customWidth="1"/>
    <col min="6556" max="6556" width="5" style="47" customWidth="1"/>
    <col min="6557" max="6572" width="11.44140625" style="47" hidden="1" customWidth="1"/>
    <col min="6573" max="6573" width="6.44140625" style="47" customWidth="1"/>
    <col min="6574" max="6589" width="11.44140625" style="47" hidden="1" customWidth="1"/>
    <col min="6590" max="6590" width="7.109375" style="47" customWidth="1"/>
    <col min="6591" max="6597" width="11.44140625" style="47" hidden="1" customWidth="1"/>
    <col min="6598" max="6598" width="6.44140625" style="47" customWidth="1"/>
    <col min="6599" max="6600" width="11.44140625" style="47" hidden="1" customWidth="1"/>
    <col min="6601" max="6601" width="6.88671875" style="47" customWidth="1"/>
    <col min="6602" max="6603" width="11.44140625" style="47" hidden="1" customWidth="1"/>
    <col min="6604" max="6604" width="6.88671875" style="47" customWidth="1"/>
    <col min="6605" max="6606" width="11.44140625" style="47" hidden="1" customWidth="1"/>
    <col min="6607" max="6607" width="6.44140625" style="47" customWidth="1"/>
    <col min="6608" max="6612" width="11.44140625" style="47" hidden="1" customWidth="1"/>
    <col min="6613" max="6613" width="6.44140625" style="47" customWidth="1"/>
    <col min="6614" max="6615" width="11.44140625" style="47" hidden="1" customWidth="1"/>
    <col min="6616" max="6616" width="7.44140625" style="47" customWidth="1"/>
    <col min="6617" max="6617" width="11.44140625" style="47" hidden="1" customWidth="1"/>
    <col min="6618" max="6618" width="9.44140625" style="47" customWidth="1"/>
    <col min="6619" max="6619" width="11.44140625" style="47" hidden="1" customWidth="1"/>
    <col min="6620" max="6620" width="9" style="47" customWidth="1"/>
    <col min="6621" max="6622" width="11.44140625" style="47" hidden="1" customWidth="1"/>
    <col min="6623" max="6623" width="8.44140625" style="47" customWidth="1"/>
    <col min="6624" max="6625" width="11.44140625" style="47" hidden="1" customWidth="1"/>
    <col min="6626" max="6626" width="6.44140625" style="47" customWidth="1"/>
    <col min="6627" max="6628" width="11.44140625" style="47" hidden="1" customWidth="1"/>
    <col min="6629" max="6629" width="7" style="47" customWidth="1"/>
    <col min="6630" max="6631" width="11.44140625" style="47" hidden="1" customWidth="1"/>
    <col min="6632" max="6634" width="7" style="47" customWidth="1"/>
    <col min="6635" max="6636" width="11.44140625" style="47" hidden="1" customWidth="1"/>
    <col min="6637" max="6637" width="7.44140625" style="47" customWidth="1"/>
    <col min="6638" max="6639" width="11.44140625" style="47" hidden="1" customWidth="1"/>
    <col min="6640" max="6640" width="7" style="47" customWidth="1"/>
    <col min="6641" max="6642" width="11.44140625" style="47" hidden="1" customWidth="1"/>
    <col min="6643" max="6643" width="7" style="47" customWidth="1"/>
    <col min="6644" max="6645" width="11.44140625" style="47" hidden="1" customWidth="1"/>
    <col min="6646" max="6646" width="7" style="47" customWidth="1"/>
    <col min="6647" max="6647" width="11.44140625" style="47" hidden="1" customWidth="1"/>
    <col min="6648" max="6648" width="6.44140625" style="47" customWidth="1"/>
    <col min="6649" max="6658" width="11.44140625" style="47" hidden="1" customWidth="1"/>
    <col min="6659" max="6693" width="11.44140625" style="47" hidden="1"/>
    <col min="6694" max="6694" width="41.44140625" style="47" customWidth="1"/>
    <col min="6695" max="6695" width="6.44140625" style="47" customWidth="1"/>
    <col min="6696" max="6696" width="14.5546875" style="47" customWidth="1"/>
    <col min="6697" max="6697" width="11.44140625" style="47" customWidth="1"/>
    <col min="6698" max="6698" width="13" style="47" customWidth="1"/>
    <col min="6699" max="6699" width="25.44140625" style="47" customWidth="1"/>
    <col min="6700" max="6700" width="9.44140625" style="47" customWidth="1"/>
    <col min="6701" max="6709" width="11.44140625" style="47" hidden="1" customWidth="1"/>
    <col min="6710" max="6710" width="8.88671875" style="47" customWidth="1"/>
    <col min="6711" max="6711" width="9.44140625" style="47" customWidth="1"/>
    <col min="6712" max="6712" width="10.109375" style="47" customWidth="1"/>
    <col min="6713" max="6724" width="11.44140625" style="47" hidden="1" customWidth="1"/>
    <col min="6725" max="6725" width="13.88671875" style="47" customWidth="1"/>
    <col min="6726" max="6726" width="11.44140625" style="47" customWidth="1"/>
    <col min="6727" max="6727" width="56.88671875" style="47" customWidth="1"/>
    <col min="6728" max="6728" width="9.109375" style="47" customWidth="1"/>
    <col min="6729" max="6729" width="24.44140625" style="47" customWidth="1"/>
    <col min="6730" max="6730" width="22.88671875" style="47" customWidth="1"/>
    <col min="6731" max="6731" width="14.5546875" style="47" customWidth="1"/>
    <col min="6732" max="6732" width="5" style="47" customWidth="1"/>
    <col min="6733" max="6734" width="11.44140625" style="47" hidden="1" customWidth="1"/>
    <col min="6735" max="6735" width="5" style="47" customWidth="1"/>
    <col min="6736" max="6737" width="11.44140625" style="47" hidden="1" customWidth="1"/>
    <col min="6738" max="6738" width="5" style="47" customWidth="1"/>
    <col min="6739" max="6740" width="11.44140625" style="47" hidden="1" customWidth="1"/>
    <col min="6741" max="6741" width="5" style="47" customWidth="1"/>
    <col min="6742" max="6743" width="11.44140625" style="47" hidden="1" customWidth="1"/>
    <col min="6744" max="6744" width="5" style="47" customWidth="1"/>
    <col min="6745" max="6746" width="11.44140625" style="47" hidden="1" customWidth="1"/>
    <col min="6747" max="6747" width="5" style="47" customWidth="1"/>
    <col min="6748" max="6809" width="11.44140625" style="47" hidden="1" customWidth="1"/>
    <col min="6810" max="6810" width="9.44140625" style="47" customWidth="1"/>
    <col min="6811" max="6811" width="11.44140625" style="47" hidden="1" customWidth="1"/>
    <col min="6812" max="6812" width="5" style="47" customWidth="1"/>
    <col min="6813" max="6828" width="11.44140625" style="47" hidden="1" customWidth="1"/>
    <col min="6829" max="6829" width="6.44140625" style="47" customWidth="1"/>
    <col min="6830" max="6845" width="11.44140625" style="47" hidden="1" customWidth="1"/>
    <col min="6846" max="6846" width="7.109375" style="47" customWidth="1"/>
    <col min="6847" max="6853" width="11.44140625" style="47" hidden="1" customWidth="1"/>
    <col min="6854" max="6854" width="6.44140625" style="47" customWidth="1"/>
    <col min="6855" max="6856" width="11.44140625" style="47" hidden="1" customWidth="1"/>
    <col min="6857" max="6857" width="6.88671875" style="47" customWidth="1"/>
    <col min="6858" max="6859" width="11.44140625" style="47" hidden="1" customWidth="1"/>
    <col min="6860" max="6860" width="6.88671875" style="47" customWidth="1"/>
    <col min="6861" max="6862" width="11.44140625" style="47" hidden="1" customWidth="1"/>
    <col min="6863" max="6863" width="6.44140625" style="47" customWidth="1"/>
    <col min="6864" max="6868" width="11.44140625" style="47" hidden="1" customWidth="1"/>
    <col min="6869" max="6869" width="6.44140625" style="47" customWidth="1"/>
    <col min="6870" max="6871" width="11.44140625" style="47" hidden="1" customWidth="1"/>
    <col min="6872" max="6872" width="7.44140625" style="47" customWidth="1"/>
    <col min="6873" max="6873" width="11.44140625" style="47" hidden="1" customWidth="1"/>
    <col min="6874" max="6874" width="9.44140625" style="47" customWidth="1"/>
    <col min="6875" max="6875" width="11.44140625" style="47" hidden="1" customWidth="1"/>
    <col min="6876" max="6876" width="9" style="47" customWidth="1"/>
    <col min="6877" max="6878" width="11.44140625" style="47" hidden="1" customWidth="1"/>
    <col min="6879" max="6879" width="8.44140625" style="47" customWidth="1"/>
    <col min="6880" max="6881" width="11.44140625" style="47" hidden="1" customWidth="1"/>
    <col min="6882" max="6882" width="6.44140625" style="47" customWidth="1"/>
    <col min="6883" max="6884" width="11.44140625" style="47" hidden="1" customWidth="1"/>
    <col min="6885" max="6885" width="7" style="47" customWidth="1"/>
    <col min="6886" max="6887" width="11.44140625" style="47" hidden="1" customWidth="1"/>
    <col min="6888" max="6890" width="7" style="47" customWidth="1"/>
    <col min="6891" max="6892" width="11.44140625" style="47" hidden="1" customWidth="1"/>
    <col min="6893" max="6893" width="7.44140625" style="47" customWidth="1"/>
    <col min="6894" max="6895" width="11.44140625" style="47" hidden="1" customWidth="1"/>
    <col min="6896" max="6896" width="7" style="47" customWidth="1"/>
    <col min="6897" max="6898" width="11.44140625" style="47" hidden="1" customWidth="1"/>
    <col min="6899" max="6899" width="7" style="47" customWidth="1"/>
    <col min="6900" max="6901" width="11.44140625" style="47" hidden="1" customWidth="1"/>
    <col min="6902" max="6902" width="7" style="47" customWidth="1"/>
    <col min="6903" max="6903" width="11.44140625" style="47" hidden="1" customWidth="1"/>
    <col min="6904" max="6904" width="6.44140625" style="47" customWidth="1"/>
    <col min="6905" max="6914" width="11.44140625" style="47" hidden="1" customWidth="1"/>
    <col min="6915" max="6949" width="11.44140625" style="47" hidden="1"/>
    <col min="6950" max="6950" width="41.44140625" style="47" customWidth="1"/>
    <col min="6951" max="6951" width="6.44140625" style="47" customWidth="1"/>
    <col min="6952" max="6952" width="14.5546875" style="47" customWidth="1"/>
    <col min="6953" max="6953" width="11.44140625" style="47" customWidth="1"/>
    <col min="6954" max="6954" width="13" style="47" customWidth="1"/>
    <col min="6955" max="6955" width="25.44140625" style="47" customWidth="1"/>
    <col min="6956" max="6956" width="9.44140625" style="47" customWidth="1"/>
    <col min="6957" max="6965" width="11.44140625" style="47" hidden="1" customWidth="1"/>
    <col min="6966" max="6966" width="8.88671875" style="47" customWidth="1"/>
    <col min="6967" max="6967" width="9.44140625" style="47" customWidth="1"/>
    <col min="6968" max="6968" width="10.109375" style="47" customWidth="1"/>
    <col min="6969" max="6980" width="11.44140625" style="47" hidden="1" customWidth="1"/>
    <col min="6981" max="6981" width="13.88671875" style="47" customWidth="1"/>
    <col min="6982" max="6982" width="11.44140625" style="47" customWidth="1"/>
    <col min="6983" max="6983" width="56.88671875" style="47" customWidth="1"/>
    <col min="6984" max="6984" width="9.109375" style="47" customWidth="1"/>
    <col min="6985" max="6985" width="24.44140625" style="47" customWidth="1"/>
    <col min="6986" max="6986" width="22.88671875" style="47" customWidth="1"/>
    <col min="6987" max="6987" width="14.5546875" style="47" customWidth="1"/>
    <col min="6988" max="6988" width="5" style="47" customWidth="1"/>
    <col min="6989" max="6990" width="11.44140625" style="47" hidden="1" customWidth="1"/>
    <col min="6991" max="6991" width="5" style="47" customWidth="1"/>
    <col min="6992" max="6993" width="11.44140625" style="47" hidden="1" customWidth="1"/>
    <col min="6994" max="6994" width="5" style="47" customWidth="1"/>
    <col min="6995" max="6996" width="11.44140625" style="47" hidden="1" customWidth="1"/>
    <col min="6997" max="6997" width="5" style="47" customWidth="1"/>
    <col min="6998" max="6999" width="11.44140625" style="47" hidden="1" customWidth="1"/>
    <col min="7000" max="7000" width="5" style="47" customWidth="1"/>
    <col min="7001" max="7002" width="11.44140625" style="47" hidden="1" customWidth="1"/>
    <col min="7003" max="7003" width="5" style="47" customWidth="1"/>
    <col min="7004" max="7065" width="11.44140625" style="47" hidden="1" customWidth="1"/>
    <col min="7066" max="7066" width="9.44140625" style="47" customWidth="1"/>
    <col min="7067" max="7067" width="11.44140625" style="47" hidden="1" customWidth="1"/>
    <col min="7068" max="7068" width="5" style="47" customWidth="1"/>
    <col min="7069" max="7084" width="11.44140625" style="47" hidden="1" customWidth="1"/>
    <col min="7085" max="7085" width="6.44140625" style="47" customWidth="1"/>
    <col min="7086" max="7101" width="11.44140625" style="47" hidden="1" customWidth="1"/>
    <col min="7102" max="7102" width="7.109375" style="47" customWidth="1"/>
    <col min="7103" max="7109" width="11.44140625" style="47" hidden="1" customWidth="1"/>
    <col min="7110" max="7110" width="6.44140625" style="47" customWidth="1"/>
    <col min="7111" max="7112" width="11.44140625" style="47" hidden="1" customWidth="1"/>
    <col min="7113" max="7113" width="6.88671875" style="47" customWidth="1"/>
    <col min="7114" max="7115" width="11.44140625" style="47" hidden="1" customWidth="1"/>
    <col min="7116" max="7116" width="6.88671875" style="47" customWidth="1"/>
    <col min="7117" max="7118" width="11.44140625" style="47" hidden="1" customWidth="1"/>
    <col min="7119" max="7119" width="6.44140625" style="47" customWidth="1"/>
    <col min="7120" max="7124" width="11.44140625" style="47" hidden="1" customWidth="1"/>
    <col min="7125" max="7125" width="6.44140625" style="47" customWidth="1"/>
    <col min="7126" max="7127" width="11.44140625" style="47" hidden="1" customWidth="1"/>
    <col min="7128" max="7128" width="7.44140625" style="47" customWidth="1"/>
    <col min="7129" max="7129" width="11.44140625" style="47" hidden="1" customWidth="1"/>
    <col min="7130" max="7130" width="9.44140625" style="47" customWidth="1"/>
    <col min="7131" max="7131" width="11.44140625" style="47" hidden="1" customWidth="1"/>
    <col min="7132" max="7132" width="9" style="47" customWidth="1"/>
    <col min="7133" max="7134" width="11.44140625" style="47" hidden="1" customWidth="1"/>
    <col min="7135" max="7135" width="8.44140625" style="47" customWidth="1"/>
    <col min="7136" max="7137" width="11.44140625" style="47" hidden="1" customWidth="1"/>
    <col min="7138" max="7138" width="6.44140625" style="47" customWidth="1"/>
    <col min="7139" max="7140" width="11.44140625" style="47" hidden="1" customWidth="1"/>
    <col min="7141" max="7141" width="7" style="47" customWidth="1"/>
    <col min="7142" max="7143" width="11.44140625" style="47" hidden="1" customWidth="1"/>
    <col min="7144" max="7146" width="7" style="47" customWidth="1"/>
    <col min="7147" max="7148" width="11.44140625" style="47" hidden="1" customWidth="1"/>
    <col min="7149" max="7149" width="7.44140625" style="47" customWidth="1"/>
    <col min="7150" max="7151" width="11.44140625" style="47" hidden="1" customWidth="1"/>
    <col min="7152" max="7152" width="7" style="47" customWidth="1"/>
    <col min="7153" max="7154" width="11.44140625" style="47" hidden="1" customWidth="1"/>
    <col min="7155" max="7155" width="7" style="47" customWidth="1"/>
    <col min="7156" max="7157" width="11.44140625" style="47" hidden="1" customWidth="1"/>
    <col min="7158" max="7158" width="7" style="47" customWidth="1"/>
    <col min="7159" max="7159" width="11.44140625" style="47" hidden="1" customWidth="1"/>
    <col min="7160" max="7160" width="6.44140625" style="47" customWidth="1"/>
    <col min="7161" max="7170" width="11.44140625" style="47" hidden="1" customWidth="1"/>
    <col min="7171" max="7205" width="11.44140625" style="47" hidden="1"/>
    <col min="7206" max="7206" width="41.44140625" style="47" customWidth="1"/>
    <col min="7207" max="7207" width="6.44140625" style="47" customWidth="1"/>
    <col min="7208" max="7208" width="14.5546875" style="47" customWidth="1"/>
    <col min="7209" max="7209" width="11.44140625" style="47" customWidth="1"/>
    <col min="7210" max="7210" width="13" style="47" customWidth="1"/>
    <col min="7211" max="7211" width="25.44140625" style="47" customWidth="1"/>
    <col min="7212" max="7212" width="9.44140625" style="47" customWidth="1"/>
    <col min="7213" max="7221" width="11.44140625" style="47" hidden="1" customWidth="1"/>
    <col min="7222" max="7222" width="8.88671875" style="47" customWidth="1"/>
    <col min="7223" max="7223" width="9.44140625" style="47" customWidth="1"/>
    <col min="7224" max="7224" width="10.109375" style="47" customWidth="1"/>
    <col min="7225" max="7236" width="11.44140625" style="47" hidden="1" customWidth="1"/>
    <col min="7237" max="7237" width="13.88671875" style="47" customWidth="1"/>
    <col min="7238" max="7238" width="11.44140625" style="47" customWidth="1"/>
    <col min="7239" max="7239" width="56.88671875" style="47" customWidth="1"/>
    <col min="7240" max="7240" width="9.109375" style="47" customWidth="1"/>
    <col min="7241" max="7241" width="24.44140625" style="47" customWidth="1"/>
    <col min="7242" max="7242" width="22.88671875" style="47" customWidth="1"/>
    <col min="7243" max="7243" width="14.5546875" style="47" customWidth="1"/>
    <col min="7244" max="7244" width="5" style="47" customWidth="1"/>
    <col min="7245" max="7246" width="11.44140625" style="47" hidden="1" customWidth="1"/>
    <col min="7247" max="7247" width="5" style="47" customWidth="1"/>
    <col min="7248" max="7249" width="11.44140625" style="47" hidden="1" customWidth="1"/>
    <col min="7250" max="7250" width="5" style="47" customWidth="1"/>
    <col min="7251" max="7252" width="11.44140625" style="47" hidden="1" customWidth="1"/>
    <col min="7253" max="7253" width="5" style="47" customWidth="1"/>
    <col min="7254" max="7255" width="11.44140625" style="47" hidden="1" customWidth="1"/>
    <col min="7256" max="7256" width="5" style="47" customWidth="1"/>
    <col min="7257" max="7258" width="11.44140625" style="47" hidden="1" customWidth="1"/>
    <col min="7259" max="7259" width="5" style="47" customWidth="1"/>
    <col min="7260" max="7321" width="11.44140625" style="47" hidden="1" customWidth="1"/>
    <col min="7322" max="7322" width="9.44140625" style="47" customWidth="1"/>
    <col min="7323" max="7323" width="11.44140625" style="47" hidden="1" customWidth="1"/>
    <col min="7324" max="7324" width="5" style="47" customWidth="1"/>
    <col min="7325" max="7340" width="11.44140625" style="47" hidden="1" customWidth="1"/>
    <col min="7341" max="7341" width="6.44140625" style="47" customWidth="1"/>
    <col min="7342" max="7357" width="11.44140625" style="47" hidden="1" customWidth="1"/>
    <col min="7358" max="7358" width="7.109375" style="47" customWidth="1"/>
    <col min="7359" max="7365" width="11.44140625" style="47" hidden="1" customWidth="1"/>
    <col min="7366" max="7366" width="6.44140625" style="47" customWidth="1"/>
    <col min="7367" max="7368" width="11.44140625" style="47" hidden="1" customWidth="1"/>
    <col min="7369" max="7369" width="6.88671875" style="47" customWidth="1"/>
    <col min="7370" max="7371" width="11.44140625" style="47" hidden="1" customWidth="1"/>
    <col min="7372" max="7372" width="6.88671875" style="47" customWidth="1"/>
    <col min="7373" max="7374" width="11.44140625" style="47" hidden="1" customWidth="1"/>
    <col min="7375" max="7375" width="6.44140625" style="47" customWidth="1"/>
    <col min="7376" max="7380" width="11.44140625" style="47" hidden="1" customWidth="1"/>
    <col min="7381" max="7381" width="6.44140625" style="47" customWidth="1"/>
    <col min="7382" max="7383" width="11.44140625" style="47" hidden="1" customWidth="1"/>
    <col min="7384" max="7384" width="7.44140625" style="47" customWidth="1"/>
    <col min="7385" max="7385" width="11.44140625" style="47" hidden="1" customWidth="1"/>
    <col min="7386" max="7386" width="9.44140625" style="47" customWidth="1"/>
    <col min="7387" max="7387" width="11.44140625" style="47" hidden="1" customWidth="1"/>
    <col min="7388" max="7388" width="9" style="47" customWidth="1"/>
    <col min="7389" max="7390" width="11.44140625" style="47" hidden="1" customWidth="1"/>
    <col min="7391" max="7391" width="8.44140625" style="47" customWidth="1"/>
    <col min="7392" max="7393" width="11.44140625" style="47" hidden="1" customWidth="1"/>
    <col min="7394" max="7394" width="6.44140625" style="47" customWidth="1"/>
    <col min="7395" max="7396" width="11.44140625" style="47" hidden="1" customWidth="1"/>
    <col min="7397" max="7397" width="7" style="47" customWidth="1"/>
    <col min="7398" max="7399" width="11.44140625" style="47" hidden="1" customWidth="1"/>
    <col min="7400" max="7402" width="7" style="47" customWidth="1"/>
    <col min="7403" max="7404" width="11.44140625" style="47" hidden="1" customWidth="1"/>
    <col min="7405" max="7405" width="7.44140625" style="47" customWidth="1"/>
    <col min="7406" max="7407" width="11.44140625" style="47" hidden="1" customWidth="1"/>
    <col min="7408" max="7408" width="7" style="47" customWidth="1"/>
    <col min="7409" max="7410" width="11.44140625" style="47" hidden="1" customWidth="1"/>
    <col min="7411" max="7411" width="7" style="47" customWidth="1"/>
    <col min="7412" max="7413" width="11.44140625" style="47" hidden="1" customWidth="1"/>
    <col min="7414" max="7414" width="7" style="47" customWidth="1"/>
    <col min="7415" max="7415" width="11.44140625" style="47" hidden="1" customWidth="1"/>
    <col min="7416" max="7416" width="6.44140625" style="47" customWidth="1"/>
    <col min="7417" max="7426" width="11.44140625" style="47" hidden="1" customWidth="1"/>
    <col min="7427" max="7461" width="11.44140625" style="47" hidden="1"/>
    <col min="7462" max="7462" width="41.44140625" style="47" customWidth="1"/>
    <col min="7463" max="7463" width="6.44140625" style="47" customWidth="1"/>
    <col min="7464" max="7464" width="14.5546875" style="47" customWidth="1"/>
    <col min="7465" max="7465" width="11.44140625" style="47" customWidth="1"/>
    <col min="7466" max="7466" width="13" style="47" customWidth="1"/>
    <col min="7467" max="7467" width="25.44140625" style="47" customWidth="1"/>
    <col min="7468" max="7468" width="9.44140625" style="47" customWidth="1"/>
    <col min="7469" max="7477" width="11.44140625" style="47" hidden="1" customWidth="1"/>
    <col min="7478" max="7478" width="8.88671875" style="47" customWidth="1"/>
    <col min="7479" max="7479" width="9.44140625" style="47" customWidth="1"/>
    <col min="7480" max="7480" width="10.109375" style="47" customWidth="1"/>
    <col min="7481" max="7492" width="11.44140625" style="47" hidden="1" customWidth="1"/>
    <col min="7493" max="7493" width="13.88671875" style="47" customWidth="1"/>
    <col min="7494" max="7494" width="11.44140625" style="47" customWidth="1"/>
    <col min="7495" max="7495" width="56.88671875" style="47" customWidth="1"/>
    <col min="7496" max="7496" width="9.109375" style="47" customWidth="1"/>
    <col min="7497" max="7497" width="24.44140625" style="47" customWidth="1"/>
    <col min="7498" max="7498" width="22.88671875" style="47" customWidth="1"/>
    <col min="7499" max="7499" width="14.5546875" style="47" customWidth="1"/>
    <col min="7500" max="7500" width="5" style="47" customWidth="1"/>
    <col min="7501" max="7502" width="11.44140625" style="47" hidden="1" customWidth="1"/>
    <col min="7503" max="7503" width="5" style="47" customWidth="1"/>
    <col min="7504" max="7505" width="11.44140625" style="47" hidden="1" customWidth="1"/>
    <col min="7506" max="7506" width="5" style="47" customWidth="1"/>
    <col min="7507" max="7508" width="11.44140625" style="47" hidden="1" customWidth="1"/>
    <col min="7509" max="7509" width="5" style="47" customWidth="1"/>
    <col min="7510" max="7511" width="11.44140625" style="47" hidden="1" customWidth="1"/>
    <col min="7512" max="7512" width="5" style="47" customWidth="1"/>
    <col min="7513" max="7514" width="11.44140625" style="47" hidden="1" customWidth="1"/>
    <col min="7515" max="7515" width="5" style="47" customWidth="1"/>
    <col min="7516" max="7577" width="11.44140625" style="47" hidden="1" customWidth="1"/>
    <col min="7578" max="7578" width="9.44140625" style="47" customWidth="1"/>
    <col min="7579" max="7579" width="11.44140625" style="47" hidden="1" customWidth="1"/>
    <col min="7580" max="7580" width="5" style="47" customWidth="1"/>
    <col min="7581" max="7596" width="11.44140625" style="47" hidden="1" customWidth="1"/>
    <col min="7597" max="7597" width="6.44140625" style="47" customWidth="1"/>
    <col min="7598" max="7613" width="11.44140625" style="47" hidden="1" customWidth="1"/>
    <col min="7614" max="7614" width="7.109375" style="47" customWidth="1"/>
    <col min="7615" max="7621" width="11.44140625" style="47" hidden="1" customWidth="1"/>
    <col min="7622" max="7622" width="6.44140625" style="47" customWidth="1"/>
    <col min="7623" max="7624" width="11.44140625" style="47" hidden="1" customWidth="1"/>
    <col min="7625" max="7625" width="6.88671875" style="47" customWidth="1"/>
    <col min="7626" max="7627" width="11.44140625" style="47" hidden="1" customWidth="1"/>
    <col min="7628" max="7628" width="6.88671875" style="47" customWidth="1"/>
    <col min="7629" max="7630" width="11.44140625" style="47" hidden="1" customWidth="1"/>
    <col min="7631" max="7631" width="6.44140625" style="47" customWidth="1"/>
    <col min="7632" max="7636" width="11.44140625" style="47" hidden="1" customWidth="1"/>
    <col min="7637" max="7637" width="6.44140625" style="47" customWidth="1"/>
    <col min="7638" max="7639" width="11.44140625" style="47" hidden="1" customWidth="1"/>
    <col min="7640" max="7640" width="7.44140625" style="47" customWidth="1"/>
    <col min="7641" max="7641" width="11.44140625" style="47" hidden="1" customWidth="1"/>
    <col min="7642" max="7642" width="9.44140625" style="47" customWidth="1"/>
    <col min="7643" max="7643" width="11.44140625" style="47" hidden="1" customWidth="1"/>
    <col min="7644" max="7644" width="9" style="47" customWidth="1"/>
    <col min="7645" max="7646" width="11.44140625" style="47" hidden="1" customWidth="1"/>
    <col min="7647" max="7647" width="8.44140625" style="47" customWidth="1"/>
    <col min="7648" max="7649" width="11.44140625" style="47" hidden="1" customWidth="1"/>
    <col min="7650" max="7650" width="6.44140625" style="47" customWidth="1"/>
    <col min="7651" max="7652" width="11.44140625" style="47" hidden="1" customWidth="1"/>
    <col min="7653" max="7653" width="7" style="47" customWidth="1"/>
    <col min="7654" max="7655" width="11.44140625" style="47" hidden="1" customWidth="1"/>
    <col min="7656" max="7658" width="7" style="47" customWidth="1"/>
    <col min="7659" max="7660" width="11.44140625" style="47" hidden="1" customWidth="1"/>
    <col min="7661" max="7661" width="7.44140625" style="47" customWidth="1"/>
    <col min="7662" max="7663" width="11.44140625" style="47" hidden="1" customWidth="1"/>
    <col min="7664" max="7664" width="7" style="47" customWidth="1"/>
    <col min="7665" max="7666" width="11.44140625" style="47" hidden="1" customWidth="1"/>
    <col min="7667" max="7667" width="7" style="47" customWidth="1"/>
    <col min="7668" max="7669" width="11.44140625" style="47" hidden="1" customWidth="1"/>
    <col min="7670" max="7670" width="7" style="47" customWidth="1"/>
    <col min="7671" max="7671" width="11.44140625" style="47" hidden="1" customWidth="1"/>
    <col min="7672" max="7672" width="6.44140625" style="47" customWidth="1"/>
    <col min="7673" max="7682" width="11.44140625" style="47" hidden="1" customWidth="1"/>
    <col min="7683" max="7717" width="11.44140625" style="47" hidden="1"/>
    <col min="7718" max="7718" width="41.44140625" style="47" customWidth="1"/>
    <col min="7719" max="7719" width="6.44140625" style="47" customWidth="1"/>
    <col min="7720" max="7720" width="14.5546875" style="47" customWidth="1"/>
    <col min="7721" max="7721" width="11.44140625" style="47" customWidth="1"/>
    <col min="7722" max="7722" width="13" style="47" customWidth="1"/>
    <col min="7723" max="7723" width="25.44140625" style="47" customWidth="1"/>
    <col min="7724" max="7724" width="9.44140625" style="47" customWidth="1"/>
    <col min="7725" max="7733" width="11.44140625" style="47" hidden="1" customWidth="1"/>
    <col min="7734" max="7734" width="8.88671875" style="47" customWidth="1"/>
    <col min="7735" max="7735" width="9.44140625" style="47" customWidth="1"/>
    <col min="7736" max="7736" width="10.109375" style="47" customWidth="1"/>
    <col min="7737" max="7748" width="11.44140625" style="47" hidden="1" customWidth="1"/>
    <col min="7749" max="7749" width="13.88671875" style="47" customWidth="1"/>
    <col min="7750" max="7750" width="11.44140625" style="47" customWidth="1"/>
    <col min="7751" max="7751" width="56.88671875" style="47" customWidth="1"/>
    <col min="7752" max="7752" width="9.109375" style="47" customWidth="1"/>
    <col min="7753" max="7753" width="24.44140625" style="47" customWidth="1"/>
    <col min="7754" max="7754" width="22.88671875" style="47" customWidth="1"/>
    <col min="7755" max="7755" width="14.5546875" style="47" customWidth="1"/>
    <col min="7756" max="7756" width="5" style="47" customWidth="1"/>
    <col min="7757" max="7758" width="11.44140625" style="47" hidden="1" customWidth="1"/>
    <col min="7759" max="7759" width="5" style="47" customWidth="1"/>
    <col min="7760" max="7761" width="11.44140625" style="47" hidden="1" customWidth="1"/>
    <col min="7762" max="7762" width="5" style="47" customWidth="1"/>
    <col min="7763" max="7764" width="11.44140625" style="47" hidden="1" customWidth="1"/>
    <col min="7765" max="7765" width="5" style="47" customWidth="1"/>
    <col min="7766" max="7767" width="11.44140625" style="47" hidden="1" customWidth="1"/>
    <col min="7768" max="7768" width="5" style="47" customWidth="1"/>
    <col min="7769" max="7770" width="11.44140625" style="47" hidden="1" customWidth="1"/>
    <col min="7771" max="7771" width="5" style="47" customWidth="1"/>
    <col min="7772" max="7833" width="11.44140625" style="47" hidden="1" customWidth="1"/>
    <col min="7834" max="7834" width="9.44140625" style="47" customWidth="1"/>
    <col min="7835" max="7835" width="11.44140625" style="47" hidden="1" customWidth="1"/>
    <col min="7836" max="7836" width="5" style="47" customWidth="1"/>
    <col min="7837" max="7852" width="11.44140625" style="47" hidden="1" customWidth="1"/>
    <col min="7853" max="7853" width="6.44140625" style="47" customWidth="1"/>
    <col min="7854" max="7869" width="11.44140625" style="47" hidden="1" customWidth="1"/>
    <col min="7870" max="7870" width="7.109375" style="47" customWidth="1"/>
    <col min="7871" max="7877" width="11.44140625" style="47" hidden="1" customWidth="1"/>
    <col min="7878" max="7878" width="6.44140625" style="47" customWidth="1"/>
    <col min="7879" max="7880" width="11.44140625" style="47" hidden="1" customWidth="1"/>
    <col min="7881" max="7881" width="6.88671875" style="47" customWidth="1"/>
    <col min="7882" max="7883" width="11.44140625" style="47" hidden="1" customWidth="1"/>
    <col min="7884" max="7884" width="6.88671875" style="47" customWidth="1"/>
    <col min="7885" max="7886" width="11.44140625" style="47" hidden="1" customWidth="1"/>
    <col min="7887" max="7887" width="6.44140625" style="47" customWidth="1"/>
    <col min="7888" max="7892" width="11.44140625" style="47" hidden="1" customWidth="1"/>
    <col min="7893" max="7893" width="6.44140625" style="47" customWidth="1"/>
    <col min="7894" max="7895" width="11.44140625" style="47" hidden="1" customWidth="1"/>
    <col min="7896" max="7896" width="7.44140625" style="47" customWidth="1"/>
    <col min="7897" max="7897" width="11.44140625" style="47" hidden="1" customWidth="1"/>
    <col min="7898" max="7898" width="9.44140625" style="47" customWidth="1"/>
    <col min="7899" max="7899" width="11.44140625" style="47" hidden="1" customWidth="1"/>
    <col min="7900" max="7900" width="9" style="47" customWidth="1"/>
    <col min="7901" max="7902" width="11.44140625" style="47" hidden="1" customWidth="1"/>
    <col min="7903" max="7903" width="8.44140625" style="47" customWidth="1"/>
    <col min="7904" max="7905" width="11.44140625" style="47" hidden="1" customWidth="1"/>
    <col min="7906" max="7906" width="6.44140625" style="47" customWidth="1"/>
    <col min="7907" max="7908" width="11.44140625" style="47" hidden="1" customWidth="1"/>
    <col min="7909" max="7909" width="7" style="47" customWidth="1"/>
    <col min="7910" max="7911" width="11.44140625" style="47" hidden="1" customWidth="1"/>
    <col min="7912" max="7914" width="7" style="47" customWidth="1"/>
    <col min="7915" max="7916" width="11.44140625" style="47" hidden="1" customWidth="1"/>
    <col min="7917" max="7917" width="7.44140625" style="47" customWidth="1"/>
    <col min="7918" max="7919" width="11.44140625" style="47" hidden="1" customWidth="1"/>
    <col min="7920" max="7920" width="7" style="47" customWidth="1"/>
    <col min="7921" max="7922" width="11.44140625" style="47" hidden="1" customWidth="1"/>
    <col min="7923" max="7923" width="7" style="47" customWidth="1"/>
    <col min="7924" max="7925" width="11.44140625" style="47" hidden="1" customWidth="1"/>
    <col min="7926" max="7926" width="7" style="47" customWidth="1"/>
    <col min="7927" max="7927" width="11.44140625" style="47" hidden="1" customWidth="1"/>
    <col min="7928" max="7928" width="6.44140625" style="47" customWidth="1"/>
    <col min="7929" max="7938" width="11.44140625" style="47" hidden="1" customWidth="1"/>
    <col min="7939" max="7973" width="11.44140625" style="47" hidden="1"/>
    <col min="7974" max="7974" width="41.44140625" style="47" customWidth="1"/>
    <col min="7975" max="7975" width="6.44140625" style="47" customWidth="1"/>
    <col min="7976" max="7976" width="14.5546875" style="47" customWidth="1"/>
    <col min="7977" max="7977" width="11.44140625" style="47" customWidth="1"/>
    <col min="7978" max="7978" width="13" style="47" customWidth="1"/>
    <col min="7979" max="7979" width="25.44140625" style="47" customWidth="1"/>
    <col min="7980" max="7980" width="9.44140625" style="47" customWidth="1"/>
    <col min="7981" max="7989" width="11.44140625" style="47" hidden="1" customWidth="1"/>
    <col min="7990" max="7990" width="8.88671875" style="47" customWidth="1"/>
    <col min="7991" max="7991" width="9.44140625" style="47" customWidth="1"/>
    <col min="7992" max="7992" width="10.109375" style="47" customWidth="1"/>
    <col min="7993" max="8004" width="11.44140625" style="47" hidden="1" customWidth="1"/>
    <col min="8005" max="8005" width="13.88671875" style="47" customWidth="1"/>
    <col min="8006" max="8006" width="11.44140625" style="47" customWidth="1"/>
    <col min="8007" max="8007" width="56.88671875" style="47" customWidth="1"/>
    <col min="8008" max="8008" width="9.109375" style="47" customWidth="1"/>
    <col min="8009" max="8009" width="24.44140625" style="47" customWidth="1"/>
    <col min="8010" max="8010" width="22.88671875" style="47" customWidth="1"/>
    <col min="8011" max="8011" width="14.5546875" style="47" customWidth="1"/>
    <col min="8012" max="8012" width="5" style="47" customWidth="1"/>
    <col min="8013" max="8014" width="11.44140625" style="47" hidden="1" customWidth="1"/>
    <col min="8015" max="8015" width="5" style="47" customWidth="1"/>
    <col min="8016" max="8017" width="11.44140625" style="47" hidden="1" customWidth="1"/>
    <col min="8018" max="8018" width="5" style="47" customWidth="1"/>
    <col min="8019" max="8020" width="11.44140625" style="47" hidden="1" customWidth="1"/>
    <col min="8021" max="8021" width="5" style="47" customWidth="1"/>
    <col min="8022" max="8023" width="11.44140625" style="47" hidden="1" customWidth="1"/>
    <col min="8024" max="8024" width="5" style="47" customWidth="1"/>
    <col min="8025" max="8026" width="11.44140625" style="47" hidden="1" customWidth="1"/>
    <col min="8027" max="8027" width="5" style="47" customWidth="1"/>
    <col min="8028" max="8089" width="11.44140625" style="47" hidden="1" customWidth="1"/>
    <col min="8090" max="8090" width="9.44140625" style="47" customWidth="1"/>
    <col min="8091" max="8091" width="11.44140625" style="47" hidden="1" customWidth="1"/>
    <col min="8092" max="8092" width="5" style="47" customWidth="1"/>
    <col min="8093" max="8108" width="11.44140625" style="47" hidden="1" customWidth="1"/>
    <col min="8109" max="8109" width="6.44140625" style="47" customWidth="1"/>
    <col min="8110" max="8125" width="11.44140625" style="47" hidden="1" customWidth="1"/>
    <col min="8126" max="8126" width="7.109375" style="47" customWidth="1"/>
    <col min="8127" max="8133" width="11.44140625" style="47" hidden="1" customWidth="1"/>
    <col min="8134" max="8134" width="6.44140625" style="47" customWidth="1"/>
    <col min="8135" max="8136" width="11.44140625" style="47" hidden="1" customWidth="1"/>
    <col min="8137" max="8137" width="6.88671875" style="47" customWidth="1"/>
    <col min="8138" max="8139" width="11.44140625" style="47" hidden="1" customWidth="1"/>
    <col min="8140" max="8140" width="6.88671875" style="47" customWidth="1"/>
    <col min="8141" max="8142" width="11.44140625" style="47" hidden="1" customWidth="1"/>
    <col min="8143" max="8143" width="6.44140625" style="47" customWidth="1"/>
    <col min="8144" max="8148" width="11.44140625" style="47" hidden="1" customWidth="1"/>
    <col min="8149" max="8149" width="6.44140625" style="47" customWidth="1"/>
    <col min="8150" max="8151" width="11.44140625" style="47" hidden="1" customWidth="1"/>
    <col min="8152" max="8152" width="7.44140625" style="47" customWidth="1"/>
    <col min="8153" max="8153" width="11.44140625" style="47" hidden="1" customWidth="1"/>
    <col min="8154" max="8154" width="9.44140625" style="47" customWidth="1"/>
    <col min="8155" max="8155" width="11.44140625" style="47" hidden="1" customWidth="1"/>
    <col min="8156" max="8156" width="9" style="47" customWidth="1"/>
    <col min="8157" max="8158" width="11.44140625" style="47" hidden="1" customWidth="1"/>
    <col min="8159" max="8159" width="8.44140625" style="47" customWidth="1"/>
    <col min="8160" max="8161" width="11.44140625" style="47" hidden="1" customWidth="1"/>
    <col min="8162" max="8162" width="6.44140625" style="47" customWidth="1"/>
    <col min="8163" max="8164" width="11.44140625" style="47" hidden="1" customWidth="1"/>
    <col min="8165" max="8165" width="7" style="47" customWidth="1"/>
    <col min="8166" max="8167" width="11.44140625" style="47" hidden="1" customWidth="1"/>
    <col min="8168" max="8170" width="7" style="47" customWidth="1"/>
    <col min="8171" max="8172" width="11.44140625" style="47" hidden="1" customWidth="1"/>
    <col min="8173" max="8173" width="7.44140625" style="47" customWidth="1"/>
    <col min="8174" max="8175" width="11.44140625" style="47" hidden="1" customWidth="1"/>
    <col min="8176" max="8176" width="7" style="47" customWidth="1"/>
    <col min="8177" max="8178" width="11.44140625" style="47" hidden="1" customWidth="1"/>
    <col min="8179" max="8179" width="7" style="47" customWidth="1"/>
    <col min="8180" max="8181" width="11.44140625" style="47" hidden="1" customWidth="1"/>
    <col min="8182" max="8182" width="7" style="47" customWidth="1"/>
    <col min="8183" max="8183" width="11.44140625" style="47" hidden="1" customWidth="1"/>
    <col min="8184" max="8184" width="6.44140625" style="47" customWidth="1"/>
    <col min="8185" max="8194" width="11.44140625" style="47" hidden="1" customWidth="1"/>
    <col min="8195" max="8229" width="11.44140625" style="47" hidden="1"/>
    <col min="8230" max="8230" width="41.44140625" style="47" customWidth="1"/>
    <col min="8231" max="8231" width="6.44140625" style="47" customWidth="1"/>
    <col min="8232" max="8232" width="14.5546875" style="47" customWidth="1"/>
    <col min="8233" max="8233" width="11.44140625" style="47" customWidth="1"/>
    <col min="8234" max="8234" width="13" style="47" customWidth="1"/>
    <col min="8235" max="8235" width="25.44140625" style="47" customWidth="1"/>
    <col min="8236" max="8236" width="9.44140625" style="47" customWidth="1"/>
    <col min="8237" max="8245" width="11.44140625" style="47" hidden="1" customWidth="1"/>
    <col min="8246" max="8246" width="8.88671875" style="47" customWidth="1"/>
    <col min="8247" max="8247" width="9.44140625" style="47" customWidth="1"/>
    <col min="8248" max="8248" width="10.109375" style="47" customWidth="1"/>
    <col min="8249" max="8260" width="11.44140625" style="47" hidden="1" customWidth="1"/>
    <col min="8261" max="8261" width="13.88671875" style="47" customWidth="1"/>
    <col min="8262" max="8262" width="11.44140625" style="47" customWidth="1"/>
    <col min="8263" max="8263" width="56.88671875" style="47" customWidth="1"/>
    <col min="8264" max="8264" width="9.109375" style="47" customWidth="1"/>
    <col min="8265" max="8265" width="24.44140625" style="47" customWidth="1"/>
    <col min="8266" max="8266" width="22.88671875" style="47" customWidth="1"/>
    <col min="8267" max="8267" width="14.5546875" style="47" customWidth="1"/>
    <col min="8268" max="8268" width="5" style="47" customWidth="1"/>
    <col min="8269" max="8270" width="11.44140625" style="47" hidden="1" customWidth="1"/>
    <col min="8271" max="8271" width="5" style="47" customWidth="1"/>
    <col min="8272" max="8273" width="11.44140625" style="47" hidden="1" customWidth="1"/>
    <col min="8274" max="8274" width="5" style="47" customWidth="1"/>
    <col min="8275" max="8276" width="11.44140625" style="47" hidden="1" customWidth="1"/>
    <col min="8277" max="8277" width="5" style="47" customWidth="1"/>
    <col min="8278" max="8279" width="11.44140625" style="47" hidden="1" customWidth="1"/>
    <col min="8280" max="8280" width="5" style="47" customWidth="1"/>
    <col min="8281" max="8282" width="11.44140625" style="47" hidden="1" customWidth="1"/>
    <col min="8283" max="8283" width="5" style="47" customWidth="1"/>
    <col min="8284" max="8345" width="11.44140625" style="47" hidden="1" customWidth="1"/>
    <col min="8346" max="8346" width="9.44140625" style="47" customWidth="1"/>
    <col min="8347" max="8347" width="11.44140625" style="47" hidden="1" customWidth="1"/>
    <col min="8348" max="8348" width="5" style="47" customWidth="1"/>
    <col min="8349" max="8364" width="11.44140625" style="47" hidden="1" customWidth="1"/>
    <col min="8365" max="8365" width="6.44140625" style="47" customWidth="1"/>
    <col min="8366" max="8381" width="11.44140625" style="47" hidden="1" customWidth="1"/>
    <col min="8382" max="8382" width="7.109375" style="47" customWidth="1"/>
    <col min="8383" max="8389" width="11.44140625" style="47" hidden="1" customWidth="1"/>
    <col min="8390" max="8390" width="6.44140625" style="47" customWidth="1"/>
    <col min="8391" max="8392" width="11.44140625" style="47" hidden="1" customWidth="1"/>
    <col min="8393" max="8393" width="6.88671875" style="47" customWidth="1"/>
    <col min="8394" max="8395" width="11.44140625" style="47" hidden="1" customWidth="1"/>
    <col min="8396" max="8396" width="6.88671875" style="47" customWidth="1"/>
    <col min="8397" max="8398" width="11.44140625" style="47" hidden="1" customWidth="1"/>
    <col min="8399" max="8399" width="6.44140625" style="47" customWidth="1"/>
    <col min="8400" max="8404" width="11.44140625" style="47" hidden="1" customWidth="1"/>
    <col min="8405" max="8405" width="6.44140625" style="47" customWidth="1"/>
    <col min="8406" max="8407" width="11.44140625" style="47" hidden="1" customWidth="1"/>
    <col min="8408" max="8408" width="7.44140625" style="47" customWidth="1"/>
    <col min="8409" max="8409" width="11.44140625" style="47" hidden="1" customWidth="1"/>
    <col min="8410" max="8410" width="9.44140625" style="47" customWidth="1"/>
    <col min="8411" max="8411" width="11.44140625" style="47" hidden="1" customWidth="1"/>
    <col min="8412" max="8412" width="9" style="47" customWidth="1"/>
    <col min="8413" max="8414" width="11.44140625" style="47" hidden="1" customWidth="1"/>
    <col min="8415" max="8415" width="8.44140625" style="47" customWidth="1"/>
    <col min="8416" max="8417" width="11.44140625" style="47" hidden="1" customWidth="1"/>
    <col min="8418" max="8418" width="6.44140625" style="47" customWidth="1"/>
    <col min="8419" max="8420" width="11.44140625" style="47" hidden="1" customWidth="1"/>
    <col min="8421" max="8421" width="7" style="47" customWidth="1"/>
    <col min="8422" max="8423" width="11.44140625" style="47" hidden="1" customWidth="1"/>
    <col min="8424" max="8426" width="7" style="47" customWidth="1"/>
    <col min="8427" max="8428" width="11.44140625" style="47" hidden="1" customWidth="1"/>
    <col min="8429" max="8429" width="7.44140625" style="47" customWidth="1"/>
    <col min="8430" max="8431" width="11.44140625" style="47" hidden="1" customWidth="1"/>
    <col min="8432" max="8432" width="7" style="47" customWidth="1"/>
    <col min="8433" max="8434" width="11.44140625" style="47" hidden="1" customWidth="1"/>
    <col min="8435" max="8435" width="7" style="47" customWidth="1"/>
    <col min="8436" max="8437" width="11.44140625" style="47" hidden="1" customWidth="1"/>
    <col min="8438" max="8438" width="7" style="47" customWidth="1"/>
    <col min="8439" max="8439" width="11.44140625" style="47" hidden="1" customWidth="1"/>
    <col min="8440" max="8440" width="6.44140625" style="47" customWidth="1"/>
    <col min="8441" max="8450" width="11.44140625" style="47" hidden="1" customWidth="1"/>
    <col min="8451" max="8485" width="11.44140625" style="47" hidden="1"/>
    <col min="8486" max="8486" width="41.44140625" style="47" customWidth="1"/>
    <col min="8487" max="8487" width="6.44140625" style="47" customWidth="1"/>
    <col min="8488" max="8488" width="14.5546875" style="47" customWidth="1"/>
    <col min="8489" max="8489" width="11.44140625" style="47" customWidth="1"/>
    <col min="8490" max="8490" width="13" style="47" customWidth="1"/>
    <col min="8491" max="8491" width="25.44140625" style="47" customWidth="1"/>
    <col min="8492" max="8492" width="9.44140625" style="47" customWidth="1"/>
    <col min="8493" max="8501" width="11.44140625" style="47" hidden="1" customWidth="1"/>
    <col min="8502" max="8502" width="8.88671875" style="47" customWidth="1"/>
    <col min="8503" max="8503" width="9.44140625" style="47" customWidth="1"/>
    <col min="8504" max="8504" width="10.109375" style="47" customWidth="1"/>
    <col min="8505" max="8516" width="11.44140625" style="47" hidden="1" customWidth="1"/>
    <col min="8517" max="8517" width="13.88671875" style="47" customWidth="1"/>
    <col min="8518" max="8518" width="11.44140625" style="47" customWidth="1"/>
    <col min="8519" max="8519" width="56.88671875" style="47" customWidth="1"/>
    <col min="8520" max="8520" width="9.109375" style="47" customWidth="1"/>
    <col min="8521" max="8521" width="24.44140625" style="47" customWidth="1"/>
    <col min="8522" max="8522" width="22.88671875" style="47" customWidth="1"/>
    <col min="8523" max="8523" width="14.5546875" style="47" customWidth="1"/>
    <col min="8524" max="8524" width="5" style="47" customWidth="1"/>
    <col min="8525" max="8526" width="11.44140625" style="47" hidden="1" customWidth="1"/>
    <col min="8527" max="8527" width="5" style="47" customWidth="1"/>
    <col min="8528" max="8529" width="11.44140625" style="47" hidden="1" customWidth="1"/>
    <col min="8530" max="8530" width="5" style="47" customWidth="1"/>
    <col min="8531" max="8532" width="11.44140625" style="47" hidden="1" customWidth="1"/>
    <col min="8533" max="8533" width="5" style="47" customWidth="1"/>
    <col min="8534" max="8535" width="11.44140625" style="47" hidden="1" customWidth="1"/>
    <col min="8536" max="8536" width="5" style="47" customWidth="1"/>
    <col min="8537" max="8538" width="11.44140625" style="47" hidden="1" customWidth="1"/>
    <col min="8539" max="8539" width="5" style="47" customWidth="1"/>
    <col min="8540" max="8601" width="11.44140625" style="47" hidden="1" customWidth="1"/>
    <col min="8602" max="8602" width="9.44140625" style="47" customWidth="1"/>
    <col min="8603" max="8603" width="11.44140625" style="47" hidden="1" customWidth="1"/>
    <col min="8604" max="8604" width="5" style="47" customWidth="1"/>
    <col min="8605" max="8620" width="11.44140625" style="47" hidden="1" customWidth="1"/>
    <col min="8621" max="8621" width="6.44140625" style="47" customWidth="1"/>
    <col min="8622" max="8637" width="11.44140625" style="47" hidden="1" customWidth="1"/>
    <col min="8638" max="8638" width="7.109375" style="47" customWidth="1"/>
    <col min="8639" max="8645" width="11.44140625" style="47" hidden="1" customWidth="1"/>
    <col min="8646" max="8646" width="6.44140625" style="47" customWidth="1"/>
    <col min="8647" max="8648" width="11.44140625" style="47" hidden="1" customWidth="1"/>
    <col min="8649" max="8649" width="6.88671875" style="47" customWidth="1"/>
    <col min="8650" max="8651" width="11.44140625" style="47" hidden="1" customWidth="1"/>
    <col min="8652" max="8652" width="6.88671875" style="47" customWidth="1"/>
    <col min="8653" max="8654" width="11.44140625" style="47" hidden="1" customWidth="1"/>
    <col min="8655" max="8655" width="6.44140625" style="47" customWidth="1"/>
    <col min="8656" max="8660" width="11.44140625" style="47" hidden="1" customWidth="1"/>
    <col min="8661" max="8661" width="6.44140625" style="47" customWidth="1"/>
    <col min="8662" max="8663" width="11.44140625" style="47" hidden="1" customWidth="1"/>
    <col min="8664" max="8664" width="7.44140625" style="47" customWidth="1"/>
    <col min="8665" max="8665" width="11.44140625" style="47" hidden="1" customWidth="1"/>
    <col min="8666" max="8666" width="9.44140625" style="47" customWidth="1"/>
    <col min="8667" max="8667" width="11.44140625" style="47" hidden="1" customWidth="1"/>
    <col min="8668" max="8668" width="9" style="47" customWidth="1"/>
    <col min="8669" max="8670" width="11.44140625" style="47" hidden="1" customWidth="1"/>
    <col min="8671" max="8671" width="8.44140625" style="47" customWidth="1"/>
    <col min="8672" max="8673" width="11.44140625" style="47" hidden="1" customWidth="1"/>
    <col min="8674" max="8674" width="6.44140625" style="47" customWidth="1"/>
    <col min="8675" max="8676" width="11.44140625" style="47" hidden="1" customWidth="1"/>
    <col min="8677" max="8677" width="7" style="47" customWidth="1"/>
    <col min="8678" max="8679" width="11.44140625" style="47" hidden="1" customWidth="1"/>
    <col min="8680" max="8682" width="7" style="47" customWidth="1"/>
    <col min="8683" max="8684" width="11.44140625" style="47" hidden="1" customWidth="1"/>
    <col min="8685" max="8685" width="7.44140625" style="47" customWidth="1"/>
    <col min="8686" max="8687" width="11.44140625" style="47" hidden="1" customWidth="1"/>
    <col min="8688" max="8688" width="7" style="47" customWidth="1"/>
    <col min="8689" max="8690" width="11.44140625" style="47" hidden="1" customWidth="1"/>
    <col min="8691" max="8691" width="7" style="47" customWidth="1"/>
    <col min="8692" max="8693" width="11.44140625" style="47" hidden="1" customWidth="1"/>
    <col min="8694" max="8694" width="7" style="47" customWidth="1"/>
    <col min="8695" max="8695" width="11.44140625" style="47" hidden="1" customWidth="1"/>
    <col min="8696" max="8696" width="6.44140625" style="47" customWidth="1"/>
    <col min="8697" max="8706" width="11.44140625" style="47" hidden="1" customWidth="1"/>
    <col min="8707" max="8741" width="11.44140625" style="47" hidden="1"/>
    <col min="8742" max="8742" width="41.44140625" style="47" customWidth="1"/>
    <col min="8743" max="8743" width="6.44140625" style="47" customWidth="1"/>
    <col min="8744" max="8744" width="14.5546875" style="47" customWidth="1"/>
    <col min="8745" max="8745" width="11.44140625" style="47" customWidth="1"/>
    <col min="8746" max="8746" width="13" style="47" customWidth="1"/>
    <col min="8747" max="8747" width="25.44140625" style="47" customWidth="1"/>
    <col min="8748" max="8748" width="9.44140625" style="47" customWidth="1"/>
    <col min="8749" max="8757" width="11.44140625" style="47" hidden="1" customWidth="1"/>
    <col min="8758" max="8758" width="8.88671875" style="47" customWidth="1"/>
    <col min="8759" max="8759" width="9.44140625" style="47" customWidth="1"/>
    <col min="8760" max="8760" width="10.109375" style="47" customWidth="1"/>
    <col min="8761" max="8772" width="11.44140625" style="47" hidden="1" customWidth="1"/>
    <col min="8773" max="8773" width="13.88671875" style="47" customWidth="1"/>
    <col min="8774" max="8774" width="11.44140625" style="47" customWidth="1"/>
    <col min="8775" max="8775" width="56.88671875" style="47" customWidth="1"/>
    <col min="8776" max="8776" width="9.109375" style="47" customWidth="1"/>
    <col min="8777" max="8777" width="24.44140625" style="47" customWidth="1"/>
    <col min="8778" max="8778" width="22.88671875" style="47" customWidth="1"/>
    <col min="8779" max="8779" width="14.5546875" style="47" customWidth="1"/>
    <col min="8780" max="8780" width="5" style="47" customWidth="1"/>
    <col min="8781" max="8782" width="11.44140625" style="47" hidden="1" customWidth="1"/>
    <col min="8783" max="8783" width="5" style="47" customWidth="1"/>
    <col min="8784" max="8785" width="11.44140625" style="47" hidden="1" customWidth="1"/>
    <col min="8786" max="8786" width="5" style="47" customWidth="1"/>
    <col min="8787" max="8788" width="11.44140625" style="47" hidden="1" customWidth="1"/>
    <col min="8789" max="8789" width="5" style="47" customWidth="1"/>
    <col min="8790" max="8791" width="11.44140625" style="47" hidden="1" customWidth="1"/>
    <col min="8792" max="8792" width="5" style="47" customWidth="1"/>
    <col min="8793" max="8794" width="11.44140625" style="47" hidden="1" customWidth="1"/>
    <col min="8795" max="8795" width="5" style="47" customWidth="1"/>
    <col min="8796" max="8857" width="11.44140625" style="47" hidden="1" customWidth="1"/>
    <col min="8858" max="8858" width="9.44140625" style="47" customWidth="1"/>
    <col min="8859" max="8859" width="11.44140625" style="47" hidden="1" customWidth="1"/>
    <col min="8860" max="8860" width="5" style="47" customWidth="1"/>
    <col min="8861" max="8876" width="11.44140625" style="47" hidden="1" customWidth="1"/>
    <col min="8877" max="8877" width="6.44140625" style="47" customWidth="1"/>
    <col min="8878" max="8893" width="11.44140625" style="47" hidden="1" customWidth="1"/>
    <col min="8894" max="8894" width="7.109375" style="47" customWidth="1"/>
    <col min="8895" max="8901" width="11.44140625" style="47" hidden="1" customWidth="1"/>
    <col min="8902" max="8902" width="6.44140625" style="47" customWidth="1"/>
    <col min="8903" max="8904" width="11.44140625" style="47" hidden="1" customWidth="1"/>
    <col min="8905" max="8905" width="6.88671875" style="47" customWidth="1"/>
    <col min="8906" max="8907" width="11.44140625" style="47" hidden="1" customWidth="1"/>
    <col min="8908" max="8908" width="6.88671875" style="47" customWidth="1"/>
    <col min="8909" max="8910" width="11.44140625" style="47" hidden="1" customWidth="1"/>
    <col min="8911" max="8911" width="6.44140625" style="47" customWidth="1"/>
    <col min="8912" max="8916" width="11.44140625" style="47" hidden="1" customWidth="1"/>
    <col min="8917" max="8917" width="6.44140625" style="47" customWidth="1"/>
    <col min="8918" max="8919" width="11.44140625" style="47" hidden="1" customWidth="1"/>
    <col min="8920" max="8920" width="7.44140625" style="47" customWidth="1"/>
    <col min="8921" max="8921" width="11.44140625" style="47" hidden="1" customWidth="1"/>
    <col min="8922" max="8922" width="9.44140625" style="47" customWidth="1"/>
    <col min="8923" max="8923" width="11.44140625" style="47" hidden="1" customWidth="1"/>
    <col min="8924" max="8924" width="9" style="47" customWidth="1"/>
    <col min="8925" max="8926" width="11.44140625" style="47" hidden="1" customWidth="1"/>
    <col min="8927" max="8927" width="8.44140625" style="47" customWidth="1"/>
    <col min="8928" max="8929" width="11.44140625" style="47" hidden="1" customWidth="1"/>
    <col min="8930" max="8930" width="6.44140625" style="47" customWidth="1"/>
    <col min="8931" max="8932" width="11.44140625" style="47" hidden="1" customWidth="1"/>
    <col min="8933" max="8933" width="7" style="47" customWidth="1"/>
    <col min="8934" max="8935" width="11.44140625" style="47" hidden="1" customWidth="1"/>
    <col min="8936" max="8938" width="7" style="47" customWidth="1"/>
    <col min="8939" max="8940" width="11.44140625" style="47" hidden="1" customWidth="1"/>
    <col min="8941" max="8941" width="7.44140625" style="47" customWidth="1"/>
    <col min="8942" max="8943" width="11.44140625" style="47" hidden="1" customWidth="1"/>
    <col min="8944" max="8944" width="7" style="47" customWidth="1"/>
    <col min="8945" max="8946" width="11.44140625" style="47" hidden="1" customWidth="1"/>
    <col min="8947" max="8947" width="7" style="47" customWidth="1"/>
    <col min="8948" max="8949" width="11.44140625" style="47" hidden="1" customWidth="1"/>
    <col min="8950" max="8950" width="7" style="47" customWidth="1"/>
    <col min="8951" max="8951" width="11.44140625" style="47" hidden="1" customWidth="1"/>
    <col min="8952" max="8952" width="6.44140625" style="47" customWidth="1"/>
    <col min="8953" max="8962" width="11.44140625" style="47" hidden="1" customWidth="1"/>
    <col min="8963" max="8997" width="11.44140625" style="47" hidden="1"/>
    <col min="8998" max="8998" width="41.44140625" style="47" customWidth="1"/>
    <col min="8999" max="8999" width="6.44140625" style="47" customWidth="1"/>
    <col min="9000" max="9000" width="14.5546875" style="47" customWidth="1"/>
    <col min="9001" max="9001" width="11.44140625" style="47" customWidth="1"/>
    <col min="9002" max="9002" width="13" style="47" customWidth="1"/>
    <col min="9003" max="9003" width="25.44140625" style="47" customWidth="1"/>
    <col min="9004" max="9004" width="9.44140625" style="47" customWidth="1"/>
    <col min="9005" max="9013" width="11.44140625" style="47" hidden="1" customWidth="1"/>
    <col min="9014" max="9014" width="8.88671875" style="47" customWidth="1"/>
    <col min="9015" max="9015" width="9.44140625" style="47" customWidth="1"/>
    <col min="9016" max="9016" width="10.109375" style="47" customWidth="1"/>
    <col min="9017" max="9028" width="11.44140625" style="47" hidden="1" customWidth="1"/>
    <col min="9029" max="9029" width="13.88671875" style="47" customWidth="1"/>
    <col min="9030" max="9030" width="11.44140625" style="47" customWidth="1"/>
    <col min="9031" max="9031" width="56.88671875" style="47" customWidth="1"/>
    <col min="9032" max="9032" width="9.109375" style="47" customWidth="1"/>
    <col min="9033" max="9033" width="24.44140625" style="47" customWidth="1"/>
    <col min="9034" max="9034" width="22.88671875" style="47" customWidth="1"/>
    <col min="9035" max="9035" width="14.5546875" style="47" customWidth="1"/>
    <col min="9036" max="9036" width="5" style="47" customWidth="1"/>
    <col min="9037" max="9038" width="11.44140625" style="47" hidden="1" customWidth="1"/>
    <col min="9039" max="9039" width="5" style="47" customWidth="1"/>
    <col min="9040" max="9041" width="11.44140625" style="47" hidden="1" customWidth="1"/>
    <col min="9042" max="9042" width="5" style="47" customWidth="1"/>
    <col min="9043" max="9044" width="11.44140625" style="47" hidden="1" customWidth="1"/>
    <col min="9045" max="9045" width="5" style="47" customWidth="1"/>
    <col min="9046" max="9047" width="11.44140625" style="47" hidden="1" customWidth="1"/>
    <col min="9048" max="9048" width="5" style="47" customWidth="1"/>
    <col min="9049" max="9050" width="11.44140625" style="47" hidden="1" customWidth="1"/>
    <col min="9051" max="9051" width="5" style="47" customWidth="1"/>
    <col min="9052" max="9113" width="11.44140625" style="47" hidden="1" customWidth="1"/>
    <col min="9114" max="9114" width="9.44140625" style="47" customWidth="1"/>
    <col min="9115" max="9115" width="11.44140625" style="47" hidden="1" customWidth="1"/>
    <col min="9116" max="9116" width="5" style="47" customWidth="1"/>
    <col min="9117" max="9132" width="11.44140625" style="47" hidden="1" customWidth="1"/>
    <col min="9133" max="9133" width="6.44140625" style="47" customWidth="1"/>
    <col min="9134" max="9149" width="11.44140625" style="47" hidden="1" customWidth="1"/>
    <col min="9150" max="9150" width="7.109375" style="47" customWidth="1"/>
    <col min="9151" max="9157" width="11.44140625" style="47" hidden="1" customWidth="1"/>
    <col min="9158" max="9158" width="6.44140625" style="47" customWidth="1"/>
    <col min="9159" max="9160" width="11.44140625" style="47" hidden="1" customWidth="1"/>
    <col min="9161" max="9161" width="6.88671875" style="47" customWidth="1"/>
    <col min="9162" max="9163" width="11.44140625" style="47" hidden="1" customWidth="1"/>
    <col min="9164" max="9164" width="6.88671875" style="47" customWidth="1"/>
    <col min="9165" max="9166" width="11.44140625" style="47" hidden="1" customWidth="1"/>
    <col min="9167" max="9167" width="6.44140625" style="47" customWidth="1"/>
    <col min="9168" max="9172" width="11.44140625" style="47" hidden="1" customWidth="1"/>
    <col min="9173" max="9173" width="6.44140625" style="47" customWidth="1"/>
    <col min="9174" max="9175" width="11.44140625" style="47" hidden="1" customWidth="1"/>
    <col min="9176" max="9176" width="7.44140625" style="47" customWidth="1"/>
    <col min="9177" max="9177" width="11.44140625" style="47" hidden="1" customWidth="1"/>
    <col min="9178" max="9178" width="9.44140625" style="47" customWidth="1"/>
    <col min="9179" max="9179" width="11.44140625" style="47" hidden="1" customWidth="1"/>
    <col min="9180" max="9180" width="9" style="47" customWidth="1"/>
    <col min="9181" max="9182" width="11.44140625" style="47" hidden="1" customWidth="1"/>
    <col min="9183" max="9183" width="8.44140625" style="47" customWidth="1"/>
    <col min="9184" max="9185" width="11.44140625" style="47" hidden="1" customWidth="1"/>
    <col min="9186" max="9186" width="6.44140625" style="47" customWidth="1"/>
    <col min="9187" max="9188" width="11.44140625" style="47" hidden="1" customWidth="1"/>
    <col min="9189" max="9189" width="7" style="47" customWidth="1"/>
    <col min="9190" max="9191" width="11.44140625" style="47" hidden="1" customWidth="1"/>
    <col min="9192" max="9194" width="7" style="47" customWidth="1"/>
    <col min="9195" max="9196" width="11.44140625" style="47" hidden="1" customWidth="1"/>
    <col min="9197" max="9197" width="7.44140625" style="47" customWidth="1"/>
    <col min="9198" max="9199" width="11.44140625" style="47" hidden="1" customWidth="1"/>
    <col min="9200" max="9200" width="7" style="47" customWidth="1"/>
    <col min="9201" max="9202" width="11.44140625" style="47" hidden="1" customWidth="1"/>
    <col min="9203" max="9203" width="7" style="47" customWidth="1"/>
    <col min="9204" max="9205" width="11.44140625" style="47" hidden="1" customWidth="1"/>
    <col min="9206" max="9206" width="7" style="47" customWidth="1"/>
    <col min="9207" max="9207" width="11.44140625" style="47" hidden="1" customWidth="1"/>
    <col min="9208" max="9208" width="6.44140625" style="47" customWidth="1"/>
    <col min="9209" max="9218" width="11.44140625" style="47" hidden="1" customWidth="1"/>
    <col min="9219" max="9253" width="11.44140625" style="47" hidden="1"/>
    <col min="9254" max="9254" width="41.44140625" style="47" customWidth="1"/>
    <col min="9255" max="9255" width="6.44140625" style="47" customWidth="1"/>
    <col min="9256" max="9256" width="14.5546875" style="47" customWidth="1"/>
    <col min="9257" max="9257" width="11.44140625" style="47" customWidth="1"/>
    <col min="9258" max="9258" width="13" style="47" customWidth="1"/>
    <col min="9259" max="9259" width="25.44140625" style="47" customWidth="1"/>
    <col min="9260" max="9260" width="9.44140625" style="47" customWidth="1"/>
    <col min="9261" max="9269" width="11.44140625" style="47" hidden="1" customWidth="1"/>
    <col min="9270" max="9270" width="8.88671875" style="47" customWidth="1"/>
    <col min="9271" max="9271" width="9.44140625" style="47" customWidth="1"/>
    <col min="9272" max="9272" width="10.109375" style="47" customWidth="1"/>
    <col min="9273" max="9284" width="11.44140625" style="47" hidden="1" customWidth="1"/>
    <col min="9285" max="9285" width="13.88671875" style="47" customWidth="1"/>
    <col min="9286" max="9286" width="11.44140625" style="47" customWidth="1"/>
    <col min="9287" max="9287" width="56.88671875" style="47" customWidth="1"/>
    <col min="9288" max="9288" width="9.109375" style="47" customWidth="1"/>
    <col min="9289" max="9289" width="24.44140625" style="47" customWidth="1"/>
    <col min="9290" max="9290" width="22.88671875" style="47" customWidth="1"/>
    <col min="9291" max="9291" width="14.5546875" style="47" customWidth="1"/>
    <col min="9292" max="9292" width="5" style="47" customWidth="1"/>
    <col min="9293" max="9294" width="11.44140625" style="47" hidden="1" customWidth="1"/>
    <col min="9295" max="9295" width="5" style="47" customWidth="1"/>
    <col min="9296" max="9297" width="11.44140625" style="47" hidden="1" customWidth="1"/>
    <col min="9298" max="9298" width="5" style="47" customWidth="1"/>
    <col min="9299" max="9300" width="11.44140625" style="47" hidden="1" customWidth="1"/>
    <col min="9301" max="9301" width="5" style="47" customWidth="1"/>
    <col min="9302" max="9303" width="11.44140625" style="47" hidden="1" customWidth="1"/>
    <col min="9304" max="9304" width="5" style="47" customWidth="1"/>
    <col min="9305" max="9306" width="11.44140625" style="47" hidden="1" customWidth="1"/>
    <col min="9307" max="9307" width="5" style="47" customWidth="1"/>
    <col min="9308" max="9369" width="11.44140625" style="47" hidden="1" customWidth="1"/>
    <col min="9370" max="9370" width="9.44140625" style="47" customWidth="1"/>
    <col min="9371" max="9371" width="11.44140625" style="47" hidden="1" customWidth="1"/>
    <col min="9372" max="9372" width="5" style="47" customWidth="1"/>
    <col min="9373" max="9388" width="11.44140625" style="47" hidden="1" customWidth="1"/>
    <col min="9389" max="9389" width="6.44140625" style="47" customWidth="1"/>
    <col min="9390" max="9405" width="11.44140625" style="47" hidden="1" customWidth="1"/>
    <col min="9406" max="9406" width="7.109375" style="47" customWidth="1"/>
    <col min="9407" max="9413" width="11.44140625" style="47" hidden="1" customWidth="1"/>
    <col min="9414" max="9414" width="6.44140625" style="47" customWidth="1"/>
    <col min="9415" max="9416" width="11.44140625" style="47" hidden="1" customWidth="1"/>
    <col min="9417" max="9417" width="6.88671875" style="47" customWidth="1"/>
    <col min="9418" max="9419" width="11.44140625" style="47" hidden="1" customWidth="1"/>
    <col min="9420" max="9420" width="6.88671875" style="47" customWidth="1"/>
    <col min="9421" max="9422" width="11.44140625" style="47" hidden="1" customWidth="1"/>
    <col min="9423" max="9423" width="6.44140625" style="47" customWidth="1"/>
    <col min="9424" max="9428" width="11.44140625" style="47" hidden="1" customWidth="1"/>
    <col min="9429" max="9429" width="6.44140625" style="47" customWidth="1"/>
    <col min="9430" max="9431" width="11.44140625" style="47" hidden="1" customWidth="1"/>
    <col min="9432" max="9432" width="7.44140625" style="47" customWidth="1"/>
    <col min="9433" max="9433" width="11.44140625" style="47" hidden="1" customWidth="1"/>
    <col min="9434" max="9434" width="9.44140625" style="47" customWidth="1"/>
    <col min="9435" max="9435" width="11.44140625" style="47" hidden="1" customWidth="1"/>
    <col min="9436" max="9436" width="9" style="47" customWidth="1"/>
    <col min="9437" max="9438" width="11.44140625" style="47" hidden="1" customWidth="1"/>
    <col min="9439" max="9439" width="8.44140625" style="47" customWidth="1"/>
    <col min="9440" max="9441" width="11.44140625" style="47" hidden="1" customWidth="1"/>
    <col min="9442" max="9442" width="6.44140625" style="47" customWidth="1"/>
    <col min="9443" max="9444" width="11.44140625" style="47" hidden="1" customWidth="1"/>
    <col min="9445" max="9445" width="7" style="47" customWidth="1"/>
    <col min="9446" max="9447" width="11.44140625" style="47" hidden="1" customWidth="1"/>
    <col min="9448" max="9450" width="7" style="47" customWidth="1"/>
    <col min="9451" max="9452" width="11.44140625" style="47" hidden="1" customWidth="1"/>
    <col min="9453" max="9453" width="7.44140625" style="47" customWidth="1"/>
    <col min="9454" max="9455" width="11.44140625" style="47" hidden="1" customWidth="1"/>
    <col min="9456" max="9456" width="7" style="47" customWidth="1"/>
    <col min="9457" max="9458" width="11.44140625" style="47" hidden="1" customWidth="1"/>
    <col min="9459" max="9459" width="7" style="47" customWidth="1"/>
    <col min="9460" max="9461" width="11.44140625" style="47" hidden="1" customWidth="1"/>
    <col min="9462" max="9462" width="7" style="47" customWidth="1"/>
    <col min="9463" max="9463" width="11.44140625" style="47" hidden="1" customWidth="1"/>
    <col min="9464" max="9464" width="6.44140625" style="47" customWidth="1"/>
    <col min="9465" max="9474" width="11.44140625" style="47" hidden="1" customWidth="1"/>
    <col min="9475" max="9509" width="11.44140625" style="47" hidden="1"/>
    <col min="9510" max="9510" width="41.44140625" style="47" customWidth="1"/>
    <col min="9511" max="9511" width="6.44140625" style="47" customWidth="1"/>
    <col min="9512" max="9512" width="14.5546875" style="47" customWidth="1"/>
    <col min="9513" max="9513" width="11.44140625" style="47" customWidth="1"/>
    <col min="9514" max="9514" width="13" style="47" customWidth="1"/>
    <col min="9515" max="9515" width="25.44140625" style="47" customWidth="1"/>
    <col min="9516" max="9516" width="9.44140625" style="47" customWidth="1"/>
    <col min="9517" max="9525" width="11.44140625" style="47" hidden="1" customWidth="1"/>
    <col min="9526" max="9526" width="8.88671875" style="47" customWidth="1"/>
    <col min="9527" max="9527" width="9.44140625" style="47" customWidth="1"/>
    <col min="9528" max="9528" width="10.109375" style="47" customWidth="1"/>
    <col min="9529" max="9540" width="11.44140625" style="47" hidden="1" customWidth="1"/>
    <col min="9541" max="9541" width="13.88671875" style="47" customWidth="1"/>
    <col min="9542" max="9542" width="11.44140625" style="47" customWidth="1"/>
    <col min="9543" max="9543" width="56.88671875" style="47" customWidth="1"/>
    <col min="9544" max="9544" width="9.109375" style="47" customWidth="1"/>
    <col min="9545" max="9545" width="24.44140625" style="47" customWidth="1"/>
    <col min="9546" max="9546" width="22.88671875" style="47" customWidth="1"/>
    <col min="9547" max="9547" width="14.5546875" style="47" customWidth="1"/>
    <col min="9548" max="9548" width="5" style="47" customWidth="1"/>
    <col min="9549" max="9550" width="11.44140625" style="47" hidden="1" customWidth="1"/>
    <col min="9551" max="9551" width="5" style="47" customWidth="1"/>
    <col min="9552" max="9553" width="11.44140625" style="47" hidden="1" customWidth="1"/>
    <col min="9554" max="9554" width="5" style="47" customWidth="1"/>
    <col min="9555" max="9556" width="11.44140625" style="47" hidden="1" customWidth="1"/>
    <col min="9557" max="9557" width="5" style="47" customWidth="1"/>
    <col min="9558" max="9559" width="11.44140625" style="47" hidden="1" customWidth="1"/>
    <col min="9560" max="9560" width="5" style="47" customWidth="1"/>
    <col min="9561" max="9562" width="11.44140625" style="47" hidden="1" customWidth="1"/>
    <col min="9563" max="9563" width="5" style="47" customWidth="1"/>
    <col min="9564" max="9625" width="11.44140625" style="47" hidden="1" customWidth="1"/>
    <col min="9626" max="9626" width="9.44140625" style="47" customWidth="1"/>
    <col min="9627" max="9627" width="11.44140625" style="47" hidden="1" customWidth="1"/>
    <col min="9628" max="9628" width="5" style="47" customWidth="1"/>
    <col min="9629" max="9644" width="11.44140625" style="47" hidden="1" customWidth="1"/>
    <col min="9645" max="9645" width="6.44140625" style="47" customWidth="1"/>
    <col min="9646" max="9661" width="11.44140625" style="47" hidden="1" customWidth="1"/>
    <col min="9662" max="9662" width="7.109375" style="47" customWidth="1"/>
    <col min="9663" max="9669" width="11.44140625" style="47" hidden="1" customWidth="1"/>
    <col min="9670" max="9670" width="6.44140625" style="47" customWidth="1"/>
    <col min="9671" max="9672" width="11.44140625" style="47" hidden="1" customWidth="1"/>
    <col min="9673" max="9673" width="6.88671875" style="47" customWidth="1"/>
    <col min="9674" max="9675" width="11.44140625" style="47" hidden="1" customWidth="1"/>
    <col min="9676" max="9676" width="6.88671875" style="47" customWidth="1"/>
    <col min="9677" max="9678" width="11.44140625" style="47" hidden="1" customWidth="1"/>
    <col min="9679" max="9679" width="6.44140625" style="47" customWidth="1"/>
    <col min="9680" max="9684" width="11.44140625" style="47" hidden="1" customWidth="1"/>
    <col min="9685" max="9685" width="6.44140625" style="47" customWidth="1"/>
    <col min="9686" max="9687" width="11.44140625" style="47" hidden="1" customWidth="1"/>
    <col min="9688" max="9688" width="7.44140625" style="47" customWidth="1"/>
    <col min="9689" max="9689" width="11.44140625" style="47" hidden="1" customWidth="1"/>
    <col min="9690" max="9690" width="9.44140625" style="47" customWidth="1"/>
    <col min="9691" max="9691" width="11.44140625" style="47" hidden="1" customWidth="1"/>
    <col min="9692" max="9692" width="9" style="47" customWidth="1"/>
    <col min="9693" max="9694" width="11.44140625" style="47" hidden="1" customWidth="1"/>
    <col min="9695" max="9695" width="8.44140625" style="47" customWidth="1"/>
    <col min="9696" max="9697" width="11.44140625" style="47" hidden="1" customWidth="1"/>
    <col min="9698" max="9698" width="6.44140625" style="47" customWidth="1"/>
    <col min="9699" max="9700" width="11.44140625" style="47" hidden="1" customWidth="1"/>
    <col min="9701" max="9701" width="7" style="47" customWidth="1"/>
    <col min="9702" max="9703" width="11.44140625" style="47" hidden="1" customWidth="1"/>
    <col min="9704" max="9706" width="7" style="47" customWidth="1"/>
    <col min="9707" max="9708" width="11.44140625" style="47" hidden="1" customWidth="1"/>
    <col min="9709" max="9709" width="7.44140625" style="47" customWidth="1"/>
    <col min="9710" max="9711" width="11.44140625" style="47" hidden="1" customWidth="1"/>
    <col min="9712" max="9712" width="7" style="47" customWidth="1"/>
    <col min="9713" max="9714" width="11.44140625" style="47" hidden="1" customWidth="1"/>
    <col min="9715" max="9715" width="7" style="47" customWidth="1"/>
    <col min="9716" max="9717" width="11.44140625" style="47" hidden="1" customWidth="1"/>
    <col min="9718" max="9718" width="7" style="47" customWidth="1"/>
    <col min="9719" max="9719" width="11.44140625" style="47" hidden="1" customWidth="1"/>
    <col min="9720" max="9720" width="6.44140625" style="47" customWidth="1"/>
    <col min="9721" max="9730" width="11.44140625" style="47" hidden="1" customWidth="1"/>
    <col min="9731" max="9765" width="11.44140625" style="47" hidden="1"/>
    <col min="9766" max="9766" width="41.44140625" style="47" customWidth="1"/>
    <col min="9767" max="9767" width="6.44140625" style="47" customWidth="1"/>
    <col min="9768" max="9768" width="14.5546875" style="47" customWidth="1"/>
    <col min="9769" max="9769" width="11.44140625" style="47" customWidth="1"/>
    <col min="9770" max="9770" width="13" style="47" customWidth="1"/>
    <col min="9771" max="9771" width="25.44140625" style="47" customWidth="1"/>
    <col min="9772" max="9772" width="9.44140625" style="47" customWidth="1"/>
    <col min="9773" max="9781" width="11.44140625" style="47" hidden="1" customWidth="1"/>
    <col min="9782" max="9782" width="8.88671875" style="47" customWidth="1"/>
    <col min="9783" max="9783" width="9.44140625" style="47" customWidth="1"/>
    <col min="9784" max="9784" width="10.109375" style="47" customWidth="1"/>
    <col min="9785" max="9796" width="11.44140625" style="47" hidden="1" customWidth="1"/>
    <col min="9797" max="9797" width="13.88671875" style="47" customWidth="1"/>
    <col min="9798" max="9798" width="11.44140625" style="47" customWidth="1"/>
    <col min="9799" max="9799" width="56.88671875" style="47" customWidth="1"/>
    <col min="9800" max="9800" width="9.109375" style="47" customWidth="1"/>
    <col min="9801" max="9801" width="24.44140625" style="47" customWidth="1"/>
    <col min="9802" max="9802" width="22.88671875" style="47" customWidth="1"/>
    <col min="9803" max="9803" width="14.5546875" style="47" customWidth="1"/>
    <col min="9804" max="9804" width="5" style="47" customWidth="1"/>
    <col min="9805" max="9806" width="11.44140625" style="47" hidden="1" customWidth="1"/>
    <col min="9807" max="9807" width="5" style="47" customWidth="1"/>
    <col min="9808" max="9809" width="11.44140625" style="47" hidden="1" customWidth="1"/>
    <col min="9810" max="9810" width="5" style="47" customWidth="1"/>
    <col min="9811" max="9812" width="11.44140625" style="47" hidden="1" customWidth="1"/>
    <col min="9813" max="9813" width="5" style="47" customWidth="1"/>
    <col min="9814" max="9815" width="11.44140625" style="47" hidden="1" customWidth="1"/>
    <col min="9816" max="9816" width="5" style="47" customWidth="1"/>
    <col min="9817" max="9818" width="11.44140625" style="47" hidden="1" customWidth="1"/>
    <col min="9819" max="9819" width="5" style="47" customWidth="1"/>
    <col min="9820" max="9881" width="11.44140625" style="47" hidden="1" customWidth="1"/>
    <col min="9882" max="9882" width="9.44140625" style="47" customWidth="1"/>
    <col min="9883" max="9883" width="11.44140625" style="47" hidden="1" customWidth="1"/>
    <col min="9884" max="9884" width="5" style="47" customWidth="1"/>
    <col min="9885" max="9900" width="11.44140625" style="47" hidden="1" customWidth="1"/>
    <col min="9901" max="9901" width="6.44140625" style="47" customWidth="1"/>
    <col min="9902" max="9917" width="11.44140625" style="47" hidden="1" customWidth="1"/>
    <col min="9918" max="9918" width="7.109375" style="47" customWidth="1"/>
    <col min="9919" max="9925" width="11.44140625" style="47" hidden="1" customWidth="1"/>
    <col min="9926" max="9926" width="6.44140625" style="47" customWidth="1"/>
    <col min="9927" max="9928" width="11.44140625" style="47" hidden="1" customWidth="1"/>
    <col min="9929" max="9929" width="6.88671875" style="47" customWidth="1"/>
    <col min="9930" max="9931" width="11.44140625" style="47" hidden="1" customWidth="1"/>
    <col min="9932" max="9932" width="6.88671875" style="47" customWidth="1"/>
    <col min="9933" max="9934" width="11.44140625" style="47" hidden="1" customWidth="1"/>
    <col min="9935" max="9935" width="6.44140625" style="47" customWidth="1"/>
    <col min="9936" max="9940" width="11.44140625" style="47" hidden="1" customWidth="1"/>
    <col min="9941" max="9941" width="6.44140625" style="47" customWidth="1"/>
    <col min="9942" max="9943" width="11.44140625" style="47" hidden="1" customWidth="1"/>
    <col min="9944" max="9944" width="7.44140625" style="47" customWidth="1"/>
    <col min="9945" max="9945" width="11.44140625" style="47" hidden="1" customWidth="1"/>
    <col min="9946" max="9946" width="9.44140625" style="47" customWidth="1"/>
    <col min="9947" max="9947" width="11.44140625" style="47" hidden="1" customWidth="1"/>
    <col min="9948" max="9948" width="9" style="47" customWidth="1"/>
    <col min="9949" max="9950" width="11.44140625" style="47" hidden="1" customWidth="1"/>
    <col min="9951" max="9951" width="8.44140625" style="47" customWidth="1"/>
    <col min="9952" max="9953" width="11.44140625" style="47" hidden="1" customWidth="1"/>
    <col min="9954" max="9954" width="6.44140625" style="47" customWidth="1"/>
    <col min="9955" max="9956" width="11.44140625" style="47" hidden="1" customWidth="1"/>
    <col min="9957" max="9957" width="7" style="47" customWidth="1"/>
    <col min="9958" max="9959" width="11.44140625" style="47" hidden="1" customWidth="1"/>
    <col min="9960" max="9962" width="7" style="47" customWidth="1"/>
    <col min="9963" max="9964" width="11.44140625" style="47" hidden="1" customWidth="1"/>
    <col min="9965" max="9965" width="7.44140625" style="47" customWidth="1"/>
    <col min="9966" max="9967" width="11.44140625" style="47" hidden="1" customWidth="1"/>
    <col min="9968" max="9968" width="7" style="47" customWidth="1"/>
    <col min="9969" max="9970" width="11.44140625" style="47" hidden="1" customWidth="1"/>
    <col min="9971" max="9971" width="7" style="47" customWidth="1"/>
    <col min="9972" max="9973" width="11.44140625" style="47" hidden="1" customWidth="1"/>
    <col min="9974" max="9974" width="7" style="47" customWidth="1"/>
    <col min="9975" max="9975" width="11.44140625" style="47" hidden="1" customWidth="1"/>
    <col min="9976" max="9976" width="6.44140625" style="47" customWidth="1"/>
    <col min="9977" max="9986" width="11.44140625" style="47" hidden="1" customWidth="1"/>
    <col min="9987" max="10021" width="11.44140625" style="47" hidden="1"/>
    <col min="10022" max="10022" width="41.44140625" style="47" customWidth="1"/>
    <col min="10023" max="10023" width="6.44140625" style="47" customWidth="1"/>
    <col min="10024" max="10024" width="14.5546875" style="47" customWidth="1"/>
    <col min="10025" max="10025" width="11.44140625" style="47" customWidth="1"/>
    <col min="10026" max="10026" width="13" style="47" customWidth="1"/>
    <col min="10027" max="10027" width="25.44140625" style="47" customWidth="1"/>
    <col min="10028" max="10028" width="9.44140625" style="47" customWidth="1"/>
    <col min="10029" max="10037" width="11.44140625" style="47" hidden="1" customWidth="1"/>
    <col min="10038" max="10038" width="8.88671875" style="47" customWidth="1"/>
    <col min="10039" max="10039" width="9.44140625" style="47" customWidth="1"/>
    <col min="10040" max="10040" width="10.109375" style="47" customWidth="1"/>
    <col min="10041" max="10052" width="11.44140625" style="47" hidden="1" customWidth="1"/>
    <col min="10053" max="10053" width="13.88671875" style="47" customWidth="1"/>
    <col min="10054" max="10054" width="11.44140625" style="47" customWidth="1"/>
    <col min="10055" max="10055" width="56.88671875" style="47" customWidth="1"/>
    <col min="10056" max="10056" width="9.109375" style="47" customWidth="1"/>
    <col min="10057" max="10057" width="24.44140625" style="47" customWidth="1"/>
    <col min="10058" max="10058" width="22.88671875" style="47" customWidth="1"/>
    <col min="10059" max="10059" width="14.5546875" style="47" customWidth="1"/>
    <col min="10060" max="10060" width="5" style="47" customWidth="1"/>
    <col min="10061" max="10062" width="11.44140625" style="47" hidden="1" customWidth="1"/>
    <col min="10063" max="10063" width="5" style="47" customWidth="1"/>
    <col min="10064" max="10065" width="11.44140625" style="47" hidden="1" customWidth="1"/>
    <col min="10066" max="10066" width="5" style="47" customWidth="1"/>
    <col min="10067" max="10068" width="11.44140625" style="47" hidden="1" customWidth="1"/>
    <col min="10069" max="10069" width="5" style="47" customWidth="1"/>
    <col min="10070" max="10071" width="11.44140625" style="47" hidden="1" customWidth="1"/>
    <col min="10072" max="10072" width="5" style="47" customWidth="1"/>
    <col min="10073" max="10074" width="11.44140625" style="47" hidden="1" customWidth="1"/>
    <col min="10075" max="10075" width="5" style="47" customWidth="1"/>
    <col min="10076" max="10137" width="11.44140625" style="47" hidden="1" customWidth="1"/>
    <col min="10138" max="10138" width="9.44140625" style="47" customWidth="1"/>
    <col min="10139" max="10139" width="11.44140625" style="47" hidden="1" customWidth="1"/>
    <col min="10140" max="10140" width="5" style="47" customWidth="1"/>
    <col min="10141" max="10156" width="11.44140625" style="47" hidden="1" customWidth="1"/>
    <col min="10157" max="10157" width="6.44140625" style="47" customWidth="1"/>
    <col min="10158" max="10173" width="11.44140625" style="47" hidden="1" customWidth="1"/>
    <col min="10174" max="10174" width="7.109375" style="47" customWidth="1"/>
    <col min="10175" max="10181" width="11.44140625" style="47" hidden="1" customWidth="1"/>
    <col min="10182" max="10182" width="6.44140625" style="47" customWidth="1"/>
    <col min="10183" max="10184" width="11.44140625" style="47" hidden="1" customWidth="1"/>
    <col min="10185" max="10185" width="6.88671875" style="47" customWidth="1"/>
    <col min="10186" max="10187" width="11.44140625" style="47" hidden="1" customWidth="1"/>
    <col min="10188" max="10188" width="6.88671875" style="47" customWidth="1"/>
    <col min="10189" max="10190" width="11.44140625" style="47" hidden="1" customWidth="1"/>
    <col min="10191" max="10191" width="6.44140625" style="47" customWidth="1"/>
    <col min="10192" max="10196" width="11.44140625" style="47" hidden="1" customWidth="1"/>
    <col min="10197" max="10197" width="6.44140625" style="47" customWidth="1"/>
    <col min="10198" max="10199" width="11.44140625" style="47" hidden="1" customWidth="1"/>
    <col min="10200" max="10200" width="7.44140625" style="47" customWidth="1"/>
    <col min="10201" max="10201" width="11.44140625" style="47" hidden="1" customWidth="1"/>
    <col min="10202" max="10202" width="9.44140625" style="47" customWidth="1"/>
    <col min="10203" max="10203" width="11.44140625" style="47" hidden="1" customWidth="1"/>
    <col min="10204" max="10204" width="9" style="47" customWidth="1"/>
    <col min="10205" max="10206" width="11.44140625" style="47" hidden="1" customWidth="1"/>
    <col min="10207" max="10207" width="8.44140625" style="47" customWidth="1"/>
    <col min="10208" max="10209" width="11.44140625" style="47" hidden="1" customWidth="1"/>
    <col min="10210" max="10210" width="6.44140625" style="47" customWidth="1"/>
    <col min="10211" max="10212" width="11.44140625" style="47" hidden="1" customWidth="1"/>
    <col min="10213" max="10213" width="7" style="47" customWidth="1"/>
    <col min="10214" max="10215" width="11.44140625" style="47" hidden="1" customWidth="1"/>
    <col min="10216" max="10218" width="7" style="47" customWidth="1"/>
    <col min="10219" max="10220" width="11.44140625" style="47" hidden="1" customWidth="1"/>
    <col min="10221" max="10221" width="7.44140625" style="47" customWidth="1"/>
    <col min="10222" max="10223" width="11.44140625" style="47" hidden="1" customWidth="1"/>
    <col min="10224" max="10224" width="7" style="47" customWidth="1"/>
    <col min="10225" max="10226" width="11.44140625" style="47" hidden="1" customWidth="1"/>
    <col min="10227" max="10227" width="7" style="47" customWidth="1"/>
    <col min="10228" max="10229" width="11.44140625" style="47" hidden="1" customWidth="1"/>
    <col min="10230" max="10230" width="7" style="47" customWidth="1"/>
    <col min="10231" max="10231" width="11.44140625" style="47" hidden="1" customWidth="1"/>
    <col min="10232" max="10232" width="6.44140625" style="47" customWidth="1"/>
    <col min="10233" max="10242" width="11.44140625" style="47" hidden="1" customWidth="1"/>
    <col min="10243" max="10277" width="11.44140625" style="47" hidden="1"/>
    <col min="10278" max="10278" width="41.44140625" style="47" customWidth="1"/>
    <col min="10279" max="10279" width="6.44140625" style="47" customWidth="1"/>
    <col min="10280" max="10280" width="14.5546875" style="47" customWidth="1"/>
    <col min="10281" max="10281" width="11.44140625" style="47" customWidth="1"/>
    <col min="10282" max="10282" width="13" style="47" customWidth="1"/>
    <col min="10283" max="10283" width="25.44140625" style="47" customWidth="1"/>
    <col min="10284" max="10284" width="9.44140625" style="47" customWidth="1"/>
    <col min="10285" max="10293" width="11.44140625" style="47" hidden="1" customWidth="1"/>
    <col min="10294" max="10294" width="8.88671875" style="47" customWidth="1"/>
    <col min="10295" max="10295" width="9.44140625" style="47" customWidth="1"/>
    <col min="10296" max="10296" width="10.109375" style="47" customWidth="1"/>
    <col min="10297" max="10308" width="11.44140625" style="47" hidden="1" customWidth="1"/>
    <col min="10309" max="10309" width="13.88671875" style="47" customWidth="1"/>
    <col min="10310" max="10310" width="11.44140625" style="47" customWidth="1"/>
    <col min="10311" max="10311" width="56.88671875" style="47" customWidth="1"/>
    <col min="10312" max="10312" width="9.109375" style="47" customWidth="1"/>
    <col min="10313" max="10313" width="24.44140625" style="47" customWidth="1"/>
    <col min="10314" max="10314" width="22.88671875" style="47" customWidth="1"/>
    <col min="10315" max="10315" width="14.5546875" style="47" customWidth="1"/>
    <col min="10316" max="10316" width="5" style="47" customWidth="1"/>
    <col min="10317" max="10318" width="11.44140625" style="47" hidden="1" customWidth="1"/>
    <col min="10319" max="10319" width="5" style="47" customWidth="1"/>
    <col min="10320" max="10321" width="11.44140625" style="47" hidden="1" customWidth="1"/>
    <col min="10322" max="10322" width="5" style="47" customWidth="1"/>
    <col min="10323" max="10324" width="11.44140625" style="47" hidden="1" customWidth="1"/>
    <col min="10325" max="10325" width="5" style="47" customWidth="1"/>
    <col min="10326" max="10327" width="11.44140625" style="47" hidden="1" customWidth="1"/>
    <col min="10328" max="10328" width="5" style="47" customWidth="1"/>
    <col min="10329" max="10330" width="11.44140625" style="47" hidden="1" customWidth="1"/>
    <col min="10331" max="10331" width="5" style="47" customWidth="1"/>
    <col min="10332" max="10393" width="11.44140625" style="47" hidden="1" customWidth="1"/>
    <col min="10394" max="10394" width="9.44140625" style="47" customWidth="1"/>
    <col min="10395" max="10395" width="11.44140625" style="47" hidden="1" customWidth="1"/>
    <col min="10396" max="10396" width="5" style="47" customWidth="1"/>
    <col min="10397" max="10412" width="11.44140625" style="47" hidden="1" customWidth="1"/>
    <col min="10413" max="10413" width="6.44140625" style="47" customWidth="1"/>
    <col min="10414" max="10429" width="11.44140625" style="47" hidden="1" customWidth="1"/>
    <col min="10430" max="10430" width="7.109375" style="47" customWidth="1"/>
    <col min="10431" max="10437" width="11.44140625" style="47" hidden="1" customWidth="1"/>
    <col min="10438" max="10438" width="6.44140625" style="47" customWidth="1"/>
    <col min="10439" max="10440" width="11.44140625" style="47" hidden="1" customWidth="1"/>
    <col min="10441" max="10441" width="6.88671875" style="47" customWidth="1"/>
    <col min="10442" max="10443" width="11.44140625" style="47" hidden="1" customWidth="1"/>
    <col min="10444" max="10444" width="6.88671875" style="47" customWidth="1"/>
    <col min="10445" max="10446" width="11.44140625" style="47" hidden="1" customWidth="1"/>
    <col min="10447" max="10447" width="6.44140625" style="47" customWidth="1"/>
    <col min="10448" max="10452" width="11.44140625" style="47" hidden="1" customWidth="1"/>
    <col min="10453" max="10453" width="6.44140625" style="47" customWidth="1"/>
    <col min="10454" max="10455" width="11.44140625" style="47" hidden="1" customWidth="1"/>
    <col min="10456" max="10456" width="7.44140625" style="47" customWidth="1"/>
    <col min="10457" max="10457" width="11.44140625" style="47" hidden="1" customWidth="1"/>
    <col min="10458" max="10458" width="9.44140625" style="47" customWidth="1"/>
    <col min="10459" max="10459" width="11.44140625" style="47" hidden="1" customWidth="1"/>
    <col min="10460" max="10460" width="9" style="47" customWidth="1"/>
    <col min="10461" max="10462" width="11.44140625" style="47" hidden="1" customWidth="1"/>
    <col min="10463" max="10463" width="8.44140625" style="47" customWidth="1"/>
    <col min="10464" max="10465" width="11.44140625" style="47" hidden="1" customWidth="1"/>
    <col min="10466" max="10466" width="6.44140625" style="47" customWidth="1"/>
    <col min="10467" max="10468" width="11.44140625" style="47" hidden="1" customWidth="1"/>
    <col min="10469" max="10469" width="7" style="47" customWidth="1"/>
    <col min="10470" max="10471" width="11.44140625" style="47" hidden="1" customWidth="1"/>
    <col min="10472" max="10474" width="7" style="47" customWidth="1"/>
    <col min="10475" max="10476" width="11.44140625" style="47" hidden="1" customWidth="1"/>
    <col min="10477" max="10477" width="7.44140625" style="47" customWidth="1"/>
    <col min="10478" max="10479" width="11.44140625" style="47" hidden="1" customWidth="1"/>
    <col min="10480" max="10480" width="7" style="47" customWidth="1"/>
    <col min="10481" max="10482" width="11.44140625" style="47" hidden="1" customWidth="1"/>
    <col min="10483" max="10483" width="7" style="47" customWidth="1"/>
    <col min="10484" max="10485" width="11.44140625" style="47" hidden="1" customWidth="1"/>
    <col min="10486" max="10486" width="7" style="47" customWidth="1"/>
    <col min="10487" max="10487" width="11.44140625" style="47" hidden="1" customWidth="1"/>
    <col min="10488" max="10488" width="6.44140625" style="47" customWidth="1"/>
    <col min="10489" max="10498" width="11.44140625" style="47" hidden="1" customWidth="1"/>
    <col min="10499" max="10533" width="11.44140625" style="47" hidden="1"/>
    <col min="10534" max="10534" width="41.44140625" style="47" customWidth="1"/>
    <col min="10535" max="10535" width="6.44140625" style="47" customWidth="1"/>
    <col min="10536" max="10536" width="14.5546875" style="47" customWidth="1"/>
    <col min="10537" max="10537" width="11.44140625" style="47" customWidth="1"/>
    <col min="10538" max="10538" width="13" style="47" customWidth="1"/>
    <col min="10539" max="10539" width="25.44140625" style="47" customWidth="1"/>
    <col min="10540" max="10540" width="9.44140625" style="47" customWidth="1"/>
    <col min="10541" max="10549" width="11.44140625" style="47" hidden="1" customWidth="1"/>
    <col min="10550" max="10550" width="8.88671875" style="47" customWidth="1"/>
    <col min="10551" max="10551" width="9.44140625" style="47" customWidth="1"/>
    <col min="10552" max="10552" width="10.109375" style="47" customWidth="1"/>
    <col min="10553" max="10564" width="11.44140625" style="47" hidden="1" customWidth="1"/>
    <col min="10565" max="10565" width="13.88671875" style="47" customWidth="1"/>
    <col min="10566" max="10566" width="11.44140625" style="47" customWidth="1"/>
    <col min="10567" max="10567" width="56.88671875" style="47" customWidth="1"/>
    <col min="10568" max="10568" width="9.109375" style="47" customWidth="1"/>
    <col min="10569" max="10569" width="24.44140625" style="47" customWidth="1"/>
    <col min="10570" max="10570" width="22.88671875" style="47" customWidth="1"/>
    <col min="10571" max="10571" width="14.5546875" style="47" customWidth="1"/>
    <col min="10572" max="10572" width="5" style="47" customWidth="1"/>
    <col min="10573" max="10574" width="11.44140625" style="47" hidden="1" customWidth="1"/>
    <col min="10575" max="10575" width="5" style="47" customWidth="1"/>
    <col min="10576" max="10577" width="11.44140625" style="47" hidden="1" customWidth="1"/>
    <col min="10578" max="10578" width="5" style="47" customWidth="1"/>
    <col min="10579" max="10580" width="11.44140625" style="47" hidden="1" customWidth="1"/>
    <col min="10581" max="10581" width="5" style="47" customWidth="1"/>
    <col min="10582" max="10583" width="11.44140625" style="47" hidden="1" customWidth="1"/>
    <col min="10584" max="10584" width="5" style="47" customWidth="1"/>
    <col min="10585" max="10586" width="11.44140625" style="47" hidden="1" customWidth="1"/>
    <col min="10587" max="10587" width="5" style="47" customWidth="1"/>
    <col min="10588" max="10649" width="11.44140625" style="47" hidden="1" customWidth="1"/>
    <col min="10650" max="10650" width="9.44140625" style="47" customWidth="1"/>
    <col min="10651" max="10651" width="11.44140625" style="47" hidden="1" customWidth="1"/>
    <col min="10652" max="10652" width="5" style="47" customWidth="1"/>
    <col min="10653" max="10668" width="11.44140625" style="47" hidden="1" customWidth="1"/>
    <col min="10669" max="10669" width="6.44140625" style="47" customWidth="1"/>
    <col min="10670" max="10685" width="11.44140625" style="47" hidden="1" customWidth="1"/>
    <col min="10686" max="10686" width="7.109375" style="47" customWidth="1"/>
    <col min="10687" max="10693" width="11.44140625" style="47" hidden="1" customWidth="1"/>
    <col min="10694" max="10694" width="6.44140625" style="47" customWidth="1"/>
    <col min="10695" max="10696" width="11.44140625" style="47" hidden="1" customWidth="1"/>
    <col min="10697" max="10697" width="6.88671875" style="47" customWidth="1"/>
    <col min="10698" max="10699" width="11.44140625" style="47" hidden="1" customWidth="1"/>
    <col min="10700" max="10700" width="6.88671875" style="47" customWidth="1"/>
    <col min="10701" max="10702" width="11.44140625" style="47" hidden="1" customWidth="1"/>
    <col min="10703" max="10703" width="6.44140625" style="47" customWidth="1"/>
    <col min="10704" max="10708" width="11.44140625" style="47" hidden="1" customWidth="1"/>
    <col min="10709" max="10709" width="6.44140625" style="47" customWidth="1"/>
    <col min="10710" max="10711" width="11.44140625" style="47" hidden="1" customWidth="1"/>
    <col min="10712" max="10712" width="7.44140625" style="47" customWidth="1"/>
    <col min="10713" max="10713" width="11.44140625" style="47" hidden="1" customWidth="1"/>
    <col min="10714" max="10714" width="9.44140625" style="47" customWidth="1"/>
    <col min="10715" max="10715" width="11.44140625" style="47" hidden="1" customWidth="1"/>
    <col min="10716" max="10716" width="9" style="47" customWidth="1"/>
    <col min="10717" max="10718" width="11.44140625" style="47" hidden="1" customWidth="1"/>
    <col min="10719" max="10719" width="8.44140625" style="47" customWidth="1"/>
    <col min="10720" max="10721" width="11.44140625" style="47" hidden="1" customWidth="1"/>
    <col min="10722" max="10722" width="6.44140625" style="47" customWidth="1"/>
    <col min="10723" max="10724" width="11.44140625" style="47" hidden="1" customWidth="1"/>
    <col min="10725" max="10725" width="7" style="47" customWidth="1"/>
    <col min="10726" max="10727" width="11.44140625" style="47" hidden="1" customWidth="1"/>
    <col min="10728" max="10730" width="7" style="47" customWidth="1"/>
    <col min="10731" max="10732" width="11.44140625" style="47" hidden="1" customWidth="1"/>
    <col min="10733" max="10733" width="7.44140625" style="47" customWidth="1"/>
    <col min="10734" max="10735" width="11.44140625" style="47" hidden="1" customWidth="1"/>
    <col min="10736" max="10736" width="7" style="47" customWidth="1"/>
    <col min="10737" max="10738" width="11.44140625" style="47" hidden="1" customWidth="1"/>
    <col min="10739" max="10739" width="7" style="47" customWidth="1"/>
    <col min="10740" max="10741" width="11.44140625" style="47" hidden="1" customWidth="1"/>
    <col min="10742" max="10742" width="7" style="47" customWidth="1"/>
    <col min="10743" max="10743" width="11.44140625" style="47" hidden="1" customWidth="1"/>
    <col min="10744" max="10744" width="6.44140625" style="47" customWidth="1"/>
    <col min="10745" max="10754" width="11.44140625" style="47" hidden="1" customWidth="1"/>
    <col min="10755" max="10789" width="11.44140625" style="47" hidden="1"/>
    <col min="10790" max="10790" width="41.44140625" style="47" customWidth="1"/>
    <col min="10791" max="10791" width="6.44140625" style="47" customWidth="1"/>
    <col min="10792" max="10792" width="14.5546875" style="47" customWidth="1"/>
    <col min="10793" max="10793" width="11.44140625" style="47" customWidth="1"/>
    <col min="10794" max="10794" width="13" style="47" customWidth="1"/>
    <col min="10795" max="10795" width="25.44140625" style="47" customWidth="1"/>
    <col min="10796" max="10796" width="9.44140625" style="47" customWidth="1"/>
    <col min="10797" max="10805" width="11.44140625" style="47" hidden="1" customWidth="1"/>
    <col min="10806" max="10806" width="8.88671875" style="47" customWidth="1"/>
    <col min="10807" max="10807" width="9.44140625" style="47" customWidth="1"/>
    <col min="10808" max="10808" width="10.109375" style="47" customWidth="1"/>
    <col min="10809" max="10820" width="11.44140625" style="47" hidden="1" customWidth="1"/>
    <col min="10821" max="10821" width="13.88671875" style="47" customWidth="1"/>
    <col min="10822" max="10822" width="11.44140625" style="47" customWidth="1"/>
    <col min="10823" max="10823" width="56.88671875" style="47" customWidth="1"/>
    <col min="10824" max="10824" width="9.109375" style="47" customWidth="1"/>
    <col min="10825" max="10825" width="24.44140625" style="47" customWidth="1"/>
    <col min="10826" max="10826" width="22.88671875" style="47" customWidth="1"/>
    <col min="10827" max="10827" width="14.5546875" style="47" customWidth="1"/>
    <col min="10828" max="10828" width="5" style="47" customWidth="1"/>
    <col min="10829" max="10830" width="11.44140625" style="47" hidden="1" customWidth="1"/>
    <col min="10831" max="10831" width="5" style="47" customWidth="1"/>
    <col min="10832" max="10833" width="11.44140625" style="47" hidden="1" customWidth="1"/>
    <col min="10834" max="10834" width="5" style="47" customWidth="1"/>
    <col min="10835" max="10836" width="11.44140625" style="47" hidden="1" customWidth="1"/>
    <col min="10837" max="10837" width="5" style="47" customWidth="1"/>
    <col min="10838" max="10839" width="11.44140625" style="47" hidden="1" customWidth="1"/>
    <col min="10840" max="10840" width="5" style="47" customWidth="1"/>
    <col min="10841" max="10842" width="11.44140625" style="47" hidden="1" customWidth="1"/>
    <col min="10843" max="10843" width="5" style="47" customWidth="1"/>
    <col min="10844" max="10905" width="11.44140625" style="47" hidden="1" customWidth="1"/>
    <col min="10906" max="10906" width="9.44140625" style="47" customWidth="1"/>
    <col min="10907" max="10907" width="11.44140625" style="47" hidden="1" customWidth="1"/>
    <col min="10908" max="10908" width="5" style="47" customWidth="1"/>
    <col min="10909" max="10924" width="11.44140625" style="47" hidden="1" customWidth="1"/>
    <col min="10925" max="10925" width="6.44140625" style="47" customWidth="1"/>
    <col min="10926" max="10941" width="11.44140625" style="47" hidden="1" customWidth="1"/>
    <col min="10942" max="10942" width="7.109375" style="47" customWidth="1"/>
    <col min="10943" max="10949" width="11.44140625" style="47" hidden="1" customWidth="1"/>
    <col min="10950" max="10950" width="6.44140625" style="47" customWidth="1"/>
    <col min="10951" max="10952" width="11.44140625" style="47" hidden="1" customWidth="1"/>
    <col min="10953" max="10953" width="6.88671875" style="47" customWidth="1"/>
    <col min="10954" max="10955" width="11.44140625" style="47" hidden="1" customWidth="1"/>
    <col min="10956" max="10956" width="6.88671875" style="47" customWidth="1"/>
    <col min="10957" max="10958" width="11.44140625" style="47" hidden="1" customWidth="1"/>
    <col min="10959" max="10959" width="6.44140625" style="47" customWidth="1"/>
    <col min="10960" max="10964" width="11.44140625" style="47" hidden="1" customWidth="1"/>
    <col min="10965" max="10965" width="6.44140625" style="47" customWidth="1"/>
    <col min="10966" max="10967" width="11.44140625" style="47" hidden="1" customWidth="1"/>
    <col min="10968" max="10968" width="7.44140625" style="47" customWidth="1"/>
    <col min="10969" max="10969" width="11.44140625" style="47" hidden="1" customWidth="1"/>
    <col min="10970" max="10970" width="9.44140625" style="47" customWidth="1"/>
    <col min="10971" max="10971" width="11.44140625" style="47" hidden="1" customWidth="1"/>
    <col min="10972" max="10972" width="9" style="47" customWidth="1"/>
    <col min="10973" max="10974" width="11.44140625" style="47" hidden="1" customWidth="1"/>
    <col min="10975" max="10975" width="8.44140625" style="47" customWidth="1"/>
    <col min="10976" max="10977" width="11.44140625" style="47" hidden="1" customWidth="1"/>
    <col min="10978" max="10978" width="6.44140625" style="47" customWidth="1"/>
    <col min="10979" max="10980" width="11.44140625" style="47" hidden="1" customWidth="1"/>
    <col min="10981" max="10981" width="7" style="47" customWidth="1"/>
    <col min="10982" max="10983" width="11.44140625" style="47" hidden="1" customWidth="1"/>
    <col min="10984" max="10986" width="7" style="47" customWidth="1"/>
    <col min="10987" max="10988" width="11.44140625" style="47" hidden="1" customWidth="1"/>
    <col min="10989" max="10989" width="7.44140625" style="47" customWidth="1"/>
    <col min="10990" max="10991" width="11.44140625" style="47" hidden="1" customWidth="1"/>
    <col min="10992" max="10992" width="7" style="47" customWidth="1"/>
    <col min="10993" max="10994" width="11.44140625" style="47" hidden="1" customWidth="1"/>
    <col min="10995" max="10995" width="7" style="47" customWidth="1"/>
    <col min="10996" max="10997" width="11.44140625" style="47" hidden="1" customWidth="1"/>
    <col min="10998" max="10998" width="7" style="47" customWidth="1"/>
    <col min="10999" max="10999" width="11.44140625" style="47" hidden="1" customWidth="1"/>
    <col min="11000" max="11000" width="6.44140625" style="47" customWidth="1"/>
    <col min="11001" max="11010" width="11.44140625" style="47" hidden="1" customWidth="1"/>
    <col min="11011" max="11045" width="11.44140625" style="47" hidden="1"/>
    <col min="11046" max="11046" width="41.44140625" style="47" customWidth="1"/>
    <col min="11047" max="11047" width="6.44140625" style="47" customWidth="1"/>
    <col min="11048" max="11048" width="14.5546875" style="47" customWidth="1"/>
    <col min="11049" max="11049" width="11.44140625" style="47" customWidth="1"/>
    <col min="11050" max="11050" width="13" style="47" customWidth="1"/>
    <col min="11051" max="11051" width="25.44140625" style="47" customWidth="1"/>
    <col min="11052" max="11052" width="9.44140625" style="47" customWidth="1"/>
    <col min="11053" max="11061" width="11.44140625" style="47" hidden="1" customWidth="1"/>
    <col min="11062" max="11062" width="8.88671875" style="47" customWidth="1"/>
    <col min="11063" max="11063" width="9.44140625" style="47" customWidth="1"/>
    <col min="11064" max="11064" width="10.109375" style="47" customWidth="1"/>
    <col min="11065" max="11076" width="11.44140625" style="47" hidden="1" customWidth="1"/>
    <col min="11077" max="11077" width="13.88671875" style="47" customWidth="1"/>
    <col min="11078" max="11078" width="11.44140625" style="47" customWidth="1"/>
    <col min="11079" max="11079" width="56.88671875" style="47" customWidth="1"/>
    <col min="11080" max="11080" width="9.109375" style="47" customWidth="1"/>
    <col min="11081" max="11081" width="24.44140625" style="47" customWidth="1"/>
    <col min="11082" max="11082" width="22.88671875" style="47" customWidth="1"/>
    <col min="11083" max="11083" width="14.5546875" style="47" customWidth="1"/>
    <col min="11084" max="11084" width="5" style="47" customWidth="1"/>
    <col min="11085" max="11086" width="11.44140625" style="47" hidden="1" customWidth="1"/>
    <col min="11087" max="11087" width="5" style="47" customWidth="1"/>
    <col min="11088" max="11089" width="11.44140625" style="47" hidden="1" customWidth="1"/>
    <col min="11090" max="11090" width="5" style="47" customWidth="1"/>
    <col min="11091" max="11092" width="11.44140625" style="47" hidden="1" customWidth="1"/>
    <col min="11093" max="11093" width="5" style="47" customWidth="1"/>
    <col min="11094" max="11095" width="11.44140625" style="47" hidden="1" customWidth="1"/>
    <col min="11096" max="11096" width="5" style="47" customWidth="1"/>
    <col min="11097" max="11098" width="11.44140625" style="47" hidden="1" customWidth="1"/>
    <col min="11099" max="11099" width="5" style="47" customWidth="1"/>
    <col min="11100" max="11161" width="11.44140625" style="47" hidden="1" customWidth="1"/>
    <col min="11162" max="11162" width="9.44140625" style="47" customWidth="1"/>
    <col min="11163" max="11163" width="11.44140625" style="47" hidden="1" customWidth="1"/>
    <col min="11164" max="11164" width="5" style="47" customWidth="1"/>
    <col min="11165" max="11180" width="11.44140625" style="47" hidden="1" customWidth="1"/>
    <col min="11181" max="11181" width="6.44140625" style="47" customWidth="1"/>
    <col min="11182" max="11197" width="11.44140625" style="47" hidden="1" customWidth="1"/>
    <col min="11198" max="11198" width="7.109375" style="47" customWidth="1"/>
    <col min="11199" max="11205" width="11.44140625" style="47" hidden="1" customWidth="1"/>
    <col min="11206" max="11206" width="6.44140625" style="47" customWidth="1"/>
    <col min="11207" max="11208" width="11.44140625" style="47" hidden="1" customWidth="1"/>
    <col min="11209" max="11209" width="6.88671875" style="47" customWidth="1"/>
    <col min="11210" max="11211" width="11.44140625" style="47" hidden="1" customWidth="1"/>
    <col min="11212" max="11212" width="6.88671875" style="47" customWidth="1"/>
    <col min="11213" max="11214" width="11.44140625" style="47" hidden="1" customWidth="1"/>
    <col min="11215" max="11215" width="6.44140625" style="47" customWidth="1"/>
    <col min="11216" max="11220" width="11.44140625" style="47" hidden="1" customWidth="1"/>
    <col min="11221" max="11221" width="6.44140625" style="47" customWidth="1"/>
    <col min="11222" max="11223" width="11.44140625" style="47" hidden="1" customWidth="1"/>
    <col min="11224" max="11224" width="7.44140625" style="47" customWidth="1"/>
    <col min="11225" max="11225" width="11.44140625" style="47" hidden="1" customWidth="1"/>
    <col min="11226" max="11226" width="9.44140625" style="47" customWidth="1"/>
    <col min="11227" max="11227" width="11.44140625" style="47" hidden="1" customWidth="1"/>
    <col min="11228" max="11228" width="9" style="47" customWidth="1"/>
    <col min="11229" max="11230" width="11.44140625" style="47" hidden="1" customWidth="1"/>
    <col min="11231" max="11231" width="8.44140625" style="47" customWidth="1"/>
    <col min="11232" max="11233" width="11.44140625" style="47" hidden="1" customWidth="1"/>
    <col min="11234" max="11234" width="6.44140625" style="47" customWidth="1"/>
    <col min="11235" max="11236" width="11.44140625" style="47" hidden="1" customWidth="1"/>
    <col min="11237" max="11237" width="7" style="47" customWidth="1"/>
    <col min="11238" max="11239" width="11.44140625" style="47" hidden="1" customWidth="1"/>
    <col min="11240" max="11242" width="7" style="47" customWidth="1"/>
    <col min="11243" max="11244" width="11.44140625" style="47" hidden="1" customWidth="1"/>
    <col min="11245" max="11245" width="7.44140625" style="47" customWidth="1"/>
    <col min="11246" max="11247" width="11.44140625" style="47" hidden="1" customWidth="1"/>
    <col min="11248" max="11248" width="7" style="47" customWidth="1"/>
    <col min="11249" max="11250" width="11.44140625" style="47" hidden="1" customWidth="1"/>
    <col min="11251" max="11251" width="7" style="47" customWidth="1"/>
    <col min="11252" max="11253" width="11.44140625" style="47" hidden="1" customWidth="1"/>
    <col min="11254" max="11254" width="7" style="47" customWidth="1"/>
    <col min="11255" max="11255" width="11.44140625" style="47" hidden="1" customWidth="1"/>
    <col min="11256" max="11256" width="6.44140625" style="47" customWidth="1"/>
    <col min="11257" max="11266" width="11.44140625" style="47" hidden="1" customWidth="1"/>
    <col min="11267" max="11301" width="11.44140625" style="47" hidden="1"/>
    <col min="11302" max="11302" width="41.44140625" style="47" customWidth="1"/>
    <col min="11303" max="11303" width="6.44140625" style="47" customWidth="1"/>
    <col min="11304" max="11304" width="14.5546875" style="47" customWidth="1"/>
    <col min="11305" max="11305" width="11.44140625" style="47" customWidth="1"/>
    <col min="11306" max="11306" width="13" style="47" customWidth="1"/>
    <col min="11307" max="11307" width="25.44140625" style="47" customWidth="1"/>
    <col min="11308" max="11308" width="9.44140625" style="47" customWidth="1"/>
    <col min="11309" max="11317" width="11.44140625" style="47" hidden="1" customWidth="1"/>
    <col min="11318" max="11318" width="8.88671875" style="47" customWidth="1"/>
    <col min="11319" max="11319" width="9.44140625" style="47" customWidth="1"/>
    <col min="11320" max="11320" width="10.109375" style="47" customWidth="1"/>
    <col min="11321" max="11332" width="11.44140625" style="47" hidden="1" customWidth="1"/>
    <col min="11333" max="11333" width="13.88671875" style="47" customWidth="1"/>
    <col min="11334" max="11334" width="11.44140625" style="47" customWidth="1"/>
    <col min="11335" max="11335" width="56.88671875" style="47" customWidth="1"/>
    <col min="11336" max="11336" width="9.109375" style="47" customWidth="1"/>
    <col min="11337" max="11337" width="24.44140625" style="47" customWidth="1"/>
    <col min="11338" max="11338" width="22.88671875" style="47" customWidth="1"/>
    <col min="11339" max="11339" width="14.5546875" style="47" customWidth="1"/>
    <col min="11340" max="11340" width="5" style="47" customWidth="1"/>
    <col min="11341" max="11342" width="11.44140625" style="47" hidden="1" customWidth="1"/>
    <col min="11343" max="11343" width="5" style="47" customWidth="1"/>
    <col min="11344" max="11345" width="11.44140625" style="47" hidden="1" customWidth="1"/>
    <col min="11346" max="11346" width="5" style="47" customWidth="1"/>
    <col min="11347" max="11348" width="11.44140625" style="47" hidden="1" customWidth="1"/>
    <col min="11349" max="11349" width="5" style="47" customWidth="1"/>
    <col min="11350" max="11351" width="11.44140625" style="47" hidden="1" customWidth="1"/>
    <col min="11352" max="11352" width="5" style="47" customWidth="1"/>
    <col min="11353" max="11354" width="11.44140625" style="47" hidden="1" customWidth="1"/>
    <col min="11355" max="11355" width="5" style="47" customWidth="1"/>
    <col min="11356" max="11417" width="11.44140625" style="47" hidden="1" customWidth="1"/>
    <col min="11418" max="11418" width="9.44140625" style="47" customWidth="1"/>
    <col min="11419" max="11419" width="11.44140625" style="47" hidden="1" customWidth="1"/>
    <col min="11420" max="11420" width="5" style="47" customWidth="1"/>
    <col min="11421" max="11436" width="11.44140625" style="47" hidden="1" customWidth="1"/>
    <col min="11437" max="11437" width="6.44140625" style="47" customWidth="1"/>
    <col min="11438" max="11453" width="11.44140625" style="47" hidden="1" customWidth="1"/>
    <col min="11454" max="11454" width="7.109375" style="47" customWidth="1"/>
    <col min="11455" max="11461" width="11.44140625" style="47" hidden="1" customWidth="1"/>
    <col min="11462" max="11462" width="6.44140625" style="47" customWidth="1"/>
    <col min="11463" max="11464" width="11.44140625" style="47" hidden="1" customWidth="1"/>
    <col min="11465" max="11465" width="6.88671875" style="47" customWidth="1"/>
    <col min="11466" max="11467" width="11.44140625" style="47" hidden="1" customWidth="1"/>
    <col min="11468" max="11468" width="6.88671875" style="47" customWidth="1"/>
    <col min="11469" max="11470" width="11.44140625" style="47" hidden="1" customWidth="1"/>
    <col min="11471" max="11471" width="6.44140625" style="47" customWidth="1"/>
    <col min="11472" max="11476" width="11.44140625" style="47" hidden="1" customWidth="1"/>
    <col min="11477" max="11477" width="6.44140625" style="47" customWidth="1"/>
    <col min="11478" max="11479" width="11.44140625" style="47" hidden="1" customWidth="1"/>
    <col min="11480" max="11480" width="7.44140625" style="47" customWidth="1"/>
    <col min="11481" max="11481" width="11.44140625" style="47" hidden="1" customWidth="1"/>
    <col min="11482" max="11482" width="9.44140625" style="47" customWidth="1"/>
    <col min="11483" max="11483" width="11.44140625" style="47" hidden="1" customWidth="1"/>
    <col min="11484" max="11484" width="9" style="47" customWidth="1"/>
    <col min="11485" max="11486" width="11.44140625" style="47" hidden="1" customWidth="1"/>
    <col min="11487" max="11487" width="8.44140625" style="47" customWidth="1"/>
    <col min="11488" max="11489" width="11.44140625" style="47" hidden="1" customWidth="1"/>
    <col min="11490" max="11490" width="6.44140625" style="47" customWidth="1"/>
    <col min="11491" max="11492" width="11.44140625" style="47" hidden="1" customWidth="1"/>
    <col min="11493" max="11493" width="7" style="47" customWidth="1"/>
    <col min="11494" max="11495" width="11.44140625" style="47" hidden="1" customWidth="1"/>
    <col min="11496" max="11498" width="7" style="47" customWidth="1"/>
    <col min="11499" max="11500" width="11.44140625" style="47" hidden="1" customWidth="1"/>
    <col min="11501" max="11501" width="7.44140625" style="47" customWidth="1"/>
    <col min="11502" max="11503" width="11.44140625" style="47" hidden="1" customWidth="1"/>
    <col min="11504" max="11504" width="7" style="47" customWidth="1"/>
    <col min="11505" max="11506" width="11.44140625" style="47" hidden="1" customWidth="1"/>
    <col min="11507" max="11507" width="7" style="47" customWidth="1"/>
    <col min="11508" max="11509" width="11.44140625" style="47" hidden="1" customWidth="1"/>
    <col min="11510" max="11510" width="7" style="47" customWidth="1"/>
    <col min="11511" max="11511" width="11.44140625" style="47" hidden="1" customWidth="1"/>
    <col min="11512" max="11512" width="6.44140625" style="47" customWidth="1"/>
    <col min="11513" max="11522" width="11.44140625" style="47" hidden="1" customWidth="1"/>
    <col min="11523" max="11557" width="11.44140625" style="47" hidden="1"/>
    <col min="11558" max="11558" width="41.44140625" style="47" customWidth="1"/>
    <col min="11559" max="11559" width="6.44140625" style="47" customWidth="1"/>
    <col min="11560" max="11560" width="14.5546875" style="47" customWidth="1"/>
    <col min="11561" max="11561" width="11.44140625" style="47" customWidth="1"/>
    <col min="11562" max="11562" width="13" style="47" customWidth="1"/>
    <col min="11563" max="11563" width="25.44140625" style="47" customWidth="1"/>
    <col min="11564" max="11564" width="9.44140625" style="47" customWidth="1"/>
    <col min="11565" max="11573" width="11.44140625" style="47" hidden="1" customWidth="1"/>
    <col min="11574" max="11574" width="8.88671875" style="47" customWidth="1"/>
    <col min="11575" max="11575" width="9.44140625" style="47" customWidth="1"/>
    <col min="11576" max="11576" width="10.109375" style="47" customWidth="1"/>
    <col min="11577" max="11588" width="11.44140625" style="47" hidden="1" customWidth="1"/>
    <col min="11589" max="11589" width="13.88671875" style="47" customWidth="1"/>
    <col min="11590" max="11590" width="11.44140625" style="47" customWidth="1"/>
    <col min="11591" max="11591" width="56.88671875" style="47" customWidth="1"/>
    <col min="11592" max="11592" width="9.109375" style="47" customWidth="1"/>
    <col min="11593" max="11593" width="24.44140625" style="47" customWidth="1"/>
    <col min="11594" max="11594" width="22.88671875" style="47" customWidth="1"/>
    <col min="11595" max="11595" width="14.5546875" style="47" customWidth="1"/>
    <col min="11596" max="11596" width="5" style="47" customWidth="1"/>
    <col min="11597" max="11598" width="11.44140625" style="47" hidden="1" customWidth="1"/>
    <col min="11599" max="11599" width="5" style="47" customWidth="1"/>
    <col min="11600" max="11601" width="11.44140625" style="47" hidden="1" customWidth="1"/>
    <col min="11602" max="11602" width="5" style="47" customWidth="1"/>
    <col min="11603" max="11604" width="11.44140625" style="47" hidden="1" customWidth="1"/>
    <col min="11605" max="11605" width="5" style="47" customWidth="1"/>
    <col min="11606" max="11607" width="11.44140625" style="47" hidden="1" customWidth="1"/>
    <col min="11608" max="11608" width="5" style="47" customWidth="1"/>
    <col min="11609" max="11610" width="11.44140625" style="47" hidden="1" customWidth="1"/>
    <col min="11611" max="11611" width="5" style="47" customWidth="1"/>
    <col min="11612" max="11673" width="11.44140625" style="47" hidden="1" customWidth="1"/>
    <col min="11674" max="11674" width="9.44140625" style="47" customWidth="1"/>
    <col min="11675" max="11675" width="11.44140625" style="47" hidden="1" customWidth="1"/>
    <col min="11676" max="11676" width="5" style="47" customWidth="1"/>
    <col min="11677" max="11692" width="11.44140625" style="47" hidden="1" customWidth="1"/>
    <col min="11693" max="11693" width="6.44140625" style="47" customWidth="1"/>
    <col min="11694" max="11709" width="11.44140625" style="47" hidden="1" customWidth="1"/>
    <col min="11710" max="11710" width="7.109375" style="47" customWidth="1"/>
    <col min="11711" max="11717" width="11.44140625" style="47" hidden="1" customWidth="1"/>
    <col min="11718" max="11718" width="6.44140625" style="47" customWidth="1"/>
    <col min="11719" max="11720" width="11.44140625" style="47" hidden="1" customWidth="1"/>
    <col min="11721" max="11721" width="6.88671875" style="47" customWidth="1"/>
    <col min="11722" max="11723" width="11.44140625" style="47" hidden="1" customWidth="1"/>
    <col min="11724" max="11724" width="6.88671875" style="47" customWidth="1"/>
    <col min="11725" max="11726" width="11.44140625" style="47" hidden="1" customWidth="1"/>
    <col min="11727" max="11727" width="6.44140625" style="47" customWidth="1"/>
    <col min="11728" max="11732" width="11.44140625" style="47" hidden="1" customWidth="1"/>
    <col min="11733" max="11733" width="6.44140625" style="47" customWidth="1"/>
    <col min="11734" max="11735" width="11.44140625" style="47" hidden="1" customWidth="1"/>
    <col min="11736" max="11736" width="7.44140625" style="47" customWidth="1"/>
    <col min="11737" max="11737" width="11.44140625" style="47" hidden="1" customWidth="1"/>
    <col min="11738" max="11738" width="9.44140625" style="47" customWidth="1"/>
    <col min="11739" max="11739" width="11.44140625" style="47" hidden="1" customWidth="1"/>
    <col min="11740" max="11740" width="9" style="47" customWidth="1"/>
    <col min="11741" max="11742" width="11.44140625" style="47" hidden="1" customWidth="1"/>
    <col min="11743" max="11743" width="8.44140625" style="47" customWidth="1"/>
    <col min="11744" max="11745" width="11.44140625" style="47" hidden="1" customWidth="1"/>
    <col min="11746" max="11746" width="6.44140625" style="47" customWidth="1"/>
    <col min="11747" max="11748" width="11.44140625" style="47" hidden="1" customWidth="1"/>
    <col min="11749" max="11749" width="7" style="47" customWidth="1"/>
    <col min="11750" max="11751" width="11.44140625" style="47" hidden="1" customWidth="1"/>
    <col min="11752" max="11754" width="7" style="47" customWidth="1"/>
    <col min="11755" max="11756" width="11.44140625" style="47" hidden="1" customWidth="1"/>
    <col min="11757" max="11757" width="7.44140625" style="47" customWidth="1"/>
    <col min="11758" max="11759" width="11.44140625" style="47" hidden="1" customWidth="1"/>
    <col min="11760" max="11760" width="7" style="47" customWidth="1"/>
    <col min="11761" max="11762" width="11.44140625" style="47" hidden="1" customWidth="1"/>
    <col min="11763" max="11763" width="7" style="47" customWidth="1"/>
    <col min="11764" max="11765" width="11.44140625" style="47" hidden="1" customWidth="1"/>
    <col min="11766" max="11766" width="7" style="47" customWidth="1"/>
    <col min="11767" max="11767" width="11.44140625" style="47" hidden="1" customWidth="1"/>
    <col min="11768" max="11768" width="6.44140625" style="47" customWidth="1"/>
    <col min="11769" max="11778" width="11.44140625" style="47" hidden="1" customWidth="1"/>
    <col min="11779" max="11813" width="11.44140625" style="47" hidden="1"/>
    <col min="11814" max="11814" width="41.44140625" style="47" customWidth="1"/>
    <col min="11815" max="11815" width="6.44140625" style="47" customWidth="1"/>
    <col min="11816" max="11816" width="14.5546875" style="47" customWidth="1"/>
    <col min="11817" max="11817" width="11.44140625" style="47" customWidth="1"/>
    <col min="11818" max="11818" width="13" style="47" customWidth="1"/>
    <col min="11819" max="11819" width="25.44140625" style="47" customWidth="1"/>
    <col min="11820" max="11820" width="9.44140625" style="47" customWidth="1"/>
    <col min="11821" max="11829" width="11.44140625" style="47" hidden="1" customWidth="1"/>
    <col min="11830" max="11830" width="8.88671875" style="47" customWidth="1"/>
    <col min="11831" max="11831" width="9.44140625" style="47" customWidth="1"/>
    <col min="11832" max="11832" width="10.109375" style="47" customWidth="1"/>
    <col min="11833" max="11844" width="11.44140625" style="47" hidden="1" customWidth="1"/>
    <col min="11845" max="11845" width="13.88671875" style="47" customWidth="1"/>
    <col min="11846" max="11846" width="11.44140625" style="47" customWidth="1"/>
    <col min="11847" max="11847" width="56.88671875" style="47" customWidth="1"/>
    <col min="11848" max="11848" width="9.109375" style="47" customWidth="1"/>
    <col min="11849" max="11849" width="24.44140625" style="47" customWidth="1"/>
    <col min="11850" max="11850" width="22.88671875" style="47" customWidth="1"/>
    <col min="11851" max="11851" width="14.5546875" style="47" customWidth="1"/>
    <col min="11852" max="11852" width="5" style="47" customWidth="1"/>
    <col min="11853" max="11854" width="11.44140625" style="47" hidden="1" customWidth="1"/>
    <col min="11855" max="11855" width="5" style="47" customWidth="1"/>
    <col min="11856" max="11857" width="11.44140625" style="47" hidden="1" customWidth="1"/>
    <col min="11858" max="11858" width="5" style="47" customWidth="1"/>
    <col min="11859" max="11860" width="11.44140625" style="47" hidden="1" customWidth="1"/>
    <col min="11861" max="11861" width="5" style="47" customWidth="1"/>
    <col min="11862" max="11863" width="11.44140625" style="47" hidden="1" customWidth="1"/>
    <col min="11864" max="11864" width="5" style="47" customWidth="1"/>
    <col min="11865" max="11866" width="11.44140625" style="47" hidden="1" customWidth="1"/>
    <col min="11867" max="11867" width="5" style="47" customWidth="1"/>
    <col min="11868" max="11929" width="11.44140625" style="47" hidden="1" customWidth="1"/>
    <col min="11930" max="11930" width="9.44140625" style="47" customWidth="1"/>
    <col min="11931" max="11931" width="11.44140625" style="47" hidden="1" customWidth="1"/>
    <col min="11932" max="11932" width="5" style="47" customWidth="1"/>
    <col min="11933" max="11948" width="11.44140625" style="47" hidden="1" customWidth="1"/>
    <col min="11949" max="11949" width="6.44140625" style="47" customWidth="1"/>
    <col min="11950" max="11965" width="11.44140625" style="47" hidden="1" customWidth="1"/>
    <col min="11966" max="11966" width="7.109375" style="47" customWidth="1"/>
    <col min="11967" max="11973" width="11.44140625" style="47" hidden="1" customWidth="1"/>
    <col min="11974" max="11974" width="6.44140625" style="47" customWidth="1"/>
    <col min="11975" max="11976" width="11.44140625" style="47" hidden="1" customWidth="1"/>
    <col min="11977" max="11977" width="6.88671875" style="47" customWidth="1"/>
    <col min="11978" max="11979" width="11.44140625" style="47" hidden="1" customWidth="1"/>
    <col min="11980" max="11980" width="6.88671875" style="47" customWidth="1"/>
    <col min="11981" max="11982" width="11.44140625" style="47" hidden="1" customWidth="1"/>
    <col min="11983" max="11983" width="6.44140625" style="47" customWidth="1"/>
    <col min="11984" max="11988" width="11.44140625" style="47" hidden="1" customWidth="1"/>
    <col min="11989" max="11989" width="6.44140625" style="47" customWidth="1"/>
    <col min="11990" max="11991" width="11.44140625" style="47" hidden="1" customWidth="1"/>
    <col min="11992" max="11992" width="7.44140625" style="47" customWidth="1"/>
    <col min="11993" max="11993" width="11.44140625" style="47" hidden="1" customWidth="1"/>
    <col min="11994" max="11994" width="9.44140625" style="47" customWidth="1"/>
    <col min="11995" max="11995" width="11.44140625" style="47" hidden="1" customWidth="1"/>
    <col min="11996" max="11996" width="9" style="47" customWidth="1"/>
    <col min="11997" max="11998" width="11.44140625" style="47" hidden="1" customWidth="1"/>
    <col min="11999" max="11999" width="8.44140625" style="47" customWidth="1"/>
    <col min="12000" max="12001" width="11.44140625" style="47" hidden="1" customWidth="1"/>
    <col min="12002" max="12002" width="6.44140625" style="47" customWidth="1"/>
    <col min="12003" max="12004" width="11.44140625" style="47" hidden="1" customWidth="1"/>
    <col min="12005" max="12005" width="7" style="47" customWidth="1"/>
    <col min="12006" max="12007" width="11.44140625" style="47" hidden="1" customWidth="1"/>
    <col min="12008" max="12010" width="7" style="47" customWidth="1"/>
    <col min="12011" max="12012" width="11.44140625" style="47" hidden="1" customWidth="1"/>
    <col min="12013" max="12013" width="7.44140625" style="47" customWidth="1"/>
    <col min="12014" max="12015" width="11.44140625" style="47" hidden="1" customWidth="1"/>
    <col min="12016" max="12016" width="7" style="47" customWidth="1"/>
    <col min="12017" max="12018" width="11.44140625" style="47" hidden="1" customWidth="1"/>
    <col min="12019" max="12019" width="7" style="47" customWidth="1"/>
    <col min="12020" max="12021" width="11.44140625" style="47" hidden="1" customWidth="1"/>
    <col min="12022" max="12022" width="7" style="47" customWidth="1"/>
    <col min="12023" max="12023" width="11.44140625" style="47" hidden="1" customWidth="1"/>
    <col min="12024" max="12024" width="6.44140625" style="47" customWidth="1"/>
    <col min="12025" max="12034" width="11.44140625" style="47" hidden="1" customWidth="1"/>
    <col min="12035" max="12069" width="11.44140625" style="47" hidden="1"/>
    <col min="12070" max="12070" width="41.44140625" style="47" customWidth="1"/>
    <col min="12071" max="12071" width="6.44140625" style="47" customWidth="1"/>
    <col min="12072" max="12072" width="14.5546875" style="47" customWidth="1"/>
    <col min="12073" max="12073" width="11.44140625" style="47" customWidth="1"/>
    <col min="12074" max="12074" width="13" style="47" customWidth="1"/>
    <col min="12075" max="12075" width="25.44140625" style="47" customWidth="1"/>
    <col min="12076" max="12076" width="9.44140625" style="47" customWidth="1"/>
    <col min="12077" max="12085" width="11.44140625" style="47" hidden="1" customWidth="1"/>
    <col min="12086" max="12086" width="8.88671875" style="47" customWidth="1"/>
    <col min="12087" max="12087" width="9.44140625" style="47" customWidth="1"/>
    <col min="12088" max="12088" width="10.109375" style="47" customWidth="1"/>
    <col min="12089" max="12100" width="11.44140625" style="47" hidden="1" customWidth="1"/>
    <col min="12101" max="12101" width="13.88671875" style="47" customWidth="1"/>
    <col min="12102" max="12102" width="11.44140625" style="47" customWidth="1"/>
    <col min="12103" max="12103" width="56.88671875" style="47" customWidth="1"/>
    <col min="12104" max="12104" width="9.109375" style="47" customWidth="1"/>
    <col min="12105" max="12105" width="24.44140625" style="47" customWidth="1"/>
    <col min="12106" max="12106" width="22.88671875" style="47" customWidth="1"/>
    <col min="12107" max="12107" width="14.5546875" style="47" customWidth="1"/>
    <col min="12108" max="12108" width="5" style="47" customWidth="1"/>
    <col min="12109" max="12110" width="11.44140625" style="47" hidden="1" customWidth="1"/>
    <col min="12111" max="12111" width="5" style="47" customWidth="1"/>
    <col min="12112" max="12113" width="11.44140625" style="47" hidden="1" customWidth="1"/>
    <col min="12114" max="12114" width="5" style="47" customWidth="1"/>
    <col min="12115" max="12116" width="11.44140625" style="47" hidden="1" customWidth="1"/>
    <col min="12117" max="12117" width="5" style="47" customWidth="1"/>
    <col min="12118" max="12119" width="11.44140625" style="47" hidden="1" customWidth="1"/>
    <col min="12120" max="12120" width="5" style="47" customWidth="1"/>
    <col min="12121" max="12122" width="11.44140625" style="47" hidden="1" customWidth="1"/>
    <col min="12123" max="12123" width="5" style="47" customWidth="1"/>
    <col min="12124" max="12185" width="11.44140625" style="47" hidden="1" customWidth="1"/>
    <col min="12186" max="12186" width="9.44140625" style="47" customWidth="1"/>
    <col min="12187" max="12187" width="11.44140625" style="47" hidden="1" customWidth="1"/>
    <col min="12188" max="12188" width="5" style="47" customWidth="1"/>
    <col min="12189" max="12204" width="11.44140625" style="47" hidden="1" customWidth="1"/>
    <col min="12205" max="12205" width="6.44140625" style="47" customWidth="1"/>
    <col min="12206" max="12221" width="11.44140625" style="47" hidden="1" customWidth="1"/>
    <col min="12222" max="12222" width="7.109375" style="47" customWidth="1"/>
    <col min="12223" max="12229" width="11.44140625" style="47" hidden="1" customWidth="1"/>
    <col min="12230" max="12230" width="6.44140625" style="47" customWidth="1"/>
    <col min="12231" max="12232" width="11.44140625" style="47" hidden="1" customWidth="1"/>
    <col min="12233" max="12233" width="6.88671875" style="47" customWidth="1"/>
    <col min="12234" max="12235" width="11.44140625" style="47" hidden="1" customWidth="1"/>
    <col min="12236" max="12236" width="6.88671875" style="47" customWidth="1"/>
    <col min="12237" max="12238" width="11.44140625" style="47" hidden="1" customWidth="1"/>
    <col min="12239" max="12239" width="6.44140625" style="47" customWidth="1"/>
    <col min="12240" max="12244" width="11.44140625" style="47" hidden="1" customWidth="1"/>
    <col min="12245" max="12245" width="6.44140625" style="47" customWidth="1"/>
    <col min="12246" max="12247" width="11.44140625" style="47" hidden="1" customWidth="1"/>
    <col min="12248" max="12248" width="7.44140625" style="47" customWidth="1"/>
    <col min="12249" max="12249" width="11.44140625" style="47" hidden="1" customWidth="1"/>
    <col min="12250" max="12250" width="9.44140625" style="47" customWidth="1"/>
    <col min="12251" max="12251" width="11.44140625" style="47" hidden="1" customWidth="1"/>
    <col min="12252" max="12252" width="9" style="47" customWidth="1"/>
    <col min="12253" max="12254" width="11.44140625" style="47" hidden="1" customWidth="1"/>
    <col min="12255" max="12255" width="8.44140625" style="47" customWidth="1"/>
    <col min="12256" max="12257" width="11.44140625" style="47" hidden="1" customWidth="1"/>
    <col min="12258" max="12258" width="6.44140625" style="47" customWidth="1"/>
    <col min="12259" max="12260" width="11.44140625" style="47" hidden="1" customWidth="1"/>
    <col min="12261" max="12261" width="7" style="47" customWidth="1"/>
    <col min="12262" max="12263" width="11.44140625" style="47" hidden="1" customWidth="1"/>
    <col min="12264" max="12266" width="7" style="47" customWidth="1"/>
    <col min="12267" max="12268" width="11.44140625" style="47" hidden="1" customWidth="1"/>
    <col min="12269" max="12269" width="7.44140625" style="47" customWidth="1"/>
    <col min="12270" max="12271" width="11.44140625" style="47" hidden="1" customWidth="1"/>
    <col min="12272" max="12272" width="7" style="47" customWidth="1"/>
    <col min="12273" max="12274" width="11.44140625" style="47" hidden="1" customWidth="1"/>
    <col min="12275" max="12275" width="7" style="47" customWidth="1"/>
    <col min="12276" max="12277" width="11.44140625" style="47" hidden="1" customWidth="1"/>
    <col min="12278" max="12278" width="7" style="47" customWidth="1"/>
    <col min="12279" max="12279" width="11.44140625" style="47" hidden="1" customWidth="1"/>
    <col min="12280" max="12280" width="6.44140625" style="47" customWidth="1"/>
    <col min="12281" max="12290" width="11.44140625" style="47" hidden="1" customWidth="1"/>
    <col min="12291" max="12325" width="11.44140625" style="47" hidden="1"/>
    <col min="12326" max="12326" width="41.44140625" style="47" customWidth="1"/>
    <col min="12327" max="12327" width="6.44140625" style="47" customWidth="1"/>
    <col min="12328" max="12328" width="14.5546875" style="47" customWidth="1"/>
    <col min="12329" max="12329" width="11.44140625" style="47" customWidth="1"/>
    <col min="12330" max="12330" width="13" style="47" customWidth="1"/>
    <col min="12331" max="12331" width="25.44140625" style="47" customWidth="1"/>
    <col min="12332" max="12332" width="9.44140625" style="47" customWidth="1"/>
    <col min="12333" max="12341" width="11.44140625" style="47" hidden="1" customWidth="1"/>
    <col min="12342" max="12342" width="8.88671875" style="47" customWidth="1"/>
    <col min="12343" max="12343" width="9.44140625" style="47" customWidth="1"/>
    <col min="12344" max="12344" width="10.109375" style="47" customWidth="1"/>
    <col min="12345" max="12356" width="11.44140625" style="47" hidden="1" customWidth="1"/>
    <col min="12357" max="12357" width="13.88671875" style="47" customWidth="1"/>
    <col min="12358" max="12358" width="11.44140625" style="47" customWidth="1"/>
    <col min="12359" max="12359" width="56.88671875" style="47" customWidth="1"/>
    <col min="12360" max="12360" width="9.109375" style="47" customWidth="1"/>
    <col min="12361" max="12361" width="24.44140625" style="47" customWidth="1"/>
    <col min="12362" max="12362" width="22.88671875" style="47" customWidth="1"/>
    <col min="12363" max="12363" width="14.5546875" style="47" customWidth="1"/>
    <col min="12364" max="12364" width="5" style="47" customWidth="1"/>
    <col min="12365" max="12366" width="11.44140625" style="47" hidden="1" customWidth="1"/>
    <col min="12367" max="12367" width="5" style="47" customWidth="1"/>
    <col min="12368" max="12369" width="11.44140625" style="47" hidden="1" customWidth="1"/>
    <col min="12370" max="12370" width="5" style="47" customWidth="1"/>
    <col min="12371" max="12372" width="11.44140625" style="47" hidden="1" customWidth="1"/>
    <col min="12373" max="12373" width="5" style="47" customWidth="1"/>
    <col min="12374" max="12375" width="11.44140625" style="47" hidden="1" customWidth="1"/>
    <col min="12376" max="12376" width="5" style="47" customWidth="1"/>
    <col min="12377" max="12378" width="11.44140625" style="47" hidden="1" customWidth="1"/>
    <col min="12379" max="12379" width="5" style="47" customWidth="1"/>
    <col min="12380" max="12441" width="11.44140625" style="47" hidden="1" customWidth="1"/>
    <col min="12442" max="12442" width="9.44140625" style="47" customWidth="1"/>
    <col min="12443" max="12443" width="11.44140625" style="47" hidden="1" customWidth="1"/>
    <col min="12444" max="12444" width="5" style="47" customWidth="1"/>
    <col min="12445" max="12460" width="11.44140625" style="47" hidden="1" customWidth="1"/>
    <col min="12461" max="12461" width="6.44140625" style="47" customWidth="1"/>
    <col min="12462" max="12477" width="11.44140625" style="47" hidden="1" customWidth="1"/>
    <col min="12478" max="12478" width="7.109375" style="47" customWidth="1"/>
    <col min="12479" max="12485" width="11.44140625" style="47" hidden="1" customWidth="1"/>
    <col min="12486" max="12486" width="6.44140625" style="47" customWidth="1"/>
    <col min="12487" max="12488" width="11.44140625" style="47" hidden="1" customWidth="1"/>
    <col min="12489" max="12489" width="6.88671875" style="47" customWidth="1"/>
    <col min="12490" max="12491" width="11.44140625" style="47" hidden="1" customWidth="1"/>
    <col min="12492" max="12492" width="6.88671875" style="47" customWidth="1"/>
    <col min="12493" max="12494" width="11.44140625" style="47" hidden="1" customWidth="1"/>
    <col min="12495" max="12495" width="6.44140625" style="47" customWidth="1"/>
    <col min="12496" max="12500" width="11.44140625" style="47" hidden="1" customWidth="1"/>
    <col min="12501" max="12501" width="6.44140625" style="47" customWidth="1"/>
    <col min="12502" max="12503" width="11.44140625" style="47" hidden="1" customWidth="1"/>
    <col min="12504" max="12504" width="7.44140625" style="47" customWidth="1"/>
    <col min="12505" max="12505" width="11.44140625" style="47" hidden="1" customWidth="1"/>
    <col min="12506" max="12506" width="9.44140625" style="47" customWidth="1"/>
    <col min="12507" max="12507" width="11.44140625" style="47" hidden="1" customWidth="1"/>
    <col min="12508" max="12508" width="9" style="47" customWidth="1"/>
    <col min="12509" max="12510" width="11.44140625" style="47" hidden="1" customWidth="1"/>
    <col min="12511" max="12511" width="8.44140625" style="47" customWidth="1"/>
    <col min="12512" max="12513" width="11.44140625" style="47" hidden="1" customWidth="1"/>
    <col min="12514" max="12514" width="6.44140625" style="47" customWidth="1"/>
    <col min="12515" max="12516" width="11.44140625" style="47" hidden="1" customWidth="1"/>
    <col min="12517" max="12517" width="7" style="47" customWidth="1"/>
    <col min="12518" max="12519" width="11.44140625" style="47" hidden="1" customWidth="1"/>
    <col min="12520" max="12522" width="7" style="47" customWidth="1"/>
    <col min="12523" max="12524" width="11.44140625" style="47" hidden="1" customWidth="1"/>
    <col min="12525" max="12525" width="7.44140625" style="47" customWidth="1"/>
    <col min="12526" max="12527" width="11.44140625" style="47" hidden="1" customWidth="1"/>
    <col min="12528" max="12528" width="7" style="47" customWidth="1"/>
    <col min="12529" max="12530" width="11.44140625" style="47" hidden="1" customWidth="1"/>
    <col min="12531" max="12531" width="7" style="47" customWidth="1"/>
    <col min="12532" max="12533" width="11.44140625" style="47" hidden="1" customWidth="1"/>
    <col min="12534" max="12534" width="7" style="47" customWidth="1"/>
    <col min="12535" max="12535" width="11.44140625" style="47" hidden="1" customWidth="1"/>
    <col min="12536" max="12536" width="6.44140625" style="47" customWidth="1"/>
    <col min="12537" max="12546" width="11.44140625" style="47" hidden="1" customWidth="1"/>
    <col min="12547" max="12581" width="11.44140625" style="47" hidden="1"/>
    <col min="12582" max="12582" width="41.44140625" style="47" customWidth="1"/>
    <col min="12583" max="12583" width="6.44140625" style="47" customWidth="1"/>
    <col min="12584" max="12584" width="14.5546875" style="47" customWidth="1"/>
    <col min="12585" max="12585" width="11.44140625" style="47" customWidth="1"/>
    <col min="12586" max="12586" width="13" style="47" customWidth="1"/>
    <col min="12587" max="12587" width="25.44140625" style="47" customWidth="1"/>
    <col min="12588" max="12588" width="9.44140625" style="47" customWidth="1"/>
    <col min="12589" max="12597" width="11.44140625" style="47" hidden="1" customWidth="1"/>
    <col min="12598" max="12598" width="8.88671875" style="47" customWidth="1"/>
    <col min="12599" max="12599" width="9.44140625" style="47" customWidth="1"/>
    <col min="12600" max="12600" width="10.109375" style="47" customWidth="1"/>
    <col min="12601" max="12612" width="11.44140625" style="47" hidden="1" customWidth="1"/>
    <col min="12613" max="12613" width="13.88671875" style="47" customWidth="1"/>
    <col min="12614" max="12614" width="11.44140625" style="47" customWidth="1"/>
    <col min="12615" max="12615" width="56.88671875" style="47" customWidth="1"/>
    <col min="12616" max="12616" width="9.109375" style="47" customWidth="1"/>
    <col min="12617" max="12617" width="24.44140625" style="47" customWidth="1"/>
    <col min="12618" max="12618" width="22.88671875" style="47" customWidth="1"/>
    <col min="12619" max="12619" width="14.5546875" style="47" customWidth="1"/>
    <col min="12620" max="12620" width="5" style="47" customWidth="1"/>
    <col min="12621" max="12622" width="11.44140625" style="47" hidden="1" customWidth="1"/>
    <col min="12623" max="12623" width="5" style="47" customWidth="1"/>
    <col min="12624" max="12625" width="11.44140625" style="47" hidden="1" customWidth="1"/>
    <col min="12626" max="12626" width="5" style="47" customWidth="1"/>
    <col min="12627" max="12628" width="11.44140625" style="47" hidden="1" customWidth="1"/>
    <col min="12629" max="12629" width="5" style="47" customWidth="1"/>
    <col min="12630" max="12631" width="11.44140625" style="47" hidden="1" customWidth="1"/>
    <col min="12632" max="12632" width="5" style="47" customWidth="1"/>
    <col min="12633" max="12634" width="11.44140625" style="47" hidden="1" customWidth="1"/>
    <col min="12635" max="12635" width="5" style="47" customWidth="1"/>
    <col min="12636" max="12697" width="11.44140625" style="47" hidden="1" customWidth="1"/>
    <col min="12698" max="12698" width="9.44140625" style="47" customWidth="1"/>
    <col min="12699" max="12699" width="11.44140625" style="47" hidden="1" customWidth="1"/>
    <col min="12700" max="12700" width="5" style="47" customWidth="1"/>
    <col min="12701" max="12716" width="11.44140625" style="47" hidden="1" customWidth="1"/>
    <col min="12717" max="12717" width="6.44140625" style="47" customWidth="1"/>
    <col min="12718" max="12733" width="11.44140625" style="47" hidden="1" customWidth="1"/>
    <col min="12734" max="12734" width="7.109375" style="47" customWidth="1"/>
    <col min="12735" max="12741" width="11.44140625" style="47" hidden="1" customWidth="1"/>
    <col min="12742" max="12742" width="6.44140625" style="47" customWidth="1"/>
    <col min="12743" max="12744" width="11.44140625" style="47" hidden="1" customWidth="1"/>
    <col min="12745" max="12745" width="6.88671875" style="47" customWidth="1"/>
    <col min="12746" max="12747" width="11.44140625" style="47" hidden="1" customWidth="1"/>
    <col min="12748" max="12748" width="6.88671875" style="47" customWidth="1"/>
    <col min="12749" max="12750" width="11.44140625" style="47" hidden="1" customWidth="1"/>
    <col min="12751" max="12751" width="6.44140625" style="47" customWidth="1"/>
    <col min="12752" max="12756" width="11.44140625" style="47" hidden="1" customWidth="1"/>
    <col min="12757" max="12757" width="6.44140625" style="47" customWidth="1"/>
    <col min="12758" max="12759" width="11.44140625" style="47" hidden="1" customWidth="1"/>
    <col min="12760" max="12760" width="7.44140625" style="47" customWidth="1"/>
    <col min="12761" max="12761" width="11.44140625" style="47" hidden="1" customWidth="1"/>
    <col min="12762" max="12762" width="9.44140625" style="47" customWidth="1"/>
    <col min="12763" max="12763" width="11.44140625" style="47" hidden="1" customWidth="1"/>
    <col min="12764" max="12764" width="9" style="47" customWidth="1"/>
    <col min="12765" max="12766" width="11.44140625" style="47" hidden="1" customWidth="1"/>
    <col min="12767" max="12767" width="8.44140625" style="47" customWidth="1"/>
    <col min="12768" max="12769" width="11.44140625" style="47" hidden="1" customWidth="1"/>
    <col min="12770" max="12770" width="6.44140625" style="47" customWidth="1"/>
    <col min="12771" max="12772" width="11.44140625" style="47" hidden="1" customWidth="1"/>
    <col min="12773" max="12773" width="7" style="47" customWidth="1"/>
    <col min="12774" max="12775" width="11.44140625" style="47" hidden="1" customWidth="1"/>
    <col min="12776" max="12778" width="7" style="47" customWidth="1"/>
    <col min="12779" max="12780" width="11.44140625" style="47" hidden="1" customWidth="1"/>
    <col min="12781" max="12781" width="7.44140625" style="47" customWidth="1"/>
    <col min="12782" max="12783" width="11.44140625" style="47" hidden="1" customWidth="1"/>
    <col min="12784" max="12784" width="7" style="47" customWidth="1"/>
    <col min="12785" max="12786" width="11.44140625" style="47" hidden="1" customWidth="1"/>
    <col min="12787" max="12787" width="7" style="47" customWidth="1"/>
    <col min="12788" max="12789" width="11.44140625" style="47" hidden="1" customWidth="1"/>
    <col min="12790" max="12790" width="7" style="47" customWidth="1"/>
    <col min="12791" max="12791" width="11.44140625" style="47" hidden="1" customWidth="1"/>
    <col min="12792" max="12792" width="6.44140625" style="47" customWidth="1"/>
    <col min="12793" max="12802" width="11.44140625" style="47" hidden="1" customWidth="1"/>
    <col min="12803" max="12837" width="11.44140625" style="47" hidden="1"/>
    <col min="12838" max="12838" width="41.44140625" style="47" customWidth="1"/>
    <col min="12839" max="12839" width="6.44140625" style="47" customWidth="1"/>
    <col min="12840" max="12840" width="14.5546875" style="47" customWidth="1"/>
    <col min="12841" max="12841" width="11.44140625" style="47" customWidth="1"/>
    <col min="12842" max="12842" width="13" style="47" customWidth="1"/>
    <col min="12843" max="12843" width="25.44140625" style="47" customWidth="1"/>
    <col min="12844" max="12844" width="9.44140625" style="47" customWidth="1"/>
    <col min="12845" max="12853" width="11.44140625" style="47" hidden="1" customWidth="1"/>
    <col min="12854" max="12854" width="8.88671875" style="47" customWidth="1"/>
    <col min="12855" max="12855" width="9.44140625" style="47" customWidth="1"/>
    <col min="12856" max="12856" width="10.109375" style="47" customWidth="1"/>
    <col min="12857" max="12868" width="11.44140625" style="47" hidden="1" customWidth="1"/>
    <col min="12869" max="12869" width="13.88671875" style="47" customWidth="1"/>
    <col min="12870" max="12870" width="11.44140625" style="47" customWidth="1"/>
    <col min="12871" max="12871" width="56.88671875" style="47" customWidth="1"/>
    <col min="12872" max="12872" width="9.109375" style="47" customWidth="1"/>
    <col min="12873" max="12873" width="24.44140625" style="47" customWidth="1"/>
    <col min="12874" max="12874" width="22.88671875" style="47" customWidth="1"/>
    <col min="12875" max="12875" width="14.5546875" style="47" customWidth="1"/>
    <col min="12876" max="12876" width="5" style="47" customWidth="1"/>
    <col min="12877" max="12878" width="11.44140625" style="47" hidden="1" customWidth="1"/>
    <col min="12879" max="12879" width="5" style="47" customWidth="1"/>
    <col min="12880" max="12881" width="11.44140625" style="47" hidden="1" customWidth="1"/>
    <col min="12882" max="12882" width="5" style="47" customWidth="1"/>
    <col min="12883" max="12884" width="11.44140625" style="47" hidden="1" customWidth="1"/>
    <col min="12885" max="12885" width="5" style="47" customWidth="1"/>
    <col min="12886" max="12887" width="11.44140625" style="47" hidden="1" customWidth="1"/>
    <col min="12888" max="12888" width="5" style="47" customWidth="1"/>
    <col min="12889" max="12890" width="11.44140625" style="47" hidden="1" customWidth="1"/>
    <col min="12891" max="12891" width="5" style="47" customWidth="1"/>
    <col min="12892" max="12953" width="11.44140625" style="47" hidden="1" customWidth="1"/>
    <col min="12954" max="12954" width="9.44140625" style="47" customWidth="1"/>
    <col min="12955" max="12955" width="11.44140625" style="47" hidden="1" customWidth="1"/>
    <col min="12956" max="12956" width="5" style="47" customWidth="1"/>
    <col min="12957" max="12972" width="11.44140625" style="47" hidden="1" customWidth="1"/>
    <col min="12973" max="12973" width="6.44140625" style="47" customWidth="1"/>
    <col min="12974" max="12989" width="11.44140625" style="47" hidden="1" customWidth="1"/>
    <col min="12990" max="12990" width="7.109375" style="47" customWidth="1"/>
    <col min="12991" max="12997" width="11.44140625" style="47" hidden="1" customWidth="1"/>
    <col min="12998" max="12998" width="6.44140625" style="47" customWidth="1"/>
    <col min="12999" max="13000" width="11.44140625" style="47" hidden="1" customWidth="1"/>
    <col min="13001" max="13001" width="6.88671875" style="47" customWidth="1"/>
    <col min="13002" max="13003" width="11.44140625" style="47" hidden="1" customWidth="1"/>
    <col min="13004" max="13004" width="6.88671875" style="47" customWidth="1"/>
    <col min="13005" max="13006" width="11.44140625" style="47" hidden="1" customWidth="1"/>
    <col min="13007" max="13007" width="6.44140625" style="47" customWidth="1"/>
    <col min="13008" max="13012" width="11.44140625" style="47" hidden="1" customWidth="1"/>
    <col min="13013" max="13013" width="6.44140625" style="47" customWidth="1"/>
    <col min="13014" max="13015" width="11.44140625" style="47" hidden="1" customWidth="1"/>
    <col min="13016" max="13016" width="7.44140625" style="47" customWidth="1"/>
    <col min="13017" max="13017" width="11.44140625" style="47" hidden="1" customWidth="1"/>
    <col min="13018" max="13018" width="9.44140625" style="47" customWidth="1"/>
    <col min="13019" max="13019" width="11.44140625" style="47" hidden="1" customWidth="1"/>
    <col min="13020" max="13020" width="9" style="47" customWidth="1"/>
    <col min="13021" max="13022" width="11.44140625" style="47" hidden="1" customWidth="1"/>
    <col min="13023" max="13023" width="8.44140625" style="47" customWidth="1"/>
    <col min="13024" max="13025" width="11.44140625" style="47" hidden="1" customWidth="1"/>
    <col min="13026" max="13026" width="6.44140625" style="47" customWidth="1"/>
    <col min="13027" max="13028" width="11.44140625" style="47" hidden="1" customWidth="1"/>
    <col min="13029" max="13029" width="7" style="47" customWidth="1"/>
    <col min="13030" max="13031" width="11.44140625" style="47" hidden="1" customWidth="1"/>
    <col min="13032" max="13034" width="7" style="47" customWidth="1"/>
    <col min="13035" max="13036" width="11.44140625" style="47" hidden="1" customWidth="1"/>
    <col min="13037" max="13037" width="7.44140625" style="47" customWidth="1"/>
    <col min="13038" max="13039" width="11.44140625" style="47" hidden="1" customWidth="1"/>
    <col min="13040" max="13040" width="7" style="47" customWidth="1"/>
    <col min="13041" max="13042" width="11.44140625" style="47" hidden="1" customWidth="1"/>
    <col min="13043" max="13043" width="7" style="47" customWidth="1"/>
    <col min="13044" max="13045" width="11.44140625" style="47" hidden="1" customWidth="1"/>
    <col min="13046" max="13046" width="7" style="47" customWidth="1"/>
    <col min="13047" max="13047" width="11.44140625" style="47" hidden="1" customWidth="1"/>
    <col min="13048" max="13048" width="6.44140625" style="47" customWidth="1"/>
    <col min="13049" max="13058" width="11.44140625" style="47" hidden="1" customWidth="1"/>
    <col min="13059" max="13093" width="11.44140625" style="47" hidden="1"/>
    <col min="13094" max="13094" width="41.44140625" style="47" customWidth="1"/>
    <col min="13095" max="13095" width="6.44140625" style="47" customWidth="1"/>
    <col min="13096" max="13096" width="14.5546875" style="47" customWidth="1"/>
    <col min="13097" max="13097" width="11.44140625" style="47" customWidth="1"/>
    <col min="13098" max="13098" width="13" style="47" customWidth="1"/>
    <col min="13099" max="13099" width="25.44140625" style="47" customWidth="1"/>
    <col min="13100" max="13100" width="9.44140625" style="47" customWidth="1"/>
    <col min="13101" max="13109" width="11.44140625" style="47" hidden="1" customWidth="1"/>
    <col min="13110" max="13110" width="8.88671875" style="47" customWidth="1"/>
    <col min="13111" max="13111" width="9.44140625" style="47" customWidth="1"/>
    <col min="13112" max="13112" width="10.109375" style="47" customWidth="1"/>
    <col min="13113" max="13124" width="11.44140625" style="47" hidden="1" customWidth="1"/>
    <col min="13125" max="13125" width="13.88671875" style="47" customWidth="1"/>
    <col min="13126" max="13126" width="11.44140625" style="47" customWidth="1"/>
    <col min="13127" max="13127" width="56.88671875" style="47" customWidth="1"/>
    <col min="13128" max="13128" width="9.109375" style="47" customWidth="1"/>
    <col min="13129" max="13129" width="24.44140625" style="47" customWidth="1"/>
    <col min="13130" max="13130" width="22.88671875" style="47" customWidth="1"/>
    <col min="13131" max="13131" width="14.5546875" style="47" customWidth="1"/>
    <col min="13132" max="13132" width="5" style="47" customWidth="1"/>
    <col min="13133" max="13134" width="11.44140625" style="47" hidden="1" customWidth="1"/>
    <col min="13135" max="13135" width="5" style="47" customWidth="1"/>
    <col min="13136" max="13137" width="11.44140625" style="47" hidden="1" customWidth="1"/>
    <col min="13138" max="13138" width="5" style="47" customWidth="1"/>
    <col min="13139" max="13140" width="11.44140625" style="47" hidden="1" customWidth="1"/>
    <col min="13141" max="13141" width="5" style="47" customWidth="1"/>
    <col min="13142" max="13143" width="11.44140625" style="47" hidden="1" customWidth="1"/>
    <col min="13144" max="13144" width="5" style="47" customWidth="1"/>
    <col min="13145" max="13146" width="11.44140625" style="47" hidden="1" customWidth="1"/>
    <col min="13147" max="13147" width="5" style="47" customWidth="1"/>
    <col min="13148" max="13209" width="11.44140625" style="47" hidden="1" customWidth="1"/>
    <col min="13210" max="13210" width="9.44140625" style="47" customWidth="1"/>
    <col min="13211" max="13211" width="11.44140625" style="47" hidden="1" customWidth="1"/>
    <col min="13212" max="13212" width="5" style="47" customWidth="1"/>
    <col min="13213" max="13228" width="11.44140625" style="47" hidden="1" customWidth="1"/>
    <col min="13229" max="13229" width="6.44140625" style="47" customWidth="1"/>
    <col min="13230" max="13245" width="11.44140625" style="47" hidden="1" customWidth="1"/>
    <col min="13246" max="13246" width="7.109375" style="47" customWidth="1"/>
    <col min="13247" max="13253" width="11.44140625" style="47" hidden="1" customWidth="1"/>
    <col min="13254" max="13254" width="6.44140625" style="47" customWidth="1"/>
    <col min="13255" max="13256" width="11.44140625" style="47" hidden="1" customWidth="1"/>
    <col min="13257" max="13257" width="6.88671875" style="47" customWidth="1"/>
    <col min="13258" max="13259" width="11.44140625" style="47" hidden="1" customWidth="1"/>
    <col min="13260" max="13260" width="6.88671875" style="47" customWidth="1"/>
    <col min="13261" max="13262" width="11.44140625" style="47" hidden="1" customWidth="1"/>
    <col min="13263" max="13263" width="6.44140625" style="47" customWidth="1"/>
    <col min="13264" max="13268" width="11.44140625" style="47" hidden="1" customWidth="1"/>
    <col min="13269" max="13269" width="6.44140625" style="47" customWidth="1"/>
    <col min="13270" max="13271" width="11.44140625" style="47" hidden="1" customWidth="1"/>
    <col min="13272" max="13272" width="7.44140625" style="47" customWidth="1"/>
    <col min="13273" max="13273" width="11.44140625" style="47" hidden="1" customWidth="1"/>
    <col min="13274" max="13274" width="9.44140625" style="47" customWidth="1"/>
    <col min="13275" max="13275" width="11.44140625" style="47" hidden="1" customWidth="1"/>
    <col min="13276" max="13276" width="9" style="47" customWidth="1"/>
    <col min="13277" max="13278" width="11.44140625" style="47" hidden="1" customWidth="1"/>
    <col min="13279" max="13279" width="8.44140625" style="47" customWidth="1"/>
    <col min="13280" max="13281" width="11.44140625" style="47" hidden="1" customWidth="1"/>
    <col min="13282" max="13282" width="6.44140625" style="47" customWidth="1"/>
    <col min="13283" max="13284" width="11.44140625" style="47" hidden="1" customWidth="1"/>
    <col min="13285" max="13285" width="7" style="47" customWidth="1"/>
    <col min="13286" max="13287" width="11.44140625" style="47" hidden="1" customWidth="1"/>
    <col min="13288" max="13290" width="7" style="47" customWidth="1"/>
    <col min="13291" max="13292" width="11.44140625" style="47" hidden="1" customWidth="1"/>
    <col min="13293" max="13293" width="7.44140625" style="47" customWidth="1"/>
    <col min="13294" max="13295" width="11.44140625" style="47" hidden="1" customWidth="1"/>
    <col min="13296" max="13296" width="7" style="47" customWidth="1"/>
    <col min="13297" max="13298" width="11.44140625" style="47" hidden="1" customWidth="1"/>
    <col min="13299" max="13299" width="7" style="47" customWidth="1"/>
    <col min="13300" max="13301" width="11.44140625" style="47" hidden="1" customWidth="1"/>
    <col min="13302" max="13302" width="7" style="47" customWidth="1"/>
    <col min="13303" max="13303" width="11.44140625" style="47" hidden="1" customWidth="1"/>
    <col min="13304" max="13304" width="6.44140625" style="47" customWidth="1"/>
    <col min="13305" max="13314" width="11.44140625" style="47" hidden="1" customWidth="1"/>
    <col min="13315" max="13349" width="11.44140625" style="47" hidden="1"/>
    <col min="13350" max="13350" width="41.44140625" style="47" customWidth="1"/>
    <col min="13351" max="13351" width="6.44140625" style="47" customWidth="1"/>
    <col min="13352" max="13352" width="14.5546875" style="47" customWidth="1"/>
    <col min="13353" max="13353" width="11.44140625" style="47" customWidth="1"/>
    <col min="13354" max="13354" width="13" style="47" customWidth="1"/>
    <col min="13355" max="13355" width="25.44140625" style="47" customWidth="1"/>
    <col min="13356" max="13356" width="9.44140625" style="47" customWidth="1"/>
    <col min="13357" max="13365" width="11.44140625" style="47" hidden="1" customWidth="1"/>
    <col min="13366" max="13366" width="8.88671875" style="47" customWidth="1"/>
    <col min="13367" max="13367" width="9.44140625" style="47" customWidth="1"/>
    <col min="13368" max="13368" width="10.109375" style="47" customWidth="1"/>
    <col min="13369" max="13380" width="11.44140625" style="47" hidden="1" customWidth="1"/>
    <col min="13381" max="13381" width="13.88671875" style="47" customWidth="1"/>
    <col min="13382" max="13382" width="11.44140625" style="47" customWidth="1"/>
    <col min="13383" max="13383" width="56.88671875" style="47" customWidth="1"/>
    <col min="13384" max="13384" width="9.109375" style="47" customWidth="1"/>
    <col min="13385" max="13385" width="24.44140625" style="47" customWidth="1"/>
    <col min="13386" max="13386" width="22.88671875" style="47" customWidth="1"/>
    <col min="13387" max="13387" width="14.5546875" style="47" customWidth="1"/>
    <col min="13388" max="13388" width="5" style="47" customWidth="1"/>
    <col min="13389" max="13390" width="11.44140625" style="47" hidden="1" customWidth="1"/>
    <col min="13391" max="13391" width="5" style="47" customWidth="1"/>
    <col min="13392" max="13393" width="11.44140625" style="47" hidden="1" customWidth="1"/>
    <col min="13394" max="13394" width="5" style="47" customWidth="1"/>
    <col min="13395" max="13396" width="11.44140625" style="47" hidden="1" customWidth="1"/>
    <col min="13397" max="13397" width="5" style="47" customWidth="1"/>
    <col min="13398" max="13399" width="11.44140625" style="47" hidden="1" customWidth="1"/>
    <col min="13400" max="13400" width="5" style="47" customWidth="1"/>
    <col min="13401" max="13402" width="11.44140625" style="47" hidden="1" customWidth="1"/>
    <col min="13403" max="13403" width="5" style="47" customWidth="1"/>
    <col min="13404" max="13465" width="11.44140625" style="47" hidden="1" customWidth="1"/>
    <col min="13466" max="13466" width="9.44140625" style="47" customWidth="1"/>
    <col min="13467" max="13467" width="11.44140625" style="47" hidden="1" customWidth="1"/>
    <col min="13468" max="13468" width="5" style="47" customWidth="1"/>
    <col min="13469" max="13484" width="11.44140625" style="47" hidden="1" customWidth="1"/>
    <col min="13485" max="13485" width="6.44140625" style="47" customWidth="1"/>
    <col min="13486" max="13501" width="11.44140625" style="47" hidden="1" customWidth="1"/>
    <col min="13502" max="13502" width="7.109375" style="47" customWidth="1"/>
    <col min="13503" max="13509" width="11.44140625" style="47" hidden="1" customWidth="1"/>
    <col min="13510" max="13510" width="6.44140625" style="47" customWidth="1"/>
    <col min="13511" max="13512" width="11.44140625" style="47" hidden="1" customWidth="1"/>
    <col min="13513" max="13513" width="6.88671875" style="47" customWidth="1"/>
    <col min="13514" max="13515" width="11.44140625" style="47" hidden="1" customWidth="1"/>
    <col min="13516" max="13516" width="6.88671875" style="47" customWidth="1"/>
    <col min="13517" max="13518" width="11.44140625" style="47" hidden="1" customWidth="1"/>
    <col min="13519" max="13519" width="6.44140625" style="47" customWidth="1"/>
    <col min="13520" max="13524" width="11.44140625" style="47" hidden="1" customWidth="1"/>
    <col min="13525" max="13525" width="6.44140625" style="47" customWidth="1"/>
    <col min="13526" max="13527" width="11.44140625" style="47" hidden="1" customWidth="1"/>
    <col min="13528" max="13528" width="7.44140625" style="47" customWidth="1"/>
    <col min="13529" max="13529" width="11.44140625" style="47" hidden="1" customWidth="1"/>
    <col min="13530" max="13530" width="9.44140625" style="47" customWidth="1"/>
    <col min="13531" max="13531" width="11.44140625" style="47" hidden="1" customWidth="1"/>
    <col min="13532" max="13532" width="9" style="47" customWidth="1"/>
    <col min="13533" max="13534" width="11.44140625" style="47" hidden="1" customWidth="1"/>
    <col min="13535" max="13535" width="8.44140625" style="47" customWidth="1"/>
    <col min="13536" max="13537" width="11.44140625" style="47" hidden="1" customWidth="1"/>
    <col min="13538" max="13538" width="6.44140625" style="47" customWidth="1"/>
    <col min="13539" max="13540" width="11.44140625" style="47" hidden="1" customWidth="1"/>
    <col min="13541" max="13541" width="7" style="47" customWidth="1"/>
    <col min="13542" max="13543" width="11.44140625" style="47" hidden="1" customWidth="1"/>
    <col min="13544" max="13546" width="7" style="47" customWidth="1"/>
    <col min="13547" max="13548" width="11.44140625" style="47" hidden="1" customWidth="1"/>
    <col min="13549" max="13549" width="7.44140625" style="47" customWidth="1"/>
    <col min="13550" max="13551" width="11.44140625" style="47" hidden="1" customWidth="1"/>
    <col min="13552" max="13552" width="7" style="47" customWidth="1"/>
    <col min="13553" max="13554" width="11.44140625" style="47" hidden="1" customWidth="1"/>
    <col min="13555" max="13555" width="7" style="47" customWidth="1"/>
    <col min="13556" max="13557" width="11.44140625" style="47" hidden="1" customWidth="1"/>
    <col min="13558" max="13558" width="7" style="47" customWidth="1"/>
    <col min="13559" max="13559" width="11.44140625" style="47" hidden="1" customWidth="1"/>
    <col min="13560" max="13560" width="6.44140625" style="47" customWidth="1"/>
    <col min="13561" max="13570" width="11.44140625" style="47" hidden="1" customWidth="1"/>
    <col min="13571" max="13605" width="11.44140625" style="47" hidden="1"/>
    <col min="13606" max="13606" width="41.44140625" style="47" customWidth="1"/>
    <col min="13607" max="13607" width="6.44140625" style="47" customWidth="1"/>
    <col min="13608" max="13608" width="14.5546875" style="47" customWidth="1"/>
    <col min="13609" max="13609" width="11.44140625" style="47" customWidth="1"/>
    <col min="13610" max="13610" width="13" style="47" customWidth="1"/>
    <col min="13611" max="13611" width="25.44140625" style="47" customWidth="1"/>
    <col min="13612" max="13612" width="9.44140625" style="47" customWidth="1"/>
    <col min="13613" max="13621" width="11.44140625" style="47" hidden="1" customWidth="1"/>
    <col min="13622" max="13622" width="8.88671875" style="47" customWidth="1"/>
    <col min="13623" max="13623" width="9.44140625" style="47" customWidth="1"/>
    <col min="13624" max="13624" width="10.109375" style="47" customWidth="1"/>
    <col min="13625" max="13636" width="11.44140625" style="47" hidden="1" customWidth="1"/>
    <col min="13637" max="13637" width="13.88671875" style="47" customWidth="1"/>
    <col min="13638" max="13638" width="11.44140625" style="47" customWidth="1"/>
    <col min="13639" max="13639" width="56.88671875" style="47" customWidth="1"/>
    <col min="13640" max="13640" width="9.109375" style="47" customWidth="1"/>
    <col min="13641" max="13641" width="24.44140625" style="47" customWidth="1"/>
    <col min="13642" max="13642" width="22.88671875" style="47" customWidth="1"/>
    <col min="13643" max="13643" width="14.5546875" style="47" customWidth="1"/>
    <col min="13644" max="13644" width="5" style="47" customWidth="1"/>
    <col min="13645" max="13646" width="11.44140625" style="47" hidden="1" customWidth="1"/>
    <col min="13647" max="13647" width="5" style="47" customWidth="1"/>
    <col min="13648" max="13649" width="11.44140625" style="47" hidden="1" customWidth="1"/>
    <col min="13650" max="13650" width="5" style="47" customWidth="1"/>
    <col min="13651" max="13652" width="11.44140625" style="47" hidden="1" customWidth="1"/>
    <col min="13653" max="13653" width="5" style="47" customWidth="1"/>
    <col min="13654" max="13655" width="11.44140625" style="47" hidden="1" customWidth="1"/>
    <col min="13656" max="13656" width="5" style="47" customWidth="1"/>
    <col min="13657" max="13658" width="11.44140625" style="47" hidden="1" customWidth="1"/>
    <col min="13659" max="13659" width="5" style="47" customWidth="1"/>
    <col min="13660" max="13721" width="11.44140625" style="47" hidden="1" customWidth="1"/>
    <col min="13722" max="13722" width="9.44140625" style="47" customWidth="1"/>
    <col min="13723" max="13723" width="11.44140625" style="47" hidden="1" customWidth="1"/>
    <col min="13724" max="13724" width="5" style="47" customWidth="1"/>
    <col min="13725" max="13740" width="11.44140625" style="47" hidden="1" customWidth="1"/>
    <col min="13741" max="13741" width="6.44140625" style="47" customWidth="1"/>
    <col min="13742" max="13757" width="11.44140625" style="47" hidden="1" customWidth="1"/>
    <col min="13758" max="13758" width="7.109375" style="47" customWidth="1"/>
    <col min="13759" max="13765" width="11.44140625" style="47" hidden="1" customWidth="1"/>
    <col min="13766" max="13766" width="6.44140625" style="47" customWidth="1"/>
    <col min="13767" max="13768" width="11.44140625" style="47" hidden="1" customWidth="1"/>
    <col min="13769" max="13769" width="6.88671875" style="47" customWidth="1"/>
    <col min="13770" max="13771" width="11.44140625" style="47" hidden="1" customWidth="1"/>
    <col min="13772" max="13772" width="6.88671875" style="47" customWidth="1"/>
    <col min="13773" max="13774" width="11.44140625" style="47" hidden="1" customWidth="1"/>
    <col min="13775" max="13775" width="6.44140625" style="47" customWidth="1"/>
    <col min="13776" max="13780" width="11.44140625" style="47" hidden="1" customWidth="1"/>
    <col min="13781" max="13781" width="6.44140625" style="47" customWidth="1"/>
    <col min="13782" max="13783" width="11.44140625" style="47" hidden="1" customWidth="1"/>
    <col min="13784" max="13784" width="7.44140625" style="47" customWidth="1"/>
    <col min="13785" max="13785" width="11.44140625" style="47" hidden="1" customWidth="1"/>
    <col min="13786" max="13786" width="9.44140625" style="47" customWidth="1"/>
    <col min="13787" max="13787" width="11.44140625" style="47" hidden="1" customWidth="1"/>
    <col min="13788" max="13788" width="9" style="47" customWidth="1"/>
    <col min="13789" max="13790" width="11.44140625" style="47" hidden="1" customWidth="1"/>
    <col min="13791" max="13791" width="8.44140625" style="47" customWidth="1"/>
    <col min="13792" max="13793" width="11.44140625" style="47" hidden="1" customWidth="1"/>
    <col min="13794" max="13794" width="6.44140625" style="47" customWidth="1"/>
    <col min="13795" max="13796" width="11.44140625" style="47" hidden="1" customWidth="1"/>
    <col min="13797" max="13797" width="7" style="47" customWidth="1"/>
    <col min="13798" max="13799" width="11.44140625" style="47" hidden="1" customWidth="1"/>
    <col min="13800" max="13802" width="7" style="47" customWidth="1"/>
    <col min="13803" max="13804" width="11.44140625" style="47" hidden="1" customWidth="1"/>
    <col min="13805" max="13805" width="7.44140625" style="47" customWidth="1"/>
    <col min="13806" max="13807" width="11.44140625" style="47" hidden="1" customWidth="1"/>
    <col min="13808" max="13808" width="7" style="47" customWidth="1"/>
    <col min="13809" max="13810" width="11.44140625" style="47" hidden="1" customWidth="1"/>
    <col min="13811" max="13811" width="7" style="47" customWidth="1"/>
    <col min="13812" max="13813" width="11.44140625" style="47" hidden="1" customWidth="1"/>
    <col min="13814" max="13814" width="7" style="47" customWidth="1"/>
    <col min="13815" max="13815" width="11.44140625" style="47" hidden="1" customWidth="1"/>
    <col min="13816" max="13816" width="6.44140625" style="47" customWidth="1"/>
    <col min="13817" max="13826" width="11.44140625" style="47" hidden="1" customWidth="1"/>
    <col min="13827" max="13861" width="11.44140625" style="47" hidden="1"/>
    <col min="13862" max="13862" width="41.44140625" style="47" customWidth="1"/>
    <col min="13863" max="13863" width="6.44140625" style="47" customWidth="1"/>
    <col min="13864" max="13864" width="14.5546875" style="47" customWidth="1"/>
    <col min="13865" max="13865" width="11.44140625" style="47" customWidth="1"/>
    <col min="13866" max="13866" width="13" style="47" customWidth="1"/>
    <col min="13867" max="13867" width="25.44140625" style="47" customWidth="1"/>
    <col min="13868" max="13868" width="9.44140625" style="47" customWidth="1"/>
    <col min="13869" max="13877" width="11.44140625" style="47" hidden="1" customWidth="1"/>
    <col min="13878" max="13878" width="8.88671875" style="47" customWidth="1"/>
    <col min="13879" max="13879" width="9.44140625" style="47" customWidth="1"/>
    <col min="13880" max="13880" width="10.109375" style="47" customWidth="1"/>
    <col min="13881" max="13892" width="11.44140625" style="47" hidden="1" customWidth="1"/>
    <col min="13893" max="13893" width="13.88671875" style="47" customWidth="1"/>
    <col min="13894" max="13894" width="11.44140625" style="47" customWidth="1"/>
    <col min="13895" max="13895" width="56.88671875" style="47" customWidth="1"/>
    <col min="13896" max="13896" width="9.109375" style="47" customWidth="1"/>
    <col min="13897" max="13897" width="24.44140625" style="47" customWidth="1"/>
    <col min="13898" max="13898" width="22.88671875" style="47" customWidth="1"/>
    <col min="13899" max="13899" width="14.5546875" style="47" customWidth="1"/>
    <col min="13900" max="13900" width="5" style="47" customWidth="1"/>
    <col min="13901" max="13902" width="11.44140625" style="47" hidden="1" customWidth="1"/>
    <col min="13903" max="13903" width="5" style="47" customWidth="1"/>
    <col min="13904" max="13905" width="11.44140625" style="47" hidden="1" customWidth="1"/>
    <col min="13906" max="13906" width="5" style="47" customWidth="1"/>
    <col min="13907" max="13908" width="11.44140625" style="47" hidden="1" customWidth="1"/>
    <col min="13909" max="13909" width="5" style="47" customWidth="1"/>
    <col min="13910" max="13911" width="11.44140625" style="47" hidden="1" customWidth="1"/>
    <col min="13912" max="13912" width="5" style="47" customWidth="1"/>
    <col min="13913" max="13914" width="11.44140625" style="47" hidden="1" customWidth="1"/>
    <col min="13915" max="13915" width="5" style="47" customWidth="1"/>
    <col min="13916" max="13977" width="11.44140625" style="47" hidden="1" customWidth="1"/>
    <col min="13978" max="13978" width="9.44140625" style="47" customWidth="1"/>
    <col min="13979" max="13979" width="11.44140625" style="47" hidden="1" customWidth="1"/>
    <col min="13980" max="13980" width="5" style="47" customWidth="1"/>
    <col min="13981" max="13996" width="11.44140625" style="47" hidden="1" customWidth="1"/>
    <col min="13997" max="13997" width="6.44140625" style="47" customWidth="1"/>
    <col min="13998" max="14013" width="11.44140625" style="47" hidden="1" customWidth="1"/>
    <col min="14014" max="14014" width="7.109375" style="47" customWidth="1"/>
    <col min="14015" max="14021" width="11.44140625" style="47" hidden="1" customWidth="1"/>
    <col min="14022" max="14022" width="6.44140625" style="47" customWidth="1"/>
    <col min="14023" max="14024" width="11.44140625" style="47" hidden="1" customWidth="1"/>
    <col min="14025" max="14025" width="6.88671875" style="47" customWidth="1"/>
    <col min="14026" max="14027" width="11.44140625" style="47" hidden="1" customWidth="1"/>
    <col min="14028" max="14028" width="6.88671875" style="47" customWidth="1"/>
    <col min="14029" max="14030" width="11.44140625" style="47" hidden="1" customWidth="1"/>
    <col min="14031" max="14031" width="6.44140625" style="47" customWidth="1"/>
    <col min="14032" max="14036" width="11.44140625" style="47" hidden="1" customWidth="1"/>
    <col min="14037" max="14037" width="6.44140625" style="47" customWidth="1"/>
    <col min="14038" max="14039" width="11.44140625" style="47" hidden="1" customWidth="1"/>
    <col min="14040" max="14040" width="7.44140625" style="47" customWidth="1"/>
    <col min="14041" max="14041" width="11.44140625" style="47" hidden="1" customWidth="1"/>
    <col min="14042" max="14042" width="9.44140625" style="47" customWidth="1"/>
    <col min="14043" max="14043" width="11.44140625" style="47" hidden="1" customWidth="1"/>
    <col min="14044" max="14044" width="9" style="47" customWidth="1"/>
    <col min="14045" max="14046" width="11.44140625" style="47" hidden="1" customWidth="1"/>
    <col min="14047" max="14047" width="8.44140625" style="47" customWidth="1"/>
    <col min="14048" max="14049" width="11.44140625" style="47" hidden="1" customWidth="1"/>
    <col min="14050" max="14050" width="6.44140625" style="47" customWidth="1"/>
    <col min="14051" max="14052" width="11.44140625" style="47" hidden="1" customWidth="1"/>
    <col min="14053" max="14053" width="7" style="47" customWidth="1"/>
    <col min="14054" max="14055" width="11.44140625" style="47" hidden="1" customWidth="1"/>
    <col min="14056" max="14058" width="7" style="47" customWidth="1"/>
    <col min="14059" max="14060" width="11.44140625" style="47" hidden="1" customWidth="1"/>
    <col min="14061" max="14061" width="7.44140625" style="47" customWidth="1"/>
    <col min="14062" max="14063" width="11.44140625" style="47" hidden="1" customWidth="1"/>
    <col min="14064" max="14064" width="7" style="47" customWidth="1"/>
    <col min="14065" max="14066" width="11.44140625" style="47" hidden="1" customWidth="1"/>
    <col min="14067" max="14067" width="7" style="47" customWidth="1"/>
    <col min="14068" max="14069" width="11.44140625" style="47" hidden="1" customWidth="1"/>
    <col min="14070" max="14070" width="7" style="47" customWidth="1"/>
    <col min="14071" max="14071" width="11.44140625" style="47" hidden="1" customWidth="1"/>
    <col min="14072" max="14072" width="6.44140625" style="47" customWidth="1"/>
    <col min="14073" max="14082" width="11.44140625" style="47" hidden="1" customWidth="1"/>
    <col min="14083" max="14117" width="11.44140625" style="47" hidden="1"/>
    <col min="14118" max="14118" width="41.44140625" style="47" customWidth="1"/>
    <col min="14119" max="14119" width="6.44140625" style="47" customWidth="1"/>
    <col min="14120" max="14120" width="14.5546875" style="47" customWidth="1"/>
    <col min="14121" max="14121" width="11.44140625" style="47" customWidth="1"/>
    <col min="14122" max="14122" width="13" style="47" customWidth="1"/>
    <col min="14123" max="14123" width="25.44140625" style="47" customWidth="1"/>
    <col min="14124" max="14124" width="9.44140625" style="47" customWidth="1"/>
    <col min="14125" max="14133" width="11.44140625" style="47" hidden="1" customWidth="1"/>
    <col min="14134" max="14134" width="8.88671875" style="47" customWidth="1"/>
    <col min="14135" max="14135" width="9.44140625" style="47" customWidth="1"/>
    <col min="14136" max="14136" width="10.109375" style="47" customWidth="1"/>
    <col min="14137" max="14148" width="11.44140625" style="47" hidden="1" customWidth="1"/>
    <col min="14149" max="14149" width="13.88671875" style="47" customWidth="1"/>
    <col min="14150" max="14150" width="11.44140625" style="47" customWidth="1"/>
    <col min="14151" max="14151" width="56.88671875" style="47" customWidth="1"/>
    <col min="14152" max="14152" width="9.109375" style="47" customWidth="1"/>
    <col min="14153" max="14153" width="24.44140625" style="47" customWidth="1"/>
    <col min="14154" max="14154" width="22.88671875" style="47" customWidth="1"/>
    <col min="14155" max="14155" width="14.5546875" style="47" customWidth="1"/>
    <col min="14156" max="14156" width="5" style="47" customWidth="1"/>
    <col min="14157" max="14158" width="11.44140625" style="47" hidden="1" customWidth="1"/>
    <col min="14159" max="14159" width="5" style="47" customWidth="1"/>
    <col min="14160" max="14161" width="11.44140625" style="47" hidden="1" customWidth="1"/>
    <col min="14162" max="14162" width="5" style="47" customWidth="1"/>
    <col min="14163" max="14164" width="11.44140625" style="47" hidden="1" customWidth="1"/>
    <col min="14165" max="14165" width="5" style="47" customWidth="1"/>
    <col min="14166" max="14167" width="11.44140625" style="47" hidden="1" customWidth="1"/>
    <col min="14168" max="14168" width="5" style="47" customWidth="1"/>
    <col min="14169" max="14170" width="11.44140625" style="47" hidden="1" customWidth="1"/>
    <col min="14171" max="14171" width="5" style="47" customWidth="1"/>
    <col min="14172" max="14233" width="11.44140625" style="47" hidden="1" customWidth="1"/>
    <col min="14234" max="14234" width="9.44140625" style="47" customWidth="1"/>
    <col min="14235" max="14235" width="11.44140625" style="47" hidden="1" customWidth="1"/>
    <col min="14236" max="14236" width="5" style="47" customWidth="1"/>
    <col min="14237" max="14252" width="11.44140625" style="47" hidden="1" customWidth="1"/>
    <col min="14253" max="14253" width="6.44140625" style="47" customWidth="1"/>
    <col min="14254" max="14269" width="11.44140625" style="47" hidden="1" customWidth="1"/>
    <col min="14270" max="14270" width="7.109375" style="47" customWidth="1"/>
    <col min="14271" max="14277" width="11.44140625" style="47" hidden="1" customWidth="1"/>
    <col min="14278" max="14278" width="6.44140625" style="47" customWidth="1"/>
    <col min="14279" max="14280" width="11.44140625" style="47" hidden="1" customWidth="1"/>
    <col min="14281" max="14281" width="6.88671875" style="47" customWidth="1"/>
    <col min="14282" max="14283" width="11.44140625" style="47" hidden="1" customWidth="1"/>
    <col min="14284" max="14284" width="6.88671875" style="47" customWidth="1"/>
    <col min="14285" max="14286" width="11.44140625" style="47" hidden="1" customWidth="1"/>
    <col min="14287" max="14287" width="6.44140625" style="47" customWidth="1"/>
    <col min="14288" max="14292" width="11.44140625" style="47" hidden="1" customWidth="1"/>
    <col min="14293" max="14293" width="6.44140625" style="47" customWidth="1"/>
    <col min="14294" max="14295" width="11.44140625" style="47" hidden="1" customWidth="1"/>
    <col min="14296" max="14296" width="7.44140625" style="47" customWidth="1"/>
    <col min="14297" max="14297" width="11.44140625" style="47" hidden="1" customWidth="1"/>
    <col min="14298" max="14298" width="9.44140625" style="47" customWidth="1"/>
    <col min="14299" max="14299" width="11.44140625" style="47" hidden="1" customWidth="1"/>
    <col min="14300" max="14300" width="9" style="47" customWidth="1"/>
    <col min="14301" max="14302" width="11.44140625" style="47" hidden="1" customWidth="1"/>
    <col min="14303" max="14303" width="8.44140625" style="47" customWidth="1"/>
    <col min="14304" max="14305" width="11.44140625" style="47" hidden="1" customWidth="1"/>
    <col min="14306" max="14306" width="6.44140625" style="47" customWidth="1"/>
    <col min="14307" max="14308" width="11.44140625" style="47" hidden="1" customWidth="1"/>
    <col min="14309" max="14309" width="7" style="47" customWidth="1"/>
    <col min="14310" max="14311" width="11.44140625" style="47" hidden="1" customWidth="1"/>
    <col min="14312" max="14314" width="7" style="47" customWidth="1"/>
    <col min="14315" max="14316" width="11.44140625" style="47" hidden="1" customWidth="1"/>
    <col min="14317" max="14317" width="7.44140625" style="47" customWidth="1"/>
    <col min="14318" max="14319" width="11.44140625" style="47" hidden="1" customWidth="1"/>
    <col min="14320" max="14320" width="7" style="47" customWidth="1"/>
    <col min="14321" max="14322" width="11.44140625" style="47" hidden="1" customWidth="1"/>
    <col min="14323" max="14323" width="7" style="47" customWidth="1"/>
    <col min="14324" max="14325" width="11.44140625" style="47" hidden="1" customWidth="1"/>
    <col min="14326" max="14326" width="7" style="47" customWidth="1"/>
    <col min="14327" max="14327" width="11.44140625" style="47" hidden="1" customWidth="1"/>
    <col min="14328" max="14328" width="6.44140625" style="47" customWidth="1"/>
    <col min="14329" max="14338" width="11.44140625" style="47" hidden="1" customWidth="1"/>
    <col min="14339" max="14373" width="11.44140625" style="47" hidden="1"/>
    <col min="14374" max="14374" width="41.44140625" style="47" customWidth="1"/>
    <col min="14375" max="14375" width="6.44140625" style="47" customWidth="1"/>
    <col min="14376" max="14376" width="14.5546875" style="47" customWidth="1"/>
    <col min="14377" max="14377" width="11.44140625" style="47" customWidth="1"/>
    <col min="14378" max="14378" width="13" style="47" customWidth="1"/>
    <col min="14379" max="14379" width="25.44140625" style="47" customWidth="1"/>
    <col min="14380" max="14380" width="9.44140625" style="47" customWidth="1"/>
    <col min="14381" max="14389" width="11.44140625" style="47" hidden="1" customWidth="1"/>
    <col min="14390" max="14390" width="8.88671875" style="47" customWidth="1"/>
    <col min="14391" max="14391" width="9.44140625" style="47" customWidth="1"/>
    <col min="14392" max="14392" width="10.109375" style="47" customWidth="1"/>
    <col min="14393" max="14404" width="11.44140625" style="47" hidden="1" customWidth="1"/>
    <col min="14405" max="14405" width="13.88671875" style="47" customWidth="1"/>
    <col min="14406" max="14406" width="11.44140625" style="47" customWidth="1"/>
    <col min="14407" max="14407" width="56.88671875" style="47" customWidth="1"/>
    <col min="14408" max="14408" width="9.109375" style="47" customWidth="1"/>
    <col min="14409" max="14409" width="24.44140625" style="47" customWidth="1"/>
    <col min="14410" max="14410" width="22.88671875" style="47" customWidth="1"/>
    <col min="14411" max="14411" width="14.5546875" style="47" customWidth="1"/>
    <col min="14412" max="14412" width="5" style="47" customWidth="1"/>
    <col min="14413" max="14414" width="11.44140625" style="47" hidden="1" customWidth="1"/>
    <col min="14415" max="14415" width="5" style="47" customWidth="1"/>
    <col min="14416" max="14417" width="11.44140625" style="47" hidden="1" customWidth="1"/>
    <col min="14418" max="14418" width="5" style="47" customWidth="1"/>
    <col min="14419" max="14420" width="11.44140625" style="47" hidden="1" customWidth="1"/>
    <col min="14421" max="14421" width="5" style="47" customWidth="1"/>
    <col min="14422" max="14423" width="11.44140625" style="47" hidden="1" customWidth="1"/>
    <col min="14424" max="14424" width="5" style="47" customWidth="1"/>
    <col min="14425" max="14426" width="11.44140625" style="47" hidden="1" customWidth="1"/>
    <col min="14427" max="14427" width="5" style="47" customWidth="1"/>
    <col min="14428" max="14489" width="11.44140625" style="47" hidden="1" customWidth="1"/>
    <col min="14490" max="14490" width="9.44140625" style="47" customWidth="1"/>
    <col min="14491" max="14491" width="11.44140625" style="47" hidden="1" customWidth="1"/>
    <col min="14492" max="14492" width="5" style="47" customWidth="1"/>
    <col min="14493" max="14508" width="11.44140625" style="47" hidden="1" customWidth="1"/>
    <col min="14509" max="14509" width="6.44140625" style="47" customWidth="1"/>
    <col min="14510" max="14525" width="11.44140625" style="47" hidden="1" customWidth="1"/>
    <col min="14526" max="14526" width="7.109375" style="47" customWidth="1"/>
    <col min="14527" max="14533" width="11.44140625" style="47" hidden="1" customWidth="1"/>
    <col min="14534" max="14534" width="6.44140625" style="47" customWidth="1"/>
    <col min="14535" max="14536" width="11.44140625" style="47" hidden="1" customWidth="1"/>
    <col min="14537" max="14537" width="6.88671875" style="47" customWidth="1"/>
    <col min="14538" max="14539" width="11.44140625" style="47" hidden="1" customWidth="1"/>
    <col min="14540" max="14540" width="6.88671875" style="47" customWidth="1"/>
    <col min="14541" max="14542" width="11.44140625" style="47" hidden="1" customWidth="1"/>
    <col min="14543" max="14543" width="6.44140625" style="47" customWidth="1"/>
    <col min="14544" max="14548" width="11.44140625" style="47" hidden="1" customWidth="1"/>
    <col min="14549" max="14549" width="6.44140625" style="47" customWidth="1"/>
    <col min="14550" max="14551" width="11.44140625" style="47" hidden="1" customWidth="1"/>
    <col min="14552" max="14552" width="7.44140625" style="47" customWidth="1"/>
    <col min="14553" max="14553" width="11.44140625" style="47" hidden="1" customWidth="1"/>
    <col min="14554" max="14554" width="9.44140625" style="47" customWidth="1"/>
    <col min="14555" max="14555" width="11.44140625" style="47" hidden="1" customWidth="1"/>
    <col min="14556" max="14556" width="9" style="47" customWidth="1"/>
    <col min="14557" max="14558" width="11.44140625" style="47" hidden="1" customWidth="1"/>
    <col min="14559" max="14559" width="8.44140625" style="47" customWidth="1"/>
    <col min="14560" max="14561" width="11.44140625" style="47" hidden="1" customWidth="1"/>
    <col min="14562" max="14562" width="6.44140625" style="47" customWidth="1"/>
    <col min="14563" max="14564" width="11.44140625" style="47" hidden="1" customWidth="1"/>
    <col min="14565" max="14565" width="7" style="47" customWidth="1"/>
    <col min="14566" max="14567" width="11.44140625" style="47" hidden="1" customWidth="1"/>
    <col min="14568" max="14570" width="7" style="47" customWidth="1"/>
    <col min="14571" max="14572" width="11.44140625" style="47" hidden="1" customWidth="1"/>
    <col min="14573" max="14573" width="7.44140625" style="47" customWidth="1"/>
    <col min="14574" max="14575" width="11.44140625" style="47" hidden="1" customWidth="1"/>
    <col min="14576" max="14576" width="7" style="47" customWidth="1"/>
    <col min="14577" max="14578" width="11.44140625" style="47" hidden="1" customWidth="1"/>
    <col min="14579" max="14579" width="7" style="47" customWidth="1"/>
    <col min="14580" max="14581" width="11.44140625" style="47" hidden="1" customWidth="1"/>
    <col min="14582" max="14582" width="7" style="47" customWidth="1"/>
    <col min="14583" max="14583" width="11.44140625" style="47" hidden="1" customWidth="1"/>
    <col min="14584" max="14584" width="6.44140625" style="47" customWidth="1"/>
    <col min="14585" max="14594" width="11.44140625" style="47" hidden="1" customWidth="1"/>
    <col min="14595" max="14629" width="11.44140625" style="47" hidden="1"/>
    <col min="14630" max="14630" width="41.44140625" style="47" customWidth="1"/>
    <col min="14631" max="14631" width="6.44140625" style="47" customWidth="1"/>
    <col min="14632" max="14632" width="14.5546875" style="47" customWidth="1"/>
    <col min="14633" max="14633" width="11.44140625" style="47" customWidth="1"/>
    <col min="14634" max="14634" width="13" style="47" customWidth="1"/>
    <col min="14635" max="14635" width="25.44140625" style="47" customWidth="1"/>
    <col min="14636" max="14636" width="9.44140625" style="47" customWidth="1"/>
    <col min="14637" max="14645" width="11.44140625" style="47" hidden="1" customWidth="1"/>
    <col min="14646" max="14646" width="8.88671875" style="47" customWidth="1"/>
    <col min="14647" max="14647" width="9.44140625" style="47" customWidth="1"/>
    <col min="14648" max="14648" width="10.109375" style="47" customWidth="1"/>
    <col min="14649" max="14660" width="11.44140625" style="47" hidden="1" customWidth="1"/>
    <col min="14661" max="14661" width="13.88671875" style="47" customWidth="1"/>
    <col min="14662" max="14662" width="11.44140625" style="47" customWidth="1"/>
    <col min="14663" max="14663" width="56.88671875" style="47" customWidth="1"/>
    <col min="14664" max="14664" width="9.109375" style="47" customWidth="1"/>
    <col min="14665" max="14665" width="24.44140625" style="47" customWidth="1"/>
    <col min="14666" max="14666" width="22.88671875" style="47" customWidth="1"/>
    <col min="14667" max="14667" width="14.5546875" style="47" customWidth="1"/>
    <col min="14668" max="14668" width="5" style="47" customWidth="1"/>
    <col min="14669" max="14670" width="11.44140625" style="47" hidden="1" customWidth="1"/>
    <col min="14671" max="14671" width="5" style="47" customWidth="1"/>
    <col min="14672" max="14673" width="11.44140625" style="47" hidden="1" customWidth="1"/>
    <col min="14674" max="14674" width="5" style="47" customWidth="1"/>
    <col min="14675" max="14676" width="11.44140625" style="47" hidden="1" customWidth="1"/>
    <col min="14677" max="14677" width="5" style="47" customWidth="1"/>
    <col min="14678" max="14679" width="11.44140625" style="47" hidden="1" customWidth="1"/>
    <col min="14680" max="14680" width="5" style="47" customWidth="1"/>
    <col min="14681" max="14682" width="11.44140625" style="47" hidden="1" customWidth="1"/>
    <col min="14683" max="14683" width="5" style="47" customWidth="1"/>
    <col min="14684" max="14745" width="11.44140625" style="47" hidden="1" customWidth="1"/>
    <col min="14746" max="14746" width="9.44140625" style="47" customWidth="1"/>
    <col min="14747" max="14747" width="11.44140625" style="47" hidden="1" customWidth="1"/>
    <col min="14748" max="14748" width="5" style="47" customWidth="1"/>
    <col min="14749" max="14764" width="11.44140625" style="47" hidden="1" customWidth="1"/>
    <col min="14765" max="14765" width="6.44140625" style="47" customWidth="1"/>
    <col min="14766" max="14781" width="11.44140625" style="47" hidden="1" customWidth="1"/>
    <col min="14782" max="14782" width="7.109375" style="47" customWidth="1"/>
    <col min="14783" max="14789" width="11.44140625" style="47" hidden="1" customWidth="1"/>
    <col min="14790" max="14790" width="6.44140625" style="47" customWidth="1"/>
    <col min="14791" max="14792" width="11.44140625" style="47" hidden="1" customWidth="1"/>
    <col min="14793" max="14793" width="6.88671875" style="47" customWidth="1"/>
    <col min="14794" max="14795" width="11.44140625" style="47" hidden="1" customWidth="1"/>
    <col min="14796" max="14796" width="6.88671875" style="47" customWidth="1"/>
    <col min="14797" max="14798" width="11.44140625" style="47" hidden="1" customWidth="1"/>
    <col min="14799" max="14799" width="6.44140625" style="47" customWidth="1"/>
    <col min="14800" max="14804" width="11.44140625" style="47" hidden="1" customWidth="1"/>
    <col min="14805" max="14805" width="6.44140625" style="47" customWidth="1"/>
    <col min="14806" max="14807" width="11.44140625" style="47" hidden="1" customWidth="1"/>
    <col min="14808" max="14808" width="7.44140625" style="47" customWidth="1"/>
    <col min="14809" max="14809" width="11.44140625" style="47" hidden="1" customWidth="1"/>
    <col min="14810" max="14810" width="9.44140625" style="47" customWidth="1"/>
    <col min="14811" max="14811" width="11.44140625" style="47" hidden="1" customWidth="1"/>
    <col min="14812" max="14812" width="9" style="47" customWidth="1"/>
    <col min="14813" max="14814" width="11.44140625" style="47" hidden="1" customWidth="1"/>
    <col min="14815" max="14815" width="8.44140625" style="47" customWidth="1"/>
    <col min="14816" max="14817" width="11.44140625" style="47" hidden="1" customWidth="1"/>
    <col min="14818" max="14818" width="6.44140625" style="47" customWidth="1"/>
    <col min="14819" max="14820" width="11.44140625" style="47" hidden="1" customWidth="1"/>
    <col min="14821" max="14821" width="7" style="47" customWidth="1"/>
    <col min="14822" max="14823" width="11.44140625" style="47" hidden="1" customWidth="1"/>
    <col min="14824" max="14826" width="7" style="47" customWidth="1"/>
    <col min="14827" max="14828" width="11.44140625" style="47" hidden="1" customWidth="1"/>
    <col min="14829" max="14829" width="7.44140625" style="47" customWidth="1"/>
    <col min="14830" max="14831" width="11.44140625" style="47" hidden="1" customWidth="1"/>
    <col min="14832" max="14832" width="7" style="47" customWidth="1"/>
    <col min="14833" max="14834" width="11.44140625" style="47" hidden="1" customWidth="1"/>
    <col min="14835" max="14835" width="7" style="47" customWidth="1"/>
    <col min="14836" max="14837" width="11.44140625" style="47" hidden="1" customWidth="1"/>
    <col min="14838" max="14838" width="7" style="47" customWidth="1"/>
    <col min="14839" max="14839" width="11.44140625" style="47" hidden="1" customWidth="1"/>
    <col min="14840" max="14840" width="6.44140625" style="47" customWidth="1"/>
    <col min="14841" max="14850" width="11.44140625" style="47" hidden="1" customWidth="1"/>
    <col min="14851" max="14885" width="11.44140625" style="47" hidden="1"/>
    <col min="14886" max="14886" width="41.44140625" style="47" customWidth="1"/>
    <col min="14887" max="14887" width="6.44140625" style="47" customWidth="1"/>
    <col min="14888" max="14888" width="14.5546875" style="47" customWidth="1"/>
    <col min="14889" max="14889" width="11.44140625" style="47" customWidth="1"/>
    <col min="14890" max="14890" width="13" style="47" customWidth="1"/>
    <col min="14891" max="14891" width="25.44140625" style="47" customWidth="1"/>
    <col min="14892" max="14892" width="9.44140625" style="47" customWidth="1"/>
    <col min="14893" max="14901" width="11.44140625" style="47" hidden="1" customWidth="1"/>
    <col min="14902" max="14902" width="8.88671875" style="47" customWidth="1"/>
    <col min="14903" max="14903" width="9.44140625" style="47" customWidth="1"/>
    <col min="14904" max="14904" width="10.109375" style="47" customWidth="1"/>
    <col min="14905" max="14916" width="11.44140625" style="47" hidden="1" customWidth="1"/>
    <col min="14917" max="14917" width="13.88671875" style="47" customWidth="1"/>
    <col min="14918" max="14918" width="11.44140625" style="47" customWidth="1"/>
    <col min="14919" max="14919" width="56.88671875" style="47" customWidth="1"/>
    <col min="14920" max="14920" width="9.109375" style="47" customWidth="1"/>
    <col min="14921" max="14921" width="24.44140625" style="47" customWidth="1"/>
    <col min="14922" max="14922" width="22.88671875" style="47" customWidth="1"/>
    <col min="14923" max="14923" width="14.5546875" style="47" customWidth="1"/>
    <col min="14924" max="14924" width="5" style="47" customWidth="1"/>
    <col min="14925" max="14926" width="11.44140625" style="47" hidden="1" customWidth="1"/>
    <col min="14927" max="14927" width="5" style="47" customWidth="1"/>
    <col min="14928" max="14929" width="11.44140625" style="47" hidden="1" customWidth="1"/>
    <col min="14930" max="14930" width="5" style="47" customWidth="1"/>
    <col min="14931" max="14932" width="11.44140625" style="47" hidden="1" customWidth="1"/>
    <col min="14933" max="14933" width="5" style="47" customWidth="1"/>
    <col min="14934" max="14935" width="11.44140625" style="47" hidden="1" customWidth="1"/>
    <col min="14936" max="14936" width="5" style="47" customWidth="1"/>
    <col min="14937" max="14938" width="11.44140625" style="47" hidden="1" customWidth="1"/>
    <col min="14939" max="14939" width="5" style="47" customWidth="1"/>
    <col min="14940" max="15001" width="11.44140625" style="47" hidden="1" customWidth="1"/>
    <col min="15002" max="15002" width="9.44140625" style="47" customWidth="1"/>
    <col min="15003" max="15003" width="11.44140625" style="47" hidden="1" customWidth="1"/>
    <col min="15004" max="15004" width="5" style="47" customWidth="1"/>
    <col min="15005" max="15020" width="11.44140625" style="47" hidden="1" customWidth="1"/>
    <col min="15021" max="15021" width="6.44140625" style="47" customWidth="1"/>
    <col min="15022" max="15037" width="11.44140625" style="47" hidden="1" customWidth="1"/>
    <col min="15038" max="15038" width="7.109375" style="47" customWidth="1"/>
    <col min="15039" max="15045" width="11.44140625" style="47" hidden="1" customWidth="1"/>
    <col min="15046" max="15046" width="6.44140625" style="47" customWidth="1"/>
    <col min="15047" max="15048" width="11.44140625" style="47" hidden="1" customWidth="1"/>
    <col min="15049" max="15049" width="6.88671875" style="47" customWidth="1"/>
    <col min="15050" max="15051" width="11.44140625" style="47" hidden="1" customWidth="1"/>
    <col min="15052" max="15052" width="6.88671875" style="47" customWidth="1"/>
    <col min="15053" max="15054" width="11.44140625" style="47" hidden="1" customWidth="1"/>
    <col min="15055" max="15055" width="6.44140625" style="47" customWidth="1"/>
    <col min="15056" max="15060" width="11.44140625" style="47" hidden="1" customWidth="1"/>
    <col min="15061" max="15061" width="6.44140625" style="47" customWidth="1"/>
    <col min="15062" max="15063" width="11.44140625" style="47" hidden="1" customWidth="1"/>
    <col min="15064" max="15064" width="7.44140625" style="47" customWidth="1"/>
    <col min="15065" max="15065" width="11.44140625" style="47" hidden="1" customWidth="1"/>
    <col min="15066" max="15066" width="9.44140625" style="47" customWidth="1"/>
    <col min="15067" max="15067" width="11.44140625" style="47" hidden="1" customWidth="1"/>
    <col min="15068" max="15068" width="9" style="47" customWidth="1"/>
    <col min="15069" max="15070" width="11.44140625" style="47" hidden="1" customWidth="1"/>
    <col min="15071" max="15071" width="8.44140625" style="47" customWidth="1"/>
    <col min="15072" max="15073" width="11.44140625" style="47" hidden="1" customWidth="1"/>
    <col min="15074" max="15074" width="6.44140625" style="47" customWidth="1"/>
    <col min="15075" max="15076" width="11.44140625" style="47" hidden="1" customWidth="1"/>
    <col min="15077" max="15077" width="7" style="47" customWidth="1"/>
    <col min="15078" max="15079" width="11.44140625" style="47" hidden="1" customWidth="1"/>
    <col min="15080" max="15082" width="7" style="47" customWidth="1"/>
    <col min="15083" max="15084" width="11.44140625" style="47" hidden="1" customWidth="1"/>
    <col min="15085" max="15085" width="7.44140625" style="47" customWidth="1"/>
    <col min="15086" max="15087" width="11.44140625" style="47" hidden="1" customWidth="1"/>
    <col min="15088" max="15088" width="7" style="47" customWidth="1"/>
    <col min="15089" max="15090" width="11.44140625" style="47" hidden="1" customWidth="1"/>
    <col min="15091" max="15091" width="7" style="47" customWidth="1"/>
    <col min="15092" max="15093" width="11.44140625" style="47" hidden="1" customWidth="1"/>
    <col min="15094" max="15094" width="7" style="47" customWidth="1"/>
    <col min="15095" max="15095" width="11.44140625" style="47" hidden="1" customWidth="1"/>
    <col min="15096" max="15096" width="6.44140625" style="47" customWidth="1"/>
    <col min="15097" max="15106" width="11.44140625" style="47" hidden="1" customWidth="1"/>
    <col min="15107" max="15141" width="11.44140625" style="47" hidden="1"/>
    <col min="15142" max="15142" width="41.44140625" style="47" customWidth="1"/>
    <col min="15143" max="15143" width="6.44140625" style="47" customWidth="1"/>
    <col min="15144" max="15144" width="14.5546875" style="47" customWidth="1"/>
    <col min="15145" max="15145" width="11.44140625" style="47" customWidth="1"/>
    <col min="15146" max="15146" width="13" style="47" customWidth="1"/>
    <col min="15147" max="15147" width="25.44140625" style="47" customWidth="1"/>
    <col min="15148" max="15148" width="9.44140625" style="47" customWidth="1"/>
    <col min="15149" max="15157" width="11.44140625" style="47" hidden="1" customWidth="1"/>
    <col min="15158" max="15158" width="8.88671875" style="47" customWidth="1"/>
    <col min="15159" max="15159" width="9.44140625" style="47" customWidth="1"/>
    <col min="15160" max="15160" width="10.109375" style="47" customWidth="1"/>
    <col min="15161" max="15172" width="11.44140625" style="47" hidden="1" customWidth="1"/>
    <col min="15173" max="15173" width="13.88671875" style="47" customWidth="1"/>
    <col min="15174" max="15174" width="11.44140625" style="47" customWidth="1"/>
    <col min="15175" max="15175" width="56.88671875" style="47" customWidth="1"/>
    <col min="15176" max="15176" width="9.109375" style="47" customWidth="1"/>
    <col min="15177" max="15177" width="24.44140625" style="47" customWidth="1"/>
    <col min="15178" max="15178" width="22.88671875" style="47" customWidth="1"/>
    <col min="15179" max="15179" width="14.5546875" style="47" customWidth="1"/>
    <col min="15180" max="15180" width="5" style="47" customWidth="1"/>
    <col min="15181" max="15182" width="11.44140625" style="47" hidden="1" customWidth="1"/>
    <col min="15183" max="15183" width="5" style="47" customWidth="1"/>
    <col min="15184" max="15185" width="11.44140625" style="47" hidden="1" customWidth="1"/>
    <col min="15186" max="15186" width="5" style="47" customWidth="1"/>
    <col min="15187" max="15188" width="11.44140625" style="47" hidden="1" customWidth="1"/>
    <col min="15189" max="15189" width="5" style="47" customWidth="1"/>
    <col min="15190" max="15191" width="11.44140625" style="47" hidden="1" customWidth="1"/>
    <col min="15192" max="15192" width="5" style="47" customWidth="1"/>
    <col min="15193" max="15194" width="11.44140625" style="47" hidden="1" customWidth="1"/>
    <col min="15195" max="15195" width="5" style="47" customWidth="1"/>
    <col min="15196" max="15257" width="11.44140625" style="47" hidden="1" customWidth="1"/>
    <col min="15258" max="15258" width="9.44140625" style="47" customWidth="1"/>
    <col min="15259" max="15259" width="11.44140625" style="47" hidden="1" customWidth="1"/>
    <col min="15260" max="15260" width="5" style="47" customWidth="1"/>
    <col min="15261" max="15276" width="11.44140625" style="47" hidden="1" customWidth="1"/>
    <col min="15277" max="15277" width="6.44140625" style="47" customWidth="1"/>
    <col min="15278" max="15293" width="11.44140625" style="47" hidden="1" customWidth="1"/>
    <col min="15294" max="15294" width="7.109375" style="47" customWidth="1"/>
    <col min="15295" max="15301" width="11.44140625" style="47" hidden="1" customWidth="1"/>
    <col min="15302" max="15302" width="6.44140625" style="47" customWidth="1"/>
    <col min="15303" max="15304" width="11.44140625" style="47" hidden="1" customWidth="1"/>
    <col min="15305" max="15305" width="6.88671875" style="47" customWidth="1"/>
    <col min="15306" max="15307" width="11.44140625" style="47" hidden="1" customWidth="1"/>
    <col min="15308" max="15308" width="6.88671875" style="47" customWidth="1"/>
    <col min="15309" max="15310" width="11.44140625" style="47" hidden="1" customWidth="1"/>
    <col min="15311" max="15311" width="6.44140625" style="47" customWidth="1"/>
    <col min="15312" max="15316" width="11.44140625" style="47" hidden="1" customWidth="1"/>
    <col min="15317" max="15317" width="6.44140625" style="47" customWidth="1"/>
    <col min="15318" max="15319" width="11.44140625" style="47" hidden="1" customWidth="1"/>
    <col min="15320" max="15320" width="7.44140625" style="47" customWidth="1"/>
    <col min="15321" max="15321" width="11.44140625" style="47" hidden="1" customWidth="1"/>
    <col min="15322" max="15322" width="9.44140625" style="47" customWidth="1"/>
    <col min="15323" max="15323" width="11.44140625" style="47" hidden="1" customWidth="1"/>
    <col min="15324" max="15324" width="9" style="47" customWidth="1"/>
    <col min="15325" max="15326" width="11.44140625" style="47" hidden="1" customWidth="1"/>
    <col min="15327" max="15327" width="8.44140625" style="47" customWidth="1"/>
    <col min="15328" max="15329" width="11.44140625" style="47" hidden="1" customWidth="1"/>
    <col min="15330" max="15330" width="6.44140625" style="47" customWidth="1"/>
    <col min="15331" max="15332" width="11.44140625" style="47" hidden="1" customWidth="1"/>
    <col min="15333" max="15333" width="7" style="47" customWidth="1"/>
    <col min="15334" max="15335" width="11.44140625" style="47" hidden="1" customWidth="1"/>
    <col min="15336" max="15338" width="7" style="47" customWidth="1"/>
    <col min="15339" max="15340" width="11.44140625" style="47" hidden="1" customWidth="1"/>
    <col min="15341" max="15341" width="7.44140625" style="47" customWidth="1"/>
    <col min="15342" max="15343" width="11.44140625" style="47" hidden="1" customWidth="1"/>
    <col min="15344" max="15344" width="7" style="47" customWidth="1"/>
    <col min="15345" max="15346" width="11.44140625" style="47" hidden="1" customWidth="1"/>
    <col min="15347" max="15347" width="7" style="47" customWidth="1"/>
    <col min="15348" max="15349" width="11.44140625" style="47" hidden="1" customWidth="1"/>
    <col min="15350" max="15350" width="7" style="47" customWidth="1"/>
    <col min="15351" max="15351" width="11.44140625" style="47" hidden="1" customWidth="1"/>
    <col min="15352" max="15352" width="6.44140625" style="47" customWidth="1"/>
    <col min="15353" max="15362" width="11.44140625" style="47" hidden="1" customWidth="1"/>
    <col min="15363" max="15397" width="11.44140625" style="47" hidden="1"/>
    <col min="15398" max="15398" width="41.44140625" style="47" customWidth="1"/>
    <col min="15399" max="15399" width="6.44140625" style="47" customWidth="1"/>
    <col min="15400" max="15400" width="14.5546875" style="47" customWidth="1"/>
    <col min="15401" max="15401" width="11.44140625" style="47" customWidth="1"/>
    <col min="15402" max="15402" width="13" style="47" customWidth="1"/>
    <col min="15403" max="15403" width="25.44140625" style="47" customWidth="1"/>
    <col min="15404" max="15404" width="9.44140625" style="47" customWidth="1"/>
    <col min="15405" max="15413" width="11.44140625" style="47" hidden="1" customWidth="1"/>
    <col min="15414" max="15414" width="8.88671875" style="47" customWidth="1"/>
    <col min="15415" max="15415" width="9.44140625" style="47" customWidth="1"/>
    <col min="15416" max="15416" width="10.109375" style="47" customWidth="1"/>
    <col min="15417" max="15428" width="11.44140625" style="47" hidden="1" customWidth="1"/>
    <col min="15429" max="15429" width="13.88671875" style="47" customWidth="1"/>
    <col min="15430" max="15430" width="11.44140625" style="47" customWidth="1"/>
    <col min="15431" max="15431" width="56.88671875" style="47" customWidth="1"/>
    <col min="15432" max="15432" width="9.109375" style="47" customWidth="1"/>
    <col min="15433" max="15433" width="24.44140625" style="47" customWidth="1"/>
    <col min="15434" max="15434" width="22.88671875" style="47" customWidth="1"/>
    <col min="15435" max="15435" width="14.5546875" style="47" customWidth="1"/>
    <col min="15436" max="15436" width="5" style="47" customWidth="1"/>
    <col min="15437" max="15438" width="11.44140625" style="47" hidden="1" customWidth="1"/>
    <col min="15439" max="15439" width="5" style="47" customWidth="1"/>
    <col min="15440" max="15441" width="11.44140625" style="47" hidden="1" customWidth="1"/>
    <col min="15442" max="15442" width="5" style="47" customWidth="1"/>
    <col min="15443" max="15444" width="11.44140625" style="47" hidden="1" customWidth="1"/>
    <col min="15445" max="15445" width="5" style="47" customWidth="1"/>
    <col min="15446" max="15447" width="11.44140625" style="47" hidden="1" customWidth="1"/>
    <col min="15448" max="15448" width="5" style="47" customWidth="1"/>
    <col min="15449" max="15450" width="11.44140625" style="47" hidden="1" customWidth="1"/>
    <col min="15451" max="15451" width="5" style="47" customWidth="1"/>
    <col min="15452" max="15513" width="11.44140625" style="47" hidden="1" customWidth="1"/>
    <col min="15514" max="15514" width="9.44140625" style="47" customWidth="1"/>
    <col min="15515" max="15515" width="11.44140625" style="47" hidden="1" customWidth="1"/>
    <col min="15516" max="15516" width="5" style="47" customWidth="1"/>
    <col min="15517" max="15532" width="11.44140625" style="47" hidden="1" customWidth="1"/>
    <col min="15533" max="15533" width="6.44140625" style="47" customWidth="1"/>
    <col min="15534" max="15549" width="11.44140625" style="47" hidden="1" customWidth="1"/>
    <col min="15550" max="15550" width="7.109375" style="47" customWidth="1"/>
    <col min="15551" max="15557" width="11.44140625" style="47" hidden="1" customWidth="1"/>
    <col min="15558" max="15558" width="6.44140625" style="47" customWidth="1"/>
    <col min="15559" max="15560" width="11.44140625" style="47" hidden="1" customWidth="1"/>
    <col min="15561" max="15561" width="6.88671875" style="47" customWidth="1"/>
    <col min="15562" max="15563" width="11.44140625" style="47" hidden="1" customWidth="1"/>
    <col min="15564" max="15564" width="6.88671875" style="47" customWidth="1"/>
    <col min="15565" max="15566" width="11.44140625" style="47" hidden="1" customWidth="1"/>
    <col min="15567" max="15567" width="6.44140625" style="47" customWidth="1"/>
    <col min="15568" max="15572" width="11.44140625" style="47" hidden="1" customWidth="1"/>
    <col min="15573" max="15573" width="6.44140625" style="47" customWidth="1"/>
    <col min="15574" max="15575" width="11.44140625" style="47" hidden="1" customWidth="1"/>
    <col min="15576" max="15576" width="7.44140625" style="47" customWidth="1"/>
    <col min="15577" max="15577" width="11.44140625" style="47" hidden="1" customWidth="1"/>
    <col min="15578" max="15578" width="9.44140625" style="47" customWidth="1"/>
    <col min="15579" max="15579" width="11.44140625" style="47" hidden="1" customWidth="1"/>
    <col min="15580" max="15580" width="9" style="47" customWidth="1"/>
    <col min="15581" max="15582" width="11.44140625" style="47" hidden="1" customWidth="1"/>
    <col min="15583" max="15583" width="8.44140625" style="47" customWidth="1"/>
    <col min="15584" max="15585" width="11.44140625" style="47" hidden="1" customWidth="1"/>
    <col min="15586" max="15586" width="6.44140625" style="47" customWidth="1"/>
    <col min="15587" max="15588" width="11.44140625" style="47" hidden="1" customWidth="1"/>
    <col min="15589" max="15589" width="7" style="47" customWidth="1"/>
    <col min="15590" max="15591" width="11.44140625" style="47" hidden="1" customWidth="1"/>
    <col min="15592" max="15594" width="7" style="47" customWidth="1"/>
    <col min="15595" max="15596" width="11.44140625" style="47" hidden="1" customWidth="1"/>
    <col min="15597" max="15597" width="7.44140625" style="47" customWidth="1"/>
    <col min="15598" max="15599" width="11.44140625" style="47" hidden="1" customWidth="1"/>
    <col min="15600" max="15600" width="7" style="47" customWidth="1"/>
    <col min="15601" max="15602" width="11.44140625" style="47" hidden="1" customWidth="1"/>
    <col min="15603" max="15603" width="7" style="47" customWidth="1"/>
    <col min="15604" max="15605" width="11.44140625" style="47" hidden="1" customWidth="1"/>
    <col min="15606" max="15606" width="7" style="47" customWidth="1"/>
    <col min="15607" max="15607" width="11.44140625" style="47" hidden="1" customWidth="1"/>
    <col min="15608" max="15608" width="6.44140625" style="47" customWidth="1"/>
    <col min="15609" max="15618" width="11.44140625" style="47" hidden="1" customWidth="1"/>
    <col min="15619" max="15653" width="11.44140625" style="47" hidden="1"/>
    <col min="15654" max="15654" width="41.44140625" style="47" customWidth="1"/>
    <col min="15655" max="15655" width="6.44140625" style="47" customWidth="1"/>
    <col min="15656" max="15656" width="14.5546875" style="47" customWidth="1"/>
    <col min="15657" max="15657" width="11.44140625" style="47" customWidth="1"/>
    <col min="15658" max="15658" width="13" style="47" customWidth="1"/>
    <col min="15659" max="15659" width="25.44140625" style="47" customWidth="1"/>
    <col min="15660" max="15660" width="9.44140625" style="47" customWidth="1"/>
    <col min="15661" max="15669" width="11.44140625" style="47" hidden="1" customWidth="1"/>
    <col min="15670" max="15670" width="8.88671875" style="47" customWidth="1"/>
    <col min="15671" max="15671" width="9.44140625" style="47" customWidth="1"/>
    <col min="15672" max="15672" width="10.109375" style="47" customWidth="1"/>
    <col min="15673" max="15684" width="11.44140625" style="47" hidden="1" customWidth="1"/>
    <col min="15685" max="15685" width="13.88671875" style="47" customWidth="1"/>
    <col min="15686" max="15686" width="11.44140625" style="47" customWidth="1"/>
    <col min="15687" max="15687" width="56.88671875" style="47" customWidth="1"/>
    <col min="15688" max="15688" width="9.109375" style="47" customWidth="1"/>
    <col min="15689" max="15689" width="24.44140625" style="47" customWidth="1"/>
    <col min="15690" max="15690" width="22.88671875" style="47" customWidth="1"/>
    <col min="15691" max="15691" width="14.5546875" style="47" customWidth="1"/>
    <col min="15692" max="15692" width="5" style="47" customWidth="1"/>
    <col min="15693" max="15694" width="11.44140625" style="47" hidden="1" customWidth="1"/>
    <col min="15695" max="15695" width="5" style="47" customWidth="1"/>
    <col min="15696" max="15697" width="11.44140625" style="47" hidden="1" customWidth="1"/>
    <col min="15698" max="15698" width="5" style="47" customWidth="1"/>
    <col min="15699" max="15700" width="11.44140625" style="47" hidden="1" customWidth="1"/>
    <col min="15701" max="15701" width="5" style="47" customWidth="1"/>
    <col min="15702" max="15703" width="11.44140625" style="47" hidden="1" customWidth="1"/>
    <col min="15704" max="15704" width="5" style="47" customWidth="1"/>
    <col min="15705" max="15706" width="11.44140625" style="47" hidden="1" customWidth="1"/>
    <col min="15707" max="15707" width="5" style="47" customWidth="1"/>
    <col min="15708" max="15769" width="11.44140625" style="47" hidden="1" customWidth="1"/>
    <col min="15770" max="15770" width="9.44140625" style="47" customWidth="1"/>
    <col min="15771" max="15771" width="11.44140625" style="47" hidden="1" customWidth="1"/>
    <col min="15772" max="15772" width="5" style="47" customWidth="1"/>
    <col min="15773" max="15788" width="11.44140625" style="47" hidden="1" customWidth="1"/>
    <col min="15789" max="15789" width="6.44140625" style="47" customWidth="1"/>
    <col min="15790" max="15805" width="11.44140625" style="47" hidden="1" customWidth="1"/>
    <col min="15806" max="15806" width="7.109375" style="47" customWidth="1"/>
    <col min="15807" max="15813" width="11.44140625" style="47" hidden="1" customWidth="1"/>
    <col min="15814" max="15814" width="6.44140625" style="47" customWidth="1"/>
    <col min="15815" max="15816" width="11.44140625" style="47" hidden="1" customWidth="1"/>
    <col min="15817" max="15817" width="6.88671875" style="47" customWidth="1"/>
    <col min="15818" max="15819" width="11.44140625" style="47" hidden="1" customWidth="1"/>
    <col min="15820" max="15820" width="6.88671875" style="47" customWidth="1"/>
    <col min="15821" max="15822" width="11.44140625" style="47" hidden="1" customWidth="1"/>
    <col min="15823" max="15823" width="6.44140625" style="47" customWidth="1"/>
    <col min="15824" max="15828" width="11.44140625" style="47" hidden="1" customWidth="1"/>
    <col min="15829" max="15829" width="6.44140625" style="47" customWidth="1"/>
    <col min="15830" max="15831" width="11.44140625" style="47" hidden="1" customWidth="1"/>
    <col min="15832" max="15832" width="7.44140625" style="47" customWidth="1"/>
    <col min="15833" max="15833" width="11.44140625" style="47" hidden="1" customWidth="1"/>
    <col min="15834" max="15834" width="9.44140625" style="47" customWidth="1"/>
    <col min="15835" max="15835" width="11.44140625" style="47" hidden="1" customWidth="1"/>
    <col min="15836" max="15836" width="9" style="47" customWidth="1"/>
    <col min="15837" max="15838" width="11.44140625" style="47" hidden="1" customWidth="1"/>
    <col min="15839" max="15839" width="8.44140625" style="47" customWidth="1"/>
    <col min="15840" max="15841" width="11.44140625" style="47" hidden="1" customWidth="1"/>
    <col min="15842" max="15842" width="6.44140625" style="47" customWidth="1"/>
    <col min="15843" max="15844" width="11.44140625" style="47" hidden="1" customWidth="1"/>
    <col min="15845" max="15845" width="7" style="47" customWidth="1"/>
    <col min="15846" max="15847" width="11.44140625" style="47" hidden="1" customWidth="1"/>
    <col min="15848" max="15850" width="7" style="47" customWidth="1"/>
    <col min="15851" max="15852" width="11.44140625" style="47" hidden="1" customWidth="1"/>
    <col min="15853" max="15853" width="7.44140625" style="47" customWidth="1"/>
    <col min="15854" max="15855" width="11.44140625" style="47" hidden="1" customWidth="1"/>
    <col min="15856" max="15856" width="7" style="47" customWidth="1"/>
    <col min="15857" max="15858" width="11.44140625" style="47" hidden="1" customWidth="1"/>
    <col min="15859" max="15859" width="7" style="47" customWidth="1"/>
    <col min="15860" max="15861" width="11.44140625" style="47" hidden="1" customWidth="1"/>
    <col min="15862" max="15862" width="7" style="47" customWidth="1"/>
    <col min="15863" max="15863" width="11.44140625" style="47" hidden="1" customWidth="1"/>
    <col min="15864" max="15864" width="6.44140625" style="47" customWidth="1"/>
    <col min="15865" max="15874" width="11.44140625" style="47" hidden="1" customWidth="1"/>
    <col min="15875" max="15909" width="11.44140625" style="47" hidden="1"/>
    <col min="15910" max="15910" width="41.44140625" style="47" customWidth="1"/>
    <col min="15911" max="15911" width="6.44140625" style="47" customWidth="1"/>
    <col min="15912" max="15912" width="14.5546875" style="47" customWidth="1"/>
    <col min="15913" max="15913" width="11.44140625" style="47" customWidth="1"/>
    <col min="15914" max="15914" width="13" style="47" customWidth="1"/>
    <col min="15915" max="15915" width="25.44140625" style="47" customWidth="1"/>
    <col min="15916" max="15916" width="9.44140625" style="47" customWidth="1"/>
    <col min="15917" max="15925" width="11.44140625" style="47" hidden="1" customWidth="1"/>
    <col min="15926" max="15926" width="8.88671875" style="47" customWidth="1"/>
    <col min="15927" max="15927" width="9.44140625" style="47" customWidth="1"/>
    <col min="15928" max="15928" width="10.109375" style="47" customWidth="1"/>
    <col min="15929" max="15940" width="11.44140625" style="47" hidden="1" customWidth="1"/>
    <col min="15941" max="15941" width="13.88671875" style="47" customWidth="1"/>
    <col min="15942" max="15942" width="11.44140625" style="47" customWidth="1"/>
    <col min="15943" max="15943" width="56.88671875" style="47" customWidth="1"/>
    <col min="15944" max="15944" width="9.109375" style="47" customWidth="1"/>
    <col min="15945" max="15945" width="24.44140625" style="47" customWidth="1"/>
    <col min="15946" max="15946" width="22.88671875" style="47" customWidth="1"/>
    <col min="15947" max="15947" width="14.5546875" style="47" customWidth="1"/>
    <col min="15948" max="15948" width="5" style="47" customWidth="1"/>
    <col min="15949" max="15950" width="11.44140625" style="47" hidden="1" customWidth="1"/>
    <col min="15951" max="15951" width="5" style="47" customWidth="1"/>
    <col min="15952" max="15953" width="11.44140625" style="47" hidden="1" customWidth="1"/>
    <col min="15954" max="15954" width="5" style="47" customWidth="1"/>
    <col min="15955" max="15956" width="11.44140625" style="47" hidden="1" customWidth="1"/>
    <col min="15957" max="15957" width="5" style="47" customWidth="1"/>
    <col min="15958" max="15959" width="11.44140625" style="47" hidden="1" customWidth="1"/>
    <col min="15960" max="15960" width="5" style="47" customWidth="1"/>
    <col min="15961" max="15962" width="11.44140625" style="47" hidden="1" customWidth="1"/>
    <col min="15963" max="15963" width="5" style="47" customWidth="1"/>
    <col min="15964" max="16025" width="11.44140625" style="47" hidden="1" customWidth="1"/>
    <col min="16026" max="16026" width="9.44140625" style="47" customWidth="1"/>
    <col min="16027" max="16027" width="11.44140625" style="47" hidden="1" customWidth="1"/>
    <col min="16028" max="16028" width="5" style="47" customWidth="1"/>
    <col min="16029" max="16044" width="11.44140625" style="47" hidden="1" customWidth="1"/>
    <col min="16045" max="16045" width="6.44140625" style="47" customWidth="1"/>
    <col min="16046" max="16061" width="11.44140625" style="47" hidden="1" customWidth="1"/>
    <col min="16062" max="16062" width="7.109375" style="47" customWidth="1"/>
    <col min="16063" max="16069" width="11.44140625" style="47" hidden="1" customWidth="1"/>
    <col min="16070" max="16070" width="6.44140625" style="47" customWidth="1"/>
    <col min="16071" max="16072" width="11.44140625" style="47" hidden="1" customWidth="1"/>
    <col min="16073" max="16073" width="6.88671875" style="47" customWidth="1"/>
    <col min="16074" max="16075" width="11.44140625" style="47" hidden="1" customWidth="1"/>
    <col min="16076" max="16076" width="6.88671875" style="47" customWidth="1"/>
    <col min="16077" max="16078" width="11.44140625" style="47" hidden="1" customWidth="1"/>
    <col min="16079" max="16079" width="6.44140625" style="47" customWidth="1"/>
    <col min="16080" max="16084" width="11.44140625" style="47" hidden="1" customWidth="1"/>
    <col min="16085" max="16085" width="6.44140625" style="47" customWidth="1"/>
    <col min="16086" max="16087" width="11.44140625" style="47" hidden="1" customWidth="1"/>
    <col min="16088" max="16088" width="7.44140625" style="47" customWidth="1"/>
    <col min="16089" max="16089" width="11.44140625" style="47" hidden="1" customWidth="1"/>
    <col min="16090" max="16090" width="9.44140625" style="47" customWidth="1"/>
    <col min="16091" max="16091" width="11.44140625" style="47" hidden="1" customWidth="1"/>
    <col min="16092" max="16092" width="9" style="47" customWidth="1"/>
    <col min="16093" max="16094" width="11.44140625" style="47" hidden="1" customWidth="1"/>
    <col min="16095" max="16095" width="8.44140625" style="47" customWidth="1"/>
    <col min="16096" max="16097" width="11.44140625" style="47" hidden="1" customWidth="1"/>
    <col min="16098" max="16098" width="6.44140625" style="47" customWidth="1"/>
    <col min="16099" max="16100" width="11.44140625" style="47" hidden="1" customWidth="1"/>
    <col min="16101" max="16101" width="7" style="47" customWidth="1"/>
    <col min="16102" max="16103" width="11.44140625" style="47" hidden="1" customWidth="1"/>
    <col min="16104" max="16106" width="7" style="47" customWidth="1"/>
    <col min="16107" max="16108" width="11.44140625" style="47" hidden="1" customWidth="1"/>
    <col min="16109" max="16109" width="7.44140625" style="47" customWidth="1"/>
    <col min="16110" max="16111" width="11.44140625" style="47" hidden="1" customWidth="1"/>
    <col min="16112" max="16112" width="7" style="47" customWidth="1"/>
    <col min="16113" max="16114" width="11.44140625" style="47" hidden="1" customWidth="1"/>
    <col min="16115" max="16115" width="7" style="47" customWidth="1"/>
    <col min="16116" max="16117" width="11.44140625" style="47" hidden="1" customWidth="1"/>
    <col min="16118" max="16118" width="7" style="47" customWidth="1"/>
    <col min="16119" max="16119" width="11.44140625" style="47" hidden="1" customWidth="1"/>
    <col min="16120" max="16120" width="6.44140625" style="47" customWidth="1"/>
    <col min="16121" max="16130" width="11.44140625" style="47" hidden="1" customWidth="1"/>
    <col min="16131" max="16384" width="11.44140625" style="47" hidden="1"/>
  </cols>
  <sheetData>
    <row r="1" spans="1:5" s="41" customFormat="1" ht="18.75" customHeight="1">
      <c r="A1" s="51">
        <v>45477</v>
      </c>
      <c r="B1" s="52"/>
      <c r="C1" s="2" t="s">
        <v>0</v>
      </c>
      <c r="D1" s="53"/>
      <c r="E1" s="53"/>
    </row>
    <row r="2" spans="1:5" s="42" customFormat="1" ht="37.5" customHeight="1">
      <c r="A2" s="205" t="s">
        <v>1</v>
      </c>
      <c r="B2" s="54" t="s">
        <v>2</v>
      </c>
      <c r="C2" s="55" t="s">
        <v>3</v>
      </c>
      <c r="D2" s="56" t="s">
        <v>4</v>
      </c>
      <c r="E2" s="57" t="s">
        <v>5</v>
      </c>
    </row>
    <row r="3" spans="1:5" s="43" customFormat="1" ht="17.399999999999999" hidden="1" customHeight="1">
      <c r="A3" s="206"/>
      <c r="B3" s="58"/>
      <c r="C3" s="37"/>
      <c r="D3" s="59"/>
      <c r="E3" s="60"/>
    </row>
    <row r="4" spans="1:5" s="44" customFormat="1" ht="21" hidden="1" customHeight="1">
      <c r="A4" s="5" t="s">
        <v>6</v>
      </c>
      <c r="B4" s="61" t="s">
        <v>7</v>
      </c>
      <c r="C4" s="6"/>
      <c r="D4" s="62"/>
      <c r="E4" s="63"/>
    </row>
    <row r="5" spans="1:5" s="44" customFormat="1" ht="21" hidden="1" customHeight="1">
      <c r="A5" s="7" t="s">
        <v>8</v>
      </c>
      <c r="B5" s="61" t="s">
        <v>9</v>
      </c>
      <c r="C5" s="6"/>
      <c r="D5" s="62"/>
      <c r="E5" s="63"/>
    </row>
    <row r="6" spans="1:5" s="44" customFormat="1" ht="21" hidden="1" customHeight="1">
      <c r="A6" s="5" t="s">
        <v>10</v>
      </c>
      <c r="B6" s="61" t="s">
        <v>7</v>
      </c>
      <c r="C6" s="6"/>
      <c r="D6" s="62"/>
      <c r="E6" s="63"/>
    </row>
    <row r="7" spans="1:5" s="44" customFormat="1" ht="21" hidden="1" customHeight="1">
      <c r="A7" s="5" t="s">
        <v>11</v>
      </c>
      <c r="B7" s="61" t="s">
        <v>7</v>
      </c>
      <c r="C7" s="6"/>
      <c r="D7" s="62"/>
      <c r="E7" s="63"/>
    </row>
    <row r="8" spans="1:5" s="44" customFormat="1" ht="21" hidden="1" customHeight="1">
      <c r="A8" s="8" t="s">
        <v>12</v>
      </c>
      <c r="B8" s="61" t="s">
        <v>9</v>
      </c>
      <c r="C8" s="6"/>
      <c r="D8" s="62"/>
      <c r="E8" s="63"/>
    </row>
    <row r="9" spans="1:5" s="44" customFormat="1" ht="21" hidden="1" customHeight="1">
      <c r="A9" s="9" t="s">
        <v>13</v>
      </c>
      <c r="B9" s="61" t="s">
        <v>7</v>
      </c>
      <c r="C9" s="6"/>
      <c r="D9" s="62"/>
      <c r="E9" s="63"/>
    </row>
    <row r="10" spans="1:5" s="44" customFormat="1" ht="21" hidden="1" customHeight="1">
      <c r="A10" s="5" t="s">
        <v>14</v>
      </c>
      <c r="B10" s="61" t="s">
        <v>7</v>
      </c>
      <c r="C10" s="6"/>
      <c r="D10" s="62"/>
      <c r="E10" s="63"/>
    </row>
    <row r="11" spans="1:5" s="44" customFormat="1" ht="21" hidden="1" customHeight="1">
      <c r="A11" s="5" t="s">
        <v>15</v>
      </c>
      <c r="B11" s="61" t="s">
        <v>7</v>
      </c>
      <c r="C11" s="6"/>
      <c r="D11" s="62"/>
      <c r="E11" s="63"/>
    </row>
    <row r="12" spans="1:5" s="44" customFormat="1" ht="21" hidden="1" customHeight="1">
      <c r="A12" s="10" t="s">
        <v>16</v>
      </c>
      <c r="B12" s="61" t="s">
        <v>17</v>
      </c>
      <c r="C12" s="6"/>
      <c r="D12" s="62"/>
      <c r="E12" s="63"/>
    </row>
    <row r="13" spans="1:5" s="44" customFormat="1" ht="21" hidden="1" customHeight="1">
      <c r="A13" s="8" t="s">
        <v>18</v>
      </c>
      <c r="B13" s="61" t="s">
        <v>7</v>
      </c>
      <c r="C13" s="6"/>
      <c r="D13" s="62"/>
      <c r="E13" s="63"/>
    </row>
    <row r="14" spans="1:5" s="44" customFormat="1" ht="21" hidden="1" customHeight="1">
      <c r="A14" s="8" t="s">
        <v>19</v>
      </c>
      <c r="B14" s="61" t="s">
        <v>7</v>
      </c>
      <c r="C14" s="6"/>
      <c r="D14" s="62"/>
      <c r="E14" s="63"/>
    </row>
    <row r="15" spans="1:5" s="44" customFormat="1" ht="21" hidden="1" customHeight="1">
      <c r="A15" s="11" t="s">
        <v>20</v>
      </c>
      <c r="B15" s="61" t="s">
        <v>21</v>
      </c>
      <c r="C15" s="6"/>
      <c r="D15" s="62"/>
      <c r="E15" s="63"/>
    </row>
    <row r="16" spans="1:5" s="44" customFormat="1" ht="21" customHeight="1">
      <c r="A16" s="10" t="s">
        <v>22</v>
      </c>
      <c r="B16" s="64" t="s">
        <v>7</v>
      </c>
      <c r="C16" s="65">
        <v>18</v>
      </c>
      <c r="D16" s="66">
        <v>18000</v>
      </c>
      <c r="E16" s="67">
        <f>+D16*C16</f>
        <v>324000</v>
      </c>
    </row>
    <row r="17" spans="1:5" s="44" customFormat="1" ht="21" hidden="1" customHeight="1">
      <c r="A17" s="8" t="s">
        <v>23</v>
      </c>
      <c r="B17" s="61" t="s">
        <v>7</v>
      </c>
      <c r="C17" s="6"/>
      <c r="D17" s="62"/>
      <c r="E17" s="63"/>
    </row>
    <row r="18" spans="1:5" s="44" customFormat="1" ht="21" hidden="1" customHeight="1">
      <c r="A18" s="8" t="s">
        <v>24</v>
      </c>
      <c r="B18" s="61" t="s">
        <v>7</v>
      </c>
      <c r="C18" s="6"/>
      <c r="D18" s="68"/>
      <c r="E18" s="63"/>
    </row>
    <row r="19" spans="1:5" s="44" customFormat="1" ht="21" customHeight="1">
      <c r="A19" s="12" t="s">
        <v>25</v>
      </c>
      <c r="B19" s="64" t="s">
        <v>21</v>
      </c>
      <c r="C19" s="65">
        <v>71</v>
      </c>
      <c r="D19" s="66">
        <v>3900</v>
      </c>
      <c r="E19" s="67">
        <f>+D19*C19</f>
        <v>276900</v>
      </c>
    </row>
    <row r="20" spans="1:5" s="44" customFormat="1" ht="21" hidden="1" customHeight="1">
      <c r="A20" s="10" t="s">
        <v>26</v>
      </c>
      <c r="B20" s="61" t="s">
        <v>7</v>
      </c>
      <c r="C20" s="6"/>
      <c r="D20" s="62"/>
      <c r="E20" s="63"/>
    </row>
    <row r="21" spans="1:5" s="44" customFormat="1" ht="21" customHeight="1">
      <c r="A21" s="19" t="s">
        <v>27</v>
      </c>
      <c r="B21" s="64" t="s">
        <v>7</v>
      </c>
      <c r="C21" s="65">
        <v>100</v>
      </c>
      <c r="D21" s="66">
        <v>13000</v>
      </c>
      <c r="E21" s="67">
        <f>+D21*C21</f>
        <v>1300000</v>
      </c>
    </row>
    <row r="22" spans="1:5" s="44" customFormat="1" ht="21" hidden="1" customHeight="1">
      <c r="A22" s="11" t="s">
        <v>28</v>
      </c>
      <c r="B22" s="61" t="s">
        <v>21</v>
      </c>
      <c r="C22" s="6"/>
      <c r="D22" s="62"/>
      <c r="E22" s="63"/>
    </row>
    <row r="23" spans="1:5" s="44" customFormat="1" ht="21" hidden="1" customHeight="1">
      <c r="A23" s="11" t="s">
        <v>29</v>
      </c>
      <c r="B23" s="61" t="s">
        <v>7</v>
      </c>
      <c r="C23" s="6"/>
      <c r="D23" s="62"/>
      <c r="E23" s="63"/>
    </row>
    <row r="24" spans="1:5" s="44" customFormat="1" ht="21" hidden="1" customHeight="1">
      <c r="A24" s="8" t="s">
        <v>30</v>
      </c>
      <c r="B24" s="61" t="s">
        <v>7</v>
      </c>
      <c r="C24" s="6"/>
      <c r="D24" s="62"/>
      <c r="E24" s="63"/>
    </row>
    <row r="25" spans="1:5" s="44" customFormat="1" ht="21" hidden="1" customHeight="1">
      <c r="A25" s="8" t="s">
        <v>31</v>
      </c>
      <c r="B25" s="61" t="s">
        <v>21</v>
      </c>
      <c r="C25" s="6"/>
      <c r="D25" s="62"/>
      <c r="E25" s="63"/>
    </row>
    <row r="26" spans="1:5" s="44" customFormat="1" ht="21" customHeight="1">
      <c r="A26" s="19" t="s">
        <v>32</v>
      </c>
      <c r="B26" s="64" t="s">
        <v>7</v>
      </c>
      <c r="C26" s="65">
        <v>120</v>
      </c>
      <c r="D26" s="66">
        <v>13000</v>
      </c>
      <c r="E26" s="67">
        <f>+D26*C26</f>
        <v>1560000</v>
      </c>
    </row>
    <row r="27" spans="1:5" s="44" customFormat="1" ht="21" hidden="1" customHeight="1">
      <c r="A27" s="8" t="s">
        <v>33</v>
      </c>
      <c r="B27" s="61" t="s">
        <v>21</v>
      </c>
      <c r="C27" s="6"/>
      <c r="D27" s="62"/>
      <c r="E27" s="63"/>
    </row>
    <row r="28" spans="1:5" s="44" customFormat="1" ht="21" hidden="1" customHeight="1">
      <c r="A28" s="8" t="s">
        <v>34</v>
      </c>
      <c r="B28" s="61" t="s">
        <v>7</v>
      </c>
      <c r="C28" s="6"/>
      <c r="D28" s="62"/>
      <c r="E28" s="63"/>
    </row>
    <row r="29" spans="1:5" s="44" customFormat="1" ht="21" hidden="1" customHeight="1">
      <c r="A29" s="8" t="s">
        <v>35</v>
      </c>
      <c r="B29" s="61" t="s">
        <v>7</v>
      </c>
      <c r="C29" s="6"/>
      <c r="D29" s="62"/>
      <c r="E29" s="63"/>
    </row>
    <row r="30" spans="1:5" s="44" customFormat="1" ht="21" hidden="1" customHeight="1">
      <c r="A30" s="10" t="s">
        <v>36</v>
      </c>
      <c r="B30" s="61" t="s">
        <v>7</v>
      </c>
      <c r="C30" s="14"/>
      <c r="D30" s="62"/>
      <c r="E30" s="63"/>
    </row>
    <row r="31" spans="1:5" s="44" customFormat="1" ht="21" hidden="1" customHeight="1">
      <c r="A31" s="11" t="s">
        <v>37</v>
      </c>
      <c r="B31" s="61" t="s">
        <v>7</v>
      </c>
      <c r="C31" s="6"/>
      <c r="D31" s="62"/>
      <c r="E31" s="63"/>
    </row>
    <row r="32" spans="1:5" s="44" customFormat="1" ht="21" hidden="1" customHeight="1">
      <c r="A32" s="10" t="s">
        <v>38</v>
      </c>
      <c r="B32" s="61" t="s">
        <v>39</v>
      </c>
      <c r="C32" s="6"/>
      <c r="D32" s="62"/>
      <c r="E32" s="63"/>
    </row>
    <row r="33" spans="1:5" s="44" customFormat="1" ht="21" hidden="1" customHeight="1">
      <c r="A33" s="10" t="s">
        <v>40</v>
      </c>
      <c r="B33" s="61" t="s">
        <v>39</v>
      </c>
      <c r="C33" s="6"/>
      <c r="D33" s="62"/>
      <c r="E33" s="63"/>
    </row>
    <row r="34" spans="1:5" s="44" customFormat="1" ht="21" hidden="1" customHeight="1">
      <c r="A34" s="10" t="s">
        <v>41</v>
      </c>
      <c r="B34" s="61" t="s">
        <v>39</v>
      </c>
      <c r="C34" s="6"/>
      <c r="D34" s="62"/>
      <c r="E34" s="63"/>
    </row>
    <row r="35" spans="1:5" s="44" customFormat="1" ht="21" hidden="1" customHeight="1">
      <c r="A35" s="11" t="s">
        <v>42</v>
      </c>
      <c r="B35" s="61" t="s">
        <v>39</v>
      </c>
      <c r="C35" s="6"/>
      <c r="D35" s="62"/>
      <c r="E35" s="63"/>
    </row>
    <row r="36" spans="1:5" s="44" customFormat="1" ht="21" hidden="1" customHeight="1">
      <c r="A36" s="10" t="s">
        <v>43</v>
      </c>
      <c r="B36" s="61" t="s">
        <v>39</v>
      </c>
      <c r="C36" s="6"/>
      <c r="D36" s="62"/>
      <c r="E36" s="63"/>
    </row>
    <row r="37" spans="1:5" s="44" customFormat="1" ht="21" hidden="1" customHeight="1">
      <c r="A37" s="10" t="s">
        <v>44</v>
      </c>
      <c r="B37" s="61" t="s">
        <v>39</v>
      </c>
      <c r="C37" s="6"/>
      <c r="D37" s="62"/>
      <c r="E37" s="63"/>
    </row>
    <row r="38" spans="1:5" s="44" customFormat="1" ht="21" hidden="1" customHeight="1">
      <c r="A38" s="10" t="s">
        <v>45</v>
      </c>
      <c r="B38" s="61" t="s">
        <v>39</v>
      </c>
      <c r="C38" s="6"/>
      <c r="D38" s="62"/>
      <c r="E38" s="63"/>
    </row>
    <row r="39" spans="1:5" s="44" customFormat="1" ht="21" customHeight="1">
      <c r="A39" s="10" t="s">
        <v>46</v>
      </c>
      <c r="B39" s="64" t="s">
        <v>7</v>
      </c>
      <c r="C39" s="65">
        <v>35</v>
      </c>
      <c r="D39" s="66">
        <v>11000</v>
      </c>
      <c r="E39" s="67">
        <f>+D39*C39</f>
        <v>385000</v>
      </c>
    </row>
    <row r="40" spans="1:5" s="44" customFormat="1" ht="21" hidden="1" customHeight="1">
      <c r="A40" s="8" t="s">
        <v>47</v>
      </c>
      <c r="B40" s="61" t="s">
        <v>7</v>
      </c>
      <c r="C40" s="6"/>
      <c r="D40" s="62"/>
      <c r="E40" s="63"/>
    </row>
    <row r="41" spans="1:5" s="44" customFormat="1" ht="21" hidden="1" customHeight="1">
      <c r="A41" s="8" t="s">
        <v>48</v>
      </c>
      <c r="B41" s="61" t="s">
        <v>49</v>
      </c>
      <c r="C41" s="6"/>
      <c r="D41" s="62"/>
      <c r="E41" s="63"/>
    </row>
    <row r="42" spans="1:5" s="44" customFormat="1" ht="21" hidden="1" customHeight="1">
      <c r="A42" s="10" t="s">
        <v>50</v>
      </c>
      <c r="B42" s="61" t="s">
        <v>7</v>
      </c>
      <c r="C42" s="14"/>
      <c r="D42" s="62"/>
      <c r="E42" s="63"/>
    </row>
    <row r="43" spans="1:5" s="44" customFormat="1" ht="21" hidden="1" customHeight="1">
      <c r="A43" s="8" t="s">
        <v>51</v>
      </c>
      <c r="B43" s="61" t="s">
        <v>7</v>
      </c>
      <c r="C43" s="6"/>
      <c r="D43" s="62"/>
      <c r="E43" s="63"/>
    </row>
    <row r="44" spans="1:5" s="44" customFormat="1" ht="21" hidden="1" customHeight="1">
      <c r="A44" s="8" t="s">
        <v>52</v>
      </c>
      <c r="B44" s="61" t="s">
        <v>7</v>
      </c>
      <c r="C44" s="6"/>
      <c r="D44" s="62"/>
      <c r="E44" s="63"/>
    </row>
    <row r="45" spans="1:5" s="44" customFormat="1" ht="21" hidden="1" customHeight="1">
      <c r="A45" s="15" t="s">
        <v>53</v>
      </c>
      <c r="B45" s="61" t="s">
        <v>54</v>
      </c>
      <c r="C45" s="6"/>
      <c r="D45" s="62"/>
      <c r="E45" s="63"/>
    </row>
    <row r="46" spans="1:5" s="44" customFormat="1" ht="21" hidden="1" customHeight="1">
      <c r="A46" s="8" t="s">
        <v>55</v>
      </c>
      <c r="B46" s="61" t="s">
        <v>7</v>
      </c>
      <c r="C46" s="6"/>
      <c r="D46" s="62"/>
      <c r="E46" s="63"/>
    </row>
    <row r="47" spans="1:5" s="44" customFormat="1" ht="21" hidden="1" customHeight="1">
      <c r="A47" s="8" t="s">
        <v>56</v>
      </c>
      <c r="B47" s="61" t="s">
        <v>57</v>
      </c>
      <c r="C47" s="6"/>
      <c r="D47" s="62"/>
      <c r="E47" s="63"/>
    </row>
    <row r="48" spans="1:5" s="44" customFormat="1" ht="21" hidden="1" customHeight="1">
      <c r="A48" s="8" t="s">
        <v>58</v>
      </c>
      <c r="B48" s="61" t="s">
        <v>7</v>
      </c>
      <c r="C48" s="6"/>
      <c r="D48" s="62"/>
      <c r="E48" s="63"/>
    </row>
    <row r="49" spans="1:5" s="44" customFormat="1" ht="21" hidden="1" customHeight="1">
      <c r="A49" s="16" t="s">
        <v>59</v>
      </c>
      <c r="B49" s="61" t="s">
        <v>7</v>
      </c>
      <c r="C49" s="6"/>
      <c r="D49" s="69"/>
      <c r="E49" s="63"/>
    </row>
    <row r="50" spans="1:5" s="44" customFormat="1" ht="21" hidden="1" customHeight="1">
      <c r="A50" s="12" t="s">
        <v>60</v>
      </c>
      <c r="B50" s="61" t="s">
        <v>57</v>
      </c>
      <c r="C50" s="6"/>
      <c r="D50" s="62"/>
      <c r="E50" s="63"/>
    </row>
    <row r="51" spans="1:5" s="44" customFormat="1" ht="21" hidden="1" customHeight="1">
      <c r="A51" s="10" t="s">
        <v>61</v>
      </c>
      <c r="B51" s="61" t="s">
        <v>7</v>
      </c>
      <c r="C51" s="6"/>
      <c r="D51" s="62"/>
      <c r="E51" s="63"/>
    </row>
    <row r="52" spans="1:5" s="44" customFormat="1" ht="21" hidden="1" customHeight="1">
      <c r="A52" s="12" t="s">
        <v>62</v>
      </c>
      <c r="B52" s="61" t="s">
        <v>54</v>
      </c>
      <c r="C52" s="6"/>
      <c r="D52" s="62"/>
      <c r="E52" s="63"/>
    </row>
    <row r="53" spans="1:5" s="44" customFormat="1" ht="21" hidden="1" customHeight="1">
      <c r="A53" s="8" t="s">
        <v>63</v>
      </c>
      <c r="B53" s="61" t="s">
        <v>7</v>
      </c>
      <c r="C53" s="6"/>
      <c r="D53" s="62"/>
      <c r="E53" s="63"/>
    </row>
    <row r="54" spans="1:5" s="44" customFormat="1" ht="21" customHeight="1">
      <c r="A54" s="19" t="s">
        <v>64</v>
      </c>
      <c r="B54" s="64" t="s">
        <v>7</v>
      </c>
      <c r="C54" s="65">
        <v>15</v>
      </c>
      <c r="D54" s="66">
        <v>22000</v>
      </c>
      <c r="E54" s="67">
        <f>+D54*C54</f>
        <v>330000</v>
      </c>
    </row>
    <row r="55" spans="1:5" s="44" customFormat="1" ht="21" hidden="1" customHeight="1">
      <c r="A55" s="11" t="s">
        <v>65</v>
      </c>
      <c r="B55" s="61" t="s">
        <v>7</v>
      </c>
      <c r="C55" s="6"/>
      <c r="D55" s="62"/>
      <c r="E55" s="70"/>
    </row>
    <row r="56" spans="1:5" s="44" customFormat="1" ht="21" hidden="1" customHeight="1">
      <c r="A56" s="8" t="s">
        <v>66</v>
      </c>
      <c r="B56" s="61" t="s">
        <v>7</v>
      </c>
      <c r="C56" s="6"/>
      <c r="D56" s="62"/>
      <c r="E56" s="70"/>
    </row>
    <row r="57" spans="1:5" s="44" customFormat="1" ht="21" hidden="1" customHeight="1">
      <c r="A57" s="15" t="s">
        <v>67</v>
      </c>
      <c r="B57" s="61" t="s">
        <v>68</v>
      </c>
      <c r="C57" s="6"/>
      <c r="D57" s="62"/>
      <c r="E57" s="63"/>
    </row>
    <row r="58" spans="1:5" s="44" customFormat="1" ht="21" hidden="1" customHeight="1">
      <c r="A58" s="15" t="s">
        <v>69</v>
      </c>
      <c r="B58" s="61" t="s">
        <v>68</v>
      </c>
      <c r="C58" s="6"/>
      <c r="D58" s="62"/>
      <c r="E58" s="63"/>
    </row>
    <row r="59" spans="1:5" s="44" customFormat="1" ht="21" hidden="1" customHeight="1">
      <c r="A59" s="15" t="s">
        <v>70</v>
      </c>
      <c r="B59" s="61" t="s">
        <v>7</v>
      </c>
      <c r="C59" s="6"/>
      <c r="D59" s="62"/>
      <c r="E59" s="70"/>
    </row>
    <row r="60" spans="1:5" s="44" customFormat="1" ht="21" hidden="1" customHeight="1">
      <c r="A60" s="8" t="s">
        <v>71</v>
      </c>
      <c r="B60" s="61" t="s">
        <v>7</v>
      </c>
      <c r="C60" s="6"/>
      <c r="D60" s="62"/>
      <c r="E60" s="70"/>
    </row>
    <row r="61" spans="1:5" s="44" customFormat="1" ht="21" hidden="1" customHeight="1">
      <c r="A61" s="10" t="s">
        <v>72</v>
      </c>
      <c r="B61" s="61" t="s">
        <v>7</v>
      </c>
      <c r="C61" s="6"/>
      <c r="D61" s="62"/>
      <c r="E61" s="63"/>
    </row>
    <row r="62" spans="1:5" s="44" customFormat="1" ht="21" hidden="1" customHeight="1">
      <c r="A62" s="8" t="s">
        <v>73</v>
      </c>
      <c r="B62" s="61" t="s">
        <v>7</v>
      </c>
      <c r="C62" s="6"/>
      <c r="D62" s="62"/>
      <c r="E62" s="70"/>
    </row>
    <row r="63" spans="1:5" s="44" customFormat="1" ht="21" hidden="1" customHeight="1">
      <c r="A63" s="16" t="s">
        <v>74</v>
      </c>
      <c r="B63" s="61" t="s">
        <v>7</v>
      </c>
      <c r="C63" s="6"/>
      <c r="D63" s="62"/>
      <c r="E63" s="63"/>
    </row>
    <row r="64" spans="1:5" s="44" customFormat="1" ht="21" hidden="1" customHeight="1">
      <c r="A64" s="15" t="s">
        <v>75</v>
      </c>
      <c r="B64" s="61" t="s">
        <v>68</v>
      </c>
      <c r="C64" s="6"/>
      <c r="D64" s="62"/>
      <c r="E64" s="63"/>
    </row>
    <row r="65" spans="1:5" s="44" customFormat="1" ht="21" customHeight="1">
      <c r="A65" s="19" t="s">
        <v>76</v>
      </c>
      <c r="B65" s="64" t="s">
        <v>49</v>
      </c>
      <c r="C65" s="65">
        <v>150</v>
      </c>
      <c r="D65" s="66">
        <v>10000</v>
      </c>
      <c r="E65" s="67">
        <f>+D65*C65</f>
        <v>1500000</v>
      </c>
    </row>
    <row r="66" spans="1:5" s="44" customFormat="1" ht="21" hidden="1" customHeight="1">
      <c r="A66" s="17" t="s">
        <v>77</v>
      </c>
      <c r="B66" s="61" t="s">
        <v>7</v>
      </c>
      <c r="C66" s="6"/>
      <c r="D66" s="62"/>
      <c r="E66" s="63"/>
    </row>
    <row r="67" spans="1:5" s="44" customFormat="1" ht="21" hidden="1" customHeight="1">
      <c r="A67" s="8" t="s">
        <v>78</v>
      </c>
      <c r="B67" s="61" t="s">
        <v>7</v>
      </c>
      <c r="C67" s="6"/>
      <c r="D67" s="62"/>
      <c r="E67" s="70"/>
    </row>
    <row r="68" spans="1:5" s="44" customFormat="1" ht="21" hidden="1" customHeight="1">
      <c r="A68" s="8" t="s">
        <v>79</v>
      </c>
      <c r="B68" s="61" t="s">
        <v>7</v>
      </c>
      <c r="C68" s="6"/>
      <c r="D68" s="62"/>
      <c r="E68" s="70"/>
    </row>
    <row r="69" spans="1:5" s="44" customFormat="1" ht="21" hidden="1" customHeight="1">
      <c r="A69" s="18" t="s">
        <v>80</v>
      </c>
      <c r="B69" s="61" t="s">
        <v>7</v>
      </c>
      <c r="C69" s="6"/>
      <c r="D69" s="62"/>
      <c r="E69" s="70"/>
    </row>
    <row r="70" spans="1:5" s="44" customFormat="1" ht="21" hidden="1" customHeight="1">
      <c r="A70" s="11" t="s">
        <v>81</v>
      </c>
      <c r="B70" s="61" t="s">
        <v>7</v>
      </c>
      <c r="C70" s="6"/>
      <c r="D70" s="62"/>
      <c r="E70" s="63"/>
    </row>
    <row r="71" spans="1:5" s="44" customFormat="1" ht="21" customHeight="1">
      <c r="A71" s="10" t="s">
        <v>82</v>
      </c>
      <c r="B71" s="64" t="s">
        <v>68</v>
      </c>
      <c r="C71" s="65">
        <v>15</v>
      </c>
      <c r="D71" s="66">
        <v>11000</v>
      </c>
      <c r="E71" s="67">
        <f>+D71*C71</f>
        <v>165000</v>
      </c>
    </row>
    <row r="72" spans="1:5" s="44" customFormat="1" ht="21" hidden="1" customHeight="1">
      <c r="A72" s="10" t="s">
        <v>83</v>
      </c>
      <c r="B72" s="61" t="s">
        <v>7</v>
      </c>
      <c r="C72" s="6"/>
      <c r="D72" s="62"/>
      <c r="E72" s="63"/>
    </row>
    <row r="73" spans="1:5" s="44" customFormat="1" ht="21" hidden="1" customHeight="1">
      <c r="A73" s="11" t="s">
        <v>84</v>
      </c>
      <c r="B73" s="61" t="s">
        <v>7</v>
      </c>
      <c r="C73" s="6"/>
      <c r="D73" s="62"/>
      <c r="E73" s="63"/>
    </row>
    <row r="74" spans="1:5" s="44" customFormat="1" ht="21" hidden="1" customHeight="1">
      <c r="A74" s="11" t="s">
        <v>85</v>
      </c>
      <c r="B74" s="61" t="s">
        <v>7</v>
      </c>
      <c r="C74" s="6"/>
      <c r="D74" s="62"/>
      <c r="E74" s="63"/>
    </row>
    <row r="75" spans="1:5" s="44" customFormat="1" ht="21" hidden="1" customHeight="1">
      <c r="A75" s="11" t="s">
        <v>86</v>
      </c>
      <c r="B75" s="61" t="s">
        <v>68</v>
      </c>
      <c r="C75" s="6"/>
      <c r="D75" s="62"/>
      <c r="E75" s="63"/>
    </row>
    <row r="76" spans="1:5" s="44" customFormat="1" ht="21" hidden="1" customHeight="1">
      <c r="A76" s="18" t="s">
        <v>87</v>
      </c>
      <c r="B76" s="61" t="s">
        <v>7</v>
      </c>
      <c r="C76" s="6"/>
      <c r="D76" s="62"/>
      <c r="E76" s="63"/>
    </row>
    <row r="77" spans="1:5" s="44" customFormat="1" ht="21" hidden="1" customHeight="1">
      <c r="A77" s="8" t="s">
        <v>88</v>
      </c>
      <c r="B77" s="61" t="s">
        <v>68</v>
      </c>
      <c r="C77" s="6"/>
      <c r="D77" s="62"/>
      <c r="E77" s="63"/>
    </row>
    <row r="78" spans="1:5" s="44" customFormat="1" ht="21" hidden="1" customHeight="1">
      <c r="A78" s="8" t="s">
        <v>89</v>
      </c>
      <c r="B78" s="61" t="s">
        <v>54</v>
      </c>
      <c r="C78" s="6"/>
      <c r="D78" s="62"/>
      <c r="E78" s="63"/>
    </row>
    <row r="79" spans="1:5" s="44" customFormat="1" ht="21" hidden="1" customHeight="1">
      <c r="A79" s="8" t="s">
        <v>90</v>
      </c>
      <c r="B79" s="61" t="s">
        <v>7</v>
      </c>
      <c r="C79" s="6"/>
      <c r="D79" s="62"/>
      <c r="E79" s="63"/>
    </row>
    <row r="80" spans="1:5" s="44" customFormat="1" ht="21" hidden="1" customHeight="1">
      <c r="A80" s="12" t="s">
        <v>91</v>
      </c>
      <c r="B80" s="61" t="s">
        <v>54</v>
      </c>
      <c r="C80" s="6"/>
      <c r="D80" s="62"/>
      <c r="E80" s="63"/>
    </row>
    <row r="81" spans="1:35" s="44" customFormat="1" ht="21" customHeight="1">
      <c r="A81" s="19" t="s">
        <v>92</v>
      </c>
      <c r="B81" s="64" t="s">
        <v>93</v>
      </c>
      <c r="C81" s="65">
        <v>40</v>
      </c>
      <c r="D81" s="66">
        <v>26000</v>
      </c>
      <c r="E81" s="67">
        <f t="shared" ref="E81:E82" si="0">+D81*C81</f>
        <v>1040000</v>
      </c>
    </row>
    <row r="82" spans="1:35" s="44" customFormat="1" ht="21" customHeight="1">
      <c r="A82" s="19" t="s">
        <v>94</v>
      </c>
      <c r="B82" s="64" t="s">
        <v>7</v>
      </c>
      <c r="C82" s="65">
        <v>24</v>
      </c>
      <c r="D82" s="66">
        <v>23000</v>
      </c>
      <c r="E82" s="67">
        <f t="shared" si="0"/>
        <v>552000</v>
      </c>
    </row>
    <row r="83" spans="1:35" s="44" customFormat="1" ht="21" hidden="1" customHeight="1">
      <c r="A83" s="8" t="s">
        <v>95</v>
      </c>
      <c r="B83" s="61" t="s">
        <v>7</v>
      </c>
      <c r="C83" s="6"/>
      <c r="D83" s="62"/>
      <c r="E83" s="63"/>
    </row>
    <row r="84" spans="1:35" s="44" customFormat="1" ht="21" hidden="1" customHeight="1">
      <c r="A84" s="11" t="s">
        <v>96</v>
      </c>
      <c r="B84" s="61" t="s">
        <v>7</v>
      </c>
      <c r="C84" s="14"/>
      <c r="D84" s="62"/>
      <c r="E84" s="63"/>
    </row>
    <row r="85" spans="1:35" s="44" customFormat="1" ht="21" hidden="1" customHeight="1">
      <c r="A85" s="11" t="s">
        <v>97</v>
      </c>
      <c r="B85" s="61" t="s">
        <v>7</v>
      </c>
      <c r="C85" s="14"/>
      <c r="D85" s="62"/>
      <c r="E85" s="63"/>
    </row>
    <row r="86" spans="1:35" s="44" customFormat="1" ht="21" hidden="1" customHeight="1">
      <c r="A86" s="11" t="s">
        <v>98</v>
      </c>
      <c r="B86" s="61" t="s">
        <v>54</v>
      </c>
      <c r="C86" s="14"/>
      <c r="D86" s="62"/>
      <c r="E86" s="63"/>
    </row>
    <row r="87" spans="1:35" s="44" customFormat="1" ht="21" hidden="1" customHeight="1">
      <c r="A87" s="8" t="s">
        <v>99</v>
      </c>
      <c r="B87" s="61" t="s">
        <v>7</v>
      </c>
      <c r="C87" s="6"/>
      <c r="D87" s="62"/>
      <c r="E87" s="63"/>
    </row>
    <row r="88" spans="1:35" s="44" customFormat="1" ht="21" customHeight="1">
      <c r="A88" s="19" t="s">
        <v>100</v>
      </c>
      <c r="B88" s="64" t="s">
        <v>7</v>
      </c>
      <c r="C88" s="65">
        <v>44</v>
      </c>
      <c r="D88" s="66">
        <v>20000</v>
      </c>
      <c r="E88" s="67">
        <f>+D88*C88</f>
        <v>880000</v>
      </c>
    </row>
    <row r="89" spans="1:35" s="45" customFormat="1" ht="21" hidden="1" customHeight="1">
      <c r="A89" s="8" t="s">
        <v>101</v>
      </c>
      <c r="B89" s="61" t="s">
        <v>49</v>
      </c>
      <c r="C89" s="6"/>
      <c r="D89" s="62"/>
      <c r="E89" s="63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 spans="1:35" s="45" customFormat="1" ht="21" hidden="1" customHeight="1">
      <c r="A90" s="8" t="s">
        <v>102</v>
      </c>
      <c r="B90" s="61" t="s">
        <v>7</v>
      </c>
      <c r="C90" s="6"/>
      <c r="D90" s="62"/>
      <c r="E90" s="63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spans="1:35" s="44" customFormat="1" ht="21" hidden="1" customHeight="1">
      <c r="A91" s="8" t="s">
        <v>103</v>
      </c>
      <c r="B91" s="61" t="s">
        <v>49</v>
      </c>
      <c r="C91" s="6"/>
      <c r="D91" s="62"/>
      <c r="E91" s="63"/>
    </row>
    <row r="92" spans="1:35" s="44" customFormat="1" ht="21" hidden="1" customHeight="1">
      <c r="A92" s="8" t="s">
        <v>104</v>
      </c>
      <c r="B92" s="61" t="s">
        <v>7</v>
      </c>
      <c r="C92" s="6"/>
      <c r="D92" s="62"/>
      <c r="E92" s="63"/>
    </row>
    <row r="93" spans="1:35" s="44" customFormat="1" ht="21" hidden="1" customHeight="1">
      <c r="A93" s="19" t="s">
        <v>105</v>
      </c>
      <c r="B93" s="61" t="s">
        <v>17</v>
      </c>
      <c r="C93" s="6"/>
      <c r="D93" s="62"/>
      <c r="E93" s="63"/>
    </row>
    <row r="94" spans="1:35" s="44" customFormat="1" ht="21" hidden="1" customHeight="1">
      <c r="A94" s="19" t="s">
        <v>106</v>
      </c>
      <c r="B94" s="61" t="s">
        <v>68</v>
      </c>
      <c r="C94" s="6"/>
      <c r="D94" s="62"/>
      <c r="E94" s="63"/>
    </row>
    <row r="95" spans="1:35" s="44" customFormat="1" ht="21" hidden="1" customHeight="1">
      <c r="A95" s="19" t="s">
        <v>107</v>
      </c>
      <c r="B95" s="61" t="s">
        <v>68</v>
      </c>
      <c r="C95" s="6"/>
      <c r="D95" s="62"/>
      <c r="E95" s="63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</row>
    <row r="96" spans="1:35" s="44" customFormat="1" ht="21" hidden="1" customHeight="1">
      <c r="A96" s="10" t="s">
        <v>108</v>
      </c>
      <c r="B96" s="61" t="s">
        <v>7</v>
      </c>
      <c r="C96" s="6"/>
      <c r="D96" s="62"/>
      <c r="E96" s="63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</row>
    <row r="97" spans="1:5" s="44" customFormat="1" ht="21" hidden="1" customHeight="1">
      <c r="A97" s="12" t="s">
        <v>109</v>
      </c>
      <c r="B97" s="61" t="s">
        <v>54</v>
      </c>
      <c r="C97" s="6"/>
      <c r="D97" s="62"/>
      <c r="E97" s="63"/>
    </row>
    <row r="98" spans="1:5" s="44" customFormat="1" ht="21" hidden="1" customHeight="1">
      <c r="A98" s="8" t="s">
        <v>110</v>
      </c>
      <c r="B98" s="61" t="s">
        <v>7</v>
      </c>
      <c r="C98" s="6"/>
      <c r="D98" s="62"/>
      <c r="E98" s="63"/>
    </row>
    <row r="99" spans="1:5" s="44" customFormat="1" ht="21" hidden="1" customHeight="1">
      <c r="A99" s="8" t="s">
        <v>111</v>
      </c>
      <c r="B99" s="61" t="s">
        <v>49</v>
      </c>
      <c r="C99" s="6"/>
      <c r="D99" s="62"/>
      <c r="E99" s="63"/>
    </row>
    <row r="100" spans="1:5" s="44" customFormat="1" ht="21" hidden="1" customHeight="1">
      <c r="A100" s="10" t="s">
        <v>112</v>
      </c>
      <c r="B100" s="61" t="s">
        <v>49</v>
      </c>
      <c r="C100" s="6"/>
      <c r="D100" s="62"/>
      <c r="E100" s="63"/>
    </row>
    <row r="101" spans="1:5" s="44" customFormat="1" ht="21" hidden="1" customHeight="1">
      <c r="A101" s="8" t="s">
        <v>113</v>
      </c>
      <c r="B101" s="61" t="s">
        <v>7</v>
      </c>
      <c r="C101" s="14"/>
      <c r="D101" s="62"/>
      <c r="E101" s="63"/>
    </row>
    <row r="102" spans="1:5" s="44" customFormat="1" ht="21" hidden="1" customHeight="1">
      <c r="A102" s="10" t="s">
        <v>114</v>
      </c>
      <c r="B102" s="61" t="s">
        <v>49</v>
      </c>
      <c r="C102" s="6"/>
      <c r="D102" s="62"/>
      <c r="E102" s="63"/>
    </row>
    <row r="103" spans="1:5" s="44" customFormat="1" ht="21" hidden="1" customHeight="1">
      <c r="A103" s="20" t="s">
        <v>115</v>
      </c>
      <c r="B103" s="61" t="s">
        <v>49</v>
      </c>
      <c r="C103" s="6"/>
      <c r="D103" s="62"/>
      <c r="E103" s="63"/>
    </row>
    <row r="104" spans="1:5" s="44" customFormat="1" ht="21" hidden="1" customHeight="1">
      <c r="A104" s="21" t="s">
        <v>116</v>
      </c>
      <c r="B104" s="61" t="s">
        <v>7</v>
      </c>
      <c r="C104" s="6"/>
      <c r="D104" s="62"/>
      <c r="E104" s="63"/>
    </row>
    <row r="105" spans="1:5" s="44" customFormat="1" ht="21" hidden="1" customHeight="1">
      <c r="A105" s="22" t="s">
        <v>117</v>
      </c>
      <c r="B105" s="61" t="s">
        <v>7</v>
      </c>
      <c r="C105" s="6"/>
      <c r="D105" s="62"/>
      <c r="E105" s="63"/>
    </row>
    <row r="106" spans="1:5" s="44" customFormat="1" ht="21" hidden="1" customHeight="1">
      <c r="A106" s="15" t="s">
        <v>118</v>
      </c>
      <c r="B106" s="61" t="s">
        <v>9</v>
      </c>
      <c r="C106" s="6"/>
      <c r="D106" s="62"/>
      <c r="E106" s="63"/>
    </row>
    <row r="107" spans="1:5" s="44" customFormat="1" ht="21" hidden="1" customHeight="1">
      <c r="A107" s="8" t="s">
        <v>119</v>
      </c>
      <c r="B107" s="61" t="s">
        <v>7</v>
      </c>
      <c r="C107" s="6"/>
      <c r="D107" s="62"/>
      <c r="E107" s="63"/>
    </row>
    <row r="108" spans="1:5" s="44" customFormat="1" ht="21" hidden="1" customHeight="1">
      <c r="A108" s="8" t="s">
        <v>120</v>
      </c>
      <c r="B108" s="61" t="s">
        <v>9</v>
      </c>
      <c r="C108" s="6"/>
      <c r="D108" s="62"/>
      <c r="E108" s="63"/>
    </row>
    <row r="109" spans="1:5" s="44" customFormat="1" ht="21" hidden="1" customHeight="1">
      <c r="A109" s="10" t="s">
        <v>121</v>
      </c>
      <c r="B109" s="61" t="s">
        <v>7</v>
      </c>
      <c r="C109" s="6"/>
      <c r="D109" s="62"/>
      <c r="E109" s="63"/>
    </row>
    <row r="110" spans="1:5" s="44" customFormat="1" ht="21" hidden="1" customHeight="1">
      <c r="A110" s="23" t="s">
        <v>122</v>
      </c>
      <c r="B110" s="61" t="s">
        <v>39</v>
      </c>
      <c r="C110" s="6"/>
      <c r="D110" s="62"/>
      <c r="E110" s="63"/>
    </row>
    <row r="111" spans="1:5" s="44" customFormat="1" ht="21" hidden="1" customHeight="1">
      <c r="A111" s="8" t="s">
        <v>123</v>
      </c>
      <c r="B111" s="61" t="s">
        <v>7</v>
      </c>
      <c r="C111" s="6"/>
      <c r="D111" s="62"/>
      <c r="E111" s="63"/>
    </row>
    <row r="112" spans="1:5" s="44" customFormat="1" ht="21" hidden="1" customHeight="1">
      <c r="A112" s="8" t="s">
        <v>124</v>
      </c>
      <c r="B112" s="61" t="s">
        <v>7</v>
      </c>
      <c r="C112" s="6"/>
      <c r="D112" s="62"/>
      <c r="E112" s="63"/>
    </row>
    <row r="113" spans="1:5" s="44" customFormat="1" ht="21" hidden="1" customHeight="1">
      <c r="A113" s="8" t="s">
        <v>125</v>
      </c>
      <c r="B113" s="61" t="s">
        <v>7</v>
      </c>
      <c r="C113" s="6"/>
      <c r="D113" s="62"/>
      <c r="E113" s="63"/>
    </row>
    <row r="114" spans="1:5" s="44" customFormat="1" ht="21" hidden="1" customHeight="1">
      <c r="A114" s="8" t="s">
        <v>126</v>
      </c>
      <c r="B114" s="61" t="s">
        <v>57</v>
      </c>
      <c r="C114" s="6"/>
      <c r="D114" s="62"/>
      <c r="E114" s="63"/>
    </row>
    <row r="115" spans="1:5" s="44" customFormat="1" ht="21" hidden="1" customHeight="1">
      <c r="A115" s="8" t="s">
        <v>127</v>
      </c>
      <c r="B115" s="61" t="s">
        <v>7</v>
      </c>
      <c r="C115" s="6"/>
      <c r="D115" s="62"/>
      <c r="E115" s="63"/>
    </row>
    <row r="116" spans="1:5" s="44" customFormat="1" ht="21" hidden="1" customHeight="1">
      <c r="A116" s="8" t="s">
        <v>128</v>
      </c>
      <c r="B116" s="61" t="s">
        <v>7</v>
      </c>
      <c r="C116" s="6"/>
      <c r="D116" s="62"/>
      <c r="E116" s="63"/>
    </row>
    <row r="117" spans="1:5" s="44" customFormat="1" ht="21" hidden="1" customHeight="1">
      <c r="A117" s="8" t="s">
        <v>129</v>
      </c>
      <c r="B117" s="61" t="s">
        <v>54</v>
      </c>
      <c r="C117" s="6"/>
      <c r="D117" s="62"/>
      <c r="E117" s="63"/>
    </row>
    <row r="118" spans="1:5" s="44" customFormat="1" ht="21" hidden="1" customHeight="1">
      <c r="A118" s="8" t="s">
        <v>130</v>
      </c>
      <c r="B118" s="61" t="s">
        <v>7</v>
      </c>
      <c r="C118" s="6"/>
      <c r="D118" s="62"/>
      <c r="E118" s="63"/>
    </row>
    <row r="119" spans="1:5" s="44" customFormat="1" ht="21" hidden="1" customHeight="1">
      <c r="A119" s="10" t="s">
        <v>131</v>
      </c>
      <c r="B119" s="61" t="s">
        <v>7</v>
      </c>
      <c r="C119" s="6"/>
      <c r="D119" s="62"/>
      <c r="E119" s="63"/>
    </row>
    <row r="120" spans="1:5" s="44" customFormat="1" ht="21" hidden="1" customHeight="1">
      <c r="A120" s="19" t="s">
        <v>132</v>
      </c>
      <c r="B120" s="61" t="s">
        <v>21</v>
      </c>
      <c r="C120" s="6"/>
      <c r="D120" s="62"/>
      <c r="E120" s="63"/>
    </row>
    <row r="121" spans="1:5" s="44" customFormat="1" ht="21" hidden="1" customHeight="1">
      <c r="A121" s="8" t="s">
        <v>133</v>
      </c>
      <c r="B121" s="61" t="s">
        <v>134</v>
      </c>
      <c r="C121" s="6"/>
      <c r="D121" s="62"/>
      <c r="E121" s="63"/>
    </row>
    <row r="122" spans="1:5" s="44" customFormat="1" ht="21" hidden="1" customHeight="1">
      <c r="A122" s="10" t="s">
        <v>135</v>
      </c>
      <c r="B122" s="61" t="s">
        <v>134</v>
      </c>
      <c r="C122" s="6"/>
      <c r="D122" s="62"/>
      <c r="E122" s="63"/>
    </row>
    <row r="123" spans="1:5" s="44" customFormat="1" ht="21" hidden="1" customHeight="1">
      <c r="A123" s="10" t="s">
        <v>136</v>
      </c>
      <c r="B123" s="61" t="s">
        <v>134</v>
      </c>
      <c r="C123" s="6"/>
      <c r="D123" s="62"/>
      <c r="E123" s="63"/>
    </row>
    <row r="124" spans="1:5" s="44" customFormat="1" ht="21" hidden="1" customHeight="1">
      <c r="A124" s="8" t="s">
        <v>137</v>
      </c>
      <c r="B124" s="61" t="s">
        <v>7</v>
      </c>
      <c r="C124" s="6"/>
      <c r="D124" s="62"/>
      <c r="E124" s="63"/>
    </row>
    <row r="125" spans="1:5" s="44" customFormat="1" ht="21" hidden="1" customHeight="1">
      <c r="A125" s="8" t="s">
        <v>138</v>
      </c>
      <c r="B125" s="61" t="s">
        <v>54</v>
      </c>
      <c r="C125" s="6"/>
      <c r="D125" s="62"/>
      <c r="E125" s="63"/>
    </row>
    <row r="126" spans="1:5" s="44" customFormat="1" ht="21" hidden="1" customHeight="1">
      <c r="A126" s="9" t="s">
        <v>139</v>
      </c>
      <c r="B126" s="61" t="s">
        <v>7</v>
      </c>
      <c r="C126" s="6"/>
      <c r="D126" s="62"/>
      <c r="E126" s="63"/>
    </row>
    <row r="127" spans="1:5" s="44" customFormat="1" ht="21" hidden="1" customHeight="1">
      <c r="A127" s="12" t="s">
        <v>140</v>
      </c>
      <c r="B127" s="61" t="s">
        <v>68</v>
      </c>
      <c r="C127" s="6"/>
      <c r="D127" s="62"/>
      <c r="E127" s="63"/>
    </row>
    <row r="128" spans="1:5" s="44" customFormat="1" ht="21" hidden="1" customHeight="1">
      <c r="A128" s="11" t="s">
        <v>141</v>
      </c>
      <c r="B128" s="61" t="s">
        <v>68</v>
      </c>
      <c r="C128" s="14"/>
      <c r="D128" s="62"/>
      <c r="E128" s="63"/>
    </row>
    <row r="129" spans="1:5" s="44" customFormat="1" ht="21" hidden="1" customHeight="1">
      <c r="A129" s="11" t="s">
        <v>142</v>
      </c>
      <c r="B129" s="61" t="s">
        <v>7</v>
      </c>
      <c r="C129" s="14"/>
      <c r="D129" s="62"/>
      <c r="E129" s="63"/>
    </row>
    <row r="130" spans="1:5" s="44" customFormat="1" ht="21" hidden="1" customHeight="1">
      <c r="A130" s="11" t="s">
        <v>143</v>
      </c>
      <c r="B130" s="61" t="s">
        <v>7</v>
      </c>
      <c r="C130" s="14"/>
      <c r="D130" s="62"/>
      <c r="E130" s="63"/>
    </row>
    <row r="131" spans="1:5" s="44" customFormat="1" ht="21" hidden="1" customHeight="1">
      <c r="A131" s="11" t="s">
        <v>144</v>
      </c>
      <c r="B131" s="61" t="s">
        <v>7</v>
      </c>
      <c r="C131" s="24"/>
      <c r="D131" s="62"/>
      <c r="E131" s="63"/>
    </row>
    <row r="132" spans="1:5" s="44" customFormat="1" ht="21" hidden="1" customHeight="1">
      <c r="A132" s="25" t="s">
        <v>145</v>
      </c>
      <c r="B132" s="61" t="s">
        <v>54</v>
      </c>
      <c r="C132" s="6"/>
      <c r="D132" s="62"/>
      <c r="E132" s="63"/>
    </row>
    <row r="133" spans="1:5" s="44" customFormat="1" ht="21" hidden="1" customHeight="1">
      <c r="A133" s="11" t="s">
        <v>146</v>
      </c>
      <c r="B133" s="61" t="s">
        <v>7</v>
      </c>
      <c r="C133" s="14"/>
      <c r="D133" s="62"/>
      <c r="E133" s="63"/>
    </row>
    <row r="134" spans="1:5" s="44" customFormat="1" ht="21" hidden="1" customHeight="1">
      <c r="A134" s="8" t="s">
        <v>147</v>
      </c>
      <c r="B134" s="61" t="s">
        <v>7</v>
      </c>
      <c r="C134" s="6"/>
      <c r="D134" s="62"/>
      <c r="E134" s="63"/>
    </row>
    <row r="135" spans="1:5" s="44" customFormat="1" ht="21" hidden="1" customHeight="1">
      <c r="A135" s="8" t="s">
        <v>148</v>
      </c>
      <c r="B135" s="61" t="s">
        <v>17</v>
      </c>
      <c r="C135" s="6"/>
      <c r="D135" s="62"/>
      <c r="E135" s="63"/>
    </row>
    <row r="136" spans="1:5" s="44" customFormat="1" ht="21" hidden="1" customHeight="1">
      <c r="A136" s="8" t="s">
        <v>149</v>
      </c>
      <c r="B136" s="61" t="s">
        <v>54</v>
      </c>
      <c r="C136" s="6"/>
      <c r="D136" s="62"/>
      <c r="E136" s="63"/>
    </row>
    <row r="137" spans="1:5" s="44" customFormat="1" ht="21" hidden="1" customHeight="1">
      <c r="A137" s="8" t="s">
        <v>150</v>
      </c>
      <c r="B137" s="61" t="s">
        <v>7</v>
      </c>
      <c r="C137" s="6"/>
      <c r="D137" s="62"/>
      <c r="E137" s="63"/>
    </row>
    <row r="138" spans="1:5" s="44" customFormat="1" ht="21" hidden="1" customHeight="1">
      <c r="A138" s="15" t="s">
        <v>151</v>
      </c>
      <c r="B138" s="61" t="s">
        <v>49</v>
      </c>
      <c r="C138" s="6"/>
      <c r="D138" s="62"/>
      <c r="E138" s="63"/>
    </row>
    <row r="139" spans="1:5" s="44" customFormat="1" ht="21" hidden="1" customHeight="1">
      <c r="A139" s="11" t="s">
        <v>152</v>
      </c>
      <c r="B139" s="61" t="s">
        <v>7</v>
      </c>
      <c r="C139" s="6"/>
      <c r="D139" s="62"/>
      <c r="E139" s="63"/>
    </row>
    <row r="140" spans="1:5" s="44" customFormat="1" ht="21" hidden="1" customHeight="1">
      <c r="A140" s="11" t="s">
        <v>153</v>
      </c>
      <c r="B140" s="61" t="s">
        <v>49</v>
      </c>
      <c r="C140" s="6"/>
      <c r="D140" s="62"/>
      <c r="E140" s="63"/>
    </row>
    <row r="141" spans="1:5" s="44" customFormat="1" ht="21" hidden="1" customHeight="1">
      <c r="A141" s="8" t="s">
        <v>154</v>
      </c>
      <c r="B141" s="61" t="s">
        <v>7</v>
      </c>
      <c r="C141" s="6"/>
      <c r="D141" s="62"/>
      <c r="E141" s="63"/>
    </row>
    <row r="142" spans="1:5" s="44" customFormat="1" ht="21" hidden="1" customHeight="1">
      <c r="A142" s="8" t="s">
        <v>155</v>
      </c>
      <c r="B142" s="61" t="s">
        <v>7</v>
      </c>
      <c r="C142" s="6"/>
      <c r="D142" s="62"/>
      <c r="E142" s="63"/>
    </row>
    <row r="143" spans="1:5" s="44" customFormat="1" ht="21" hidden="1" customHeight="1">
      <c r="A143" s="8" t="s">
        <v>156</v>
      </c>
      <c r="B143" s="61" t="s">
        <v>7</v>
      </c>
      <c r="C143" s="14"/>
      <c r="D143" s="62"/>
      <c r="E143" s="63"/>
    </row>
    <row r="144" spans="1:5" s="44" customFormat="1" ht="21" hidden="1" customHeight="1">
      <c r="A144" s="8" t="s">
        <v>157</v>
      </c>
      <c r="B144" s="61" t="s">
        <v>54</v>
      </c>
      <c r="C144" s="14"/>
      <c r="D144" s="62"/>
      <c r="E144" s="63"/>
    </row>
    <row r="145" spans="1:5" s="44" customFormat="1" ht="21" hidden="1" customHeight="1">
      <c r="A145" s="8" t="s">
        <v>158</v>
      </c>
      <c r="B145" s="61"/>
      <c r="C145" s="6"/>
      <c r="D145" s="62"/>
      <c r="E145" s="63"/>
    </row>
    <row r="146" spans="1:5" s="44" customFormat="1" ht="21" hidden="1" customHeight="1">
      <c r="A146" s="8" t="s">
        <v>159</v>
      </c>
      <c r="B146" s="61" t="s">
        <v>7</v>
      </c>
      <c r="C146" s="14"/>
      <c r="D146" s="62"/>
      <c r="E146" s="63"/>
    </row>
    <row r="147" spans="1:5" s="44" customFormat="1" ht="21" hidden="1" customHeight="1">
      <c r="A147" s="8" t="s">
        <v>160</v>
      </c>
      <c r="B147" s="61" t="s">
        <v>54</v>
      </c>
      <c r="C147" s="14"/>
      <c r="D147" s="62"/>
      <c r="E147" s="63"/>
    </row>
    <row r="148" spans="1:5" s="44" customFormat="1" ht="21" hidden="1" customHeight="1">
      <c r="A148" s="8" t="s">
        <v>161</v>
      </c>
      <c r="B148" s="61" t="s">
        <v>7</v>
      </c>
      <c r="C148" s="14"/>
      <c r="D148" s="62"/>
      <c r="E148" s="63"/>
    </row>
    <row r="149" spans="1:5" s="44" customFormat="1" ht="21" hidden="1" customHeight="1">
      <c r="A149" s="8" t="s">
        <v>162</v>
      </c>
      <c r="B149" s="61" t="s">
        <v>54</v>
      </c>
      <c r="C149" s="14"/>
      <c r="D149" s="62"/>
      <c r="E149" s="63"/>
    </row>
    <row r="150" spans="1:5" s="44" customFormat="1" ht="21" hidden="1" customHeight="1">
      <c r="A150" s="8" t="s">
        <v>163</v>
      </c>
      <c r="B150" s="61" t="s">
        <v>7</v>
      </c>
      <c r="C150" s="14"/>
      <c r="D150" s="62"/>
      <c r="E150" s="63"/>
    </row>
    <row r="151" spans="1:5" s="44" customFormat="1" ht="21" hidden="1" customHeight="1">
      <c r="A151" s="8" t="s">
        <v>164</v>
      </c>
      <c r="B151" s="61" t="s">
        <v>7</v>
      </c>
      <c r="C151" s="14"/>
      <c r="D151" s="62"/>
      <c r="E151" s="63"/>
    </row>
    <row r="152" spans="1:5" s="44" customFormat="1" ht="21" hidden="1" customHeight="1">
      <c r="A152" s="8" t="s">
        <v>165</v>
      </c>
      <c r="B152" s="61" t="s">
        <v>7</v>
      </c>
      <c r="C152" s="14"/>
      <c r="D152" s="62"/>
      <c r="E152" s="63"/>
    </row>
    <row r="153" spans="1:5" s="44" customFormat="1" ht="21" hidden="1" customHeight="1">
      <c r="A153" s="8" t="s">
        <v>166</v>
      </c>
      <c r="B153" s="61" t="s">
        <v>54</v>
      </c>
      <c r="C153" s="14"/>
      <c r="D153" s="62"/>
      <c r="E153" s="63"/>
    </row>
    <row r="154" spans="1:5" s="44" customFormat="1" ht="21" hidden="1" customHeight="1">
      <c r="A154" s="8" t="s">
        <v>167</v>
      </c>
      <c r="B154" s="61" t="s">
        <v>7</v>
      </c>
      <c r="C154" s="6"/>
      <c r="D154" s="62"/>
      <c r="E154" s="63"/>
    </row>
    <row r="155" spans="1:5" s="44" customFormat="1" ht="21" hidden="1" customHeight="1">
      <c r="A155" s="8" t="s">
        <v>168</v>
      </c>
      <c r="B155" s="61" t="s">
        <v>7</v>
      </c>
      <c r="C155" s="6"/>
      <c r="D155" s="62"/>
      <c r="E155" s="63"/>
    </row>
    <row r="156" spans="1:5" s="44" customFormat="1" ht="21" hidden="1" customHeight="1">
      <c r="A156" s="8" t="s">
        <v>169</v>
      </c>
      <c r="B156" s="61" t="s">
        <v>49</v>
      </c>
      <c r="C156" s="6"/>
      <c r="D156" s="62"/>
      <c r="E156" s="63"/>
    </row>
    <row r="157" spans="1:5" s="44" customFormat="1" ht="21" hidden="1" customHeight="1">
      <c r="A157" s="8" t="s">
        <v>170</v>
      </c>
      <c r="B157" s="61" t="s">
        <v>49</v>
      </c>
      <c r="C157" s="6"/>
      <c r="D157" s="62"/>
      <c r="E157" s="63"/>
    </row>
    <row r="158" spans="1:5" s="44" customFormat="1" ht="21" hidden="1" customHeight="1">
      <c r="A158" s="15" t="s">
        <v>171</v>
      </c>
      <c r="B158" s="61" t="s">
        <v>49</v>
      </c>
      <c r="C158" s="6"/>
      <c r="D158" s="62"/>
      <c r="E158" s="63"/>
    </row>
    <row r="159" spans="1:5" s="44" customFormat="1" ht="21" hidden="1" customHeight="1">
      <c r="A159" s="16" t="s">
        <v>172</v>
      </c>
      <c r="B159" s="61" t="s">
        <v>7</v>
      </c>
      <c r="C159" s="6"/>
      <c r="D159" s="62"/>
      <c r="E159" s="63"/>
    </row>
    <row r="160" spans="1:5" s="44" customFormat="1" ht="21" hidden="1" customHeight="1">
      <c r="A160" s="8" t="s">
        <v>173</v>
      </c>
      <c r="B160" s="61" t="s">
        <v>7</v>
      </c>
      <c r="C160" s="6"/>
      <c r="D160" s="62"/>
      <c r="E160" s="63"/>
    </row>
    <row r="161" spans="1:35" s="44" customFormat="1" ht="21" hidden="1" customHeight="1">
      <c r="A161" s="8" t="s">
        <v>174</v>
      </c>
      <c r="B161" s="61" t="s">
        <v>49</v>
      </c>
      <c r="C161" s="6"/>
      <c r="D161" s="62"/>
      <c r="E161" s="63"/>
    </row>
    <row r="162" spans="1:35" s="44" customFormat="1" ht="21" hidden="1" customHeight="1">
      <c r="A162" s="8" t="s">
        <v>175</v>
      </c>
      <c r="B162" s="61" t="s">
        <v>49</v>
      </c>
      <c r="C162" s="6"/>
      <c r="D162" s="62"/>
      <c r="E162" s="63"/>
    </row>
    <row r="163" spans="1:35" s="44" customFormat="1" ht="21" hidden="1" customHeight="1">
      <c r="A163" s="8" t="s">
        <v>176</v>
      </c>
      <c r="B163" s="61" t="s">
        <v>49</v>
      </c>
      <c r="C163" s="14"/>
      <c r="D163" s="62"/>
      <c r="E163" s="63"/>
    </row>
    <row r="164" spans="1:35" s="44" customFormat="1" ht="21" hidden="1" customHeight="1">
      <c r="A164" s="8" t="s">
        <v>177</v>
      </c>
      <c r="B164" s="61" t="s">
        <v>7</v>
      </c>
      <c r="C164" s="14"/>
      <c r="D164" s="62"/>
      <c r="E164" s="63"/>
    </row>
    <row r="165" spans="1:35" s="46" customFormat="1" ht="21" hidden="1" customHeight="1">
      <c r="A165" s="8" t="s">
        <v>178</v>
      </c>
      <c r="B165" s="61" t="s">
        <v>54</v>
      </c>
      <c r="C165" s="14"/>
      <c r="D165" s="62"/>
      <c r="E165" s="63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 spans="1:35" s="44" customFormat="1" ht="21" hidden="1" customHeight="1">
      <c r="A166" s="8" t="s">
        <v>179</v>
      </c>
      <c r="B166" s="61" t="s">
        <v>54</v>
      </c>
      <c r="C166" s="6"/>
      <c r="D166" s="62"/>
      <c r="E166" s="63"/>
    </row>
    <row r="167" spans="1:35" s="44" customFormat="1" ht="21" hidden="1" customHeight="1">
      <c r="A167" s="8" t="s">
        <v>180</v>
      </c>
      <c r="B167" s="61" t="s">
        <v>7</v>
      </c>
      <c r="C167" s="6"/>
      <c r="D167" s="62"/>
      <c r="E167" s="63"/>
    </row>
    <row r="168" spans="1:35" s="44" customFormat="1" ht="21" hidden="1" customHeight="1">
      <c r="A168" s="15" t="s">
        <v>181</v>
      </c>
      <c r="B168" s="61" t="s">
        <v>54</v>
      </c>
      <c r="C168" s="6"/>
      <c r="D168" s="62"/>
      <c r="E168" s="63"/>
    </row>
    <row r="169" spans="1:35" s="44" customFormat="1" ht="21" hidden="1" customHeight="1">
      <c r="A169" s="11" t="s">
        <v>182</v>
      </c>
      <c r="B169" s="61" t="s">
        <v>7</v>
      </c>
      <c r="C169" s="6"/>
      <c r="D169" s="62"/>
      <c r="E169" s="63"/>
    </row>
    <row r="170" spans="1:35" s="44" customFormat="1" ht="21" customHeight="1">
      <c r="A170" s="19" t="s">
        <v>183</v>
      </c>
      <c r="B170" s="64" t="s">
        <v>54</v>
      </c>
      <c r="C170" s="65">
        <v>5</v>
      </c>
      <c r="D170" s="66">
        <v>8000</v>
      </c>
      <c r="E170" s="67">
        <f>+D170*C170</f>
        <v>40000</v>
      </c>
    </row>
    <row r="171" spans="1:35" s="44" customFormat="1" ht="21" hidden="1" customHeight="1">
      <c r="A171" s="27" t="s">
        <v>184</v>
      </c>
      <c r="B171" s="61" t="s">
        <v>54</v>
      </c>
      <c r="C171" s="6"/>
      <c r="D171" s="68"/>
      <c r="E171" s="63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</row>
    <row r="172" spans="1:35" s="44" customFormat="1" ht="21" hidden="1" customHeight="1">
      <c r="A172" s="8" t="s">
        <v>185</v>
      </c>
      <c r="B172" s="61" t="s">
        <v>7</v>
      </c>
      <c r="C172" s="6"/>
      <c r="D172" s="68"/>
      <c r="E172" s="63"/>
    </row>
    <row r="173" spans="1:35" s="44" customFormat="1" ht="21" hidden="1" customHeight="1">
      <c r="A173" s="8" t="s">
        <v>186</v>
      </c>
      <c r="B173" s="61" t="s">
        <v>7</v>
      </c>
      <c r="C173" s="6"/>
      <c r="D173" s="62"/>
      <c r="E173" s="63"/>
    </row>
    <row r="174" spans="1:35" s="44" customFormat="1" ht="21" hidden="1" customHeight="1">
      <c r="A174" s="18" t="s">
        <v>187</v>
      </c>
      <c r="B174" s="61" t="s">
        <v>7</v>
      </c>
      <c r="C174" s="6"/>
      <c r="D174" s="62"/>
      <c r="E174" s="63"/>
    </row>
    <row r="175" spans="1:35" s="44" customFormat="1" ht="21" hidden="1" customHeight="1">
      <c r="A175" s="8" t="s">
        <v>188</v>
      </c>
      <c r="B175" s="61" t="s">
        <v>49</v>
      </c>
      <c r="C175" s="6"/>
      <c r="D175" s="62"/>
      <c r="E175" s="63"/>
    </row>
    <row r="176" spans="1:35" s="44" customFormat="1" ht="21" hidden="1" customHeight="1">
      <c r="A176" s="28" t="s">
        <v>189</v>
      </c>
      <c r="B176" s="71" t="s">
        <v>7</v>
      </c>
      <c r="C176" s="29"/>
      <c r="D176" s="72"/>
      <c r="E176" s="73"/>
    </row>
    <row r="177" spans="1:5" s="44" customFormat="1" ht="21" hidden="1" customHeight="1">
      <c r="A177" s="10" t="s">
        <v>190</v>
      </c>
      <c r="B177" s="61" t="s">
        <v>7</v>
      </c>
      <c r="C177" s="6"/>
      <c r="D177" s="62"/>
      <c r="E177" s="63"/>
    </row>
    <row r="178" spans="1:5" s="44" customFormat="1" ht="21" hidden="1" customHeight="1">
      <c r="A178" s="8" t="s">
        <v>191</v>
      </c>
      <c r="B178" s="61" t="s">
        <v>7</v>
      </c>
      <c r="C178" s="6"/>
      <c r="D178" s="62"/>
      <c r="E178" s="63"/>
    </row>
    <row r="179" spans="1:5" s="44" customFormat="1" ht="21" hidden="1" customHeight="1">
      <c r="A179" s="8" t="s">
        <v>192</v>
      </c>
      <c r="B179" s="61" t="s">
        <v>7</v>
      </c>
      <c r="C179" s="6"/>
      <c r="D179" s="62"/>
      <c r="E179" s="63"/>
    </row>
    <row r="180" spans="1:5" s="44" customFormat="1" ht="21" hidden="1" customHeight="1">
      <c r="A180" s="11" t="s">
        <v>193</v>
      </c>
      <c r="B180" s="61" t="s">
        <v>7</v>
      </c>
      <c r="C180" s="6"/>
      <c r="D180" s="62"/>
      <c r="E180" s="63"/>
    </row>
    <row r="181" spans="1:5" s="44" customFormat="1" ht="21" hidden="1" customHeight="1">
      <c r="A181" s="8" t="s">
        <v>194</v>
      </c>
      <c r="B181" s="61" t="s">
        <v>7</v>
      </c>
      <c r="C181" s="6"/>
      <c r="D181" s="62"/>
      <c r="E181" s="63"/>
    </row>
    <row r="182" spans="1:5" s="44" customFormat="1" ht="21" hidden="1" customHeight="1">
      <c r="A182" s="8" t="s">
        <v>195</v>
      </c>
      <c r="B182" s="61" t="s">
        <v>7</v>
      </c>
      <c r="C182" s="6"/>
      <c r="D182" s="62"/>
      <c r="E182" s="63"/>
    </row>
    <row r="183" spans="1:5" s="44" customFormat="1" ht="21" hidden="1" customHeight="1">
      <c r="A183" s="11" t="s">
        <v>196</v>
      </c>
      <c r="B183" s="61" t="s">
        <v>7</v>
      </c>
      <c r="C183" s="6"/>
      <c r="D183" s="62"/>
      <c r="E183" s="63"/>
    </row>
    <row r="184" spans="1:5" s="44" customFormat="1" ht="21" hidden="1" customHeight="1">
      <c r="A184" s="11" t="s">
        <v>197</v>
      </c>
      <c r="B184" s="61" t="s">
        <v>7</v>
      </c>
      <c r="C184" s="6"/>
      <c r="D184" s="62"/>
      <c r="E184" s="63"/>
    </row>
    <row r="185" spans="1:5" s="44" customFormat="1" ht="21" customHeight="1">
      <c r="A185" s="10" t="s">
        <v>198</v>
      </c>
      <c r="B185" s="64" t="s">
        <v>7</v>
      </c>
      <c r="C185" s="65">
        <v>300</v>
      </c>
      <c r="D185" s="66">
        <v>7000</v>
      </c>
      <c r="E185" s="67">
        <f>+D185*C185</f>
        <v>2100000</v>
      </c>
    </row>
    <row r="186" spans="1:5" s="44" customFormat="1" ht="21" hidden="1" customHeight="1">
      <c r="A186" s="8" t="s">
        <v>199</v>
      </c>
      <c r="B186" s="61" t="s">
        <v>49</v>
      </c>
      <c r="C186" s="6"/>
      <c r="D186" s="62"/>
      <c r="E186" s="63"/>
    </row>
    <row r="187" spans="1:5" s="44" customFormat="1" ht="21" hidden="1" customHeight="1">
      <c r="A187" s="11" t="s">
        <v>200</v>
      </c>
      <c r="B187" s="61" t="s">
        <v>7</v>
      </c>
      <c r="C187" s="6"/>
      <c r="D187" s="62"/>
      <c r="E187" s="63"/>
    </row>
    <row r="188" spans="1:5" s="44" customFormat="1" ht="21" hidden="1" customHeight="1">
      <c r="A188" s="11" t="s">
        <v>201</v>
      </c>
      <c r="B188" s="61" t="s">
        <v>7</v>
      </c>
      <c r="C188" s="6"/>
      <c r="D188" s="62"/>
      <c r="E188" s="63"/>
    </row>
    <row r="189" spans="1:5" s="44" customFormat="1" ht="21" hidden="1" customHeight="1">
      <c r="A189" s="11" t="s">
        <v>202</v>
      </c>
      <c r="B189" s="61" t="s">
        <v>49</v>
      </c>
      <c r="C189" s="6"/>
      <c r="D189" s="62"/>
      <c r="E189" s="63"/>
    </row>
    <row r="190" spans="1:5" s="44" customFormat="1" ht="21" hidden="1" customHeight="1">
      <c r="A190" s="8" t="s">
        <v>203</v>
      </c>
      <c r="B190" s="61" t="s">
        <v>49</v>
      </c>
      <c r="C190" s="6"/>
      <c r="D190" s="62"/>
      <c r="E190" s="63"/>
    </row>
    <row r="191" spans="1:5" s="44" customFormat="1" ht="21" hidden="1" customHeight="1">
      <c r="A191" s="15" t="s">
        <v>204</v>
      </c>
      <c r="B191" s="61" t="s">
        <v>7</v>
      </c>
      <c r="C191" s="6"/>
      <c r="D191" s="62"/>
      <c r="E191" s="63"/>
    </row>
    <row r="192" spans="1:5" s="44" customFormat="1" ht="21" hidden="1" customHeight="1">
      <c r="A192" s="15" t="s">
        <v>205</v>
      </c>
      <c r="B192" s="61" t="s">
        <v>7</v>
      </c>
      <c r="C192" s="6"/>
      <c r="D192" s="62"/>
      <c r="E192" s="63"/>
    </row>
    <row r="193" spans="1:5" s="44" customFormat="1" ht="21" hidden="1" customHeight="1">
      <c r="A193" s="15" t="s">
        <v>206</v>
      </c>
      <c r="B193" s="61" t="s">
        <v>7</v>
      </c>
      <c r="C193" s="6"/>
      <c r="D193" s="62"/>
      <c r="E193" s="63"/>
    </row>
    <row r="194" spans="1:5" s="44" customFormat="1" ht="21" hidden="1" customHeight="1">
      <c r="A194" s="15" t="s">
        <v>207</v>
      </c>
      <c r="B194" s="61" t="s">
        <v>49</v>
      </c>
      <c r="C194" s="6"/>
      <c r="D194" s="62"/>
      <c r="E194" s="63"/>
    </row>
    <row r="195" spans="1:5" s="44" customFormat="1" ht="21" hidden="1" customHeight="1">
      <c r="A195" s="11" t="s">
        <v>208</v>
      </c>
      <c r="B195" s="61" t="s">
        <v>7</v>
      </c>
      <c r="C195" s="6"/>
      <c r="D195" s="62"/>
      <c r="E195" s="63"/>
    </row>
    <row r="196" spans="1:5" s="44" customFormat="1" ht="21" hidden="1" customHeight="1">
      <c r="A196" s="8" t="s">
        <v>209</v>
      </c>
      <c r="B196" s="61" t="s">
        <v>49</v>
      </c>
      <c r="C196" s="6"/>
      <c r="D196" s="62"/>
      <c r="E196" s="63"/>
    </row>
    <row r="197" spans="1:5" s="44" customFormat="1" ht="21" hidden="1" customHeight="1">
      <c r="A197" s="30" t="s">
        <v>210</v>
      </c>
      <c r="B197" s="61" t="s">
        <v>49</v>
      </c>
      <c r="C197" s="6"/>
      <c r="D197" s="62"/>
      <c r="E197" s="63"/>
    </row>
    <row r="198" spans="1:5" s="44" customFormat="1" ht="21" hidden="1" customHeight="1">
      <c r="A198" s="30" t="s">
        <v>211</v>
      </c>
      <c r="B198" s="61" t="s">
        <v>49</v>
      </c>
      <c r="C198" s="6"/>
      <c r="D198" s="62"/>
      <c r="E198" s="63"/>
    </row>
    <row r="199" spans="1:5" s="44" customFormat="1" ht="21" hidden="1" customHeight="1">
      <c r="A199" s="30" t="s">
        <v>212</v>
      </c>
      <c r="B199" s="61" t="s">
        <v>49</v>
      </c>
      <c r="C199" s="6"/>
      <c r="D199" s="62"/>
      <c r="E199" s="63"/>
    </row>
    <row r="200" spans="1:5" s="44" customFormat="1" ht="21" hidden="1" customHeight="1">
      <c r="A200" s="30" t="s">
        <v>213</v>
      </c>
      <c r="B200" s="61" t="s">
        <v>49</v>
      </c>
      <c r="C200" s="6"/>
      <c r="D200" s="62"/>
      <c r="E200" s="63"/>
    </row>
    <row r="201" spans="1:5" s="44" customFormat="1" ht="21" hidden="1" customHeight="1">
      <c r="A201" s="8" t="s">
        <v>214</v>
      </c>
      <c r="B201" s="61" t="s">
        <v>7</v>
      </c>
      <c r="C201" s="6"/>
      <c r="D201" s="62"/>
      <c r="E201" s="63"/>
    </row>
    <row r="202" spans="1:5" s="44" customFormat="1" ht="21" hidden="1" customHeight="1">
      <c r="A202" s="31" t="s">
        <v>215</v>
      </c>
      <c r="B202" s="61" t="s">
        <v>54</v>
      </c>
      <c r="C202" s="6"/>
      <c r="D202" s="62"/>
      <c r="E202" s="63"/>
    </row>
    <row r="203" spans="1:5" s="44" customFormat="1" ht="21" customHeight="1">
      <c r="A203" s="19" t="s">
        <v>216</v>
      </c>
      <c r="B203" s="64" t="s">
        <v>7</v>
      </c>
      <c r="C203" s="65">
        <v>290</v>
      </c>
      <c r="D203" s="66">
        <v>19000</v>
      </c>
      <c r="E203" s="67">
        <f t="shared" ref="E203:E204" si="1">+D203*C203</f>
        <v>5510000</v>
      </c>
    </row>
    <row r="204" spans="1:5" s="44" customFormat="1" ht="21" customHeight="1">
      <c r="A204" s="10" t="s">
        <v>217</v>
      </c>
      <c r="B204" s="64" t="s">
        <v>7</v>
      </c>
      <c r="C204" s="65">
        <v>170</v>
      </c>
      <c r="D204" s="66">
        <v>19000</v>
      </c>
      <c r="E204" s="67">
        <f t="shared" si="1"/>
        <v>3230000</v>
      </c>
    </row>
    <row r="205" spans="1:5" s="44" customFormat="1" ht="21" hidden="1" customHeight="1">
      <c r="A205" s="8" t="s">
        <v>218</v>
      </c>
      <c r="B205" s="61" t="s">
        <v>49</v>
      </c>
      <c r="C205" s="6"/>
      <c r="D205" s="74"/>
      <c r="E205" s="63"/>
    </row>
    <row r="206" spans="1:5" s="44" customFormat="1" ht="21" customHeight="1">
      <c r="A206" s="19" t="s">
        <v>219</v>
      </c>
      <c r="B206" s="64" t="s">
        <v>7</v>
      </c>
      <c r="C206" s="65">
        <v>200</v>
      </c>
      <c r="D206" s="66">
        <v>13000</v>
      </c>
      <c r="E206" s="67">
        <f>+D206*C206</f>
        <v>2600000</v>
      </c>
    </row>
    <row r="207" spans="1:5" s="44" customFormat="1" ht="21" hidden="1" customHeight="1">
      <c r="A207" s="32" t="s">
        <v>220</v>
      </c>
      <c r="B207" s="61" t="s">
        <v>49</v>
      </c>
      <c r="C207" s="6"/>
      <c r="D207" s="74"/>
      <c r="E207" s="63"/>
    </row>
    <row r="208" spans="1:5" s="44" customFormat="1" ht="21" hidden="1" customHeight="1">
      <c r="A208" s="32" t="s">
        <v>221</v>
      </c>
      <c r="B208" s="61" t="s">
        <v>49</v>
      </c>
      <c r="C208" s="6"/>
      <c r="D208" s="74"/>
      <c r="E208" s="63"/>
    </row>
    <row r="209" spans="1:5" s="44" customFormat="1" ht="21" hidden="1" customHeight="1">
      <c r="A209" s="8" t="s">
        <v>222</v>
      </c>
      <c r="B209" s="61" t="s">
        <v>7</v>
      </c>
      <c r="C209" s="6"/>
      <c r="D209" s="62"/>
      <c r="E209" s="63"/>
    </row>
    <row r="210" spans="1:5" s="44" customFormat="1" ht="21" customHeight="1">
      <c r="A210" s="10" t="s">
        <v>223</v>
      </c>
      <c r="B210" s="64" t="s">
        <v>7</v>
      </c>
      <c r="C210" s="65">
        <v>6</v>
      </c>
      <c r="D210" s="66">
        <v>36000</v>
      </c>
      <c r="E210" s="67">
        <f>+D210*C210</f>
        <v>216000</v>
      </c>
    </row>
    <row r="211" spans="1:5" s="44" customFormat="1" ht="21" hidden="1" customHeight="1">
      <c r="A211" s="8" t="s">
        <v>224</v>
      </c>
      <c r="B211" s="61" t="s">
        <v>7</v>
      </c>
      <c r="C211" s="6"/>
      <c r="D211" s="62"/>
      <c r="E211" s="63"/>
    </row>
    <row r="212" spans="1:5" s="44" customFormat="1" ht="21" hidden="1" customHeight="1">
      <c r="A212" s="8" t="s">
        <v>225</v>
      </c>
      <c r="B212" s="61" t="s">
        <v>7</v>
      </c>
      <c r="C212" s="6"/>
      <c r="D212" s="62"/>
      <c r="E212" s="63"/>
    </row>
    <row r="213" spans="1:5" s="44" customFormat="1" ht="21" hidden="1" customHeight="1">
      <c r="A213" s="8" t="s">
        <v>226</v>
      </c>
      <c r="B213" s="61" t="s">
        <v>49</v>
      </c>
      <c r="C213" s="6"/>
      <c r="D213" s="62"/>
      <c r="E213" s="63"/>
    </row>
    <row r="214" spans="1:5" s="44" customFormat="1" ht="21" hidden="1" customHeight="1">
      <c r="A214" s="8" t="s">
        <v>227</v>
      </c>
      <c r="B214" s="61" t="s">
        <v>7</v>
      </c>
      <c r="C214" s="6"/>
      <c r="D214" s="62"/>
      <c r="E214" s="63"/>
    </row>
    <row r="215" spans="1:5" s="44" customFormat="1" ht="21" hidden="1" customHeight="1">
      <c r="A215" s="33" t="s">
        <v>228</v>
      </c>
      <c r="B215" s="61" t="s">
        <v>49</v>
      </c>
      <c r="C215" s="6"/>
      <c r="D215" s="62"/>
      <c r="E215" s="63"/>
    </row>
    <row r="216" spans="1:5" s="44" customFormat="1" ht="21" hidden="1" customHeight="1">
      <c r="A216" s="8" t="s">
        <v>229</v>
      </c>
      <c r="B216" s="61" t="s">
        <v>7</v>
      </c>
      <c r="C216" s="6"/>
      <c r="D216" s="62"/>
      <c r="E216" s="63"/>
    </row>
    <row r="217" spans="1:5" s="44" customFormat="1" ht="21" customHeight="1">
      <c r="A217" s="19" t="s">
        <v>230</v>
      </c>
      <c r="B217" s="64" t="s">
        <v>7</v>
      </c>
      <c r="C217" s="65">
        <v>300</v>
      </c>
      <c r="D217" s="66">
        <v>16000</v>
      </c>
      <c r="E217" s="67">
        <f>+D217*C217</f>
        <v>4800000</v>
      </c>
    </row>
    <row r="218" spans="1:5" s="44" customFormat="1" ht="21" hidden="1" customHeight="1">
      <c r="A218" s="8" t="s">
        <v>231</v>
      </c>
      <c r="B218" s="61" t="s">
        <v>49</v>
      </c>
      <c r="C218" s="6"/>
      <c r="D218" s="62"/>
      <c r="E218" s="63"/>
    </row>
    <row r="219" spans="1:5" s="44" customFormat="1" ht="21" hidden="1" customHeight="1">
      <c r="A219" s="8" t="s">
        <v>232</v>
      </c>
      <c r="B219" s="61" t="s">
        <v>49</v>
      </c>
      <c r="C219" s="6"/>
      <c r="D219" s="62"/>
      <c r="E219" s="63"/>
    </row>
    <row r="220" spans="1:5" s="44" customFormat="1" ht="21" hidden="1" customHeight="1">
      <c r="A220" s="15" t="s">
        <v>233</v>
      </c>
      <c r="B220" s="61" t="s">
        <v>7</v>
      </c>
      <c r="C220" s="6"/>
      <c r="D220" s="62"/>
      <c r="E220" s="63"/>
    </row>
    <row r="221" spans="1:5" s="44" customFormat="1" ht="21" hidden="1" customHeight="1">
      <c r="A221" s="15" t="s">
        <v>234</v>
      </c>
      <c r="B221" s="61" t="s">
        <v>49</v>
      </c>
      <c r="C221" s="6"/>
      <c r="D221" s="62"/>
      <c r="E221" s="63"/>
    </row>
    <row r="222" spans="1:5" s="44" customFormat="1" ht="21" hidden="1" customHeight="1">
      <c r="A222" s="15" t="s">
        <v>235</v>
      </c>
      <c r="B222" s="61" t="s">
        <v>7</v>
      </c>
      <c r="C222" s="6"/>
      <c r="D222" s="62"/>
      <c r="E222" s="63"/>
    </row>
    <row r="223" spans="1:5" s="44" customFormat="1" ht="21" hidden="1" customHeight="1">
      <c r="A223" s="15" t="s">
        <v>236</v>
      </c>
      <c r="B223" s="61" t="s">
        <v>49</v>
      </c>
      <c r="C223" s="6"/>
      <c r="D223" s="62"/>
      <c r="E223" s="63"/>
    </row>
    <row r="224" spans="1:5" s="44" customFormat="1" ht="21" hidden="1" customHeight="1">
      <c r="A224" s="8" t="s">
        <v>237</v>
      </c>
      <c r="B224" s="61" t="s">
        <v>7</v>
      </c>
      <c r="C224" s="6"/>
      <c r="D224" s="62"/>
      <c r="E224" s="63"/>
    </row>
    <row r="225" spans="1:5" s="44" customFormat="1" ht="21" hidden="1" customHeight="1">
      <c r="A225" s="8" t="s">
        <v>238</v>
      </c>
      <c r="B225" s="61" t="s">
        <v>7</v>
      </c>
      <c r="C225" s="6"/>
      <c r="D225" s="62"/>
      <c r="E225" s="63"/>
    </row>
    <row r="226" spans="1:5" s="44" customFormat="1" ht="21" hidden="1" customHeight="1">
      <c r="A226" s="15" t="s">
        <v>239</v>
      </c>
      <c r="B226" s="61" t="s">
        <v>49</v>
      </c>
      <c r="C226" s="6"/>
      <c r="D226" s="62"/>
      <c r="E226" s="63"/>
    </row>
    <row r="227" spans="1:5" s="44" customFormat="1" ht="21" hidden="1" customHeight="1">
      <c r="A227" s="15" t="s">
        <v>240</v>
      </c>
      <c r="B227" s="61" t="s">
        <v>49</v>
      </c>
      <c r="C227" s="6"/>
      <c r="D227" s="62"/>
      <c r="E227" s="63"/>
    </row>
    <row r="228" spans="1:5" s="44" customFormat="1" ht="21" customHeight="1">
      <c r="A228" s="10" t="s">
        <v>241</v>
      </c>
      <c r="B228" s="64" t="s">
        <v>7</v>
      </c>
      <c r="C228" s="65">
        <v>687</v>
      </c>
      <c r="D228" s="191">
        <v>37000</v>
      </c>
      <c r="E228" s="192">
        <f>+D228*C228</f>
        <v>25419000</v>
      </c>
    </row>
    <row r="229" spans="1:5" s="44" customFormat="1" ht="21" hidden="1" customHeight="1">
      <c r="A229" s="11" t="s">
        <v>242</v>
      </c>
      <c r="B229" s="61" t="s">
        <v>68</v>
      </c>
      <c r="C229" s="6"/>
      <c r="D229" s="62"/>
      <c r="E229" s="63"/>
    </row>
    <row r="230" spans="1:5" s="44" customFormat="1" ht="21" hidden="1" customHeight="1">
      <c r="A230" s="10" t="s">
        <v>243</v>
      </c>
      <c r="B230" s="61" t="s">
        <v>68</v>
      </c>
      <c r="C230" s="6"/>
      <c r="D230" s="62"/>
      <c r="E230" s="63"/>
    </row>
    <row r="231" spans="1:5" s="44" customFormat="1" ht="21" hidden="1" customHeight="1">
      <c r="A231" s="15" t="s">
        <v>244</v>
      </c>
      <c r="B231" s="61" t="s">
        <v>7</v>
      </c>
      <c r="C231" s="6"/>
      <c r="D231" s="62"/>
      <c r="E231" s="63"/>
    </row>
    <row r="232" spans="1:5" s="44" customFormat="1" ht="21" hidden="1" customHeight="1">
      <c r="A232" s="10" t="s">
        <v>245</v>
      </c>
      <c r="B232" s="61" t="s">
        <v>7</v>
      </c>
      <c r="C232" s="6"/>
      <c r="D232" s="62"/>
      <c r="E232" s="63"/>
    </row>
    <row r="233" spans="1:5" s="44" customFormat="1" ht="21" hidden="1" customHeight="1">
      <c r="A233" s="10" t="s">
        <v>246</v>
      </c>
      <c r="B233" s="61" t="s">
        <v>7</v>
      </c>
      <c r="C233" s="6"/>
      <c r="D233" s="62"/>
      <c r="E233" s="63"/>
    </row>
    <row r="234" spans="1:5" s="44" customFormat="1" ht="21" hidden="1" customHeight="1">
      <c r="A234" s="10" t="s">
        <v>247</v>
      </c>
      <c r="B234" s="61" t="s">
        <v>39</v>
      </c>
      <c r="C234" s="6"/>
      <c r="D234" s="62"/>
      <c r="E234" s="63"/>
    </row>
    <row r="235" spans="1:5" s="44" customFormat="1" ht="21" hidden="1" customHeight="1">
      <c r="A235" s="8" t="s">
        <v>248</v>
      </c>
      <c r="B235" s="61" t="s">
        <v>7</v>
      </c>
      <c r="C235" s="6"/>
      <c r="D235" s="62"/>
      <c r="E235" s="63"/>
    </row>
    <row r="236" spans="1:5" s="44" customFormat="1" ht="21" hidden="1" customHeight="1">
      <c r="A236" s="8" t="s">
        <v>249</v>
      </c>
      <c r="B236" s="61" t="s">
        <v>7</v>
      </c>
      <c r="C236" s="6"/>
      <c r="D236" s="62"/>
      <c r="E236" s="63"/>
    </row>
    <row r="237" spans="1:5" s="44" customFormat="1" ht="21" hidden="1" customHeight="1">
      <c r="A237" s="10" t="s">
        <v>250</v>
      </c>
      <c r="B237" s="61" t="s">
        <v>7</v>
      </c>
      <c r="C237" s="6"/>
      <c r="D237" s="62"/>
      <c r="E237" s="63"/>
    </row>
    <row r="238" spans="1:5" s="44" customFormat="1" ht="21" hidden="1" customHeight="1">
      <c r="A238" s="32" t="s">
        <v>251</v>
      </c>
      <c r="B238" s="61" t="s">
        <v>7</v>
      </c>
      <c r="C238" s="6"/>
      <c r="D238" s="62"/>
      <c r="E238" s="63"/>
    </row>
    <row r="239" spans="1:5" s="44" customFormat="1" ht="21" hidden="1" customHeight="1">
      <c r="A239" s="8" t="s">
        <v>252</v>
      </c>
      <c r="B239" s="61" t="s">
        <v>7</v>
      </c>
      <c r="C239" s="6"/>
      <c r="D239" s="62"/>
      <c r="E239" s="63"/>
    </row>
    <row r="240" spans="1:5" s="44" customFormat="1" ht="21" hidden="1" customHeight="1">
      <c r="A240" s="8" t="s">
        <v>253</v>
      </c>
      <c r="B240" s="61" t="s">
        <v>21</v>
      </c>
      <c r="C240" s="6"/>
      <c r="D240" s="62"/>
      <c r="E240" s="63"/>
    </row>
    <row r="241" spans="1:5" s="44" customFormat="1" ht="21" hidden="1" customHeight="1">
      <c r="A241" s="12" t="s">
        <v>254</v>
      </c>
      <c r="B241" s="61" t="s">
        <v>68</v>
      </c>
      <c r="C241" s="6"/>
      <c r="D241" s="62"/>
      <c r="E241" s="63"/>
    </row>
    <row r="242" spans="1:5" s="44" customFormat="1" ht="21" hidden="1" customHeight="1">
      <c r="A242" s="12" t="s">
        <v>255</v>
      </c>
      <c r="B242" s="61" t="s">
        <v>68</v>
      </c>
      <c r="C242" s="6"/>
      <c r="D242" s="62"/>
      <c r="E242" s="63"/>
    </row>
    <row r="243" spans="1:5" s="44" customFormat="1" ht="21" hidden="1" customHeight="1">
      <c r="A243" s="30" t="s">
        <v>256</v>
      </c>
      <c r="B243" s="61" t="s">
        <v>49</v>
      </c>
      <c r="C243" s="6"/>
      <c r="D243" s="62"/>
      <c r="E243" s="63"/>
    </row>
    <row r="244" spans="1:5" s="44" customFormat="1" ht="21" hidden="1" customHeight="1">
      <c r="A244" s="8" t="s">
        <v>257</v>
      </c>
      <c r="B244" s="61" t="s">
        <v>7</v>
      </c>
      <c r="C244" s="6"/>
      <c r="D244" s="62"/>
      <c r="E244" s="63"/>
    </row>
    <row r="245" spans="1:5" s="44" customFormat="1" ht="21" hidden="1" customHeight="1">
      <c r="A245" s="8" t="s">
        <v>258</v>
      </c>
      <c r="B245" s="61" t="s">
        <v>49</v>
      </c>
      <c r="C245" s="6"/>
      <c r="D245" s="62"/>
      <c r="E245" s="63"/>
    </row>
    <row r="246" spans="1:5" s="44" customFormat="1" ht="21" hidden="1" customHeight="1">
      <c r="A246" s="8" t="s">
        <v>259</v>
      </c>
      <c r="B246" s="61" t="s">
        <v>7</v>
      </c>
      <c r="C246" s="14"/>
      <c r="D246" s="62"/>
      <c r="E246" s="63"/>
    </row>
    <row r="247" spans="1:5" s="44" customFormat="1" ht="21" hidden="1" customHeight="1">
      <c r="A247" s="30" t="s">
        <v>260</v>
      </c>
      <c r="B247" s="61" t="s">
        <v>49</v>
      </c>
      <c r="C247" s="6"/>
      <c r="D247" s="62"/>
      <c r="E247" s="63"/>
    </row>
    <row r="248" spans="1:5" s="44" customFormat="1" ht="21" hidden="1" customHeight="1">
      <c r="A248" s="8" t="s">
        <v>261</v>
      </c>
      <c r="B248" s="61" t="s">
        <v>49</v>
      </c>
      <c r="C248" s="14"/>
      <c r="D248" s="75"/>
      <c r="E248" s="63"/>
    </row>
    <row r="249" spans="1:5" s="44" customFormat="1" ht="21" hidden="1" customHeight="1">
      <c r="A249" s="8" t="s">
        <v>262</v>
      </c>
      <c r="B249" s="61" t="s">
        <v>7</v>
      </c>
      <c r="C249" s="6"/>
      <c r="D249" s="75"/>
      <c r="E249" s="63"/>
    </row>
    <row r="250" spans="1:5" s="44" customFormat="1" ht="21" hidden="1" customHeight="1">
      <c r="A250" s="10" t="s">
        <v>263</v>
      </c>
      <c r="B250" s="61" t="s">
        <v>7</v>
      </c>
      <c r="C250" s="6"/>
      <c r="D250" s="62"/>
      <c r="E250" s="63"/>
    </row>
    <row r="251" spans="1:5" s="44" customFormat="1" ht="21" hidden="1" customHeight="1">
      <c r="A251" s="10" t="s">
        <v>264</v>
      </c>
      <c r="B251" s="61" t="s">
        <v>54</v>
      </c>
      <c r="C251" s="6"/>
      <c r="D251" s="62"/>
      <c r="E251" s="63"/>
    </row>
    <row r="252" spans="1:5" s="44" customFormat="1" ht="21" customHeight="1">
      <c r="A252" s="19" t="s">
        <v>265</v>
      </c>
      <c r="B252" s="64" t="s">
        <v>7</v>
      </c>
      <c r="C252" s="65">
        <v>132</v>
      </c>
      <c r="D252" s="66">
        <v>26000</v>
      </c>
      <c r="E252" s="67">
        <f>+D252*C252</f>
        <v>3432000</v>
      </c>
    </row>
    <row r="253" spans="1:5" s="44" customFormat="1" ht="21" hidden="1" customHeight="1">
      <c r="A253" s="8" t="s">
        <v>266</v>
      </c>
      <c r="B253" s="61" t="s">
        <v>7</v>
      </c>
      <c r="C253" s="6"/>
      <c r="D253" s="62"/>
      <c r="E253" s="63"/>
    </row>
    <row r="254" spans="1:5" s="44" customFormat="1" ht="21" hidden="1" customHeight="1">
      <c r="A254" s="8" t="s">
        <v>267</v>
      </c>
      <c r="B254" s="61" t="s">
        <v>21</v>
      </c>
      <c r="C254" s="6"/>
      <c r="D254" s="62"/>
      <c r="E254" s="63"/>
    </row>
    <row r="255" spans="1:5" s="44" customFormat="1" ht="21" hidden="1" customHeight="1">
      <c r="A255" s="8" t="s">
        <v>268</v>
      </c>
      <c r="B255" s="61" t="s">
        <v>54</v>
      </c>
      <c r="C255" s="6"/>
      <c r="D255" s="62"/>
      <c r="E255" s="63"/>
    </row>
    <row r="256" spans="1:5" s="44" customFormat="1" ht="21" hidden="1" customHeight="1">
      <c r="A256" s="8" t="s">
        <v>269</v>
      </c>
      <c r="B256" s="61" t="s">
        <v>7</v>
      </c>
      <c r="C256" s="6"/>
      <c r="D256" s="62"/>
      <c r="E256" s="63"/>
    </row>
    <row r="257" spans="1:5" s="44" customFormat="1" ht="21" hidden="1" customHeight="1">
      <c r="A257" s="15" t="s">
        <v>270</v>
      </c>
      <c r="B257" s="61" t="s">
        <v>7</v>
      </c>
      <c r="C257" s="6"/>
      <c r="D257" s="62"/>
      <c r="E257" s="63"/>
    </row>
    <row r="258" spans="1:5" s="44" customFormat="1" ht="21" hidden="1" customHeight="1">
      <c r="A258" s="19" t="s">
        <v>271</v>
      </c>
      <c r="B258" s="61" t="s">
        <v>7</v>
      </c>
      <c r="C258" s="6"/>
      <c r="D258" s="62"/>
      <c r="E258" s="63"/>
    </row>
    <row r="259" spans="1:5" s="44" customFormat="1" ht="21" hidden="1" customHeight="1">
      <c r="A259" s="19" t="s">
        <v>272</v>
      </c>
      <c r="B259" s="61" t="s">
        <v>7</v>
      </c>
      <c r="C259" s="6"/>
      <c r="D259" s="62"/>
      <c r="E259" s="63"/>
    </row>
    <row r="260" spans="1:5" s="44" customFormat="1" ht="21" customHeight="1">
      <c r="A260" s="19" t="s">
        <v>273</v>
      </c>
      <c r="B260" s="64" t="s">
        <v>7</v>
      </c>
      <c r="C260" s="65">
        <v>93</v>
      </c>
      <c r="D260" s="66">
        <v>34000</v>
      </c>
      <c r="E260" s="67">
        <f>+D260*C260</f>
        <v>3162000</v>
      </c>
    </row>
    <row r="261" spans="1:5" s="44" customFormat="1" ht="21" hidden="1" customHeight="1">
      <c r="A261" s="8" t="s">
        <v>274</v>
      </c>
      <c r="B261" s="61" t="s">
        <v>7</v>
      </c>
      <c r="C261" s="6"/>
      <c r="D261" s="62"/>
      <c r="E261" s="63"/>
    </row>
    <row r="262" spans="1:5" s="44" customFormat="1" ht="21" hidden="1" customHeight="1">
      <c r="A262" s="8" t="s">
        <v>275</v>
      </c>
      <c r="B262" s="61" t="s">
        <v>21</v>
      </c>
      <c r="C262" s="6"/>
      <c r="D262" s="62"/>
      <c r="E262" s="63"/>
    </row>
    <row r="263" spans="1:5" s="44" customFormat="1" ht="21" hidden="1" customHeight="1">
      <c r="A263" s="8" t="s">
        <v>276</v>
      </c>
      <c r="B263" s="61" t="s">
        <v>54</v>
      </c>
      <c r="C263" s="6"/>
      <c r="D263" s="62"/>
      <c r="E263" s="63"/>
    </row>
    <row r="264" spans="1:5" s="44" customFormat="1" ht="21" customHeight="1">
      <c r="A264" s="19" t="s">
        <v>277</v>
      </c>
      <c r="B264" s="64" t="s">
        <v>7</v>
      </c>
      <c r="C264" s="65">
        <v>26</v>
      </c>
      <c r="D264" s="66">
        <v>18000</v>
      </c>
      <c r="E264" s="67">
        <f>+D264*C264</f>
        <v>468000</v>
      </c>
    </row>
    <row r="265" spans="1:5" s="44" customFormat="1" ht="21" hidden="1" customHeight="1">
      <c r="A265" s="8" t="s">
        <v>278</v>
      </c>
      <c r="B265" s="61" t="s">
        <v>7</v>
      </c>
      <c r="C265" s="6"/>
      <c r="D265" s="62"/>
      <c r="E265" s="63"/>
    </row>
    <row r="266" spans="1:5" s="44" customFormat="1" ht="21" hidden="1" customHeight="1">
      <c r="A266" s="8" t="s">
        <v>279</v>
      </c>
      <c r="B266" s="61" t="s">
        <v>21</v>
      </c>
      <c r="C266" s="6"/>
      <c r="D266" s="62"/>
      <c r="E266" s="63"/>
    </row>
    <row r="267" spans="1:5" s="44" customFormat="1" ht="21" hidden="1" customHeight="1">
      <c r="A267" s="8" t="s">
        <v>280</v>
      </c>
      <c r="B267" s="61" t="s">
        <v>7</v>
      </c>
      <c r="C267" s="14"/>
      <c r="D267" s="62"/>
      <c r="E267" s="63"/>
    </row>
    <row r="268" spans="1:5" s="44" customFormat="1" ht="21" hidden="1" customHeight="1">
      <c r="A268" s="12" t="s">
        <v>281</v>
      </c>
      <c r="B268" s="61" t="s">
        <v>7</v>
      </c>
      <c r="C268" s="6"/>
      <c r="D268" s="62"/>
      <c r="E268" s="63"/>
    </row>
    <row r="269" spans="1:5" s="44" customFormat="1" ht="21" hidden="1" customHeight="1">
      <c r="A269" s="8" t="s">
        <v>282</v>
      </c>
      <c r="B269" s="61" t="s">
        <v>7</v>
      </c>
      <c r="C269" s="6"/>
      <c r="D269" s="62"/>
      <c r="E269" s="63"/>
    </row>
    <row r="270" spans="1:5" s="44" customFormat="1" ht="21" customHeight="1">
      <c r="A270" s="10" t="s">
        <v>283</v>
      </c>
      <c r="B270" s="64" t="s">
        <v>7</v>
      </c>
      <c r="C270" s="65">
        <v>1.5</v>
      </c>
      <c r="D270" s="66">
        <v>35000</v>
      </c>
      <c r="E270" s="67">
        <f>+D270*C270</f>
        <v>52500</v>
      </c>
    </row>
    <row r="271" spans="1:5" s="44" customFormat="1" ht="21" hidden="1" customHeight="1">
      <c r="A271" s="8" t="s">
        <v>284</v>
      </c>
      <c r="B271" s="61" t="s">
        <v>49</v>
      </c>
      <c r="C271" s="6"/>
      <c r="D271" s="76"/>
      <c r="E271" s="63"/>
    </row>
    <row r="272" spans="1:5" s="44" customFormat="1" ht="21" hidden="1" customHeight="1">
      <c r="A272" s="8" t="s">
        <v>285</v>
      </c>
      <c r="B272" s="61" t="s">
        <v>7</v>
      </c>
      <c r="C272" s="6"/>
      <c r="D272" s="62"/>
      <c r="E272" s="63"/>
    </row>
    <row r="273" spans="1:5" s="44" customFormat="1" ht="21" hidden="1" customHeight="1">
      <c r="A273" s="8" t="s">
        <v>286</v>
      </c>
      <c r="B273" s="61" t="s">
        <v>7</v>
      </c>
      <c r="C273" s="6"/>
      <c r="D273" s="62"/>
      <c r="E273" s="63"/>
    </row>
    <row r="274" spans="1:5" s="44" customFormat="1" ht="21" hidden="1" customHeight="1">
      <c r="A274" s="8" t="s">
        <v>287</v>
      </c>
      <c r="B274" s="61" t="s">
        <v>68</v>
      </c>
      <c r="C274" s="6"/>
      <c r="D274" s="62"/>
      <c r="E274" s="63"/>
    </row>
    <row r="275" spans="1:5" s="44" customFormat="1" ht="21" customHeight="1">
      <c r="A275" s="19" t="s">
        <v>288</v>
      </c>
      <c r="B275" s="64" t="s">
        <v>7</v>
      </c>
      <c r="C275" s="65">
        <v>60</v>
      </c>
      <c r="D275" s="66">
        <v>14000</v>
      </c>
      <c r="E275" s="67">
        <f>+D275*C275</f>
        <v>840000</v>
      </c>
    </row>
    <row r="276" spans="1:5" s="44" customFormat="1" ht="21" hidden="1" customHeight="1">
      <c r="A276" s="8" t="s">
        <v>289</v>
      </c>
      <c r="B276" s="61" t="s">
        <v>57</v>
      </c>
      <c r="C276" s="6"/>
      <c r="D276" s="62"/>
      <c r="E276" s="63"/>
    </row>
    <row r="277" spans="1:5" s="44" customFormat="1" ht="21" hidden="1" customHeight="1">
      <c r="A277" s="8" t="s">
        <v>290</v>
      </c>
      <c r="B277" s="61" t="s">
        <v>7</v>
      </c>
      <c r="C277" s="6"/>
      <c r="D277" s="62"/>
      <c r="E277" s="63"/>
    </row>
    <row r="278" spans="1:5" s="44" customFormat="1" ht="21" hidden="1" customHeight="1">
      <c r="A278" s="30" t="s">
        <v>291</v>
      </c>
      <c r="B278" s="61" t="s">
        <v>49</v>
      </c>
      <c r="C278" s="6"/>
      <c r="D278" s="62"/>
      <c r="E278" s="63"/>
    </row>
    <row r="279" spans="1:5" s="44" customFormat="1" ht="21" hidden="1" customHeight="1">
      <c r="A279" s="8" t="s">
        <v>292</v>
      </c>
      <c r="B279" s="61" t="s">
        <v>49</v>
      </c>
      <c r="C279" s="6"/>
      <c r="D279" s="62"/>
      <c r="E279" s="63"/>
    </row>
    <row r="280" spans="1:5" s="44" customFormat="1" ht="21" hidden="1" customHeight="1">
      <c r="A280" s="30" t="s">
        <v>293</v>
      </c>
      <c r="B280" s="61" t="s">
        <v>49</v>
      </c>
      <c r="C280" s="6"/>
      <c r="D280" s="62"/>
      <c r="E280" s="63"/>
    </row>
    <row r="281" spans="1:5" s="44" customFormat="1" ht="21" hidden="1" customHeight="1">
      <c r="A281" s="30" t="s">
        <v>294</v>
      </c>
      <c r="B281" s="61" t="s">
        <v>49</v>
      </c>
      <c r="C281" s="6"/>
      <c r="D281" s="62"/>
      <c r="E281" s="63"/>
    </row>
    <row r="282" spans="1:5" s="44" customFormat="1" ht="21" hidden="1" customHeight="1">
      <c r="A282" s="11" t="s">
        <v>295</v>
      </c>
      <c r="B282" s="61" t="s">
        <v>7</v>
      </c>
      <c r="C282" s="14"/>
      <c r="D282" s="62"/>
      <c r="E282" s="63"/>
    </row>
    <row r="283" spans="1:5" s="44" customFormat="1" ht="21" hidden="1" customHeight="1">
      <c r="A283" s="11" t="s">
        <v>296</v>
      </c>
      <c r="B283" s="61" t="s">
        <v>49</v>
      </c>
      <c r="C283" s="6"/>
      <c r="D283" s="76"/>
      <c r="E283" s="63"/>
    </row>
    <row r="284" spans="1:5" s="44" customFormat="1" ht="21" hidden="1" customHeight="1">
      <c r="A284" s="10" t="s">
        <v>297</v>
      </c>
      <c r="B284" s="61" t="s">
        <v>7</v>
      </c>
      <c r="C284" s="6"/>
      <c r="D284" s="62"/>
      <c r="E284" s="63"/>
    </row>
    <row r="285" spans="1:5" s="44" customFormat="1" ht="21" hidden="1" customHeight="1">
      <c r="A285" s="10" t="s">
        <v>298</v>
      </c>
      <c r="B285" s="61" t="s">
        <v>7</v>
      </c>
      <c r="C285" s="6"/>
      <c r="D285" s="62"/>
      <c r="E285" s="63"/>
    </row>
    <row r="286" spans="1:5" s="44" customFormat="1" ht="21" hidden="1" customHeight="1">
      <c r="A286" s="15" t="s">
        <v>299</v>
      </c>
      <c r="B286" s="61" t="s">
        <v>68</v>
      </c>
      <c r="C286" s="6"/>
      <c r="D286" s="62"/>
      <c r="E286" s="63"/>
    </row>
    <row r="287" spans="1:5" s="44" customFormat="1" ht="21" hidden="1" customHeight="1">
      <c r="A287" s="15" t="s">
        <v>300</v>
      </c>
      <c r="B287" s="61" t="s">
        <v>54</v>
      </c>
      <c r="C287" s="6"/>
      <c r="D287" s="62"/>
      <c r="E287" s="63"/>
    </row>
    <row r="288" spans="1:5" s="44" customFormat="1" ht="21" hidden="1" customHeight="1">
      <c r="A288" s="15" t="s">
        <v>301</v>
      </c>
      <c r="B288" s="61" t="s">
        <v>54</v>
      </c>
      <c r="C288" s="6"/>
      <c r="D288" s="62"/>
      <c r="E288" s="63"/>
    </row>
    <row r="289" spans="1:5" s="44" customFormat="1" ht="21" customHeight="1">
      <c r="A289" s="19" t="s">
        <v>302</v>
      </c>
      <c r="B289" s="64" t="s">
        <v>7</v>
      </c>
      <c r="C289" s="65">
        <v>4</v>
      </c>
      <c r="D289" s="66">
        <v>10000</v>
      </c>
      <c r="E289" s="67">
        <f>+D289*C289</f>
        <v>40000</v>
      </c>
    </row>
    <row r="290" spans="1:5" s="44" customFormat="1" ht="21" hidden="1" customHeight="1">
      <c r="A290" s="15" t="s">
        <v>303</v>
      </c>
      <c r="B290" s="61" t="s">
        <v>49</v>
      </c>
      <c r="C290" s="6"/>
      <c r="D290" s="62"/>
      <c r="E290" s="63"/>
    </row>
    <row r="291" spans="1:5" s="44" customFormat="1" ht="21" hidden="1" customHeight="1">
      <c r="A291" s="8" t="s">
        <v>304</v>
      </c>
      <c r="B291" s="61" t="s">
        <v>7</v>
      </c>
      <c r="C291" s="6"/>
      <c r="D291" s="77"/>
      <c r="E291" s="63"/>
    </row>
    <row r="292" spans="1:5" s="44" customFormat="1" ht="21" customHeight="1">
      <c r="A292" s="19" t="s">
        <v>305</v>
      </c>
      <c r="B292" s="64" t="s">
        <v>7</v>
      </c>
      <c r="C292" s="65">
        <v>30</v>
      </c>
      <c r="D292" s="66">
        <v>7000</v>
      </c>
      <c r="E292" s="67">
        <f>+D292*C292</f>
        <v>210000</v>
      </c>
    </row>
    <row r="293" spans="1:5" s="44" customFormat="1" ht="21" hidden="1" customHeight="1">
      <c r="A293" s="15" t="s">
        <v>306</v>
      </c>
      <c r="B293" s="61" t="s">
        <v>54</v>
      </c>
      <c r="C293" s="6"/>
      <c r="D293" s="62"/>
      <c r="E293" s="63"/>
    </row>
    <row r="294" spans="1:5" s="44" customFormat="1" ht="21" hidden="1" customHeight="1">
      <c r="A294" s="23" t="s">
        <v>307</v>
      </c>
      <c r="B294" s="61" t="s">
        <v>7</v>
      </c>
      <c r="C294" s="6"/>
      <c r="D294" s="62"/>
      <c r="E294" s="63"/>
    </row>
    <row r="295" spans="1:5" s="44" customFormat="1" ht="21" customHeight="1">
      <c r="A295" s="19" t="s">
        <v>308</v>
      </c>
      <c r="B295" s="64" t="s">
        <v>7</v>
      </c>
      <c r="C295" s="65">
        <v>11</v>
      </c>
      <c r="D295" s="66">
        <v>10000</v>
      </c>
      <c r="E295" s="67">
        <f>+D295*C295</f>
        <v>110000</v>
      </c>
    </row>
    <row r="296" spans="1:5" s="44" customFormat="1" ht="21" hidden="1" customHeight="1">
      <c r="A296" s="12" t="s">
        <v>309</v>
      </c>
      <c r="B296" s="61" t="s">
        <v>9</v>
      </c>
      <c r="C296" s="6"/>
      <c r="D296" s="62"/>
      <c r="E296" s="63"/>
    </row>
    <row r="297" spans="1:5" s="44" customFormat="1" ht="21" hidden="1" customHeight="1">
      <c r="A297" s="12" t="s">
        <v>310</v>
      </c>
      <c r="B297" s="61" t="s">
        <v>68</v>
      </c>
      <c r="C297" s="6"/>
      <c r="D297" s="62"/>
      <c r="E297" s="63"/>
    </row>
    <row r="298" spans="1:5" s="44" customFormat="1" ht="21" hidden="1" customHeight="1">
      <c r="A298" s="11" t="s">
        <v>311</v>
      </c>
      <c r="B298" s="61" t="s">
        <v>7</v>
      </c>
      <c r="C298" s="6"/>
      <c r="D298" s="74"/>
      <c r="E298" s="63"/>
    </row>
    <row r="299" spans="1:5" s="44" customFormat="1" ht="21" hidden="1" customHeight="1">
      <c r="A299" s="15" t="s">
        <v>312</v>
      </c>
      <c r="B299" s="61" t="s">
        <v>49</v>
      </c>
      <c r="C299" s="6"/>
      <c r="D299" s="74"/>
      <c r="E299" s="63"/>
    </row>
    <row r="300" spans="1:5" s="44" customFormat="1" ht="21" hidden="1" customHeight="1">
      <c r="A300" s="12" t="s">
        <v>313</v>
      </c>
      <c r="B300" s="61" t="s">
        <v>49</v>
      </c>
      <c r="C300" s="6"/>
      <c r="D300" s="62"/>
      <c r="E300" s="63"/>
    </row>
    <row r="301" spans="1:5" s="44" customFormat="1" ht="21" hidden="1" customHeight="1">
      <c r="A301" s="8" t="s">
        <v>314</v>
      </c>
      <c r="B301" s="61" t="s">
        <v>7</v>
      </c>
      <c r="C301" s="6"/>
      <c r="D301" s="62"/>
      <c r="E301" s="63"/>
    </row>
    <row r="302" spans="1:5" s="44" customFormat="1" ht="21" hidden="1" customHeight="1">
      <c r="A302" s="15" t="s">
        <v>315</v>
      </c>
      <c r="B302" s="61" t="s">
        <v>68</v>
      </c>
      <c r="C302" s="6"/>
      <c r="D302" s="62"/>
      <c r="E302" s="63"/>
    </row>
    <row r="303" spans="1:5" s="44" customFormat="1" ht="21" hidden="1" customHeight="1">
      <c r="A303" s="8" t="s">
        <v>316</v>
      </c>
      <c r="B303" s="61" t="s">
        <v>7</v>
      </c>
      <c r="C303" s="6"/>
      <c r="D303" s="62"/>
      <c r="E303" s="63"/>
    </row>
    <row r="304" spans="1:5" s="44" customFormat="1" ht="21" hidden="1" customHeight="1">
      <c r="A304" s="8" t="s">
        <v>317</v>
      </c>
      <c r="B304" s="61" t="s">
        <v>7</v>
      </c>
      <c r="C304" s="6"/>
      <c r="D304" s="62"/>
      <c r="E304" s="63"/>
    </row>
    <row r="305" spans="1:5" s="44" customFormat="1" ht="21" hidden="1" customHeight="1">
      <c r="A305" s="10" t="s">
        <v>318</v>
      </c>
      <c r="B305" s="61" t="s">
        <v>7</v>
      </c>
      <c r="C305" s="6"/>
      <c r="D305" s="62"/>
      <c r="E305" s="63"/>
    </row>
    <row r="306" spans="1:5" s="44" customFormat="1" ht="21" hidden="1" customHeight="1">
      <c r="A306" s="11" t="s">
        <v>319</v>
      </c>
      <c r="B306" s="61" t="s">
        <v>7</v>
      </c>
      <c r="C306" s="6"/>
      <c r="D306" s="62"/>
      <c r="E306" s="63"/>
    </row>
    <row r="307" spans="1:5" s="44" customFormat="1" ht="21" hidden="1" customHeight="1">
      <c r="A307" s="11" t="s">
        <v>320</v>
      </c>
      <c r="B307" s="61" t="s">
        <v>7</v>
      </c>
      <c r="C307" s="6"/>
      <c r="D307" s="62"/>
      <c r="E307" s="63"/>
    </row>
    <row r="308" spans="1:5" s="44" customFormat="1" ht="21" hidden="1" customHeight="1">
      <c r="A308" s="8" t="s">
        <v>321</v>
      </c>
      <c r="B308" s="61" t="s">
        <v>7</v>
      </c>
      <c r="C308" s="6"/>
      <c r="D308" s="62"/>
      <c r="E308" s="63"/>
    </row>
    <row r="309" spans="1:5" s="44" customFormat="1" ht="21" hidden="1" customHeight="1">
      <c r="A309" s="8" t="s">
        <v>322</v>
      </c>
      <c r="B309" s="61" t="s">
        <v>93</v>
      </c>
      <c r="C309" s="6"/>
      <c r="D309" s="62"/>
      <c r="E309" s="63"/>
    </row>
    <row r="310" spans="1:5" s="44" customFormat="1" ht="21" hidden="1" customHeight="1">
      <c r="A310" s="8" t="s">
        <v>323</v>
      </c>
      <c r="B310" s="61" t="s">
        <v>49</v>
      </c>
      <c r="C310" s="6"/>
      <c r="D310" s="62"/>
      <c r="E310" s="63"/>
    </row>
    <row r="311" spans="1:5" s="44" customFormat="1" ht="21" hidden="1" customHeight="1">
      <c r="A311" s="12" t="s">
        <v>324</v>
      </c>
      <c r="B311" s="61" t="s">
        <v>7</v>
      </c>
      <c r="C311" s="6"/>
      <c r="D311" s="62"/>
      <c r="E311" s="63"/>
    </row>
    <row r="312" spans="1:5" s="44" customFormat="1" ht="21" hidden="1" customHeight="1">
      <c r="A312" s="12" t="s">
        <v>325</v>
      </c>
      <c r="B312" s="61" t="s">
        <v>7</v>
      </c>
      <c r="C312" s="6"/>
      <c r="D312" s="62"/>
      <c r="E312" s="63"/>
    </row>
    <row r="313" spans="1:5" s="44" customFormat="1" ht="21" hidden="1" customHeight="1">
      <c r="A313" s="19" t="s">
        <v>326</v>
      </c>
      <c r="B313" s="61" t="s">
        <v>7</v>
      </c>
      <c r="C313" s="6"/>
      <c r="D313" s="62"/>
      <c r="E313" s="63"/>
    </row>
    <row r="314" spans="1:5" s="44" customFormat="1" ht="21" hidden="1" customHeight="1">
      <c r="A314" s="12" t="s">
        <v>327</v>
      </c>
      <c r="B314" s="61" t="s">
        <v>49</v>
      </c>
      <c r="C314" s="6"/>
      <c r="D314" s="62"/>
      <c r="E314" s="63"/>
    </row>
    <row r="315" spans="1:5" s="44" customFormat="1" ht="21" hidden="1" customHeight="1">
      <c r="A315" s="8" t="s">
        <v>328</v>
      </c>
      <c r="B315" s="61" t="s">
        <v>57</v>
      </c>
      <c r="C315" s="6"/>
      <c r="D315" s="62"/>
      <c r="E315" s="63"/>
    </row>
    <row r="316" spans="1:5" s="44" customFormat="1" ht="21" hidden="1" customHeight="1">
      <c r="A316" s="8" t="s">
        <v>329</v>
      </c>
      <c r="B316" s="61" t="s">
        <v>57</v>
      </c>
      <c r="C316" s="6"/>
      <c r="D316" s="62"/>
      <c r="E316" s="63"/>
    </row>
    <row r="317" spans="1:5" s="44" customFormat="1" ht="21" hidden="1" customHeight="1">
      <c r="A317" s="8" t="s">
        <v>330</v>
      </c>
      <c r="B317" s="61" t="s">
        <v>93</v>
      </c>
      <c r="C317" s="6"/>
      <c r="D317" s="62"/>
      <c r="E317" s="78"/>
    </row>
    <row r="318" spans="1:5" s="44" customFormat="1" ht="21" hidden="1" customHeight="1">
      <c r="A318" s="8" t="s">
        <v>331</v>
      </c>
      <c r="B318" s="61" t="s">
        <v>7</v>
      </c>
      <c r="C318" s="6"/>
      <c r="D318" s="62"/>
      <c r="E318" s="63"/>
    </row>
    <row r="319" spans="1:5" s="44" customFormat="1" ht="21" hidden="1" customHeight="1">
      <c r="A319" s="19" t="s">
        <v>332</v>
      </c>
      <c r="B319" s="61" t="s">
        <v>7</v>
      </c>
      <c r="C319" s="6"/>
      <c r="D319" s="62"/>
      <c r="E319" s="63"/>
    </row>
    <row r="320" spans="1:5" s="44" customFormat="1" ht="21" hidden="1" customHeight="1">
      <c r="A320" s="8" t="s">
        <v>333</v>
      </c>
      <c r="B320" s="61" t="s">
        <v>57</v>
      </c>
      <c r="C320" s="6"/>
      <c r="D320" s="62"/>
      <c r="E320" s="63"/>
    </row>
    <row r="321" spans="1:5" s="44" customFormat="1" ht="21" hidden="1" customHeight="1">
      <c r="A321" s="8" t="s">
        <v>334</v>
      </c>
      <c r="B321" s="61" t="s">
        <v>7</v>
      </c>
      <c r="C321" s="6"/>
      <c r="D321" s="62"/>
      <c r="E321" s="63"/>
    </row>
    <row r="322" spans="1:5" s="44" customFormat="1" ht="21" hidden="1" customHeight="1">
      <c r="A322" s="11" t="s">
        <v>335</v>
      </c>
      <c r="B322" s="61" t="s">
        <v>7</v>
      </c>
      <c r="C322" s="6"/>
      <c r="D322" s="62"/>
      <c r="E322" s="63"/>
    </row>
    <row r="323" spans="1:5" s="44" customFormat="1" ht="21" hidden="1" customHeight="1">
      <c r="A323" s="8" t="s">
        <v>336</v>
      </c>
      <c r="B323" s="61" t="s">
        <v>7</v>
      </c>
      <c r="C323" s="34"/>
      <c r="D323" s="62"/>
      <c r="E323" s="63"/>
    </row>
    <row r="324" spans="1:5" s="44" customFormat="1" ht="21" hidden="1" customHeight="1">
      <c r="A324" s="8" t="s">
        <v>337</v>
      </c>
      <c r="B324" s="61" t="s">
        <v>57</v>
      </c>
      <c r="C324" s="6"/>
      <c r="D324" s="62"/>
      <c r="E324" s="63"/>
    </row>
    <row r="325" spans="1:5" s="44" customFormat="1" ht="21" hidden="1" customHeight="1">
      <c r="A325" s="8" t="s">
        <v>338</v>
      </c>
      <c r="B325" s="61" t="s">
        <v>49</v>
      </c>
      <c r="C325" s="6"/>
      <c r="D325" s="62"/>
      <c r="E325" s="63"/>
    </row>
    <row r="326" spans="1:5" s="44" customFormat="1" ht="21" hidden="1" customHeight="1">
      <c r="A326" s="19" t="s">
        <v>339</v>
      </c>
      <c r="B326" s="61" t="s">
        <v>7</v>
      </c>
      <c r="C326" s="6"/>
      <c r="D326" s="62"/>
      <c r="E326" s="63"/>
    </row>
    <row r="327" spans="1:5" s="44" customFormat="1" ht="21" hidden="1" customHeight="1">
      <c r="A327" s="19" t="s">
        <v>340</v>
      </c>
      <c r="B327" s="61" t="s">
        <v>7</v>
      </c>
      <c r="C327" s="6"/>
      <c r="D327" s="62"/>
      <c r="E327" s="63"/>
    </row>
    <row r="328" spans="1:5" s="44" customFormat="1" ht="21" customHeight="1">
      <c r="A328" s="19" t="s">
        <v>341</v>
      </c>
      <c r="B328" s="64" t="s">
        <v>7</v>
      </c>
      <c r="C328" s="65">
        <v>5</v>
      </c>
      <c r="D328" s="66">
        <v>30000</v>
      </c>
      <c r="E328" s="67">
        <f>+D328*C328</f>
        <v>150000</v>
      </c>
    </row>
    <row r="329" spans="1:5" s="44" customFormat="1" ht="21" hidden="1" customHeight="1">
      <c r="A329" s="8" t="s">
        <v>342</v>
      </c>
      <c r="B329" s="61" t="s">
        <v>7</v>
      </c>
      <c r="C329" s="6"/>
      <c r="D329" s="62"/>
      <c r="E329" s="63"/>
    </row>
    <row r="330" spans="1:5" s="44" customFormat="1" ht="21" hidden="1" customHeight="1">
      <c r="A330" s="19" t="s">
        <v>343</v>
      </c>
      <c r="B330" s="61" t="s">
        <v>7</v>
      </c>
      <c r="C330" s="6"/>
      <c r="D330" s="62"/>
      <c r="E330" s="63"/>
    </row>
    <row r="331" spans="1:5" s="44" customFormat="1" ht="21" hidden="1" customHeight="1">
      <c r="A331" s="8" t="s">
        <v>344</v>
      </c>
      <c r="B331" s="61" t="s">
        <v>57</v>
      </c>
      <c r="C331" s="6"/>
      <c r="D331" s="62"/>
      <c r="E331" s="63"/>
    </row>
    <row r="332" spans="1:5" s="44" customFormat="1" ht="21" hidden="1" customHeight="1">
      <c r="A332" s="8" t="s">
        <v>345</v>
      </c>
      <c r="B332" s="61" t="s">
        <v>57</v>
      </c>
      <c r="C332" s="6"/>
      <c r="D332" s="62"/>
      <c r="E332" s="63"/>
    </row>
    <row r="333" spans="1:5" s="44" customFormat="1" ht="21" hidden="1" customHeight="1">
      <c r="A333" s="8" t="s">
        <v>346</v>
      </c>
      <c r="B333" s="61" t="s">
        <v>57</v>
      </c>
      <c r="C333" s="6"/>
      <c r="D333" s="62"/>
      <c r="E333" s="63"/>
    </row>
    <row r="334" spans="1:5" s="44" customFormat="1" ht="21" hidden="1" customHeight="1">
      <c r="A334" s="8" t="s">
        <v>347</v>
      </c>
      <c r="B334" s="61" t="s">
        <v>57</v>
      </c>
      <c r="C334" s="6"/>
      <c r="D334" s="62"/>
      <c r="E334" s="63"/>
    </row>
    <row r="335" spans="1:5" s="44" customFormat="1" ht="21" hidden="1" customHeight="1">
      <c r="A335" s="8" t="s">
        <v>348</v>
      </c>
      <c r="B335" s="61" t="s">
        <v>57</v>
      </c>
      <c r="C335" s="6"/>
      <c r="D335" s="62"/>
      <c r="E335" s="63"/>
    </row>
    <row r="336" spans="1:5" s="44" customFormat="1" ht="21" hidden="1" customHeight="1">
      <c r="A336" s="8" t="s">
        <v>349</v>
      </c>
      <c r="B336" s="61" t="s">
        <v>93</v>
      </c>
      <c r="C336" s="6"/>
      <c r="D336" s="62"/>
      <c r="E336" s="63"/>
    </row>
    <row r="337" spans="1:5" s="44" customFormat="1" ht="21" hidden="1" customHeight="1">
      <c r="A337" s="8" t="s">
        <v>350</v>
      </c>
      <c r="B337" s="61" t="s">
        <v>7</v>
      </c>
      <c r="C337" s="6"/>
      <c r="D337" s="62"/>
      <c r="E337" s="63"/>
    </row>
    <row r="338" spans="1:5" s="44" customFormat="1" ht="21" hidden="1" customHeight="1">
      <c r="A338" s="8" t="s">
        <v>351</v>
      </c>
      <c r="B338" s="61" t="s">
        <v>7</v>
      </c>
      <c r="C338" s="6"/>
      <c r="D338" s="62"/>
      <c r="E338" s="63"/>
    </row>
    <row r="339" spans="1:5" s="44" customFormat="1" ht="21" hidden="1" customHeight="1">
      <c r="A339" s="10" t="s">
        <v>352</v>
      </c>
      <c r="B339" s="61" t="s">
        <v>54</v>
      </c>
      <c r="C339" s="6"/>
      <c r="D339" s="62"/>
      <c r="E339" s="63"/>
    </row>
    <row r="340" spans="1:5" s="44" customFormat="1" ht="21" hidden="1" customHeight="1">
      <c r="A340" s="10" t="s">
        <v>353</v>
      </c>
      <c r="B340" s="61" t="s">
        <v>7</v>
      </c>
      <c r="C340" s="6"/>
      <c r="D340" s="62"/>
      <c r="E340" s="63"/>
    </row>
    <row r="341" spans="1:5" s="44" customFormat="1" ht="21" customHeight="1">
      <c r="A341" s="79"/>
      <c r="B341" s="80">
        <v>0</v>
      </c>
      <c r="C341" s="80">
        <v>2952.5</v>
      </c>
      <c r="D341" s="81"/>
      <c r="E341" s="82">
        <f>SUBTOTAL(9,E16:E328)</f>
        <v>60692400</v>
      </c>
    </row>
    <row r="342" spans="1:5" ht="37.5" customHeight="1">
      <c r="A342" s="205" t="s">
        <v>354</v>
      </c>
      <c r="B342" s="54" t="s">
        <v>2</v>
      </c>
      <c r="C342" s="55" t="s">
        <v>3</v>
      </c>
      <c r="D342" s="56" t="s">
        <v>4</v>
      </c>
      <c r="E342" s="57" t="s">
        <v>5</v>
      </c>
    </row>
    <row r="343" spans="1:5" ht="21" hidden="1" customHeight="1">
      <c r="A343" s="206"/>
      <c r="B343" s="58"/>
      <c r="C343" s="37"/>
      <c r="D343" s="59"/>
      <c r="E343" s="59"/>
    </row>
    <row r="344" spans="1:5" ht="21" hidden="1" customHeight="1">
      <c r="A344" s="5" t="s">
        <v>6</v>
      </c>
      <c r="B344" s="61" t="s">
        <v>7</v>
      </c>
      <c r="C344" s="6"/>
      <c r="D344" s="62"/>
      <c r="E344" s="62"/>
    </row>
    <row r="345" spans="1:5" ht="21" hidden="1" customHeight="1">
      <c r="A345" s="7" t="s">
        <v>8</v>
      </c>
      <c r="B345" s="61" t="s">
        <v>9</v>
      </c>
      <c r="C345" s="6"/>
      <c r="D345" s="62"/>
      <c r="E345" s="62"/>
    </row>
    <row r="346" spans="1:5" ht="21" hidden="1" customHeight="1">
      <c r="A346" s="5" t="s">
        <v>10</v>
      </c>
      <c r="B346" s="61" t="s">
        <v>7</v>
      </c>
      <c r="C346" s="6"/>
      <c r="D346" s="62"/>
      <c r="E346" s="62"/>
    </row>
    <row r="347" spans="1:5" ht="21" hidden="1" customHeight="1">
      <c r="A347" s="5" t="s">
        <v>11</v>
      </c>
      <c r="B347" s="61" t="s">
        <v>7</v>
      </c>
      <c r="C347" s="6"/>
      <c r="D347" s="62"/>
      <c r="E347" s="62"/>
    </row>
    <row r="348" spans="1:5" ht="21" hidden="1" customHeight="1">
      <c r="A348" s="8" t="s">
        <v>12</v>
      </c>
      <c r="B348" s="61" t="s">
        <v>9</v>
      </c>
      <c r="C348" s="6"/>
      <c r="D348" s="62"/>
      <c r="E348" s="62"/>
    </row>
    <row r="349" spans="1:5" ht="21" hidden="1" customHeight="1">
      <c r="A349" s="9" t="s">
        <v>13</v>
      </c>
      <c r="B349" s="61" t="s">
        <v>7</v>
      </c>
      <c r="C349" s="6"/>
      <c r="D349" s="62"/>
      <c r="E349" s="62"/>
    </row>
    <row r="350" spans="1:5" ht="21" hidden="1" customHeight="1">
      <c r="A350" s="5" t="s">
        <v>14</v>
      </c>
      <c r="B350" s="61" t="s">
        <v>7</v>
      </c>
      <c r="C350" s="6"/>
      <c r="D350" s="62"/>
      <c r="E350" s="62"/>
    </row>
    <row r="351" spans="1:5" ht="21" hidden="1" customHeight="1">
      <c r="A351" s="5" t="s">
        <v>15</v>
      </c>
      <c r="B351" s="61" t="s">
        <v>7</v>
      </c>
      <c r="C351" s="6"/>
      <c r="D351" s="62"/>
      <c r="E351" s="62"/>
    </row>
    <row r="352" spans="1:5" ht="21" hidden="1" customHeight="1">
      <c r="A352" s="10" t="s">
        <v>355</v>
      </c>
      <c r="B352" s="61" t="s">
        <v>7</v>
      </c>
      <c r="C352" s="6"/>
      <c r="D352" s="62"/>
      <c r="E352" s="62"/>
    </row>
    <row r="353" spans="1:5" ht="21" hidden="1" customHeight="1">
      <c r="A353" s="8" t="s">
        <v>18</v>
      </c>
      <c r="B353" s="61" t="s">
        <v>7</v>
      </c>
      <c r="C353" s="6"/>
      <c r="D353" s="62"/>
      <c r="E353" s="62"/>
    </row>
    <row r="354" spans="1:5" ht="21" hidden="1" customHeight="1">
      <c r="A354" s="8" t="s">
        <v>19</v>
      </c>
      <c r="B354" s="61" t="s">
        <v>7</v>
      </c>
      <c r="C354" s="6"/>
      <c r="D354" s="62"/>
      <c r="E354" s="62"/>
    </row>
    <row r="355" spans="1:5" ht="21" hidden="1" customHeight="1">
      <c r="A355" s="11" t="s">
        <v>20</v>
      </c>
      <c r="B355" s="61" t="s">
        <v>21</v>
      </c>
      <c r="C355" s="6"/>
      <c r="D355" s="62"/>
      <c r="E355" s="62"/>
    </row>
    <row r="356" spans="1:5" ht="21" hidden="1" customHeight="1">
      <c r="A356" s="11" t="s">
        <v>22</v>
      </c>
      <c r="B356" s="61" t="s">
        <v>7</v>
      </c>
      <c r="C356" s="6"/>
      <c r="D356" s="62"/>
      <c r="E356" s="62"/>
    </row>
    <row r="357" spans="1:5" ht="21" hidden="1" customHeight="1">
      <c r="A357" s="8" t="s">
        <v>23</v>
      </c>
      <c r="B357" s="61" t="s">
        <v>7</v>
      </c>
      <c r="C357" s="6"/>
      <c r="D357" s="62"/>
      <c r="E357" s="62"/>
    </row>
    <row r="358" spans="1:5" ht="21" hidden="1" customHeight="1">
      <c r="A358" s="8" t="s">
        <v>24</v>
      </c>
      <c r="B358" s="61" t="s">
        <v>7</v>
      </c>
      <c r="C358" s="6"/>
      <c r="D358" s="68"/>
      <c r="E358" s="68"/>
    </row>
    <row r="359" spans="1:5" ht="21" hidden="1" customHeight="1">
      <c r="A359" s="12" t="s">
        <v>25</v>
      </c>
      <c r="B359" s="61" t="s">
        <v>21</v>
      </c>
      <c r="C359" s="6"/>
      <c r="D359" s="62"/>
      <c r="E359" s="62"/>
    </row>
    <row r="360" spans="1:5" ht="21" hidden="1" customHeight="1">
      <c r="A360" s="10" t="s">
        <v>26</v>
      </c>
      <c r="B360" s="61" t="s">
        <v>7</v>
      </c>
      <c r="C360" s="6"/>
      <c r="D360" s="62"/>
      <c r="E360" s="62"/>
    </row>
    <row r="361" spans="1:5" ht="21" customHeight="1">
      <c r="A361" s="19" t="s">
        <v>27</v>
      </c>
      <c r="B361" s="64" t="s">
        <v>7</v>
      </c>
      <c r="C361" s="65">
        <v>2825</v>
      </c>
      <c r="D361" s="66">
        <v>13000</v>
      </c>
      <c r="E361" s="66">
        <f>+D361*C361</f>
        <v>36725000</v>
      </c>
    </row>
    <row r="362" spans="1:5" ht="21" hidden="1" customHeight="1">
      <c r="A362" s="11" t="s">
        <v>28</v>
      </c>
      <c r="B362" s="61" t="s">
        <v>21</v>
      </c>
      <c r="C362" s="6"/>
      <c r="D362" s="62"/>
      <c r="E362" s="62"/>
    </row>
    <row r="363" spans="1:5" ht="21" hidden="1" customHeight="1">
      <c r="A363" s="11" t="s">
        <v>29</v>
      </c>
      <c r="B363" s="61" t="s">
        <v>7</v>
      </c>
      <c r="C363" s="6"/>
      <c r="D363" s="62"/>
      <c r="E363" s="62"/>
    </row>
    <row r="364" spans="1:5" ht="21" hidden="1" customHeight="1">
      <c r="A364" s="8" t="s">
        <v>30</v>
      </c>
      <c r="B364" s="61" t="s">
        <v>7</v>
      </c>
      <c r="C364" s="6"/>
      <c r="D364" s="62"/>
      <c r="E364" s="62"/>
    </row>
    <row r="365" spans="1:5" ht="21" hidden="1" customHeight="1">
      <c r="A365" s="8" t="s">
        <v>31</v>
      </c>
      <c r="B365" s="61" t="s">
        <v>21</v>
      </c>
      <c r="C365" s="6"/>
      <c r="D365" s="62"/>
      <c r="E365" s="62"/>
    </row>
    <row r="366" spans="1:5" ht="21" hidden="1" customHeight="1">
      <c r="A366" s="8" t="s">
        <v>32</v>
      </c>
      <c r="B366" s="61" t="s">
        <v>7</v>
      </c>
      <c r="C366" s="6"/>
      <c r="D366" s="62"/>
      <c r="E366" s="62"/>
    </row>
    <row r="367" spans="1:5" ht="21" hidden="1" customHeight="1">
      <c r="A367" s="8" t="s">
        <v>33</v>
      </c>
      <c r="B367" s="61" t="s">
        <v>21</v>
      </c>
      <c r="C367" s="6"/>
      <c r="D367" s="62"/>
      <c r="E367" s="62"/>
    </row>
    <row r="368" spans="1:5" ht="21" hidden="1" customHeight="1">
      <c r="A368" s="8" t="s">
        <v>34</v>
      </c>
      <c r="B368" s="61" t="s">
        <v>7</v>
      </c>
      <c r="C368" s="6"/>
      <c r="D368" s="62"/>
      <c r="E368" s="62"/>
    </row>
    <row r="369" spans="1:5" ht="21" hidden="1" customHeight="1">
      <c r="A369" s="8" t="s">
        <v>35</v>
      </c>
      <c r="B369" s="61" t="s">
        <v>7</v>
      </c>
      <c r="C369" s="6"/>
      <c r="D369" s="62"/>
      <c r="E369" s="62"/>
    </row>
    <row r="370" spans="1:5" ht="21" hidden="1" customHeight="1">
      <c r="A370" s="11" t="s">
        <v>37</v>
      </c>
      <c r="B370" s="61" t="s">
        <v>7</v>
      </c>
      <c r="C370" s="6"/>
      <c r="D370" s="62"/>
      <c r="E370" s="62"/>
    </row>
    <row r="371" spans="1:5" ht="21" hidden="1" customHeight="1">
      <c r="A371" s="11" t="s">
        <v>46</v>
      </c>
      <c r="B371" s="61" t="s">
        <v>7</v>
      </c>
      <c r="C371" s="6"/>
      <c r="D371" s="62"/>
      <c r="E371" s="62"/>
    </row>
    <row r="372" spans="1:5" ht="21" hidden="1" customHeight="1">
      <c r="A372" s="8" t="s">
        <v>47</v>
      </c>
      <c r="B372" s="61" t="s">
        <v>7</v>
      </c>
      <c r="C372" s="6"/>
      <c r="D372" s="62"/>
      <c r="E372" s="62"/>
    </row>
    <row r="373" spans="1:5" ht="21" hidden="1" customHeight="1">
      <c r="A373" s="8" t="s">
        <v>48</v>
      </c>
      <c r="B373" s="61" t="s">
        <v>49</v>
      </c>
      <c r="C373" s="6"/>
      <c r="D373" s="62"/>
      <c r="E373" s="62"/>
    </row>
    <row r="374" spans="1:5" ht="21" hidden="1" customHeight="1">
      <c r="A374" s="10" t="s">
        <v>356</v>
      </c>
      <c r="B374" s="61" t="s">
        <v>7</v>
      </c>
      <c r="C374" s="14"/>
      <c r="D374" s="62"/>
      <c r="E374" s="62"/>
    </row>
    <row r="375" spans="1:5" ht="21" hidden="1" customHeight="1">
      <c r="A375" s="10" t="s">
        <v>50</v>
      </c>
      <c r="B375" s="61" t="s">
        <v>7</v>
      </c>
      <c r="C375" s="14"/>
      <c r="D375" s="62"/>
      <c r="E375" s="62"/>
    </row>
    <row r="376" spans="1:5" ht="21" hidden="1" customHeight="1">
      <c r="A376" s="8" t="s">
        <v>51</v>
      </c>
      <c r="B376" s="61" t="s">
        <v>7</v>
      </c>
      <c r="C376" s="6"/>
      <c r="D376" s="62"/>
      <c r="E376" s="62"/>
    </row>
    <row r="377" spans="1:5" ht="21" hidden="1" customHeight="1">
      <c r="A377" s="8" t="s">
        <v>52</v>
      </c>
      <c r="B377" s="61" t="s">
        <v>7</v>
      </c>
      <c r="C377" s="6"/>
      <c r="D377" s="62"/>
      <c r="E377" s="62"/>
    </row>
    <row r="378" spans="1:5" ht="21" hidden="1" customHeight="1">
      <c r="A378" s="15" t="s">
        <v>53</v>
      </c>
      <c r="B378" s="61" t="s">
        <v>54</v>
      </c>
      <c r="C378" s="6"/>
      <c r="D378" s="62"/>
      <c r="E378" s="62"/>
    </row>
    <row r="379" spans="1:5" ht="21" hidden="1" customHeight="1">
      <c r="A379" s="8" t="s">
        <v>55</v>
      </c>
      <c r="B379" s="61" t="s">
        <v>7</v>
      </c>
      <c r="C379" s="6"/>
      <c r="D379" s="62"/>
      <c r="E379" s="62"/>
    </row>
    <row r="380" spans="1:5" ht="21" hidden="1" customHeight="1">
      <c r="A380" s="8" t="s">
        <v>56</v>
      </c>
      <c r="B380" s="61" t="s">
        <v>57</v>
      </c>
      <c r="C380" s="6"/>
      <c r="D380" s="62"/>
      <c r="E380" s="62"/>
    </row>
    <row r="381" spans="1:5" ht="21" hidden="1" customHeight="1">
      <c r="A381" s="8" t="s">
        <v>58</v>
      </c>
      <c r="B381" s="61" t="s">
        <v>7</v>
      </c>
      <c r="C381" s="6"/>
      <c r="D381" s="62"/>
      <c r="E381" s="62"/>
    </row>
    <row r="382" spans="1:5" ht="21" hidden="1" customHeight="1">
      <c r="A382" s="8" t="s">
        <v>59</v>
      </c>
      <c r="B382" s="61" t="s">
        <v>7</v>
      </c>
      <c r="C382" s="6"/>
      <c r="D382" s="69"/>
      <c r="E382" s="69"/>
    </row>
    <row r="383" spans="1:5" ht="21" hidden="1" customHeight="1">
      <c r="A383" s="12" t="s">
        <v>60</v>
      </c>
      <c r="B383" s="61" t="s">
        <v>57</v>
      </c>
      <c r="C383" s="6"/>
      <c r="D383" s="62"/>
      <c r="E383" s="62"/>
    </row>
    <row r="384" spans="1:5" ht="21" hidden="1" customHeight="1">
      <c r="A384" s="10" t="s">
        <v>61</v>
      </c>
      <c r="B384" s="61" t="s">
        <v>7</v>
      </c>
      <c r="C384" s="6"/>
      <c r="D384" s="62"/>
      <c r="E384" s="62"/>
    </row>
    <row r="385" spans="1:5" ht="21" hidden="1" customHeight="1">
      <c r="A385" s="12" t="s">
        <v>62</v>
      </c>
      <c r="B385" s="61" t="s">
        <v>54</v>
      </c>
      <c r="C385" s="6"/>
      <c r="D385" s="62"/>
      <c r="E385" s="62"/>
    </row>
    <row r="386" spans="1:5" ht="21" hidden="1" customHeight="1">
      <c r="A386" s="8" t="s">
        <v>63</v>
      </c>
      <c r="B386" s="61" t="s">
        <v>7</v>
      </c>
      <c r="C386" s="6"/>
      <c r="D386" s="62"/>
      <c r="E386" s="62"/>
    </row>
    <row r="387" spans="1:5" ht="21" hidden="1" customHeight="1">
      <c r="A387" s="8" t="s">
        <v>64</v>
      </c>
      <c r="B387" s="61" t="s">
        <v>7</v>
      </c>
      <c r="C387" s="6"/>
      <c r="D387" s="62"/>
      <c r="E387" s="62"/>
    </row>
    <row r="388" spans="1:5" ht="21" customHeight="1">
      <c r="A388" s="10" t="s">
        <v>65</v>
      </c>
      <c r="B388" s="64" t="s">
        <v>7</v>
      </c>
      <c r="C388" s="65">
        <v>930</v>
      </c>
      <c r="D388" s="66">
        <v>17000</v>
      </c>
      <c r="E388" s="66">
        <f>+D388*C388</f>
        <v>15810000</v>
      </c>
    </row>
    <row r="389" spans="1:5" ht="21" hidden="1" customHeight="1">
      <c r="A389" s="16" t="s">
        <v>66</v>
      </c>
      <c r="B389" s="61" t="s">
        <v>7</v>
      </c>
      <c r="C389" s="6"/>
      <c r="D389" s="62"/>
      <c r="E389" s="62"/>
    </row>
    <row r="390" spans="1:5" ht="21" hidden="1" customHeight="1">
      <c r="A390" s="15" t="s">
        <v>67</v>
      </c>
      <c r="B390" s="61" t="s">
        <v>68</v>
      </c>
      <c r="C390" s="6"/>
      <c r="D390" s="62"/>
      <c r="E390" s="62"/>
    </row>
    <row r="391" spans="1:5" ht="21" hidden="1" customHeight="1">
      <c r="A391" s="15" t="s">
        <v>69</v>
      </c>
      <c r="B391" s="61" t="s">
        <v>68</v>
      </c>
      <c r="C391" s="6"/>
      <c r="D391" s="62"/>
      <c r="E391" s="62"/>
    </row>
    <row r="392" spans="1:5" ht="21" hidden="1" customHeight="1">
      <c r="A392" s="15" t="s">
        <v>70</v>
      </c>
      <c r="B392" s="61" t="s">
        <v>7</v>
      </c>
      <c r="C392" s="6"/>
      <c r="D392" s="62"/>
      <c r="E392" s="62"/>
    </row>
    <row r="393" spans="1:5" ht="21" hidden="1" customHeight="1">
      <c r="A393" s="8" t="s">
        <v>71</v>
      </c>
      <c r="B393" s="61" t="s">
        <v>7</v>
      </c>
      <c r="C393" s="6"/>
      <c r="D393" s="62"/>
      <c r="E393" s="62"/>
    </row>
    <row r="394" spans="1:5" ht="21" hidden="1" customHeight="1">
      <c r="A394" s="10" t="s">
        <v>72</v>
      </c>
      <c r="B394" s="61" t="s">
        <v>7</v>
      </c>
      <c r="C394" s="6"/>
      <c r="D394" s="62"/>
      <c r="E394" s="62"/>
    </row>
    <row r="395" spans="1:5" ht="21" hidden="1" customHeight="1">
      <c r="A395" s="8" t="s">
        <v>73</v>
      </c>
      <c r="B395" s="61" t="s">
        <v>7</v>
      </c>
      <c r="C395" s="6"/>
      <c r="D395" s="62"/>
      <c r="E395" s="62"/>
    </row>
    <row r="396" spans="1:5" ht="21" hidden="1" customHeight="1">
      <c r="A396" s="8" t="s">
        <v>74</v>
      </c>
      <c r="B396" s="61" t="s">
        <v>7</v>
      </c>
      <c r="C396" s="6"/>
      <c r="D396" s="62"/>
      <c r="E396" s="62"/>
    </row>
    <row r="397" spans="1:5" ht="21" hidden="1" customHeight="1">
      <c r="A397" s="15" t="s">
        <v>75</v>
      </c>
      <c r="B397" s="61" t="s">
        <v>68</v>
      </c>
      <c r="C397" s="6"/>
      <c r="D397" s="62"/>
      <c r="E397" s="62"/>
    </row>
    <row r="398" spans="1:5" ht="21" hidden="1" customHeight="1">
      <c r="A398" s="8" t="s">
        <v>76</v>
      </c>
      <c r="B398" s="61" t="s">
        <v>49</v>
      </c>
      <c r="C398" s="6"/>
      <c r="D398" s="62"/>
      <c r="E398" s="62"/>
    </row>
    <row r="399" spans="1:5" ht="21" hidden="1" customHeight="1">
      <c r="A399" s="17" t="s">
        <v>77</v>
      </c>
      <c r="B399" s="61" t="s">
        <v>7</v>
      </c>
      <c r="C399" s="6"/>
      <c r="D399" s="62"/>
      <c r="E399" s="62"/>
    </row>
    <row r="400" spans="1:5" ht="21" hidden="1" customHeight="1">
      <c r="A400" s="8" t="s">
        <v>78</v>
      </c>
      <c r="B400" s="61" t="s">
        <v>7</v>
      </c>
      <c r="C400" s="6"/>
      <c r="D400" s="62"/>
      <c r="E400" s="62"/>
    </row>
    <row r="401" spans="1:5" ht="21" hidden="1" customHeight="1">
      <c r="A401" s="8" t="s">
        <v>79</v>
      </c>
      <c r="B401" s="61" t="s">
        <v>7</v>
      </c>
      <c r="C401" s="6"/>
      <c r="D401" s="62"/>
      <c r="E401" s="62"/>
    </row>
    <row r="402" spans="1:5" ht="21" hidden="1" customHeight="1">
      <c r="A402" s="18" t="s">
        <v>80</v>
      </c>
      <c r="B402" s="61" t="s">
        <v>7</v>
      </c>
      <c r="C402" s="6"/>
      <c r="D402" s="62"/>
      <c r="E402" s="62"/>
    </row>
    <row r="403" spans="1:5" ht="21" hidden="1" customHeight="1">
      <c r="A403" s="38" t="s">
        <v>81</v>
      </c>
      <c r="B403" s="61" t="s">
        <v>7</v>
      </c>
      <c r="C403" s="6"/>
      <c r="D403" s="62"/>
      <c r="E403" s="62"/>
    </row>
    <row r="404" spans="1:5" ht="21" hidden="1" customHeight="1">
      <c r="A404" s="11" t="s">
        <v>82</v>
      </c>
      <c r="B404" s="61" t="s">
        <v>68</v>
      </c>
      <c r="C404" s="6"/>
      <c r="D404" s="62"/>
      <c r="E404" s="62"/>
    </row>
    <row r="405" spans="1:5" ht="21" hidden="1" customHeight="1">
      <c r="A405" s="10" t="s">
        <v>83</v>
      </c>
      <c r="B405" s="61" t="s">
        <v>7</v>
      </c>
      <c r="C405" s="6"/>
      <c r="D405" s="62"/>
      <c r="E405" s="62"/>
    </row>
    <row r="406" spans="1:5" ht="21" hidden="1" customHeight="1">
      <c r="A406" s="11" t="s">
        <v>84</v>
      </c>
      <c r="B406" s="61" t="s">
        <v>7</v>
      </c>
      <c r="C406" s="6"/>
      <c r="D406" s="62"/>
      <c r="E406" s="62"/>
    </row>
    <row r="407" spans="1:5" ht="21" hidden="1" customHeight="1">
      <c r="A407" s="11" t="s">
        <v>85</v>
      </c>
      <c r="B407" s="61" t="s">
        <v>7</v>
      </c>
      <c r="C407" s="6"/>
      <c r="D407" s="62"/>
      <c r="E407" s="62"/>
    </row>
    <row r="408" spans="1:5" ht="21" hidden="1" customHeight="1">
      <c r="A408" s="11" t="s">
        <v>86</v>
      </c>
      <c r="B408" s="61" t="s">
        <v>68</v>
      </c>
      <c r="C408" s="6"/>
      <c r="D408" s="62"/>
      <c r="E408" s="62"/>
    </row>
    <row r="409" spans="1:5" ht="21" hidden="1" customHeight="1">
      <c r="A409" s="18" t="s">
        <v>87</v>
      </c>
      <c r="B409" s="61" t="s">
        <v>7</v>
      </c>
      <c r="C409" s="6"/>
      <c r="D409" s="62"/>
      <c r="E409" s="62"/>
    </row>
    <row r="410" spans="1:5" ht="21" hidden="1" customHeight="1">
      <c r="A410" s="8" t="s">
        <v>88</v>
      </c>
      <c r="B410" s="61" t="s">
        <v>68</v>
      </c>
      <c r="C410" s="6"/>
      <c r="D410" s="62"/>
      <c r="E410" s="62"/>
    </row>
    <row r="411" spans="1:5" ht="21" hidden="1" customHeight="1">
      <c r="A411" s="8" t="s">
        <v>89</v>
      </c>
      <c r="B411" s="61" t="s">
        <v>54</v>
      </c>
      <c r="C411" s="6"/>
      <c r="D411" s="62"/>
      <c r="E411" s="62"/>
    </row>
    <row r="412" spans="1:5" ht="21" hidden="1" customHeight="1">
      <c r="A412" s="11" t="s">
        <v>357</v>
      </c>
      <c r="B412" s="61" t="s">
        <v>7</v>
      </c>
      <c r="C412" s="6"/>
      <c r="D412" s="62"/>
      <c r="E412" s="62"/>
    </row>
    <row r="413" spans="1:5" ht="21" customHeight="1">
      <c r="A413" s="19" t="s">
        <v>90</v>
      </c>
      <c r="B413" s="64" t="s">
        <v>7</v>
      </c>
      <c r="C413" s="65">
        <v>88</v>
      </c>
      <c r="D413" s="66">
        <v>25000</v>
      </c>
      <c r="E413" s="66">
        <f>+D413*C413</f>
        <v>2200000</v>
      </c>
    </row>
    <row r="414" spans="1:5" ht="21" hidden="1" customHeight="1">
      <c r="A414" s="12" t="s">
        <v>91</v>
      </c>
      <c r="B414" s="61" t="s">
        <v>54</v>
      </c>
      <c r="C414" s="6"/>
      <c r="D414" s="62"/>
      <c r="E414" s="62"/>
    </row>
    <row r="415" spans="1:5" ht="21" hidden="1" customHeight="1">
      <c r="A415" s="8" t="s">
        <v>92</v>
      </c>
      <c r="B415" s="61" t="s">
        <v>93</v>
      </c>
      <c r="C415" s="6"/>
      <c r="D415" s="62"/>
      <c r="E415" s="62"/>
    </row>
    <row r="416" spans="1:5" ht="21" hidden="1" customHeight="1">
      <c r="A416" s="8" t="s">
        <v>94</v>
      </c>
      <c r="B416" s="61" t="s">
        <v>7</v>
      </c>
      <c r="C416" s="6"/>
      <c r="D416" s="62"/>
      <c r="E416" s="62"/>
    </row>
    <row r="417" spans="1:5" ht="21" hidden="1" customHeight="1">
      <c r="A417" s="8" t="s">
        <v>95</v>
      </c>
      <c r="B417" s="61" t="s">
        <v>7</v>
      </c>
      <c r="C417" s="6"/>
      <c r="D417" s="62"/>
      <c r="E417" s="62"/>
    </row>
    <row r="418" spans="1:5" ht="21" hidden="1" customHeight="1">
      <c r="A418" s="11" t="s">
        <v>96</v>
      </c>
      <c r="B418" s="61" t="s">
        <v>7</v>
      </c>
      <c r="C418" s="14"/>
      <c r="D418" s="62"/>
      <c r="E418" s="62"/>
    </row>
    <row r="419" spans="1:5" ht="21" hidden="1" customHeight="1">
      <c r="A419" s="11" t="s">
        <v>97</v>
      </c>
      <c r="B419" s="61" t="s">
        <v>7</v>
      </c>
      <c r="C419" s="14"/>
      <c r="D419" s="62"/>
      <c r="E419" s="62"/>
    </row>
    <row r="420" spans="1:5" ht="21" hidden="1" customHeight="1">
      <c r="A420" s="11" t="s">
        <v>98</v>
      </c>
      <c r="B420" s="61" t="s">
        <v>54</v>
      </c>
      <c r="C420" s="14"/>
      <c r="D420" s="62"/>
      <c r="E420" s="62"/>
    </row>
    <row r="421" spans="1:5" ht="21" hidden="1" customHeight="1">
      <c r="A421" s="8" t="s">
        <v>99</v>
      </c>
      <c r="B421" s="61" t="s">
        <v>7</v>
      </c>
      <c r="C421" s="6"/>
      <c r="D421" s="62"/>
      <c r="E421" s="62"/>
    </row>
    <row r="422" spans="1:5" ht="21" hidden="1" customHeight="1">
      <c r="A422" s="8" t="s">
        <v>100</v>
      </c>
      <c r="B422" s="61" t="s">
        <v>7</v>
      </c>
      <c r="C422" s="6"/>
      <c r="D422" s="62"/>
      <c r="E422" s="62"/>
    </row>
    <row r="423" spans="1:5" ht="21" hidden="1" customHeight="1">
      <c r="A423" s="8" t="s">
        <v>101</v>
      </c>
      <c r="B423" s="61" t="s">
        <v>49</v>
      </c>
      <c r="C423" s="6"/>
      <c r="D423" s="62"/>
      <c r="E423" s="62"/>
    </row>
    <row r="424" spans="1:5" ht="21" hidden="1" customHeight="1">
      <c r="A424" s="8" t="s">
        <v>102</v>
      </c>
      <c r="B424" s="61" t="s">
        <v>7</v>
      </c>
      <c r="C424" s="6"/>
      <c r="D424" s="62"/>
      <c r="E424" s="62"/>
    </row>
    <row r="425" spans="1:5" ht="21" hidden="1" customHeight="1">
      <c r="A425" s="8" t="s">
        <v>103</v>
      </c>
      <c r="B425" s="61" t="s">
        <v>49</v>
      </c>
      <c r="C425" s="6"/>
      <c r="D425" s="62"/>
      <c r="E425" s="62"/>
    </row>
    <row r="426" spans="1:5" ht="21" customHeight="1">
      <c r="A426" s="19" t="s">
        <v>104</v>
      </c>
      <c r="B426" s="64" t="s">
        <v>7</v>
      </c>
      <c r="C426" s="65">
        <v>79</v>
      </c>
      <c r="D426" s="66">
        <v>9000</v>
      </c>
      <c r="E426" s="66">
        <f>+D426*C426</f>
        <v>711000</v>
      </c>
    </row>
    <row r="427" spans="1:5" ht="21" hidden="1" customHeight="1">
      <c r="A427" s="19" t="s">
        <v>105</v>
      </c>
      <c r="B427" s="61" t="s">
        <v>17</v>
      </c>
      <c r="C427" s="6"/>
      <c r="D427" s="62"/>
      <c r="E427" s="62"/>
    </row>
    <row r="428" spans="1:5" ht="21" hidden="1" customHeight="1">
      <c r="A428" s="19" t="s">
        <v>106</v>
      </c>
      <c r="B428" s="61" t="s">
        <v>68</v>
      </c>
      <c r="C428" s="6"/>
      <c r="D428" s="62"/>
      <c r="E428" s="62"/>
    </row>
    <row r="429" spans="1:5" ht="21" hidden="1" customHeight="1">
      <c r="A429" s="19" t="s">
        <v>107</v>
      </c>
      <c r="B429" s="61" t="s">
        <v>68</v>
      </c>
      <c r="C429" s="6"/>
      <c r="D429" s="62"/>
      <c r="E429" s="62"/>
    </row>
    <row r="430" spans="1:5" ht="21" hidden="1" customHeight="1">
      <c r="A430" s="10" t="s">
        <v>108</v>
      </c>
      <c r="B430" s="61" t="s">
        <v>7</v>
      </c>
      <c r="C430" s="6"/>
      <c r="D430" s="62"/>
      <c r="E430" s="62"/>
    </row>
    <row r="431" spans="1:5" ht="21" hidden="1" customHeight="1">
      <c r="A431" s="12" t="s">
        <v>109</v>
      </c>
      <c r="B431" s="61" t="s">
        <v>54</v>
      </c>
      <c r="C431" s="6"/>
      <c r="D431" s="62"/>
      <c r="E431" s="62"/>
    </row>
    <row r="432" spans="1:5" ht="21" hidden="1" customHeight="1">
      <c r="A432" s="10" t="s">
        <v>358</v>
      </c>
      <c r="B432" s="61" t="s">
        <v>7</v>
      </c>
      <c r="C432" s="6"/>
      <c r="D432" s="62"/>
      <c r="E432" s="62"/>
    </row>
    <row r="433" spans="1:5" ht="21" hidden="1" customHeight="1">
      <c r="A433" s="8" t="s">
        <v>110</v>
      </c>
      <c r="B433" s="61" t="s">
        <v>7</v>
      </c>
      <c r="C433" s="6"/>
      <c r="D433" s="62"/>
      <c r="E433" s="62"/>
    </row>
    <row r="434" spans="1:5" ht="21" hidden="1" customHeight="1">
      <c r="A434" s="8" t="s">
        <v>111</v>
      </c>
      <c r="B434" s="61" t="s">
        <v>49</v>
      </c>
      <c r="C434" s="6"/>
      <c r="D434" s="62"/>
      <c r="E434" s="62"/>
    </row>
    <row r="435" spans="1:5" ht="21" hidden="1" customHeight="1">
      <c r="A435" s="10" t="s">
        <v>359</v>
      </c>
      <c r="B435" s="61" t="s">
        <v>7</v>
      </c>
      <c r="C435" s="6"/>
      <c r="D435" s="62"/>
      <c r="E435" s="62"/>
    </row>
    <row r="436" spans="1:5" ht="21" hidden="1" customHeight="1">
      <c r="A436" s="10" t="s">
        <v>360</v>
      </c>
      <c r="B436" s="61" t="s">
        <v>49</v>
      </c>
      <c r="C436" s="6"/>
      <c r="D436" s="62"/>
      <c r="E436" s="62"/>
    </row>
    <row r="437" spans="1:5" ht="21" hidden="1" customHeight="1">
      <c r="A437" s="8" t="s">
        <v>113</v>
      </c>
      <c r="B437" s="61" t="s">
        <v>7</v>
      </c>
      <c r="C437" s="14"/>
      <c r="D437" s="62"/>
      <c r="E437" s="62"/>
    </row>
    <row r="438" spans="1:5" ht="21" hidden="1" customHeight="1">
      <c r="A438" s="19" t="s">
        <v>115</v>
      </c>
      <c r="B438" s="61" t="s">
        <v>49</v>
      </c>
      <c r="C438" s="6"/>
      <c r="D438" s="62"/>
      <c r="E438" s="62"/>
    </row>
    <row r="439" spans="1:5" ht="21" hidden="1" customHeight="1">
      <c r="A439" s="10" t="s">
        <v>116</v>
      </c>
      <c r="B439" s="61" t="s">
        <v>7</v>
      </c>
      <c r="C439" s="6"/>
      <c r="D439" s="62"/>
      <c r="E439" s="62"/>
    </row>
    <row r="440" spans="1:5" ht="21" hidden="1" customHeight="1">
      <c r="A440" s="10" t="s">
        <v>361</v>
      </c>
      <c r="B440" s="61" t="s">
        <v>7</v>
      </c>
      <c r="C440" s="6"/>
      <c r="D440" s="62"/>
      <c r="E440" s="62"/>
    </row>
    <row r="441" spans="1:5" ht="21" hidden="1" customHeight="1">
      <c r="A441" s="8" t="s">
        <v>117</v>
      </c>
      <c r="B441" s="61" t="s">
        <v>7</v>
      </c>
      <c r="C441" s="6"/>
      <c r="D441" s="62"/>
      <c r="E441" s="62"/>
    </row>
    <row r="442" spans="1:5" ht="21" hidden="1" customHeight="1">
      <c r="A442" s="15" t="s">
        <v>118</v>
      </c>
      <c r="B442" s="61" t="s">
        <v>9</v>
      </c>
      <c r="C442" s="6"/>
      <c r="D442" s="62"/>
      <c r="E442" s="62"/>
    </row>
    <row r="443" spans="1:5" ht="21" hidden="1" customHeight="1">
      <c r="A443" s="22" t="s">
        <v>119</v>
      </c>
      <c r="B443" s="61" t="s">
        <v>7</v>
      </c>
      <c r="C443" s="6"/>
      <c r="D443" s="62"/>
      <c r="E443" s="62"/>
    </row>
    <row r="444" spans="1:5" ht="21" hidden="1" customHeight="1">
      <c r="A444" s="22" t="s">
        <v>120</v>
      </c>
      <c r="B444" s="61" t="s">
        <v>9</v>
      </c>
      <c r="C444" s="6"/>
      <c r="D444" s="62"/>
      <c r="E444" s="62"/>
    </row>
    <row r="445" spans="1:5" ht="21" hidden="1" customHeight="1">
      <c r="A445" s="21" t="s">
        <v>121</v>
      </c>
      <c r="B445" s="61" t="s">
        <v>7</v>
      </c>
      <c r="C445" s="6"/>
      <c r="D445" s="62"/>
      <c r="E445" s="62"/>
    </row>
    <row r="446" spans="1:5" ht="21" hidden="1" customHeight="1">
      <c r="A446" s="23" t="s">
        <v>122</v>
      </c>
      <c r="B446" s="61" t="s">
        <v>39</v>
      </c>
      <c r="C446" s="6"/>
      <c r="D446" s="62"/>
      <c r="E446" s="62"/>
    </row>
    <row r="447" spans="1:5" ht="21" hidden="1" customHeight="1">
      <c r="A447" s="8" t="s">
        <v>123</v>
      </c>
      <c r="B447" s="61" t="s">
        <v>7</v>
      </c>
      <c r="C447" s="6"/>
      <c r="D447" s="62"/>
      <c r="E447" s="62"/>
    </row>
    <row r="448" spans="1:5" ht="21" hidden="1" customHeight="1">
      <c r="A448" s="8" t="s">
        <v>124</v>
      </c>
      <c r="B448" s="61" t="s">
        <v>7</v>
      </c>
      <c r="C448" s="6"/>
      <c r="D448" s="62"/>
      <c r="E448" s="62"/>
    </row>
    <row r="449" spans="1:5" ht="21" hidden="1" customHeight="1">
      <c r="A449" s="8" t="s">
        <v>125</v>
      </c>
      <c r="B449" s="61" t="s">
        <v>7</v>
      </c>
      <c r="C449" s="6"/>
      <c r="D449" s="62"/>
      <c r="E449" s="62"/>
    </row>
    <row r="450" spans="1:5" ht="21" hidden="1" customHeight="1">
      <c r="A450" s="8" t="s">
        <v>126</v>
      </c>
      <c r="B450" s="61" t="s">
        <v>57</v>
      </c>
      <c r="C450" s="6"/>
      <c r="D450" s="62"/>
      <c r="E450" s="62"/>
    </row>
    <row r="451" spans="1:5" ht="21" hidden="1" customHeight="1">
      <c r="A451" s="8" t="s">
        <v>128</v>
      </c>
      <c r="B451" s="61" t="s">
        <v>7</v>
      </c>
      <c r="C451" s="6"/>
      <c r="D451" s="62"/>
      <c r="E451" s="62"/>
    </row>
    <row r="452" spans="1:5" ht="21" hidden="1" customHeight="1">
      <c r="A452" s="8" t="s">
        <v>129</v>
      </c>
      <c r="B452" s="61" t="s">
        <v>54</v>
      </c>
      <c r="C452" s="6"/>
      <c r="D452" s="62"/>
      <c r="E452" s="62"/>
    </row>
    <row r="453" spans="1:5" ht="21" hidden="1" customHeight="1">
      <c r="A453" s="8" t="s">
        <v>362</v>
      </c>
      <c r="B453" s="61" t="s">
        <v>7</v>
      </c>
      <c r="C453" s="6"/>
      <c r="D453" s="62"/>
      <c r="E453" s="62"/>
    </row>
    <row r="454" spans="1:5" ht="21" hidden="1" customHeight="1">
      <c r="A454" s="8" t="s">
        <v>130</v>
      </c>
      <c r="B454" s="61" t="s">
        <v>7</v>
      </c>
      <c r="C454" s="6"/>
      <c r="D454" s="62"/>
      <c r="E454" s="62"/>
    </row>
    <row r="455" spans="1:5" ht="21" hidden="1" customHeight="1">
      <c r="A455" s="10" t="s">
        <v>131</v>
      </c>
      <c r="B455" s="61" t="s">
        <v>7</v>
      </c>
      <c r="C455" s="6"/>
      <c r="D455" s="62"/>
      <c r="E455" s="62"/>
    </row>
    <row r="456" spans="1:5" ht="21" hidden="1" customHeight="1">
      <c r="A456" s="19" t="s">
        <v>132</v>
      </c>
      <c r="B456" s="61" t="s">
        <v>21</v>
      </c>
      <c r="C456" s="6"/>
      <c r="D456" s="62"/>
      <c r="E456" s="62"/>
    </row>
    <row r="457" spans="1:5" ht="21" hidden="1" customHeight="1">
      <c r="A457" s="8" t="s">
        <v>133</v>
      </c>
      <c r="B457" s="61" t="s">
        <v>134</v>
      </c>
      <c r="C457" s="6"/>
      <c r="D457" s="62"/>
      <c r="E457" s="62"/>
    </row>
    <row r="458" spans="1:5" ht="21" hidden="1" customHeight="1">
      <c r="A458" s="10" t="s">
        <v>135</v>
      </c>
      <c r="B458" s="61" t="s">
        <v>134</v>
      </c>
      <c r="C458" s="6"/>
      <c r="D458" s="62"/>
      <c r="E458" s="62"/>
    </row>
    <row r="459" spans="1:5" ht="21" hidden="1" customHeight="1">
      <c r="A459" s="10" t="s">
        <v>136</v>
      </c>
      <c r="B459" s="61" t="s">
        <v>134</v>
      </c>
      <c r="C459" s="6"/>
      <c r="D459" s="62"/>
      <c r="E459" s="62"/>
    </row>
    <row r="460" spans="1:5" ht="21" customHeight="1">
      <c r="A460" s="19" t="s">
        <v>137</v>
      </c>
      <c r="B460" s="64" t="s">
        <v>7</v>
      </c>
      <c r="C460" s="65">
        <v>10</v>
      </c>
      <c r="D460" s="66">
        <v>10000</v>
      </c>
      <c r="E460" s="66">
        <f>+D460*C460</f>
        <v>100000</v>
      </c>
    </row>
    <row r="461" spans="1:5" ht="21" hidden="1" customHeight="1">
      <c r="A461" s="9" t="s">
        <v>139</v>
      </c>
      <c r="B461" s="61" t="s">
        <v>7</v>
      </c>
      <c r="C461" s="6"/>
      <c r="D461" s="62"/>
      <c r="E461" s="62"/>
    </row>
    <row r="462" spans="1:5" ht="21" hidden="1" customHeight="1">
      <c r="A462" s="12" t="s">
        <v>140</v>
      </c>
      <c r="B462" s="61" t="s">
        <v>68</v>
      </c>
      <c r="C462" s="6"/>
      <c r="D462" s="62"/>
      <c r="E462" s="62"/>
    </row>
    <row r="463" spans="1:5" ht="21" hidden="1" customHeight="1">
      <c r="A463" s="11" t="s">
        <v>141</v>
      </c>
      <c r="B463" s="61" t="s">
        <v>68</v>
      </c>
      <c r="C463" s="14"/>
      <c r="D463" s="62"/>
      <c r="E463" s="62"/>
    </row>
    <row r="464" spans="1:5" ht="21" hidden="1" customHeight="1">
      <c r="A464" s="11" t="s">
        <v>142</v>
      </c>
      <c r="B464" s="61" t="s">
        <v>7</v>
      </c>
      <c r="C464" s="14"/>
      <c r="D464" s="62"/>
      <c r="E464" s="62"/>
    </row>
    <row r="465" spans="1:5" ht="21" hidden="1" customHeight="1">
      <c r="A465" s="11" t="s">
        <v>143</v>
      </c>
      <c r="B465" s="61" t="s">
        <v>7</v>
      </c>
      <c r="C465" s="14"/>
      <c r="D465" s="62"/>
      <c r="E465" s="62"/>
    </row>
    <row r="466" spans="1:5" ht="21" hidden="1" customHeight="1">
      <c r="A466" s="11" t="s">
        <v>144</v>
      </c>
      <c r="B466" s="61" t="s">
        <v>7</v>
      </c>
      <c r="C466" s="24"/>
      <c r="D466" s="62"/>
      <c r="E466" s="62"/>
    </row>
    <row r="467" spans="1:5" ht="21" hidden="1" customHeight="1">
      <c r="A467" s="25" t="s">
        <v>145</v>
      </c>
      <c r="B467" s="61" t="s">
        <v>54</v>
      </c>
      <c r="C467" s="6"/>
      <c r="D467" s="62"/>
      <c r="E467" s="62"/>
    </row>
    <row r="468" spans="1:5" ht="21" hidden="1" customHeight="1">
      <c r="A468" s="11" t="s">
        <v>146</v>
      </c>
      <c r="B468" s="61" t="s">
        <v>7</v>
      </c>
      <c r="C468" s="14"/>
      <c r="D468" s="62"/>
      <c r="E468" s="62"/>
    </row>
    <row r="469" spans="1:5" ht="21" hidden="1" customHeight="1">
      <c r="A469" s="8" t="s">
        <v>147</v>
      </c>
      <c r="B469" s="61" t="s">
        <v>7</v>
      </c>
      <c r="C469" s="6"/>
      <c r="D469" s="62"/>
      <c r="E469" s="62"/>
    </row>
    <row r="470" spans="1:5" ht="21" hidden="1" customHeight="1">
      <c r="A470" s="8" t="s">
        <v>148</v>
      </c>
      <c r="B470" s="61" t="s">
        <v>17</v>
      </c>
      <c r="C470" s="6"/>
      <c r="D470" s="62"/>
      <c r="E470" s="62"/>
    </row>
    <row r="471" spans="1:5" ht="21" customHeight="1">
      <c r="A471" s="19" t="s">
        <v>150</v>
      </c>
      <c r="B471" s="64" t="s">
        <v>7</v>
      </c>
      <c r="C471" s="65">
        <v>175</v>
      </c>
      <c r="D471" s="66">
        <v>13000</v>
      </c>
      <c r="E471" s="66">
        <f>+D471*C471</f>
        <v>2275000</v>
      </c>
    </row>
    <row r="472" spans="1:5" ht="21" hidden="1" customHeight="1">
      <c r="A472" s="15" t="s">
        <v>151</v>
      </c>
      <c r="B472" s="61" t="s">
        <v>49</v>
      </c>
      <c r="C472" s="6"/>
      <c r="D472" s="62"/>
      <c r="E472" s="62"/>
    </row>
    <row r="473" spans="1:5" ht="21" hidden="1" customHeight="1">
      <c r="A473" s="11" t="s">
        <v>152</v>
      </c>
      <c r="B473" s="61" t="s">
        <v>7</v>
      </c>
      <c r="C473" s="6"/>
      <c r="D473" s="62"/>
      <c r="E473" s="62"/>
    </row>
    <row r="474" spans="1:5" ht="21" hidden="1" customHeight="1">
      <c r="A474" s="11" t="s">
        <v>153</v>
      </c>
      <c r="B474" s="61" t="s">
        <v>49</v>
      </c>
      <c r="C474" s="6"/>
      <c r="D474" s="62"/>
      <c r="E474" s="62"/>
    </row>
    <row r="475" spans="1:5" ht="21" hidden="1" customHeight="1">
      <c r="A475" s="8" t="s">
        <v>154</v>
      </c>
      <c r="B475" s="61" t="s">
        <v>7</v>
      </c>
      <c r="C475" s="6"/>
      <c r="D475" s="62"/>
      <c r="E475" s="62"/>
    </row>
    <row r="476" spans="1:5" ht="21" hidden="1" customHeight="1">
      <c r="A476" s="8" t="s">
        <v>363</v>
      </c>
      <c r="B476" s="61" t="s">
        <v>7</v>
      </c>
      <c r="C476" s="6"/>
      <c r="D476" s="62"/>
      <c r="E476" s="62"/>
    </row>
    <row r="477" spans="1:5" ht="21" hidden="1" customHeight="1">
      <c r="A477" s="8" t="s">
        <v>156</v>
      </c>
      <c r="B477" s="61" t="s">
        <v>7</v>
      </c>
      <c r="C477" s="14"/>
      <c r="D477" s="62"/>
      <c r="E477" s="62"/>
    </row>
    <row r="478" spans="1:5" ht="21" hidden="1" customHeight="1">
      <c r="A478" s="8" t="s">
        <v>157</v>
      </c>
      <c r="B478" s="61" t="s">
        <v>54</v>
      </c>
      <c r="C478" s="14"/>
      <c r="D478" s="62"/>
      <c r="E478" s="62"/>
    </row>
    <row r="479" spans="1:5" ht="21" hidden="1" customHeight="1">
      <c r="A479" s="8" t="s">
        <v>158</v>
      </c>
      <c r="B479" s="61"/>
      <c r="C479" s="6"/>
      <c r="D479" s="62"/>
      <c r="E479" s="62"/>
    </row>
    <row r="480" spans="1:5" ht="21" hidden="1" customHeight="1">
      <c r="A480" s="8" t="s">
        <v>159</v>
      </c>
      <c r="B480" s="61" t="s">
        <v>7</v>
      </c>
      <c r="C480" s="14"/>
      <c r="D480" s="62"/>
      <c r="E480" s="62"/>
    </row>
    <row r="481" spans="1:5" ht="21" hidden="1" customHeight="1">
      <c r="A481" s="8" t="s">
        <v>160</v>
      </c>
      <c r="B481" s="61" t="s">
        <v>54</v>
      </c>
      <c r="C481" s="14"/>
      <c r="D481" s="62"/>
      <c r="E481" s="62"/>
    </row>
    <row r="482" spans="1:5" ht="21" hidden="1" customHeight="1">
      <c r="A482" s="8" t="s">
        <v>161</v>
      </c>
      <c r="B482" s="61" t="s">
        <v>7</v>
      </c>
      <c r="C482" s="14"/>
      <c r="D482" s="62"/>
      <c r="E482" s="62"/>
    </row>
    <row r="483" spans="1:5" ht="21" hidden="1" customHeight="1">
      <c r="A483" s="8" t="s">
        <v>162</v>
      </c>
      <c r="B483" s="61" t="s">
        <v>54</v>
      </c>
      <c r="C483" s="14"/>
      <c r="D483" s="62"/>
      <c r="E483" s="62"/>
    </row>
    <row r="484" spans="1:5" ht="21" hidden="1" customHeight="1">
      <c r="A484" s="8" t="s">
        <v>163</v>
      </c>
      <c r="B484" s="61" t="s">
        <v>7</v>
      </c>
      <c r="C484" s="14"/>
      <c r="D484" s="62"/>
      <c r="E484" s="62"/>
    </row>
    <row r="485" spans="1:5" ht="21" hidden="1" customHeight="1">
      <c r="A485" s="8" t="s">
        <v>164</v>
      </c>
      <c r="B485" s="61" t="s">
        <v>7</v>
      </c>
      <c r="C485" s="14"/>
      <c r="D485" s="62"/>
      <c r="E485" s="62"/>
    </row>
    <row r="486" spans="1:5" ht="21" hidden="1" customHeight="1">
      <c r="A486" s="8" t="s">
        <v>165</v>
      </c>
      <c r="B486" s="61" t="s">
        <v>7</v>
      </c>
      <c r="C486" s="14"/>
      <c r="D486" s="62"/>
      <c r="E486" s="62"/>
    </row>
    <row r="487" spans="1:5" ht="21" hidden="1" customHeight="1">
      <c r="A487" s="8" t="s">
        <v>166</v>
      </c>
      <c r="B487" s="61" t="s">
        <v>54</v>
      </c>
      <c r="C487" s="14"/>
      <c r="D487" s="62"/>
      <c r="E487" s="62"/>
    </row>
    <row r="488" spans="1:5" ht="21" hidden="1" customHeight="1">
      <c r="A488" s="8" t="s">
        <v>167</v>
      </c>
      <c r="B488" s="61" t="s">
        <v>7</v>
      </c>
      <c r="C488" s="6"/>
      <c r="D488" s="62"/>
      <c r="E488" s="62"/>
    </row>
    <row r="489" spans="1:5" ht="21" hidden="1" customHeight="1">
      <c r="A489" s="8" t="s">
        <v>364</v>
      </c>
      <c r="B489" s="61" t="s">
        <v>7</v>
      </c>
      <c r="C489" s="6"/>
      <c r="D489" s="62"/>
      <c r="E489" s="62"/>
    </row>
    <row r="490" spans="1:5" ht="21" hidden="1" customHeight="1">
      <c r="A490" s="8" t="s">
        <v>168</v>
      </c>
      <c r="B490" s="61" t="s">
        <v>7</v>
      </c>
      <c r="C490" s="6"/>
      <c r="D490" s="62"/>
      <c r="E490" s="62"/>
    </row>
    <row r="491" spans="1:5" ht="21" hidden="1" customHeight="1">
      <c r="A491" s="8" t="s">
        <v>169</v>
      </c>
      <c r="B491" s="61" t="s">
        <v>49</v>
      </c>
      <c r="C491" s="6"/>
      <c r="D491" s="62"/>
      <c r="E491" s="62"/>
    </row>
    <row r="492" spans="1:5" ht="21" hidden="1" customHeight="1">
      <c r="A492" s="8" t="s">
        <v>170</v>
      </c>
      <c r="B492" s="61" t="s">
        <v>49</v>
      </c>
      <c r="C492" s="6"/>
      <c r="D492" s="62"/>
      <c r="E492" s="62"/>
    </row>
    <row r="493" spans="1:5" ht="21" hidden="1" customHeight="1">
      <c r="A493" s="15" t="s">
        <v>171</v>
      </c>
      <c r="B493" s="61" t="s">
        <v>49</v>
      </c>
      <c r="C493" s="6"/>
      <c r="D493" s="62"/>
      <c r="E493" s="62"/>
    </row>
    <row r="494" spans="1:5" ht="21" hidden="1" customHeight="1">
      <c r="A494" s="8" t="s">
        <v>172</v>
      </c>
      <c r="B494" s="61" t="s">
        <v>7</v>
      </c>
      <c r="C494" s="6"/>
      <c r="D494" s="62"/>
      <c r="E494" s="62"/>
    </row>
    <row r="495" spans="1:5" ht="21" hidden="1" customHeight="1">
      <c r="A495" s="8" t="s">
        <v>173</v>
      </c>
      <c r="B495" s="61" t="s">
        <v>7</v>
      </c>
      <c r="C495" s="6"/>
      <c r="D495" s="62"/>
      <c r="E495" s="62"/>
    </row>
    <row r="496" spans="1:5" ht="21" hidden="1" customHeight="1">
      <c r="A496" s="8" t="s">
        <v>174</v>
      </c>
      <c r="B496" s="61" t="s">
        <v>49</v>
      </c>
      <c r="C496" s="6"/>
      <c r="D496" s="62"/>
      <c r="E496" s="62"/>
    </row>
    <row r="497" spans="1:5" ht="21" hidden="1" customHeight="1">
      <c r="A497" s="8" t="s">
        <v>175</v>
      </c>
      <c r="B497" s="61" t="s">
        <v>49</v>
      </c>
      <c r="C497" s="6"/>
      <c r="D497" s="62"/>
      <c r="E497" s="62"/>
    </row>
    <row r="498" spans="1:5" ht="21" hidden="1" customHeight="1">
      <c r="A498" s="8" t="s">
        <v>176</v>
      </c>
      <c r="B498" s="61" t="s">
        <v>49</v>
      </c>
      <c r="C498" s="14"/>
      <c r="D498" s="62"/>
      <c r="E498" s="62"/>
    </row>
    <row r="499" spans="1:5" ht="21" hidden="1" customHeight="1">
      <c r="A499" s="16" t="s">
        <v>177</v>
      </c>
      <c r="B499" s="61" t="s">
        <v>7</v>
      </c>
      <c r="C499" s="14"/>
      <c r="D499" s="62"/>
      <c r="E499" s="62"/>
    </row>
    <row r="500" spans="1:5" ht="21" hidden="1" customHeight="1">
      <c r="A500" s="8" t="s">
        <v>178</v>
      </c>
      <c r="B500" s="61" t="s">
        <v>54</v>
      </c>
      <c r="C500" s="14"/>
      <c r="D500" s="62"/>
      <c r="E500" s="62"/>
    </row>
    <row r="501" spans="1:5" ht="21" hidden="1" customHeight="1">
      <c r="A501" s="8" t="s">
        <v>180</v>
      </c>
      <c r="B501" s="61" t="s">
        <v>7</v>
      </c>
      <c r="C501" s="6"/>
      <c r="D501" s="62"/>
      <c r="E501" s="62"/>
    </row>
    <row r="502" spans="1:5" ht="21" hidden="1" customHeight="1">
      <c r="A502" s="15" t="s">
        <v>181</v>
      </c>
      <c r="B502" s="61" t="s">
        <v>54</v>
      </c>
      <c r="C502" s="6"/>
      <c r="D502" s="62"/>
      <c r="E502" s="62"/>
    </row>
    <row r="503" spans="1:5" ht="21" customHeight="1">
      <c r="A503" s="19" t="s">
        <v>365</v>
      </c>
      <c r="B503" s="64" t="s">
        <v>54</v>
      </c>
      <c r="C503" s="65">
        <v>95</v>
      </c>
      <c r="D503" s="66">
        <v>8000</v>
      </c>
      <c r="E503" s="66">
        <f>+D503*C503</f>
        <v>760000</v>
      </c>
    </row>
    <row r="504" spans="1:5" ht="21" hidden="1" customHeight="1">
      <c r="A504" s="11" t="s">
        <v>182</v>
      </c>
      <c r="B504" s="61" t="s">
        <v>7</v>
      </c>
      <c r="C504" s="6"/>
      <c r="D504" s="62"/>
      <c r="E504" s="62"/>
    </row>
    <row r="505" spans="1:5" ht="21" hidden="1" customHeight="1">
      <c r="A505" s="8" t="s">
        <v>183</v>
      </c>
      <c r="B505" s="61" t="s">
        <v>54</v>
      </c>
      <c r="C505" s="6"/>
      <c r="D505" s="83"/>
      <c r="E505" s="83"/>
    </row>
    <row r="506" spans="1:5" ht="21" hidden="1" customHeight="1">
      <c r="A506" s="8" t="s">
        <v>185</v>
      </c>
      <c r="B506" s="61" t="s">
        <v>7</v>
      </c>
      <c r="C506" s="6"/>
      <c r="D506" s="68"/>
      <c r="E506" s="68"/>
    </row>
    <row r="507" spans="1:5" ht="21" hidden="1" customHeight="1">
      <c r="A507" s="8" t="s">
        <v>186</v>
      </c>
      <c r="B507" s="61" t="s">
        <v>7</v>
      </c>
      <c r="C507" s="6"/>
      <c r="D507" s="62"/>
      <c r="E507" s="62"/>
    </row>
    <row r="508" spans="1:5" ht="21" hidden="1" customHeight="1">
      <c r="A508" s="18" t="s">
        <v>187</v>
      </c>
      <c r="B508" s="61" t="s">
        <v>7</v>
      </c>
      <c r="C508" s="6"/>
      <c r="D508" s="62"/>
      <c r="E508" s="62"/>
    </row>
    <row r="509" spans="1:5" ht="21" hidden="1" customHeight="1">
      <c r="A509" s="8" t="s">
        <v>188</v>
      </c>
      <c r="B509" s="61" t="s">
        <v>49</v>
      </c>
      <c r="C509" s="6"/>
      <c r="D509" s="62"/>
      <c r="E509" s="62"/>
    </row>
    <row r="510" spans="1:5" ht="21" hidden="1" customHeight="1">
      <c r="A510" s="28" t="s">
        <v>189</v>
      </c>
      <c r="B510" s="71" t="s">
        <v>7</v>
      </c>
      <c r="C510" s="29"/>
      <c r="D510" s="72"/>
      <c r="E510" s="72"/>
    </row>
    <row r="511" spans="1:5" ht="21" hidden="1" customHeight="1">
      <c r="A511" s="10" t="s">
        <v>190</v>
      </c>
      <c r="B511" s="61" t="s">
        <v>7</v>
      </c>
      <c r="C511" s="6"/>
      <c r="D511" s="62"/>
      <c r="E511" s="62"/>
    </row>
    <row r="512" spans="1:5" ht="21" hidden="1" customHeight="1">
      <c r="A512" s="8" t="s">
        <v>191</v>
      </c>
      <c r="B512" s="61" t="s">
        <v>7</v>
      </c>
      <c r="C512" s="6"/>
      <c r="D512" s="62"/>
      <c r="E512" s="62"/>
    </row>
    <row r="513" spans="1:5" ht="21" hidden="1" customHeight="1">
      <c r="A513" s="8" t="s">
        <v>192</v>
      </c>
      <c r="B513" s="61" t="s">
        <v>7</v>
      </c>
      <c r="C513" s="6"/>
      <c r="D513" s="62"/>
      <c r="E513" s="62"/>
    </row>
    <row r="514" spans="1:5" ht="21" hidden="1" customHeight="1">
      <c r="A514" s="11" t="s">
        <v>193</v>
      </c>
      <c r="B514" s="61" t="s">
        <v>7</v>
      </c>
      <c r="C514" s="6"/>
      <c r="D514" s="62"/>
      <c r="E514" s="62"/>
    </row>
    <row r="515" spans="1:5" ht="21" hidden="1" customHeight="1">
      <c r="A515" s="8" t="s">
        <v>194</v>
      </c>
      <c r="B515" s="61" t="s">
        <v>7</v>
      </c>
      <c r="C515" s="6"/>
      <c r="D515" s="62"/>
      <c r="E515" s="62"/>
    </row>
    <row r="516" spans="1:5" ht="21" hidden="1" customHeight="1">
      <c r="A516" s="8" t="s">
        <v>195</v>
      </c>
      <c r="B516" s="61" t="s">
        <v>7</v>
      </c>
      <c r="C516" s="6"/>
      <c r="D516" s="62"/>
      <c r="E516" s="62"/>
    </row>
    <row r="517" spans="1:5" ht="21" hidden="1" customHeight="1">
      <c r="A517" s="11" t="s">
        <v>196</v>
      </c>
      <c r="B517" s="61" t="s">
        <v>7</v>
      </c>
      <c r="C517" s="6"/>
      <c r="D517" s="62"/>
      <c r="E517" s="62"/>
    </row>
    <row r="518" spans="1:5" ht="21" hidden="1" customHeight="1">
      <c r="A518" s="11" t="s">
        <v>197</v>
      </c>
      <c r="B518" s="61" t="s">
        <v>7</v>
      </c>
      <c r="C518" s="6"/>
      <c r="D518" s="62"/>
      <c r="E518" s="62"/>
    </row>
    <row r="519" spans="1:5" ht="21" customHeight="1">
      <c r="A519" s="10" t="s">
        <v>198</v>
      </c>
      <c r="B519" s="64" t="s">
        <v>7</v>
      </c>
      <c r="C519" s="65">
        <v>1520</v>
      </c>
      <c r="D519" s="66">
        <v>6500</v>
      </c>
      <c r="E519" s="66">
        <f>+D519*C519</f>
        <v>9880000</v>
      </c>
    </row>
    <row r="520" spans="1:5" ht="21" hidden="1" customHeight="1">
      <c r="A520" s="8" t="s">
        <v>199</v>
      </c>
      <c r="B520" s="61" t="s">
        <v>49</v>
      </c>
      <c r="C520" s="6"/>
      <c r="D520" s="62"/>
      <c r="E520" s="62"/>
    </row>
    <row r="521" spans="1:5" ht="21" hidden="1" customHeight="1">
      <c r="A521" s="11" t="s">
        <v>200</v>
      </c>
      <c r="B521" s="61" t="s">
        <v>7</v>
      </c>
      <c r="C521" s="6"/>
      <c r="D521" s="62"/>
      <c r="E521" s="62"/>
    </row>
    <row r="522" spans="1:5" ht="21" hidden="1" customHeight="1">
      <c r="A522" s="11" t="s">
        <v>201</v>
      </c>
      <c r="B522" s="61" t="s">
        <v>7</v>
      </c>
      <c r="C522" s="6"/>
      <c r="D522" s="62"/>
      <c r="E522" s="62"/>
    </row>
    <row r="523" spans="1:5" ht="21" hidden="1" customHeight="1">
      <c r="A523" s="11" t="s">
        <v>202</v>
      </c>
      <c r="B523" s="61" t="s">
        <v>49</v>
      </c>
      <c r="C523" s="6"/>
      <c r="D523" s="62"/>
      <c r="E523" s="62"/>
    </row>
    <row r="524" spans="1:5" ht="21" hidden="1" customHeight="1">
      <c r="A524" s="8" t="s">
        <v>203</v>
      </c>
      <c r="B524" s="61" t="s">
        <v>49</v>
      </c>
      <c r="C524" s="6"/>
      <c r="D524" s="62"/>
      <c r="E524" s="62"/>
    </row>
    <row r="525" spans="1:5" ht="21" hidden="1" customHeight="1">
      <c r="A525" s="15" t="s">
        <v>204</v>
      </c>
      <c r="B525" s="61" t="s">
        <v>7</v>
      </c>
      <c r="C525" s="6"/>
      <c r="D525" s="62"/>
      <c r="E525" s="62"/>
    </row>
    <row r="526" spans="1:5" ht="21" hidden="1" customHeight="1">
      <c r="A526" s="15" t="s">
        <v>205</v>
      </c>
      <c r="B526" s="61" t="s">
        <v>7</v>
      </c>
      <c r="C526" s="6"/>
      <c r="D526" s="62"/>
      <c r="E526" s="62"/>
    </row>
    <row r="527" spans="1:5" ht="21" hidden="1" customHeight="1">
      <c r="A527" s="15" t="s">
        <v>206</v>
      </c>
      <c r="B527" s="61" t="s">
        <v>7</v>
      </c>
      <c r="C527" s="6"/>
      <c r="D527" s="62"/>
      <c r="E527" s="62"/>
    </row>
    <row r="528" spans="1:5" ht="21" hidden="1" customHeight="1">
      <c r="A528" s="15" t="s">
        <v>207</v>
      </c>
      <c r="B528" s="61" t="s">
        <v>49</v>
      </c>
      <c r="C528" s="6"/>
      <c r="D528" s="62"/>
      <c r="E528" s="62"/>
    </row>
    <row r="529" spans="1:5" ht="21" hidden="1" customHeight="1">
      <c r="A529" s="11" t="s">
        <v>208</v>
      </c>
      <c r="B529" s="61" t="s">
        <v>7</v>
      </c>
      <c r="C529" s="6"/>
      <c r="D529" s="62"/>
      <c r="E529" s="62"/>
    </row>
    <row r="530" spans="1:5" ht="21" hidden="1" customHeight="1">
      <c r="A530" s="8" t="s">
        <v>209</v>
      </c>
      <c r="B530" s="61" t="s">
        <v>49</v>
      </c>
      <c r="C530" s="6"/>
      <c r="D530" s="62"/>
      <c r="E530" s="62"/>
    </row>
    <row r="531" spans="1:5" ht="21" hidden="1" customHeight="1">
      <c r="A531" s="30" t="s">
        <v>210</v>
      </c>
      <c r="B531" s="61" t="s">
        <v>49</v>
      </c>
      <c r="C531" s="6"/>
      <c r="D531" s="62"/>
      <c r="E531" s="62"/>
    </row>
    <row r="532" spans="1:5" ht="21" hidden="1" customHeight="1">
      <c r="A532" s="30" t="s">
        <v>211</v>
      </c>
      <c r="B532" s="61" t="s">
        <v>49</v>
      </c>
      <c r="C532" s="6"/>
      <c r="D532" s="62"/>
      <c r="E532" s="62"/>
    </row>
    <row r="533" spans="1:5" ht="21" hidden="1" customHeight="1">
      <c r="A533" s="30" t="s">
        <v>212</v>
      </c>
      <c r="B533" s="61" t="s">
        <v>49</v>
      </c>
      <c r="C533" s="6"/>
      <c r="D533" s="62"/>
      <c r="E533" s="62"/>
    </row>
    <row r="534" spans="1:5" ht="21" hidden="1" customHeight="1">
      <c r="A534" s="30" t="s">
        <v>213</v>
      </c>
      <c r="B534" s="61" t="s">
        <v>49</v>
      </c>
      <c r="C534" s="6"/>
      <c r="D534" s="62"/>
      <c r="E534" s="62"/>
    </row>
    <row r="535" spans="1:5" ht="21" hidden="1" customHeight="1">
      <c r="A535" s="8" t="s">
        <v>214</v>
      </c>
      <c r="B535" s="61" t="s">
        <v>7</v>
      </c>
      <c r="C535" s="6"/>
      <c r="D535" s="62"/>
      <c r="E535" s="62"/>
    </row>
    <row r="536" spans="1:5" ht="21" hidden="1" customHeight="1">
      <c r="A536" s="31" t="s">
        <v>215</v>
      </c>
      <c r="B536" s="61" t="s">
        <v>54</v>
      </c>
      <c r="C536" s="6"/>
      <c r="D536" s="62"/>
      <c r="E536" s="62"/>
    </row>
    <row r="537" spans="1:5" ht="21" hidden="1" customHeight="1">
      <c r="A537" s="8" t="s">
        <v>216</v>
      </c>
      <c r="B537" s="61" t="s">
        <v>7</v>
      </c>
      <c r="C537" s="6"/>
      <c r="D537" s="62"/>
      <c r="E537" s="62"/>
    </row>
    <row r="538" spans="1:5" ht="21" hidden="1" customHeight="1">
      <c r="A538" s="11" t="s">
        <v>217</v>
      </c>
      <c r="B538" s="61" t="s">
        <v>7</v>
      </c>
      <c r="C538" s="6"/>
      <c r="D538" s="62"/>
      <c r="E538" s="62"/>
    </row>
    <row r="539" spans="1:5" ht="21" hidden="1" customHeight="1">
      <c r="A539" s="8" t="s">
        <v>366</v>
      </c>
      <c r="B539" s="61" t="s">
        <v>49</v>
      </c>
      <c r="C539" s="6"/>
      <c r="D539" s="62"/>
      <c r="E539" s="62"/>
    </row>
    <row r="540" spans="1:5" ht="21" hidden="1" customHeight="1">
      <c r="A540" s="8" t="s">
        <v>218</v>
      </c>
      <c r="B540" s="61" t="s">
        <v>49</v>
      </c>
      <c r="C540" s="6"/>
      <c r="D540" s="62"/>
      <c r="E540" s="62"/>
    </row>
    <row r="541" spans="1:5" ht="21" customHeight="1">
      <c r="A541" s="19" t="s">
        <v>219</v>
      </c>
      <c r="B541" s="64" t="s">
        <v>7</v>
      </c>
      <c r="C541" s="65">
        <v>600</v>
      </c>
      <c r="D541" s="66">
        <v>13000</v>
      </c>
      <c r="E541" s="66">
        <f>+D541*C541</f>
        <v>7800000</v>
      </c>
    </row>
    <row r="542" spans="1:5" ht="21" hidden="1" customHeight="1">
      <c r="A542" s="32" t="s">
        <v>220</v>
      </c>
      <c r="B542" s="61" t="s">
        <v>49</v>
      </c>
      <c r="C542" s="6"/>
      <c r="D542" s="62"/>
      <c r="E542" s="62"/>
    </row>
    <row r="543" spans="1:5" ht="21" hidden="1" customHeight="1">
      <c r="A543" s="32" t="s">
        <v>221</v>
      </c>
      <c r="B543" s="61" t="s">
        <v>49</v>
      </c>
      <c r="C543" s="6"/>
      <c r="D543" s="62"/>
      <c r="E543" s="62"/>
    </row>
    <row r="544" spans="1:5" ht="21" hidden="1" customHeight="1">
      <c r="A544" s="8" t="s">
        <v>222</v>
      </c>
      <c r="B544" s="61" t="s">
        <v>7</v>
      </c>
      <c r="C544" s="6"/>
      <c r="D544" s="62"/>
      <c r="E544" s="62"/>
    </row>
    <row r="545" spans="1:5" ht="21" hidden="1" customHeight="1">
      <c r="A545" s="10" t="s">
        <v>223</v>
      </c>
      <c r="B545" s="61" t="s">
        <v>7</v>
      </c>
      <c r="C545" s="6"/>
      <c r="D545" s="74"/>
      <c r="E545" s="74"/>
    </row>
    <row r="546" spans="1:5" ht="21" hidden="1" customHeight="1">
      <c r="A546" s="8" t="s">
        <v>224</v>
      </c>
      <c r="B546" s="61" t="s">
        <v>7</v>
      </c>
      <c r="C546" s="6"/>
      <c r="D546" s="62"/>
      <c r="E546" s="62"/>
    </row>
    <row r="547" spans="1:5" ht="21" hidden="1" customHeight="1">
      <c r="A547" s="10" t="s">
        <v>367</v>
      </c>
      <c r="B547" s="61" t="s">
        <v>7</v>
      </c>
      <c r="C547" s="6"/>
      <c r="D547" s="74"/>
      <c r="E547" s="74"/>
    </row>
    <row r="548" spans="1:5" ht="21" hidden="1" customHeight="1">
      <c r="A548" s="8" t="s">
        <v>225</v>
      </c>
      <c r="B548" s="61" t="s">
        <v>7</v>
      </c>
      <c r="C548" s="6"/>
      <c r="D548" s="74"/>
      <c r="E548" s="74"/>
    </row>
    <row r="549" spans="1:5" ht="21" hidden="1" customHeight="1">
      <c r="A549" s="8" t="s">
        <v>226</v>
      </c>
      <c r="B549" s="61" t="s">
        <v>49</v>
      </c>
      <c r="C549" s="6"/>
      <c r="D549" s="62"/>
      <c r="E549" s="62"/>
    </row>
    <row r="550" spans="1:5" ht="21" hidden="1" customHeight="1">
      <c r="A550" s="8" t="s">
        <v>368</v>
      </c>
      <c r="B550" s="61" t="s">
        <v>49</v>
      </c>
      <c r="C550" s="6"/>
      <c r="D550" s="62"/>
      <c r="E550" s="62"/>
    </row>
    <row r="551" spans="1:5" ht="21" hidden="1" customHeight="1">
      <c r="A551" s="8" t="s">
        <v>369</v>
      </c>
      <c r="B551" s="61" t="s">
        <v>49</v>
      </c>
      <c r="C551" s="6"/>
      <c r="D551" s="62"/>
      <c r="E551" s="62"/>
    </row>
    <row r="552" spans="1:5" ht="21" customHeight="1">
      <c r="A552" s="19" t="s">
        <v>227</v>
      </c>
      <c r="B552" s="64" t="s">
        <v>7</v>
      </c>
      <c r="C552" s="65">
        <v>25</v>
      </c>
      <c r="D552" s="66">
        <v>22000</v>
      </c>
      <c r="E552" s="66">
        <f>+D552*C552</f>
        <v>550000</v>
      </c>
    </row>
    <row r="553" spans="1:5" ht="21" hidden="1" customHeight="1">
      <c r="A553" s="33" t="s">
        <v>228</v>
      </c>
      <c r="B553" s="61" t="s">
        <v>49</v>
      </c>
      <c r="C553" s="6"/>
      <c r="D553" s="62"/>
      <c r="E553" s="62"/>
    </row>
    <row r="554" spans="1:5" ht="21" hidden="1" customHeight="1">
      <c r="A554" s="8" t="s">
        <v>229</v>
      </c>
      <c r="B554" s="61" t="s">
        <v>7</v>
      </c>
      <c r="C554" s="6"/>
      <c r="D554" s="62"/>
      <c r="E554" s="62"/>
    </row>
    <row r="555" spans="1:5" ht="21" customHeight="1">
      <c r="A555" s="19" t="s">
        <v>230</v>
      </c>
      <c r="B555" s="64" t="s">
        <v>7</v>
      </c>
      <c r="C555" s="65">
        <v>370</v>
      </c>
      <c r="D555" s="66">
        <v>16000</v>
      </c>
      <c r="E555" s="66">
        <f>+D555*C555</f>
        <v>5920000</v>
      </c>
    </row>
    <row r="556" spans="1:5" ht="21" hidden="1" customHeight="1">
      <c r="A556" s="8" t="s">
        <v>231</v>
      </c>
      <c r="B556" s="61" t="s">
        <v>49</v>
      </c>
      <c r="C556" s="6"/>
      <c r="D556" s="62"/>
      <c r="E556" s="62"/>
    </row>
    <row r="557" spans="1:5" ht="21" hidden="1" customHeight="1">
      <c r="A557" s="8" t="s">
        <v>370</v>
      </c>
      <c r="B557" s="61" t="s">
        <v>7</v>
      </c>
      <c r="C557" s="6"/>
      <c r="D557" s="62"/>
      <c r="E557" s="62"/>
    </row>
    <row r="558" spans="1:5" ht="21" hidden="1" customHeight="1">
      <c r="A558" s="8" t="s">
        <v>232</v>
      </c>
      <c r="B558" s="61" t="s">
        <v>49</v>
      </c>
      <c r="C558" s="6"/>
      <c r="D558" s="62"/>
      <c r="E558" s="62"/>
    </row>
    <row r="559" spans="1:5" ht="21" hidden="1" customHeight="1">
      <c r="A559" s="15" t="s">
        <v>233</v>
      </c>
      <c r="B559" s="61" t="s">
        <v>7</v>
      </c>
      <c r="C559" s="6"/>
      <c r="D559" s="62"/>
      <c r="E559" s="62"/>
    </row>
    <row r="560" spans="1:5" ht="21" hidden="1" customHeight="1">
      <c r="A560" s="15" t="s">
        <v>234</v>
      </c>
      <c r="B560" s="61" t="s">
        <v>49</v>
      </c>
      <c r="C560" s="6"/>
      <c r="D560" s="62"/>
      <c r="E560" s="62"/>
    </row>
    <row r="561" spans="1:5" ht="21" hidden="1" customHeight="1">
      <c r="A561" s="15" t="s">
        <v>235</v>
      </c>
      <c r="B561" s="61" t="s">
        <v>7</v>
      </c>
      <c r="C561" s="6"/>
      <c r="D561" s="62"/>
      <c r="E561" s="62"/>
    </row>
    <row r="562" spans="1:5" ht="21" hidden="1" customHeight="1">
      <c r="A562" s="15" t="s">
        <v>236</v>
      </c>
      <c r="B562" s="61" t="s">
        <v>49</v>
      </c>
      <c r="C562" s="6"/>
      <c r="D562" s="62"/>
      <c r="E562" s="62"/>
    </row>
    <row r="563" spans="1:5" ht="21" hidden="1" customHeight="1">
      <c r="A563" s="8" t="s">
        <v>237</v>
      </c>
      <c r="B563" s="61" t="s">
        <v>7</v>
      </c>
      <c r="C563" s="6"/>
      <c r="D563" s="62"/>
      <c r="E563" s="62"/>
    </row>
    <row r="564" spans="1:5" ht="21" hidden="1" customHeight="1">
      <c r="A564" s="8" t="s">
        <v>238</v>
      </c>
      <c r="B564" s="61" t="s">
        <v>7</v>
      </c>
      <c r="C564" s="6"/>
      <c r="D564" s="62"/>
      <c r="E564" s="62"/>
    </row>
    <row r="565" spans="1:5" ht="21" hidden="1" customHeight="1">
      <c r="A565" s="15" t="s">
        <v>239</v>
      </c>
      <c r="B565" s="61" t="s">
        <v>49</v>
      </c>
      <c r="C565" s="6"/>
      <c r="D565" s="62"/>
      <c r="E565" s="62"/>
    </row>
    <row r="566" spans="1:5" ht="21" hidden="1" customHeight="1">
      <c r="A566" s="15" t="s">
        <v>240</v>
      </c>
      <c r="B566" s="61" t="s">
        <v>49</v>
      </c>
      <c r="C566" s="6"/>
      <c r="D566" s="62"/>
      <c r="E566" s="62"/>
    </row>
    <row r="567" spans="1:5" ht="21" hidden="1" customHeight="1">
      <c r="A567" s="10" t="s">
        <v>241</v>
      </c>
      <c r="B567" s="61" t="s">
        <v>7</v>
      </c>
      <c r="C567" s="6"/>
      <c r="D567" s="62"/>
      <c r="E567" s="62"/>
    </row>
    <row r="568" spans="1:5" ht="21" hidden="1" customHeight="1">
      <c r="A568" s="11" t="s">
        <v>242</v>
      </c>
      <c r="B568" s="61" t="s">
        <v>68</v>
      </c>
      <c r="C568" s="6"/>
      <c r="D568" s="62"/>
      <c r="E568" s="62"/>
    </row>
    <row r="569" spans="1:5" ht="21" hidden="1" customHeight="1">
      <c r="A569" s="19" t="s">
        <v>371</v>
      </c>
      <c r="B569" s="61" t="s">
        <v>7</v>
      </c>
      <c r="C569" s="6"/>
      <c r="D569" s="62"/>
      <c r="E569" s="62"/>
    </row>
    <row r="570" spans="1:5" ht="21" hidden="1" customHeight="1">
      <c r="A570" s="19" t="s">
        <v>372</v>
      </c>
      <c r="B570" s="61" t="s">
        <v>68</v>
      </c>
      <c r="C570" s="6"/>
      <c r="D570" s="62"/>
      <c r="E570" s="62"/>
    </row>
    <row r="571" spans="1:5" ht="21" hidden="1" customHeight="1">
      <c r="A571" s="10" t="s">
        <v>247</v>
      </c>
      <c r="B571" s="61" t="s">
        <v>39</v>
      </c>
      <c r="C571" s="6"/>
      <c r="D571" s="62"/>
      <c r="E571" s="62"/>
    </row>
    <row r="572" spans="1:5" ht="21" hidden="1" customHeight="1">
      <c r="A572" s="8" t="s">
        <v>252</v>
      </c>
      <c r="B572" s="61" t="s">
        <v>7</v>
      </c>
      <c r="C572" s="6"/>
      <c r="D572" s="62"/>
      <c r="E572" s="62"/>
    </row>
    <row r="573" spans="1:5" ht="21" hidden="1" customHeight="1">
      <c r="A573" s="8" t="s">
        <v>253</v>
      </c>
      <c r="B573" s="61" t="s">
        <v>21</v>
      </c>
      <c r="C573" s="6"/>
      <c r="D573" s="62"/>
      <c r="E573" s="62"/>
    </row>
    <row r="574" spans="1:5" ht="21" hidden="1" customHeight="1">
      <c r="A574" s="12" t="s">
        <v>254</v>
      </c>
      <c r="B574" s="61" t="s">
        <v>68</v>
      </c>
      <c r="C574" s="6"/>
      <c r="D574" s="62"/>
      <c r="E574" s="62"/>
    </row>
    <row r="575" spans="1:5" ht="21" hidden="1" customHeight="1">
      <c r="A575" s="12" t="s">
        <v>255</v>
      </c>
      <c r="B575" s="61" t="s">
        <v>68</v>
      </c>
      <c r="C575" s="6"/>
      <c r="D575" s="62"/>
      <c r="E575" s="62"/>
    </row>
    <row r="576" spans="1:5" ht="21" hidden="1" customHeight="1">
      <c r="A576" s="30" t="s">
        <v>256</v>
      </c>
      <c r="B576" s="61" t="s">
        <v>49</v>
      </c>
      <c r="C576" s="6"/>
      <c r="D576" s="62"/>
      <c r="E576" s="62"/>
    </row>
    <row r="577" spans="1:5" ht="21" hidden="1" customHeight="1">
      <c r="A577" s="8" t="s">
        <v>257</v>
      </c>
      <c r="B577" s="61" t="s">
        <v>7</v>
      </c>
      <c r="C577" s="6"/>
      <c r="D577" s="62"/>
      <c r="E577" s="62"/>
    </row>
    <row r="578" spans="1:5" ht="21" hidden="1" customHeight="1">
      <c r="A578" s="8" t="s">
        <v>258</v>
      </c>
      <c r="B578" s="61" t="s">
        <v>49</v>
      </c>
      <c r="C578" s="6"/>
      <c r="D578" s="62"/>
      <c r="E578" s="62"/>
    </row>
    <row r="579" spans="1:5" ht="21" hidden="1" customHeight="1">
      <c r="A579" s="8" t="s">
        <v>259</v>
      </c>
      <c r="B579" s="61" t="s">
        <v>7</v>
      </c>
      <c r="C579" s="14"/>
      <c r="D579" s="62"/>
      <c r="E579" s="62"/>
    </row>
    <row r="580" spans="1:5" ht="21" hidden="1" customHeight="1">
      <c r="A580" s="30" t="s">
        <v>260</v>
      </c>
      <c r="B580" s="61" t="s">
        <v>49</v>
      </c>
      <c r="C580" s="6"/>
      <c r="D580" s="62"/>
      <c r="E580" s="62"/>
    </row>
    <row r="581" spans="1:5" ht="21" hidden="1" customHeight="1">
      <c r="A581" s="8" t="s">
        <v>261</v>
      </c>
      <c r="B581" s="61" t="s">
        <v>49</v>
      </c>
      <c r="C581" s="14"/>
      <c r="D581" s="62"/>
      <c r="E581" s="62"/>
    </row>
    <row r="582" spans="1:5" ht="21" hidden="1" customHeight="1">
      <c r="A582" s="8" t="s">
        <v>262</v>
      </c>
      <c r="B582" s="61" t="s">
        <v>7</v>
      </c>
      <c r="C582" s="6"/>
      <c r="D582" s="62"/>
      <c r="E582" s="62"/>
    </row>
    <row r="583" spans="1:5" ht="21" hidden="1" customHeight="1">
      <c r="A583" s="10" t="s">
        <v>264</v>
      </c>
      <c r="B583" s="61" t="s">
        <v>54</v>
      </c>
      <c r="C583" s="6"/>
      <c r="D583" s="62"/>
      <c r="E583" s="62"/>
    </row>
    <row r="584" spans="1:5" ht="21" hidden="1" customHeight="1">
      <c r="A584" s="8" t="s">
        <v>265</v>
      </c>
      <c r="B584" s="61" t="s">
        <v>7</v>
      </c>
      <c r="C584" s="6"/>
      <c r="D584" s="62"/>
      <c r="E584" s="62"/>
    </row>
    <row r="585" spans="1:5" ht="21" hidden="1" customHeight="1">
      <c r="A585" s="8" t="s">
        <v>266</v>
      </c>
      <c r="B585" s="61" t="s">
        <v>7</v>
      </c>
      <c r="C585" s="6"/>
      <c r="D585" s="62"/>
      <c r="E585" s="62"/>
    </row>
    <row r="586" spans="1:5" ht="21" hidden="1" customHeight="1">
      <c r="A586" s="8" t="s">
        <v>267</v>
      </c>
      <c r="B586" s="61" t="s">
        <v>21</v>
      </c>
      <c r="C586" s="6"/>
      <c r="D586" s="62"/>
      <c r="E586" s="62"/>
    </row>
    <row r="587" spans="1:5" ht="21" hidden="1" customHeight="1">
      <c r="A587" s="8" t="s">
        <v>268</v>
      </c>
      <c r="B587" s="61" t="s">
        <v>54</v>
      </c>
      <c r="C587" s="6"/>
      <c r="D587" s="62"/>
      <c r="E587" s="62"/>
    </row>
    <row r="588" spans="1:5" ht="21" hidden="1" customHeight="1">
      <c r="A588" s="8" t="s">
        <v>269</v>
      </c>
      <c r="B588" s="61" t="s">
        <v>7</v>
      </c>
      <c r="C588" s="6"/>
      <c r="D588" s="75"/>
      <c r="E588" s="75"/>
    </row>
    <row r="589" spans="1:5" ht="21" hidden="1" customHeight="1">
      <c r="A589" s="15" t="s">
        <v>270</v>
      </c>
      <c r="B589" s="61" t="s">
        <v>7</v>
      </c>
      <c r="C589" s="6"/>
      <c r="D589" s="75"/>
      <c r="E589" s="75"/>
    </row>
    <row r="590" spans="1:5" ht="21" hidden="1" customHeight="1">
      <c r="A590" s="19" t="s">
        <v>271</v>
      </c>
      <c r="B590" s="61" t="s">
        <v>7</v>
      </c>
      <c r="C590" s="6"/>
      <c r="D590" s="62"/>
      <c r="E590" s="62"/>
    </row>
    <row r="591" spans="1:5" ht="21" hidden="1" customHeight="1">
      <c r="A591" s="19" t="s">
        <v>272</v>
      </c>
      <c r="B591" s="61" t="s">
        <v>7</v>
      </c>
      <c r="C591" s="6"/>
      <c r="D591" s="62"/>
      <c r="E591" s="62"/>
    </row>
    <row r="592" spans="1:5" ht="21" hidden="1" customHeight="1">
      <c r="A592" s="8" t="s">
        <v>273</v>
      </c>
      <c r="B592" s="61" t="s">
        <v>7</v>
      </c>
      <c r="C592" s="6"/>
      <c r="D592" s="62"/>
      <c r="E592" s="62"/>
    </row>
    <row r="593" spans="1:5" ht="21" hidden="1" customHeight="1">
      <c r="A593" s="8" t="s">
        <v>274</v>
      </c>
      <c r="B593" s="61" t="s">
        <v>7</v>
      </c>
      <c r="C593" s="6"/>
      <c r="D593" s="62"/>
      <c r="E593" s="62"/>
    </row>
    <row r="594" spans="1:5" ht="21" hidden="1" customHeight="1">
      <c r="A594" s="8" t="s">
        <v>275</v>
      </c>
      <c r="B594" s="61" t="s">
        <v>21</v>
      </c>
      <c r="C594" s="6"/>
      <c r="D594" s="62"/>
      <c r="E594" s="62"/>
    </row>
    <row r="595" spans="1:5" ht="21" hidden="1" customHeight="1">
      <c r="A595" s="8" t="s">
        <v>276</v>
      </c>
      <c r="B595" s="61" t="s">
        <v>54</v>
      </c>
      <c r="C595" s="6"/>
      <c r="D595" s="62"/>
      <c r="E595" s="62"/>
    </row>
    <row r="596" spans="1:5" ht="21" hidden="1" customHeight="1">
      <c r="A596" s="8" t="s">
        <v>277</v>
      </c>
      <c r="B596" s="61" t="s">
        <v>7</v>
      </c>
      <c r="C596" s="6"/>
      <c r="D596" s="62"/>
      <c r="E596" s="62"/>
    </row>
    <row r="597" spans="1:5" ht="21" hidden="1" customHeight="1">
      <c r="A597" s="8" t="s">
        <v>278</v>
      </c>
      <c r="B597" s="61" t="s">
        <v>7</v>
      </c>
      <c r="C597" s="6"/>
      <c r="D597" s="62"/>
      <c r="E597" s="62"/>
    </row>
    <row r="598" spans="1:5" ht="21" hidden="1" customHeight="1">
      <c r="A598" s="8" t="s">
        <v>279</v>
      </c>
      <c r="B598" s="61" t="s">
        <v>21</v>
      </c>
      <c r="C598" s="6"/>
      <c r="D598" s="62"/>
      <c r="E598" s="62"/>
    </row>
    <row r="599" spans="1:5" ht="21" hidden="1" customHeight="1">
      <c r="A599" s="8" t="s">
        <v>280</v>
      </c>
      <c r="B599" s="61" t="s">
        <v>7</v>
      </c>
      <c r="C599" s="14"/>
      <c r="D599" s="62"/>
      <c r="E599" s="62"/>
    </row>
    <row r="600" spans="1:5" ht="21" hidden="1" customHeight="1">
      <c r="A600" s="12" t="s">
        <v>281</v>
      </c>
      <c r="B600" s="61" t="s">
        <v>7</v>
      </c>
      <c r="C600" s="6"/>
      <c r="D600" s="62"/>
      <c r="E600" s="62"/>
    </row>
    <row r="601" spans="1:5" ht="21" hidden="1" customHeight="1">
      <c r="A601" s="8" t="s">
        <v>282</v>
      </c>
      <c r="B601" s="61" t="s">
        <v>7</v>
      </c>
      <c r="C601" s="6"/>
      <c r="D601" s="62"/>
      <c r="E601" s="62"/>
    </row>
    <row r="602" spans="1:5" ht="21" hidden="1" customHeight="1">
      <c r="A602" s="10" t="s">
        <v>373</v>
      </c>
      <c r="B602" s="61" t="s">
        <v>7</v>
      </c>
      <c r="C602" s="6"/>
      <c r="D602" s="62"/>
      <c r="E602" s="62"/>
    </row>
    <row r="603" spans="1:5" ht="21" hidden="1" customHeight="1">
      <c r="A603" s="10" t="s">
        <v>283</v>
      </c>
      <c r="B603" s="61" t="s">
        <v>7</v>
      </c>
      <c r="C603" s="6"/>
      <c r="D603" s="62"/>
      <c r="E603" s="62"/>
    </row>
    <row r="604" spans="1:5" ht="21" hidden="1" customHeight="1">
      <c r="A604" s="8" t="s">
        <v>284</v>
      </c>
      <c r="B604" s="61" t="s">
        <v>49</v>
      </c>
      <c r="C604" s="6"/>
      <c r="D604" s="76"/>
      <c r="E604" s="76"/>
    </row>
    <row r="605" spans="1:5" ht="21" hidden="1" customHeight="1">
      <c r="A605" s="8" t="s">
        <v>374</v>
      </c>
      <c r="B605" s="61" t="s">
        <v>49</v>
      </c>
      <c r="C605" s="6"/>
      <c r="D605" s="76"/>
      <c r="E605" s="76"/>
    </row>
    <row r="606" spans="1:5" ht="21" hidden="1" customHeight="1">
      <c r="A606" s="8" t="s">
        <v>285</v>
      </c>
      <c r="B606" s="61" t="s">
        <v>7</v>
      </c>
      <c r="C606" s="6"/>
      <c r="D606" s="62"/>
      <c r="E606" s="62"/>
    </row>
    <row r="607" spans="1:5" ht="21" hidden="1" customHeight="1">
      <c r="A607" s="8" t="s">
        <v>375</v>
      </c>
      <c r="B607" s="61"/>
      <c r="C607" s="6"/>
      <c r="D607" s="62"/>
      <c r="E607" s="62"/>
    </row>
    <row r="608" spans="1:5" ht="21" hidden="1" customHeight="1">
      <c r="A608" s="8" t="s">
        <v>287</v>
      </c>
      <c r="B608" s="61" t="s">
        <v>68</v>
      </c>
      <c r="C608" s="6"/>
      <c r="D608" s="62"/>
      <c r="E608" s="62"/>
    </row>
    <row r="609" spans="1:5" ht="21" hidden="1" customHeight="1">
      <c r="A609" s="8" t="s">
        <v>288</v>
      </c>
      <c r="B609" s="61" t="s">
        <v>7</v>
      </c>
      <c r="C609" s="6"/>
      <c r="D609" s="62"/>
      <c r="E609" s="62"/>
    </row>
    <row r="610" spans="1:5" ht="21" hidden="1" customHeight="1">
      <c r="A610" s="8" t="s">
        <v>289</v>
      </c>
      <c r="B610" s="61" t="s">
        <v>57</v>
      </c>
      <c r="C610" s="6"/>
      <c r="D610" s="62"/>
      <c r="E610" s="62"/>
    </row>
    <row r="611" spans="1:5" ht="21" hidden="1" customHeight="1">
      <c r="A611" s="30" t="s">
        <v>291</v>
      </c>
      <c r="B611" s="61" t="s">
        <v>49</v>
      </c>
      <c r="C611" s="6"/>
      <c r="D611" s="62"/>
      <c r="E611" s="62"/>
    </row>
    <row r="612" spans="1:5" ht="21" hidden="1" customHeight="1">
      <c r="A612" s="8" t="s">
        <v>292</v>
      </c>
      <c r="B612" s="61" t="s">
        <v>49</v>
      </c>
      <c r="C612" s="6"/>
      <c r="D612" s="62"/>
      <c r="E612" s="62"/>
    </row>
    <row r="613" spans="1:5" ht="21" hidden="1" customHeight="1">
      <c r="A613" s="30" t="s">
        <v>293</v>
      </c>
      <c r="B613" s="61" t="s">
        <v>49</v>
      </c>
      <c r="C613" s="6"/>
      <c r="D613" s="62"/>
      <c r="E613" s="62"/>
    </row>
    <row r="614" spans="1:5" ht="21" hidden="1" customHeight="1">
      <c r="A614" s="10" t="s">
        <v>376</v>
      </c>
      <c r="B614" s="61" t="s">
        <v>7</v>
      </c>
      <c r="C614" s="6"/>
      <c r="D614" s="62"/>
      <c r="E614" s="62"/>
    </row>
    <row r="615" spans="1:5" ht="21" hidden="1" customHeight="1">
      <c r="A615" s="30" t="s">
        <v>294</v>
      </c>
      <c r="B615" s="61" t="s">
        <v>49</v>
      </c>
      <c r="C615" s="6"/>
      <c r="D615" s="62"/>
      <c r="E615" s="62"/>
    </row>
    <row r="616" spans="1:5" ht="21" hidden="1" customHeight="1">
      <c r="A616" s="11" t="s">
        <v>295</v>
      </c>
      <c r="B616" s="61" t="s">
        <v>7</v>
      </c>
      <c r="C616" s="14"/>
      <c r="D616" s="62"/>
      <c r="E616" s="62"/>
    </row>
    <row r="617" spans="1:5" ht="21" hidden="1" customHeight="1">
      <c r="A617" s="15" t="s">
        <v>299</v>
      </c>
      <c r="B617" s="61" t="s">
        <v>68</v>
      </c>
      <c r="C617" s="6"/>
      <c r="D617" s="62"/>
      <c r="E617" s="62"/>
    </row>
    <row r="618" spans="1:5" ht="21" hidden="1" customHeight="1">
      <c r="A618" s="15" t="s">
        <v>300</v>
      </c>
      <c r="B618" s="61" t="s">
        <v>54</v>
      </c>
      <c r="C618" s="6"/>
      <c r="D618" s="62"/>
      <c r="E618" s="62"/>
    </row>
    <row r="619" spans="1:5" ht="21" hidden="1" customHeight="1">
      <c r="A619" s="15" t="s">
        <v>301</v>
      </c>
      <c r="B619" s="61" t="s">
        <v>54</v>
      </c>
      <c r="C619" s="6"/>
      <c r="D619" s="62"/>
      <c r="E619" s="62"/>
    </row>
    <row r="620" spans="1:5" ht="21" hidden="1" customHeight="1">
      <c r="A620" s="8" t="s">
        <v>302</v>
      </c>
      <c r="B620" s="61" t="s">
        <v>7</v>
      </c>
      <c r="C620" s="6"/>
      <c r="D620" s="62"/>
      <c r="E620" s="62"/>
    </row>
    <row r="621" spans="1:5" ht="21" hidden="1" customHeight="1">
      <c r="A621" s="15" t="s">
        <v>303</v>
      </c>
      <c r="B621" s="61" t="s">
        <v>49</v>
      </c>
      <c r="C621" s="6"/>
      <c r="D621" s="62"/>
      <c r="E621" s="62"/>
    </row>
    <row r="622" spans="1:5" ht="21" hidden="1" customHeight="1">
      <c r="A622" s="8" t="s">
        <v>304</v>
      </c>
      <c r="B622" s="61" t="s">
        <v>7</v>
      </c>
      <c r="C622" s="6"/>
      <c r="D622" s="62"/>
      <c r="E622" s="62"/>
    </row>
    <row r="623" spans="1:5" ht="21" hidden="1" customHeight="1">
      <c r="A623" s="8" t="s">
        <v>305</v>
      </c>
      <c r="B623" s="61" t="s">
        <v>7</v>
      </c>
      <c r="C623" s="6"/>
      <c r="D623" s="68"/>
      <c r="E623" s="68"/>
    </row>
    <row r="624" spans="1:5" ht="21" hidden="1" customHeight="1">
      <c r="A624" s="15" t="s">
        <v>306</v>
      </c>
      <c r="B624" s="61" t="s">
        <v>54</v>
      </c>
      <c r="C624" s="6"/>
      <c r="D624" s="62"/>
      <c r="E624" s="62"/>
    </row>
    <row r="625" spans="1:5" ht="21" hidden="1" customHeight="1">
      <c r="A625" s="23" t="s">
        <v>307</v>
      </c>
      <c r="B625" s="61" t="s">
        <v>7</v>
      </c>
      <c r="C625" s="6"/>
      <c r="D625" s="62"/>
      <c r="E625" s="62"/>
    </row>
    <row r="626" spans="1:5" ht="21" hidden="1" customHeight="1">
      <c r="A626" s="8" t="s">
        <v>308</v>
      </c>
      <c r="B626" s="61" t="s">
        <v>7</v>
      </c>
      <c r="C626" s="6"/>
      <c r="D626" s="62"/>
      <c r="E626" s="62"/>
    </row>
    <row r="627" spans="1:5" ht="21" hidden="1" customHeight="1">
      <c r="A627" s="12" t="s">
        <v>309</v>
      </c>
      <c r="B627" s="61" t="s">
        <v>9</v>
      </c>
      <c r="C627" s="6"/>
      <c r="D627" s="62"/>
      <c r="E627" s="62"/>
    </row>
    <row r="628" spans="1:5" ht="21" hidden="1" customHeight="1">
      <c r="A628" s="11" t="s">
        <v>311</v>
      </c>
      <c r="B628" s="61" t="s">
        <v>7</v>
      </c>
      <c r="C628" s="6"/>
      <c r="D628" s="77"/>
      <c r="E628" s="77"/>
    </row>
    <row r="629" spans="1:5" ht="21" hidden="1" customHeight="1">
      <c r="A629" s="15" t="s">
        <v>312</v>
      </c>
      <c r="B629" s="61" t="s">
        <v>49</v>
      </c>
      <c r="C629" s="6"/>
      <c r="D629" s="62"/>
      <c r="E629" s="62"/>
    </row>
    <row r="630" spans="1:5" ht="21" hidden="1" customHeight="1">
      <c r="A630" s="12" t="s">
        <v>313</v>
      </c>
      <c r="B630" s="61" t="s">
        <v>49</v>
      </c>
      <c r="C630" s="6"/>
      <c r="D630" s="77"/>
      <c r="E630" s="77"/>
    </row>
    <row r="631" spans="1:5" ht="21" hidden="1" customHeight="1">
      <c r="A631" s="8" t="s">
        <v>314</v>
      </c>
      <c r="B631" s="61" t="s">
        <v>7</v>
      </c>
      <c r="C631" s="6"/>
      <c r="D631" s="62"/>
      <c r="E631" s="62"/>
    </row>
    <row r="632" spans="1:5" ht="21" hidden="1" customHeight="1">
      <c r="A632" s="15" t="s">
        <v>315</v>
      </c>
      <c r="B632" s="61" t="s">
        <v>68</v>
      </c>
      <c r="C632" s="6"/>
      <c r="D632" s="62"/>
      <c r="E632" s="62"/>
    </row>
    <row r="633" spans="1:5" ht="21" hidden="1" customHeight="1">
      <c r="A633" s="11" t="s">
        <v>377</v>
      </c>
      <c r="B633" s="61" t="s">
        <v>7</v>
      </c>
      <c r="C633" s="6"/>
      <c r="D633" s="62"/>
      <c r="E633" s="62"/>
    </row>
    <row r="634" spans="1:5" ht="21" hidden="1" customHeight="1">
      <c r="A634" s="8" t="s">
        <v>378</v>
      </c>
      <c r="B634" s="61" t="s">
        <v>7</v>
      </c>
      <c r="C634" s="6"/>
      <c r="D634" s="62"/>
      <c r="E634" s="62"/>
    </row>
    <row r="635" spans="1:5" ht="21" hidden="1" customHeight="1">
      <c r="A635" s="10" t="s">
        <v>318</v>
      </c>
      <c r="B635" s="61" t="s">
        <v>7</v>
      </c>
      <c r="C635" s="6"/>
      <c r="D635" s="62"/>
      <c r="E635" s="62"/>
    </row>
    <row r="636" spans="1:5" ht="21" hidden="1" customHeight="1">
      <c r="A636" s="8" t="s">
        <v>379</v>
      </c>
      <c r="B636" s="61" t="s">
        <v>7</v>
      </c>
      <c r="C636" s="6"/>
      <c r="D636" s="62"/>
      <c r="E636" s="62"/>
    </row>
    <row r="637" spans="1:5" ht="21" hidden="1" customHeight="1">
      <c r="A637" s="11" t="s">
        <v>319</v>
      </c>
      <c r="B637" s="61" t="s">
        <v>7</v>
      </c>
      <c r="C637" s="6"/>
      <c r="D637" s="74"/>
      <c r="E637" s="74"/>
    </row>
    <row r="638" spans="1:5" ht="21" hidden="1" customHeight="1">
      <c r="A638" s="11" t="s">
        <v>320</v>
      </c>
      <c r="B638" s="61" t="s">
        <v>7</v>
      </c>
      <c r="C638" s="6"/>
      <c r="D638" s="74"/>
      <c r="E638" s="74"/>
    </row>
    <row r="639" spans="1:5" ht="21" hidden="1" customHeight="1">
      <c r="A639" s="8" t="s">
        <v>321</v>
      </c>
      <c r="B639" s="61" t="s">
        <v>7</v>
      </c>
      <c r="C639" s="6"/>
      <c r="D639" s="62"/>
      <c r="E639" s="62"/>
    </row>
    <row r="640" spans="1:5" ht="21" hidden="1" customHeight="1">
      <c r="A640" s="8" t="s">
        <v>322</v>
      </c>
      <c r="B640" s="61" t="s">
        <v>93</v>
      </c>
      <c r="C640" s="6"/>
      <c r="D640" s="62"/>
      <c r="E640" s="62"/>
    </row>
    <row r="641" spans="1:5" ht="21" hidden="1" customHeight="1">
      <c r="A641" s="8" t="s">
        <v>323</v>
      </c>
      <c r="B641" s="61" t="s">
        <v>49</v>
      </c>
      <c r="C641" s="6"/>
      <c r="D641" s="62"/>
      <c r="E641" s="62"/>
    </row>
    <row r="642" spans="1:5" ht="21" hidden="1" customHeight="1">
      <c r="A642" s="12" t="s">
        <v>324</v>
      </c>
      <c r="B642" s="61" t="s">
        <v>7</v>
      </c>
      <c r="C642" s="6"/>
      <c r="D642" s="62"/>
      <c r="E642" s="62"/>
    </row>
    <row r="643" spans="1:5" ht="21" hidden="1" customHeight="1">
      <c r="A643" s="12" t="s">
        <v>325</v>
      </c>
      <c r="B643" s="61" t="s">
        <v>7</v>
      </c>
      <c r="C643" s="6"/>
      <c r="D643" s="62"/>
      <c r="E643" s="62"/>
    </row>
    <row r="644" spans="1:5" ht="21" hidden="1" customHeight="1">
      <c r="A644" s="19" t="s">
        <v>326</v>
      </c>
      <c r="B644" s="61" t="s">
        <v>7</v>
      </c>
      <c r="C644" s="6"/>
      <c r="D644" s="62"/>
      <c r="E644" s="62"/>
    </row>
    <row r="645" spans="1:5" ht="21" hidden="1" customHeight="1">
      <c r="A645" s="12" t="s">
        <v>327</v>
      </c>
      <c r="B645" s="61" t="s">
        <v>49</v>
      </c>
      <c r="C645" s="6"/>
      <c r="D645" s="62"/>
      <c r="E645" s="62"/>
    </row>
    <row r="646" spans="1:5" ht="21" hidden="1" customHeight="1">
      <c r="A646" s="8" t="s">
        <v>328</v>
      </c>
      <c r="B646" s="61" t="s">
        <v>57</v>
      </c>
      <c r="C646" s="6"/>
      <c r="D646" s="62"/>
      <c r="E646" s="62"/>
    </row>
    <row r="647" spans="1:5" ht="21" hidden="1" customHeight="1">
      <c r="A647" s="8" t="s">
        <v>329</v>
      </c>
      <c r="B647" s="61" t="s">
        <v>57</v>
      </c>
      <c r="C647" s="6"/>
      <c r="D647" s="62"/>
      <c r="E647" s="62"/>
    </row>
    <row r="648" spans="1:5" ht="21" hidden="1" customHeight="1">
      <c r="A648" s="8" t="s">
        <v>330</v>
      </c>
      <c r="B648" s="61" t="s">
        <v>93</v>
      </c>
      <c r="C648" s="6"/>
      <c r="D648" s="62"/>
      <c r="E648" s="62"/>
    </row>
    <row r="649" spans="1:5" ht="21" hidden="1" customHeight="1">
      <c r="A649" s="8" t="s">
        <v>331</v>
      </c>
      <c r="B649" s="61" t="s">
        <v>7</v>
      </c>
      <c r="C649" s="6"/>
      <c r="D649" s="62"/>
      <c r="E649" s="62"/>
    </row>
    <row r="650" spans="1:5" ht="21" hidden="1" customHeight="1">
      <c r="A650" s="19" t="s">
        <v>332</v>
      </c>
      <c r="B650" s="61" t="s">
        <v>7</v>
      </c>
      <c r="C650" s="6"/>
      <c r="D650" s="62"/>
      <c r="E650" s="62"/>
    </row>
    <row r="651" spans="1:5" ht="21" hidden="1" customHeight="1">
      <c r="A651" s="8" t="s">
        <v>333</v>
      </c>
      <c r="B651" s="61" t="s">
        <v>57</v>
      </c>
      <c r="C651" s="6"/>
      <c r="D651" s="62"/>
      <c r="E651" s="62"/>
    </row>
    <row r="652" spans="1:5" ht="21" hidden="1" customHeight="1">
      <c r="A652" s="8" t="s">
        <v>334</v>
      </c>
      <c r="B652" s="61" t="s">
        <v>7</v>
      </c>
      <c r="C652" s="6"/>
      <c r="D652" s="62"/>
      <c r="E652" s="62"/>
    </row>
    <row r="653" spans="1:5" ht="21" hidden="1" customHeight="1">
      <c r="A653" s="11" t="s">
        <v>335</v>
      </c>
      <c r="B653" s="61" t="s">
        <v>7</v>
      </c>
      <c r="C653" s="6"/>
      <c r="D653" s="62"/>
      <c r="E653" s="62"/>
    </row>
    <row r="654" spans="1:5" ht="21" hidden="1" customHeight="1">
      <c r="A654" s="8" t="s">
        <v>336</v>
      </c>
      <c r="B654" s="61" t="s">
        <v>7</v>
      </c>
      <c r="C654" s="34"/>
      <c r="D654" s="62"/>
      <c r="E654" s="62"/>
    </row>
    <row r="655" spans="1:5" ht="21" hidden="1" customHeight="1">
      <c r="A655" s="8" t="s">
        <v>337</v>
      </c>
      <c r="B655" s="61" t="s">
        <v>57</v>
      </c>
      <c r="C655" s="6"/>
      <c r="D655" s="62"/>
      <c r="E655" s="62"/>
    </row>
    <row r="656" spans="1:5" ht="21" hidden="1" customHeight="1">
      <c r="A656" s="8" t="s">
        <v>338</v>
      </c>
      <c r="B656" s="61" t="s">
        <v>49</v>
      </c>
      <c r="C656" s="6"/>
      <c r="D656" s="62"/>
      <c r="E656" s="62"/>
    </row>
    <row r="657" spans="1:5" ht="21" hidden="1" customHeight="1">
      <c r="A657" s="19" t="s">
        <v>339</v>
      </c>
      <c r="B657" s="61" t="s">
        <v>7</v>
      </c>
      <c r="C657" s="6"/>
      <c r="D657" s="62"/>
      <c r="E657" s="62"/>
    </row>
    <row r="658" spans="1:5" ht="21" hidden="1" customHeight="1">
      <c r="A658" s="19" t="s">
        <v>340</v>
      </c>
      <c r="B658" s="61" t="s">
        <v>7</v>
      </c>
      <c r="C658" s="6"/>
      <c r="D658" s="62"/>
      <c r="E658" s="62"/>
    </row>
    <row r="659" spans="1:5" ht="21" hidden="1" customHeight="1">
      <c r="A659" s="8" t="s">
        <v>341</v>
      </c>
      <c r="B659" s="61" t="s">
        <v>7</v>
      </c>
      <c r="C659" s="6"/>
      <c r="D659" s="62"/>
      <c r="E659" s="62"/>
    </row>
    <row r="660" spans="1:5" ht="21" hidden="1" customHeight="1">
      <c r="A660" s="8" t="s">
        <v>342</v>
      </c>
      <c r="B660" s="61" t="s">
        <v>7</v>
      </c>
      <c r="C660" s="6"/>
      <c r="D660" s="62"/>
      <c r="E660" s="62"/>
    </row>
    <row r="661" spans="1:5" ht="21" hidden="1" customHeight="1">
      <c r="A661" s="19" t="s">
        <v>343</v>
      </c>
      <c r="B661" s="61" t="s">
        <v>7</v>
      </c>
      <c r="C661" s="6"/>
      <c r="D661" s="62"/>
      <c r="E661" s="62"/>
    </row>
    <row r="662" spans="1:5" ht="21" hidden="1" customHeight="1">
      <c r="A662" s="8" t="s">
        <v>344</v>
      </c>
      <c r="B662" s="61" t="s">
        <v>57</v>
      </c>
      <c r="C662" s="6"/>
      <c r="D662" s="62"/>
      <c r="E662" s="62"/>
    </row>
    <row r="663" spans="1:5" ht="21" hidden="1" customHeight="1">
      <c r="A663" s="8" t="s">
        <v>345</v>
      </c>
      <c r="B663" s="61" t="s">
        <v>57</v>
      </c>
      <c r="C663" s="6"/>
      <c r="D663" s="62"/>
      <c r="E663" s="62"/>
    </row>
    <row r="664" spans="1:5" ht="21" hidden="1" customHeight="1">
      <c r="A664" s="8" t="s">
        <v>346</v>
      </c>
      <c r="B664" s="61" t="s">
        <v>57</v>
      </c>
      <c r="C664" s="6"/>
      <c r="D664" s="62"/>
      <c r="E664" s="62"/>
    </row>
    <row r="665" spans="1:5" ht="21" hidden="1" customHeight="1">
      <c r="A665" s="8" t="s">
        <v>347</v>
      </c>
      <c r="B665" s="61" t="s">
        <v>57</v>
      </c>
      <c r="C665" s="6"/>
      <c r="D665" s="62"/>
      <c r="E665" s="62"/>
    </row>
    <row r="666" spans="1:5" ht="21" hidden="1" customHeight="1">
      <c r="A666" s="8" t="s">
        <v>348</v>
      </c>
      <c r="B666" s="61" t="s">
        <v>57</v>
      </c>
      <c r="C666" s="6"/>
      <c r="D666" s="62"/>
      <c r="E666" s="62"/>
    </row>
    <row r="667" spans="1:5" ht="21" hidden="1" customHeight="1">
      <c r="A667" s="8" t="s">
        <v>349</v>
      </c>
      <c r="B667" s="61" t="s">
        <v>93</v>
      </c>
      <c r="C667" s="6"/>
      <c r="D667" s="62"/>
      <c r="E667" s="62"/>
    </row>
    <row r="668" spans="1:5" ht="21" hidden="1" customHeight="1">
      <c r="A668" s="8" t="s">
        <v>350</v>
      </c>
      <c r="B668" s="61" t="s">
        <v>7</v>
      </c>
      <c r="C668" s="6"/>
      <c r="D668" s="62"/>
      <c r="E668" s="62"/>
    </row>
    <row r="669" spans="1:5" ht="21" hidden="1" customHeight="1">
      <c r="A669" s="8" t="s">
        <v>351</v>
      </c>
      <c r="B669" s="61" t="s">
        <v>7</v>
      </c>
      <c r="C669" s="6"/>
      <c r="D669" s="62"/>
      <c r="E669" s="62"/>
    </row>
    <row r="670" spans="1:5" ht="21" hidden="1" customHeight="1">
      <c r="A670" s="10" t="s">
        <v>353</v>
      </c>
      <c r="B670" s="61" t="s">
        <v>7</v>
      </c>
      <c r="C670" s="6"/>
      <c r="D670" s="62"/>
      <c r="E670" s="62"/>
    </row>
    <row r="671" spans="1:5" ht="21" customHeight="1">
      <c r="A671" s="79"/>
      <c r="B671" s="80">
        <v>0</v>
      </c>
      <c r="C671" s="80">
        <v>6717</v>
      </c>
      <c r="D671" s="81"/>
      <c r="E671" s="81">
        <f>SUBTOTAL(9,E361:E555)</f>
        <v>82731000</v>
      </c>
    </row>
    <row r="672" spans="1:5" hidden="1">
      <c r="E672" s="84">
        <f>+E671+E341</f>
        <v>143423400</v>
      </c>
    </row>
    <row r="673" spans="5:5">
      <c r="E673" s="84">
        <f>+E671+E341</f>
        <v>143423400</v>
      </c>
    </row>
  </sheetData>
  <protectedRanges>
    <protectedRange password="CF71" sqref="C1:C340 C672:C65536" name="tho"/>
    <protectedRange password="CF19" sqref="F342:AK65536 F1:AK1" name="tho2_2_1_1_1_1_1_2_1"/>
    <protectedRange password="CF19" sqref="F2:AK340" name="tho2_2_1_1_1_1_1_2_1_1"/>
    <protectedRange password="CF71" sqref="C342:C670" name="tho_4"/>
  </protectedRanges>
  <autoFilter ref="A2:IT673" xr:uid="{00000000-0009-0000-0000-000003000000}">
    <filterColumn colId="2">
      <customFilters>
        <customFilter operator="notEqual" val=""/>
      </customFilters>
    </filterColumn>
  </autoFilter>
  <mergeCells count="2">
    <mergeCell ref="A2:A3"/>
    <mergeCell ref="A342:A343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674"/>
  <sheetViews>
    <sheetView topLeftCell="A259" workbookViewId="0">
      <selection activeCell="D461" sqref="D461"/>
    </sheetView>
  </sheetViews>
  <sheetFormatPr defaultColWidth="9" defaultRowHeight="14.4"/>
  <cols>
    <col min="1" max="1" width="40.33203125" customWidth="1"/>
    <col min="3" max="3" width="14.44140625" customWidth="1"/>
    <col min="4" max="4" width="25" customWidth="1"/>
  </cols>
  <sheetData>
    <row r="1" spans="1:4">
      <c r="A1" s="1" t="s">
        <v>380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4</v>
      </c>
      <c r="D2" s="4" t="s">
        <v>5</v>
      </c>
    </row>
    <row r="3" spans="1:4" ht="18" hidden="1">
      <c r="A3" s="5" t="s">
        <v>6</v>
      </c>
      <c r="B3" s="6"/>
      <c r="C3" s="6"/>
      <c r="D3" s="6">
        <f>B3*C3</f>
        <v>0</v>
      </c>
    </row>
    <row r="4" spans="1:4" ht="18" hidden="1">
      <c r="A4" s="7" t="s">
        <v>8</v>
      </c>
      <c r="B4" s="6"/>
      <c r="C4" s="6"/>
      <c r="D4" s="6">
        <f t="shared" ref="D4:D67" si="0">B4*C4</f>
        <v>0</v>
      </c>
    </row>
    <row r="5" spans="1:4" ht="18" hidden="1">
      <c r="A5" s="5" t="s">
        <v>10</v>
      </c>
      <c r="B5" s="6"/>
      <c r="C5" s="6"/>
      <c r="D5" s="6">
        <f t="shared" si="0"/>
        <v>0</v>
      </c>
    </row>
    <row r="6" spans="1:4" ht="18" hidden="1">
      <c r="A6" s="5" t="s">
        <v>11</v>
      </c>
      <c r="B6" s="6"/>
      <c r="C6" s="6"/>
      <c r="D6" s="6">
        <f t="shared" si="0"/>
        <v>0</v>
      </c>
    </row>
    <row r="7" spans="1:4" ht="18" hidden="1">
      <c r="A7" s="8" t="s">
        <v>12</v>
      </c>
      <c r="B7" s="6"/>
      <c r="C7" s="6"/>
      <c r="D7" s="6">
        <f t="shared" si="0"/>
        <v>0</v>
      </c>
    </row>
    <row r="8" spans="1:4" ht="18" hidden="1">
      <c r="A8" s="9" t="s">
        <v>13</v>
      </c>
      <c r="B8" s="6"/>
      <c r="C8" s="6"/>
      <c r="D8" s="6">
        <f t="shared" si="0"/>
        <v>0</v>
      </c>
    </row>
    <row r="9" spans="1:4" ht="18" hidden="1">
      <c r="A9" s="5" t="s">
        <v>14</v>
      </c>
      <c r="B9" s="6"/>
      <c r="C9" s="6"/>
      <c r="D9" s="6">
        <f t="shared" si="0"/>
        <v>0</v>
      </c>
    </row>
    <row r="10" spans="1:4" ht="18" hidden="1">
      <c r="A10" s="5" t="s">
        <v>15</v>
      </c>
      <c r="B10" s="6"/>
      <c r="C10" s="6"/>
      <c r="D10" s="6">
        <f t="shared" si="0"/>
        <v>0</v>
      </c>
    </row>
    <row r="11" spans="1:4" ht="18" hidden="1">
      <c r="A11" s="10" t="s">
        <v>16</v>
      </c>
      <c r="B11" s="6"/>
      <c r="C11" s="6"/>
      <c r="D11" s="6">
        <f t="shared" si="0"/>
        <v>0</v>
      </c>
    </row>
    <row r="12" spans="1:4" ht="18" hidden="1">
      <c r="A12" s="8" t="s">
        <v>18</v>
      </c>
      <c r="B12" s="6"/>
      <c r="C12" s="6"/>
      <c r="D12" s="6">
        <f t="shared" si="0"/>
        <v>0</v>
      </c>
    </row>
    <row r="13" spans="1:4" ht="18" hidden="1">
      <c r="A13" s="8" t="s">
        <v>19</v>
      </c>
      <c r="B13" s="6"/>
      <c r="C13" s="6"/>
      <c r="D13" s="6">
        <f t="shared" si="0"/>
        <v>0</v>
      </c>
    </row>
    <row r="14" spans="1:4" ht="18" hidden="1">
      <c r="A14" s="11" t="s">
        <v>20</v>
      </c>
      <c r="B14" s="6"/>
      <c r="C14" s="6"/>
      <c r="D14" s="6">
        <f t="shared" si="0"/>
        <v>0</v>
      </c>
    </row>
    <row r="15" spans="1:4" ht="18">
      <c r="A15" s="11" t="s">
        <v>22</v>
      </c>
      <c r="B15" s="6">
        <v>20</v>
      </c>
      <c r="C15" s="6">
        <v>18000</v>
      </c>
      <c r="D15" s="6">
        <f t="shared" si="0"/>
        <v>360000</v>
      </c>
    </row>
    <row r="16" spans="1:4" ht="18" hidden="1">
      <c r="A16" s="8" t="s">
        <v>23</v>
      </c>
      <c r="B16" s="6"/>
      <c r="C16" s="6"/>
      <c r="D16" s="6">
        <f t="shared" si="0"/>
        <v>0</v>
      </c>
    </row>
    <row r="17" spans="1:4" ht="18" hidden="1">
      <c r="A17" s="8" t="s">
        <v>24</v>
      </c>
      <c r="B17" s="6"/>
      <c r="C17" s="6"/>
      <c r="D17" s="6">
        <f t="shared" si="0"/>
        <v>0</v>
      </c>
    </row>
    <row r="18" spans="1:4" ht="18">
      <c r="A18" s="12" t="s">
        <v>25</v>
      </c>
      <c r="B18" s="6">
        <v>33</v>
      </c>
      <c r="C18" s="6">
        <v>4000</v>
      </c>
      <c r="D18" s="6">
        <f t="shared" si="0"/>
        <v>132000</v>
      </c>
    </row>
    <row r="19" spans="1:4" ht="18" hidden="1">
      <c r="A19" s="10" t="s">
        <v>26</v>
      </c>
      <c r="B19" s="6"/>
      <c r="C19" s="13"/>
      <c r="D19" s="6">
        <f t="shared" si="0"/>
        <v>0</v>
      </c>
    </row>
    <row r="20" spans="1:4" ht="18">
      <c r="A20" s="8" t="s">
        <v>27</v>
      </c>
      <c r="B20" s="6">
        <v>200</v>
      </c>
      <c r="C20" s="6">
        <v>13000</v>
      </c>
      <c r="D20" s="6">
        <f t="shared" si="0"/>
        <v>2600000</v>
      </c>
    </row>
    <row r="21" spans="1:4" ht="18" hidden="1">
      <c r="A21" s="11" t="s">
        <v>28</v>
      </c>
      <c r="B21" s="6"/>
      <c r="C21" s="6"/>
      <c r="D21" s="6">
        <f t="shared" si="0"/>
        <v>0</v>
      </c>
    </row>
    <row r="22" spans="1:4" ht="18" hidden="1">
      <c r="A22" s="11" t="s">
        <v>29</v>
      </c>
      <c r="B22" s="6"/>
      <c r="C22" s="6"/>
      <c r="D22" s="6">
        <f t="shared" si="0"/>
        <v>0</v>
      </c>
    </row>
    <row r="23" spans="1:4" ht="18" hidden="1">
      <c r="A23" s="8" t="s">
        <v>30</v>
      </c>
      <c r="B23" s="6"/>
      <c r="C23" s="6"/>
      <c r="D23" s="6">
        <f t="shared" si="0"/>
        <v>0</v>
      </c>
    </row>
    <row r="24" spans="1:4" ht="18" hidden="1">
      <c r="A24" s="8" t="s">
        <v>31</v>
      </c>
      <c r="B24" s="6"/>
      <c r="C24" s="6"/>
      <c r="D24" s="6">
        <f t="shared" si="0"/>
        <v>0</v>
      </c>
    </row>
    <row r="25" spans="1:4" ht="18">
      <c r="A25" s="8" t="s">
        <v>32</v>
      </c>
      <c r="B25" s="6">
        <v>170</v>
      </c>
      <c r="C25" s="6">
        <v>12500</v>
      </c>
      <c r="D25" s="6">
        <f t="shared" si="0"/>
        <v>2125000</v>
      </c>
    </row>
    <row r="26" spans="1:4" ht="18" hidden="1">
      <c r="A26" s="8" t="s">
        <v>33</v>
      </c>
      <c r="B26" s="6"/>
      <c r="C26" s="6"/>
      <c r="D26" s="6">
        <f t="shared" si="0"/>
        <v>0</v>
      </c>
    </row>
    <row r="27" spans="1:4" ht="18" hidden="1">
      <c r="A27" s="8" t="s">
        <v>34</v>
      </c>
      <c r="B27" s="6"/>
      <c r="C27" s="6"/>
      <c r="D27" s="6">
        <f t="shared" si="0"/>
        <v>0</v>
      </c>
    </row>
    <row r="28" spans="1:4" ht="18" hidden="1">
      <c r="A28" s="8" t="s">
        <v>35</v>
      </c>
      <c r="B28" s="6"/>
      <c r="C28" s="6"/>
      <c r="D28" s="6">
        <f t="shared" si="0"/>
        <v>0</v>
      </c>
    </row>
    <row r="29" spans="1:4" ht="18" hidden="1">
      <c r="A29" s="10" t="s">
        <v>36</v>
      </c>
      <c r="B29" s="14"/>
      <c r="C29" s="14"/>
      <c r="D29" s="6">
        <f t="shared" si="0"/>
        <v>0</v>
      </c>
    </row>
    <row r="30" spans="1:4" ht="18" hidden="1">
      <c r="A30" s="11" t="s">
        <v>37</v>
      </c>
      <c r="B30" s="6"/>
      <c r="C30" s="6"/>
      <c r="D30" s="6">
        <f t="shared" si="0"/>
        <v>0</v>
      </c>
    </row>
    <row r="31" spans="1:4" ht="18" hidden="1">
      <c r="A31" s="10" t="s">
        <v>38</v>
      </c>
      <c r="B31" s="6"/>
      <c r="C31" s="6"/>
      <c r="D31" s="6">
        <f t="shared" si="0"/>
        <v>0</v>
      </c>
    </row>
    <row r="32" spans="1:4" ht="18" hidden="1">
      <c r="A32" s="10" t="s">
        <v>40</v>
      </c>
      <c r="B32" s="6"/>
      <c r="C32" s="6"/>
      <c r="D32" s="6">
        <f t="shared" si="0"/>
        <v>0</v>
      </c>
    </row>
    <row r="33" spans="1:4" ht="18" hidden="1">
      <c r="A33" s="10" t="s">
        <v>41</v>
      </c>
      <c r="B33" s="6"/>
      <c r="C33" s="6"/>
      <c r="D33" s="6">
        <f t="shared" si="0"/>
        <v>0</v>
      </c>
    </row>
    <row r="34" spans="1:4" ht="18" hidden="1">
      <c r="A34" s="11" t="s">
        <v>42</v>
      </c>
      <c r="B34" s="6"/>
      <c r="C34" s="6"/>
      <c r="D34" s="6">
        <f t="shared" si="0"/>
        <v>0</v>
      </c>
    </row>
    <row r="35" spans="1:4" ht="18" hidden="1">
      <c r="A35" s="10" t="s">
        <v>43</v>
      </c>
      <c r="B35" s="6"/>
      <c r="C35" s="6"/>
      <c r="D35" s="6">
        <f t="shared" si="0"/>
        <v>0</v>
      </c>
    </row>
    <row r="36" spans="1:4" ht="18" hidden="1">
      <c r="A36" s="10" t="s">
        <v>44</v>
      </c>
      <c r="B36" s="6"/>
      <c r="C36" s="6"/>
      <c r="D36" s="6">
        <f t="shared" si="0"/>
        <v>0</v>
      </c>
    </row>
    <row r="37" spans="1:4" ht="18" hidden="1">
      <c r="A37" s="10" t="s">
        <v>45</v>
      </c>
      <c r="B37" s="6"/>
      <c r="C37" s="6"/>
      <c r="D37" s="6">
        <f t="shared" si="0"/>
        <v>0</v>
      </c>
    </row>
    <row r="38" spans="1:4" ht="18">
      <c r="A38" s="11" t="s">
        <v>46</v>
      </c>
      <c r="B38" s="6">
        <v>20</v>
      </c>
      <c r="C38" s="6">
        <v>11000</v>
      </c>
      <c r="D38" s="6">
        <f t="shared" si="0"/>
        <v>220000</v>
      </c>
    </row>
    <row r="39" spans="1:4" ht="18" hidden="1">
      <c r="A39" s="8" t="s">
        <v>47</v>
      </c>
      <c r="B39" s="6"/>
      <c r="C39" s="6"/>
      <c r="D39" s="6">
        <f t="shared" si="0"/>
        <v>0</v>
      </c>
    </row>
    <row r="40" spans="1:4" ht="18" hidden="1">
      <c r="A40" s="8" t="s">
        <v>48</v>
      </c>
      <c r="B40" s="6"/>
      <c r="C40" s="6"/>
      <c r="D40" s="6">
        <f t="shared" si="0"/>
        <v>0</v>
      </c>
    </row>
    <row r="41" spans="1:4" ht="18" hidden="1">
      <c r="A41" s="10" t="s">
        <v>50</v>
      </c>
      <c r="B41" s="14"/>
      <c r="C41" s="14"/>
      <c r="D41" s="6">
        <f t="shared" si="0"/>
        <v>0</v>
      </c>
    </row>
    <row r="42" spans="1:4" ht="18" hidden="1">
      <c r="A42" s="8" t="s">
        <v>51</v>
      </c>
      <c r="B42" s="6"/>
      <c r="C42" s="6"/>
      <c r="D42" s="6">
        <f t="shared" si="0"/>
        <v>0</v>
      </c>
    </row>
    <row r="43" spans="1:4" ht="18" hidden="1">
      <c r="A43" s="8" t="s">
        <v>52</v>
      </c>
      <c r="B43" s="6"/>
      <c r="C43" s="6"/>
      <c r="D43" s="6">
        <f t="shared" si="0"/>
        <v>0</v>
      </c>
    </row>
    <row r="44" spans="1:4" ht="18" hidden="1">
      <c r="A44" s="15" t="s">
        <v>53</v>
      </c>
      <c r="B44" s="6"/>
      <c r="C44" s="6"/>
      <c r="D44" s="6">
        <f t="shared" si="0"/>
        <v>0</v>
      </c>
    </row>
    <row r="45" spans="1:4" ht="18" hidden="1">
      <c r="A45" s="8" t="s">
        <v>55</v>
      </c>
      <c r="B45" s="6"/>
      <c r="C45" s="6"/>
      <c r="D45" s="6">
        <f t="shared" si="0"/>
        <v>0</v>
      </c>
    </row>
    <row r="46" spans="1:4" ht="18" hidden="1">
      <c r="A46" s="8" t="s">
        <v>56</v>
      </c>
      <c r="B46" s="6"/>
      <c r="C46" s="6"/>
      <c r="D46" s="6">
        <f t="shared" si="0"/>
        <v>0</v>
      </c>
    </row>
    <row r="47" spans="1:4" ht="18" hidden="1">
      <c r="A47" s="8" t="s">
        <v>58</v>
      </c>
      <c r="B47" s="6"/>
      <c r="C47" s="6"/>
      <c r="D47" s="6">
        <f t="shared" si="0"/>
        <v>0</v>
      </c>
    </row>
    <row r="48" spans="1:4" ht="18" hidden="1">
      <c r="A48" s="16" t="s">
        <v>59</v>
      </c>
      <c r="B48" s="6"/>
      <c r="C48" s="6"/>
      <c r="D48" s="6">
        <f t="shared" si="0"/>
        <v>0</v>
      </c>
    </row>
    <row r="49" spans="1:4" ht="18" hidden="1">
      <c r="A49" s="12" t="s">
        <v>60</v>
      </c>
      <c r="B49" s="6"/>
      <c r="C49" s="6"/>
      <c r="D49" s="6">
        <f t="shared" si="0"/>
        <v>0</v>
      </c>
    </row>
    <row r="50" spans="1:4" ht="18" hidden="1">
      <c r="A50" s="10" t="s">
        <v>61</v>
      </c>
      <c r="B50" s="6"/>
      <c r="C50" s="6"/>
      <c r="D50" s="6">
        <f t="shared" si="0"/>
        <v>0</v>
      </c>
    </row>
    <row r="51" spans="1:4" ht="18" hidden="1">
      <c r="A51" s="12" t="s">
        <v>62</v>
      </c>
      <c r="B51" s="6"/>
      <c r="C51" s="6"/>
      <c r="D51" s="6">
        <f t="shared" si="0"/>
        <v>0</v>
      </c>
    </row>
    <row r="52" spans="1:4" ht="18" hidden="1">
      <c r="A52" s="8" t="s">
        <v>63</v>
      </c>
      <c r="B52" s="6"/>
      <c r="C52" s="6"/>
      <c r="D52" s="6">
        <f t="shared" si="0"/>
        <v>0</v>
      </c>
    </row>
    <row r="53" spans="1:4" ht="18" hidden="1">
      <c r="A53" s="8" t="s">
        <v>64</v>
      </c>
      <c r="B53" s="6"/>
      <c r="C53" s="6"/>
      <c r="D53" s="6">
        <f t="shared" si="0"/>
        <v>0</v>
      </c>
    </row>
    <row r="54" spans="1:4" ht="18" hidden="1">
      <c r="A54" s="11" t="s">
        <v>65</v>
      </c>
      <c r="B54" s="6"/>
      <c r="C54" s="6"/>
      <c r="D54" s="6">
        <f t="shared" si="0"/>
        <v>0</v>
      </c>
    </row>
    <row r="55" spans="1:4" ht="18" hidden="1">
      <c r="A55" s="8" t="s">
        <v>66</v>
      </c>
      <c r="B55" s="6"/>
      <c r="C55" s="6"/>
      <c r="D55" s="6">
        <f t="shared" si="0"/>
        <v>0</v>
      </c>
    </row>
    <row r="56" spans="1:4" ht="18" hidden="1">
      <c r="A56" s="15" t="s">
        <v>67</v>
      </c>
      <c r="B56" s="6"/>
      <c r="C56" s="6"/>
      <c r="D56" s="6">
        <f t="shared" si="0"/>
        <v>0</v>
      </c>
    </row>
    <row r="57" spans="1:4" ht="18" hidden="1">
      <c r="A57" s="15" t="s">
        <v>69</v>
      </c>
      <c r="B57" s="6"/>
      <c r="C57" s="6"/>
      <c r="D57" s="6">
        <f t="shared" si="0"/>
        <v>0</v>
      </c>
    </row>
    <row r="58" spans="1:4" ht="18" hidden="1">
      <c r="A58" s="15" t="s">
        <v>70</v>
      </c>
      <c r="B58" s="6"/>
      <c r="C58" s="6"/>
      <c r="D58" s="6">
        <f t="shared" si="0"/>
        <v>0</v>
      </c>
    </row>
    <row r="59" spans="1:4" ht="18" hidden="1">
      <c r="A59" s="8" t="s">
        <v>71</v>
      </c>
      <c r="B59" s="6"/>
      <c r="C59" s="6"/>
      <c r="D59" s="6">
        <f t="shared" si="0"/>
        <v>0</v>
      </c>
    </row>
    <row r="60" spans="1:4" ht="18" hidden="1">
      <c r="A60" s="10" t="s">
        <v>72</v>
      </c>
      <c r="B60" s="6"/>
      <c r="C60" s="6"/>
      <c r="D60" s="6">
        <f t="shared" si="0"/>
        <v>0</v>
      </c>
    </row>
    <row r="61" spans="1:4" ht="18" hidden="1">
      <c r="A61" s="8" t="s">
        <v>73</v>
      </c>
      <c r="B61" s="6"/>
      <c r="C61" s="6"/>
      <c r="D61" s="6">
        <f t="shared" si="0"/>
        <v>0</v>
      </c>
    </row>
    <row r="62" spans="1:4" ht="18" hidden="1">
      <c r="A62" s="16" t="s">
        <v>74</v>
      </c>
      <c r="B62" s="6"/>
      <c r="C62" s="6"/>
      <c r="D62" s="6">
        <f t="shared" si="0"/>
        <v>0</v>
      </c>
    </row>
    <row r="63" spans="1:4" ht="18" hidden="1">
      <c r="A63" s="15" t="s">
        <v>75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f>170+30</f>
        <v>200</v>
      </c>
      <c r="C64" s="6">
        <v>13000</v>
      </c>
      <c r="D64" s="6">
        <f t="shared" si="0"/>
        <v>2600000</v>
      </c>
    </row>
    <row r="65" spans="1:4" ht="18" hidden="1">
      <c r="A65" s="17" t="s">
        <v>77</v>
      </c>
      <c r="B65" s="6"/>
      <c r="C65" s="6"/>
      <c r="D65" s="6">
        <f t="shared" si="0"/>
        <v>0</v>
      </c>
    </row>
    <row r="66" spans="1:4" ht="18" hidden="1">
      <c r="A66" s="8" t="s">
        <v>78</v>
      </c>
      <c r="B66" s="6"/>
      <c r="C66" s="6"/>
      <c r="D66" s="6">
        <f t="shared" si="0"/>
        <v>0</v>
      </c>
    </row>
    <row r="67" spans="1:4" ht="18" hidden="1">
      <c r="A67" s="8" t="s">
        <v>79</v>
      </c>
      <c r="B67" s="6"/>
      <c r="C67" s="6"/>
      <c r="D67" s="6">
        <f t="shared" si="0"/>
        <v>0</v>
      </c>
    </row>
    <row r="68" spans="1:4" ht="18" hidden="1">
      <c r="A68" s="18" t="s">
        <v>80</v>
      </c>
      <c r="B68" s="6"/>
      <c r="C68" s="6"/>
      <c r="D68" s="6">
        <f t="shared" ref="D68:D131" si="1">B68*C68</f>
        <v>0</v>
      </c>
    </row>
    <row r="69" spans="1:4" ht="18" hidden="1">
      <c r="A69" s="11" t="s">
        <v>81</v>
      </c>
      <c r="B69" s="6"/>
      <c r="C69" s="6"/>
      <c r="D69" s="6">
        <f t="shared" si="1"/>
        <v>0</v>
      </c>
    </row>
    <row r="70" spans="1:4" ht="18" hidden="1">
      <c r="A70" s="11" t="s">
        <v>82</v>
      </c>
      <c r="B70" s="6"/>
      <c r="C70" s="6"/>
      <c r="D70" s="6">
        <f t="shared" si="1"/>
        <v>0</v>
      </c>
    </row>
    <row r="71" spans="1:4" ht="18" hidden="1">
      <c r="A71" s="10" t="s">
        <v>83</v>
      </c>
      <c r="B71" s="6"/>
      <c r="C71" s="6"/>
      <c r="D71" s="6">
        <f t="shared" si="1"/>
        <v>0</v>
      </c>
    </row>
    <row r="72" spans="1:4" ht="18" hidden="1">
      <c r="A72" s="11" t="s">
        <v>84</v>
      </c>
      <c r="B72" s="6"/>
      <c r="C72" s="6"/>
      <c r="D72" s="6">
        <f t="shared" si="1"/>
        <v>0</v>
      </c>
    </row>
    <row r="73" spans="1:4" ht="18" hidden="1">
      <c r="A73" s="11" t="s">
        <v>85</v>
      </c>
      <c r="B73" s="6"/>
      <c r="C73" s="6"/>
      <c r="D73" s="6">
        <f t="shared" si="1"/>
        <v>0</v>
      </c>
    </row>
    <row r="74" spans="1:4" ht="18" hidden="1">
      <c r="A74" s="11" t="s">
        <v>86</v>
      </c>
      <c r="B74" s="6"/>
      <c r="C74" s="6"/>
      <c r="D74" s="6">
        <f t="shared" si="1"/>
        <v>0</v>
      </c>
    </row>
    <row r="75" spans="1:4" ht="18" hidden="1">
      <c r="A75" s="18" t="s">
        <v>87</v>
      </c>
      <c r="B75" s="6"/>
      <c r="C75" s="6"/>
      <c r="D75" s="6">
        <f t="shared" si="1"/>
        <v>0</v>
      </c>
    </row>
    <row r="76" spans="1:4" ht="18" hidden="1">
      <c r="A76" s="8" t="s">
        <v>88</v>
      </c>
      <c r="B76" s="6"/>
      <c r="C76" s="6"/>
      <c r="D76" s="6">
        <f t="shared" si="1"/>
        <v>0</v>
      </c>
    </row>
    <row r="77" spans="1:4" ht="18" hidden="1">
      <c r="A77" s="8" t="s">
        <v>89</v>
      </c>
      <c r="B77" s="6"/>
      <c r="C77" s="6"/>
      <c r="D77" s="6">
        <f t="shared" si="1"/>
        <v>0</v>
      </c>
    </row>
    <row r="78" spans="1:4" ht="18" hidden="1">
      <c r="A78" s="8" t="s">
        <v>90</v>
      </c>
      <c r="B78" s="6"/>
      <c r="C78" s="6"/>
      <c r="D78" s="6">
        <f t="shared" si="1"/>
        <v>0</v>
      </c>
    </row>
    <row r="79" spans="1:4" ht="18" hidden="1">
      <c r="A79" s="12" t="s">
        <v>91</v>
      </c>
      <c r="B79" s="6"/>
      <c r="C79" s="6"/>
      <c r="D79" s="6">
        <f t="shared" si="1"/>
        <v>0</v>
      </c>
    </row>
    <row r="80" spans="1:4" ht="18" hidden="1">
      <c r="A80" s="8" t="s">
        <v>92</v>
      </c>
      <c r="B80" s="6"/>
      <c r="C80" s="6"/>
      <c r="D80" s="6">
        <f t="shared" si="1"/>
        <v>0</v>
      </c>
    </row>
    <row r="81" spans="1:4" ht="18">
      <c r="A81" s="8" t="s">
        <v>94</v>
      </c>
      <c r="B81" s="6">
        <v>20</v>
      </c>
      <c r="C81" s="6">
        <v>21000</v>
      </c>
      <c r="D81" s="6">
        <f t="shared" si="1"/>
        <v>420000</v>
      </c>
    </row>
    <row r="82" spans="1:4" ht="18" hidden="1">
      <c r="A82" s="8" t="s">
        <v>95</v>
      </c>
      <c r="B82" s="6"/>
      <c r="C82" s="6"/>
      <c r="D82" s="6">
        <f t="shared" si="1"/>
        <v>0</v>
      </c>
    </row>
    <row r="83" spans="1:4" ht="18" hidden="1">
      <c r="A83" s="11" t="s">
        <v>96</v>
      </c>
      <c r="B83" s="14"/>
      <c r="C83" s="14"/>
      <c r="D83" s="6">
        <f t="shared" si="1"/>
        <v>0</v>
      </c>
    </row>
    <row r="84" spans="1:4" ht="18" hidden="1">
      <c r="A84" s="11" t="s">
        <v>97</v>
      </c>
      <c r="B84" s="14"/>
      <c r="C84" s="14"/>
      <c r="D84" s="6">
        <f t="shared" si="1"/>
        <v>0</v>
      </c>
    </row>
    <row r="85" spans="1:4" ht="18" hidden="1">
      <c r="A85" s="11" t="s">
        <v>98</v>
      </c>
      <c r="B85" s="14"/>
      <c r="C85" s="14"/>
      <c r="D85" s="6">
        <f t="shared" si="1"/>
        <v>0</v>
      </c>
    </row>
    <row r="86" spans="1:4" ht="18" hidden="1">
      <c r="A86" s="8" t="s">
        <v>99</v>
      </c>
      <c r="B86" s="6"/>
      <c r="C86" s="6"/>
      <c r="D86" s="6">
        <f t="shared" si="1"/>
        <v>0</v>
      </c>
    </row>
    <row r="87" spans="1:4" ht="18" hidden="1">
      <c r="A87" s="8" t="s">
        <v>100</v>
      </c>
      <c r="B87" s="6"/>
      <c r="C87" s="6"/>
      <c r="D87" s="6">
        <f t="shared" si="1"/>
        <v>0</v>
      </c>
    </row>
    <row r="88" spans="1:4" ht="18" hidden="1">
      <c r="A88" s="8" t="s">
        <v>101</v>
      </c>
      <c r="B88" s="6"/>
      <c r="C88" s="6"/>
      <c r="D88" s="6">
        <f t="shared" si="1"/>
        <v>0</v>
      </c>
    </row>
    <row r="89" spans="1:4" ht="18" hidden="1">
      <c r="A89" s="8" t="s">
        <v>102</v>
      </c>
      <c r="B89" s="6"/>
      <c r="C89" s="6"/>
      <c r="D89" s="6">
        <f t="shared" si="1"/>
        <v>0</v>
      </c>
    </row>
    <row r="90" spans="1:4" ht="18" hidden="1">
      <c r="A90" s="8" t="s">
        <v>103</v>
      </c>
      <c r="B90" s="6"/>
      <c r="C90" s="6"/>
      <c r="D90" s="6">
        <f t="shared" si="1"/>
        <v>0</v>
      </c>
    </row>
    <row r="91" spans="1:4" ht="18" hidden="1">
      <c r="A91" s="8" t="s">
        <v>104</v>
      </c>
      <c r="B91" s="6"/>
      <c r="C91" s="6"/>
      <c r="D91" s="6">
        <f t="shared" si="1"/>
        <v>0</v>
      </c>
    </row>
    <row r="92" spans="1:4" ht="18" hidden="1">
      <c r="A92" s="19" t="s">
        <v>105</v>
      </c>
      <c r="B92" s="6"/>
      <c r="C92" s="6"/>
      <c r="D92" s="6">
        <f t="shared" si="1"/>
        <v>0</v>
      </c>
    </row>
    <row r="93" spans="1:4" ht="18" hidden="1">
      <c r="A93" s="19" t="s">
        <v>106</v>
      </c>
      <c r="B93" s="6"/>
      <c r="C93" s="6"/>
      <c r="D93" s="6">
        <f t="shared" si="1"/>
        <v>0</v>
      </c>
    </row>
    <row r="94" spans="1:4" ht="18" hidden="1">
      <c r="A94" s="19" t="s">
        <v>107</v>
      </c>
      <c r="B94" s="6"/>
      <c r="C94" s="6"/>
      <c r="D94" s="6">
        <f t="shared" si="1"/>
        <v>0</v>
      </c>
    </row>
    <row r="95" spans="1:4" ht="18" hidden="1">
      <c r="A95" s="10" t="s">
        <v>108</v>
      </c>
      <c r="B95" s="6"/>
      <c r="C95" s="6"/>
      <c r="D95" s="6">
        <f t="shared" si="1"/>
        <v>0</v>
      </c>
    </row>
    <row r="96" spans="1:4" ht="18" hidden="1">
      <c r="A96" s="12" t="s">
        <v>109</v>
      </c>
      <c r="B96" s="6"/>
      <c r="C96" s="6"/>
      <c r="D96" s="6">
        <f t="shared" si="1"/>
        <v>0</v>
      </c>
    </row>
    <row r="97" spans="1:4" ht="18" hidden="1">
      <c r="A97" s="8" t="s">
        <v>110</v>
      </c>
      <c r="B97" s="6"/>
      <c r="C97" s="6"/>
      <c r="D97" s="6">
        <f t="shared" si="1"/>
        <v>0</v>
      </c>
    </row>
    <row r="98" spans="1:4" ht="18" hidden="1">
      <c r="A98" s="8" t="s">
        <v>111</v>
      </c>
      <c r="B98" s="6"/>
      <c r="C98" s="6"/>
      <c r="D98" s="6">
        <f t="shared" si="1"/>
        <v>0</v>
      </c>
    </row>
    <row r="99" spans="1:4" ht="18" hidden="1">
      <c r="A99" s="10" t="s">
        <v>112</v>
      </c>
      <c r="B99" s="6"/>
      <c r="C99" s="6"/>
      <c r="D99" s="6">
        <f t="shared" si="1"/>
        <v>0</v>
      </c>
    </row>
    <row r="100" spans="1:4" ht="18" hidden="1">
      <c r="A100" s="8" t="s">
        <v>113</v>
      </c>
      <c r="B100" s="14"/>
      <c r="C100" s="14"/>
      <c r="D100" s="6">
        <f t="shared" si="1"/>
        <v>0</v>
      </c>
    </row>
    <row r="101" spans="1:4" ht="18" hidden="1">
      <c r="A101" s="10" t="s">
        <v>114</v>
      </c>
      <c r="B101" s="6"/>
      <c r="C101" s="6"/>
      <c r="D101" s="6">
        <f t="shared" si="1"/>
        <v>0</v>
      </c>
    </row>
    <row r="102" spans="1:4" ht="18" hidden="1">
      <c r="A102" s="20" t="s">
        <v>115</v>
      </c>
      <c r="B102" s="6"/>
      <c r="C102" s="6"/>
      <c r="D102" s="6">
        <f t="shared" si="1"/>
        <v>0</v>
      </c>
    </row>
    <row r="103" spans="1:4" ht="18" hidden="1">
      <c r="A103" s="21" t="s">
        <v>116</v>
      </c>
      <c r="B103" s="6"/>
      <c r="C103" s="6"/>
      <c r="D103" s="6">
        <f t="shared" si="1"/>
        <v>0</v>
      </c>
    </row>
    <row r="104" spans="1:4" ht="18">
      <c r="A104" s="22" t="s">
        <v>117</v>
      </c>
      <c r="B104" s="6">
        <v>28</v>
      </c>
      <c r="C104" s="6">
        <v>7000</v>
      </c>
      <c r="D104" s="6">
        <f t="shared" si="1"/>
        <v>196000</v>
      </c>
    </row>
    <row r="105" spans="1:4" ht="18" hidden="1">
      <c r="A105" s="15" t="s">
        <v>118</v>
      </c>
      <c r="B105" s="6"/>
      <c r="C105" s="6"/>
      <c r="D105" s="6">
        <f t="shared" si="1"/>
        <v>0</v>
      </c>
    </row>
    <row r="106" spans="1:4" ht="18" hidden="1">
      <c r="A106" s="8" t="s">
        <v>119</v>
      </c>
      <c r="B106" s="6"/>
      <c r="C106" s="6"/>
      <c r="D106" s="6">
        <f t="shared" si="1"/>
        <v>0</v>
      </c>
    </row>
    <row r="107" spans="1:4" ht="18" hidden="1">
      <c r="A107" s="8" t="s">
        <v>120</v>
      </c>
      <c r="B107" s="6"/>
      <c r="C107" s="6"/>
      <c r="D107" s="6">
        <f t="shared" si="1"/>
        <v>0</v>
      </c>
    </row>
    <row r="108" spans="1:4" ht="18" hidden="1">
      <c r="A108" s="10" t="s">
        <v>121</v>
      </c>
      <c r="B108" s="6"/>
      <c r="C108" s="6"/>
      <c r="D108" s="6">
        <f t="shared" si="1"/>
        <v>0</v>
      </c>
    </row>
    <row r="109" spans="1:4" ht="18" hidden="1">
      <c r="A109" s="23" t="s">
        <v>122</v>
      </c>
      <c r="B109" s="6"/>
      <c r="C109" s="6"/>
      <c r="D109" s="6">
        <f t="shared" si="1"/>
        <v>0</v>
      </c>
    </row>
    <row r="110" spans="1:4" ht="18" hidden="1">
      <c r="A110" s="8" t="s">
        <v>123</v>
      </c>
      <c r="B110" s="6"/>
      <c r="C110" s="6"/>
      <c r="D110" s="6">
        <f t="shared" si="1"/>
        <v>0</v>
      </c>
    </row>
    <row r="111" spans="1:4" ht="18">
      <c r="A111" s="8" t="s">
        <v>124</v>
      </c>
      <c r="B111" s="6">
        <v>16</v>
      </c>
      <c r="C111" s="6">
        <v>17000</v>
      </c>
      <c r="D111" s="6">
        <f t="shared" si="1"/>
        <v>272000</v>
      </c>
    </row>
    <row r="112" spans="1:4" ht="18" hidden="1">
      <c r="A112" s="8" t="s">
        <v>125</v>
      </c>
      <c r="B112" s="6"/>
      <c r="C112" s="6"/>
      <c r="D112" s="6">
        <f t="shared" si="1"/>
        <v>0</v>
      </c>
    </row>
    <row r="113" spans="1:4" ht="18" hidden="1">
      <c r="A113" s="8" t="s">
        <v>126</v>
      </c>
      <c r="B113" s="6"/>
      <c r="C113" s="6"/>
      <c r="D113" s="6">
        <f t="shared" si="1"/>
        <v>0</v>
      </c>
    </row>
    <row r="114" spans="1:4" ht="18" hidden="1">
      <c r="A114" s="8" t="s">
        <v>127</v>
      </c>
      <c r="B114" s="6"/>
      <c r="C114" s="6"/>
      <c r="D114" s="6">
        <f t="shared" si="1"/>
        <v>0</v>
      </c>
    </row>
    <row r="115" spans="1:4" ht="18" hidden="1">
      <c r="A115" s="8" t="s">
        <v>128</v>
      </c>
      <c r="B115" s="6"/>
      <c r="C115" s="6"/>
      <c r="D115" s="6">
        <f t="shared" si="1"/>
        <v>0</v>
      </c>
    </row>
    <row r="116" spans="1:4" ht="18" hidden="1">
      <c r="A116" s="8" t="s">
        <v>129</v>
      </c>
      <c r="B116" s="6"/>
      <c r="C116" s="6"/>
      <c r="D116" s="6">
        <f t="shared" si="1"/>
        <v>0</v>
      </c>
    </row>
    <row r="117" spans="1:4" ht="18" hidden="1">
      <c r="A117" s="8" t="s">
        <v>130</v>
      </c>
      <c r="B117" s="6"/>
      <c r="C117" s="6"/>
      <c r="D117" s="6">
        <f t="shared" si="1"/>
        <v>0</v>
      </c>
    </row>
    <row r="118" spans="1:4" ht="18" hidden="1">
      <c r="A118" s="10" t="s">
        <v>131</v>
      </c>
      <c r="B118" s="6"/>
      <c r="C118" s="6"/>
      <c r="D118" s="6">
        <f t="shared" si="1"/>
        <v>0</v>
      </c>
    </row>
    <row r="119" spans="1:4" ht="18" hidden="1">
      <c r="A119" s="19" t="s">
        <v>132</v>
      </c>
      <c r="B119" s="6"/>
      <c r="C119" s="6"/>
      <c r="D119" s="6">
        <f t="shared" si="1"/>
        <v>0</v>
      </c>
    </row>
    <row r="120" spans="1:4" ht="18" hidden="1">
      <c r="A120" s="8" t="s">
        <v>133</v>
      </c>
      <c r="B120" s="6"/>
      <c r="C120" s="6"/>
      <c r="D120" s="6">
        <f t="shared" si="1"/>
        <v>0</v>
      </c>
    </row>
    <row r="121" spans="1:4" ht="18" hidden="1">
      <c r="A121" s="10" t="s">
        <v>135</v>
      </c>
      <c r="B121" s="6"/>
      <c r="C121" s="6"/>
      <c r="D121" s="6">
        <f t="shared" si="1"/>
        <v>0</v>
      </c>
    </row>
    <row r="122" spans="1:4" ht="18" hidden="1">
      <c r="A122" s="10" t="s">
        <v>136</v>
      </c>
      <c r="B122" s="6"/>
      <c r="C122" s="6"/>
      <c r="D122" s="6">
        <f t="shared" si="1"/>
        <v>0</v>
      </c>
    </row>
    <row r="123" spans="1:4" ht="18" hidden="1">
      <c r="A123" s="8" t="s">
        <v>137</v>
      </c>
      <c r="B123" s="6"/>
      <c r="C123" s="6"/>
      <c r="D123" s="6">
        <f t="shared" si="1"/>
        <v>0</v>
      </c>
    </row>
    <row r="124" spans="1:4" ht="18" hidden="1">
      <c r="A124" s="8" t="s">
        <v>138</v>
      </c>
      <c r="B124" s="6"/>
      <c r="C124" s="6"/>
      <c r="D124" s="6">
        <f t="shared" si="1"/>
        <v>0</v>
      </c>
    </row>
    <row r="125" spans="1:4" ht="18" hidden="1">
      <c r="A125" s="9" t="s">
        <v>139</v>
      </c>
      <c r="B125" s="6"/>
      <c r="C125" s="6"/>
      <c r="D125" s="6">
        <f t="shared" si="1"/>
        <v>0</v>
      </c>
    </row>
    <row r="126" spans="1:4" ht="18" hidden="1">
      <c r="A126" s="12" t="s">
        <v>140</v>
      </c>
      <c r="B126" s="6"/>
      <c r="C126" s="6"/>
      <c r="D126" s="6">
        <f t="shared" si="1"/>
        <v>0</v>
      </c>
    </row>
    <row r="127" spans="1:4" ht="18" hidden="1">
      <c r="A127" s="11" t="s">
        <v>141</v>
      </c>
      <c r="B127" s="14"/>
      <c r="C127" s="14"/>
      <c r="D127" s="6">
        <f t="shared" si="1"/>
        <v>0</v>
      </c>
    </row>
    <row r="128" spans="1:4" ht="18" hidden="1">
      <c r="A128" s="11" t="s">
        <v>142</v>
      </c>
      <c r="B128" s="14"/>
      <c r="C128" s="14"/>
      <c r="D128" s="6">
        <f t="shared" si="1"/>
        <v>0</v>
      </c>
    </row>
    <row r="129" spans="1:4" ht="18" hidden="1">
      <c r="A129" s="11" t="s">
        <v>143</v>
      </c>
      <c r="B129" s="14"/>
      <c r="C129" s="14"/>
      <c r="D129" s="6">
        <f t="shared" si="1"/>
        <v>0</v>
      </c>
    </row>
    <row r="130" spans="1:4" ht="18" hidden="1">
      <c r="A130" s="11" t="s">
        <v>144</v>
      </c>
      <c r="B130" s="24"/>
      <c r="C130" s="24"/>
      <c r="D130" s="6">
        <f t="shared" si="1"/>
        <v>0</v>
      </c>
    </row>
    <row r="131" spans="1:4" ht="18" hidden="1">
      <c r="A131" s="25" t="s">
        <v>145</v>
      </c>
      <c r="B131" s="6"/>
      <c r="C131" s="6"/>
      <c r="D131" s="6">
        <f t="shared" si="1"/>
        <v>0</v>
      </c>
    </row>
    <row r="132" spans="1:4" ht="18">
      <c r="A132" s="11" t="s">
        <v>146</v>
      </c>
      <c r="B132" s="14">
        <v>7</v>
      </c>
      <c r="C132" s="14">
        <v>16000</v>
      </c>
      <c r="D132" s="6">
        <f t="shared" ref="D132:D195" si="2">B132*C132</f>
        <v>112000</v>
      </c>
    </row>
    <row r="133" spans="1:4" ht="18" hidden="1">
      <c r="A133" s="8" t="s">
        <v>147</v>
      </c>
      <c r="B133" s="6"/>
      <c r="C133" s="6"/>
      <c r="D133" s="6">
        <f t="shared" si="2"/>
        <v>0</v>
      </c>
    </row>
    <row r="134" spans="1:4" ht="18" hidden="1">
      <c r="A134" s="8" t="s">
        <v>148</v>
      </c>
      <c r="B134" s="6"/>
      <c r="C134" s="6"/>
      <c r="D134" s="6">
        <f t="shared" si="2"/>
        <v>0</v>
      </c>
    </row>
    <row r="135" spans="1:4" ht="18" hidden="1">
      <c r="A135" s="8" t="s">
        <v>149</v>
      </c>
      <c r="B135" s="6"/>
      <c r="C135" s="6"/>
      <c r="D135" s="6">
        <f t="shared" si="2"/>
        <v>0</v>
      </c>
    </row>
    <row r="136" spans="1:4" ht="18" hidden="1">
      <c r="A136" s="8" t="s">
        <v>150</v>
      </c>
      <c r="B136" s="6"/>
      <c r="C136" s="6"/>
      <c r="D136" s="6">
        <f t="shared" si="2"/>
        <v>0</v>
      </c>
    </row>
    <row r="137" spans="1:4" ht="18" hidden="1">
      <c r="A137" s="15" t="s">
        <v>151</v>
      </c>
      <c r="B137" s="6"/>
      <c r="C137" s="6"/>
      <c r="D137" s="6">
        <f t="shared" si="2"/>
        <v>0</v>
      </c>
    </row>
    <row r="138" spans="1:4" ht="18">
      <c r="A138" s="11" t="s">
        <v>152</v>
      </c>
      <c r="B138" s="6">
        <v>1</v>
      </c>
      <c r="C138" s="6">
        <v>42000</v>
      </c>
      <c r="D138" s="6">
        <f t="shared" si="2"/>
        <v>42000</v>
      </c>
    </row>
    <row r="139" spans="1:4" ht="18" hidden="1">
      <c r="A139" s="11" t="s">
        <v>153</v>
      </c>
      <c r="B139" s="6"/>
      <c r="C139" s="6"/>
      <c r="D139" s="6">
        <f t="shared" si="2"/>
        <v>0</v>
      </c>
    </row>
    <row r="140" spans="1:4" ht="18" hidden="1">
      <c r="A140" s="8" t="s">
        <v>154</v>
      </c>
      <c r="B140" s="6"/>
      <c r="C140" s="6"/>
      <c r="D140" s="6">
        <f t="shared" si="2"/>
        <v>0</v>
      </c>
    </row>
    <row r="141" spans="1:4" ht="18" hidden="1">
      <c r="A141" s="8" t="s">
        <v>155</v>
      </c>
      <c r="B141" s="6"/>
      <c r="C141" s="6"/>
      <c r="D141" s="6">
        <f t="shared" si="2"/>
        <v>0</v>
      </c>
    </row>
    <row r="142" spans="1:4" ht="18" hidden="1">
      <c r="A142" s="8" t="s">
        <v>156</v>
      </c>
      <c r="B142" s="14"/>
      <c r="C142" s="14"/>
      <c r="D142" s="6">
        <f t="shared" si="2"/>
        <v>0</v>
      </c>
    </row>
    <row r="143" spans="1:4" ht="18" hidden="1">
      <c r="A143" s="8" t="s">
        <v>157</v>
      </c>
      <c r="B143" s="14"/>
      <c r="C143" s="14"/>
      <c r="D143" s="6">
        <f t="shared" si="2"/>
        <v>0</v>
      </c>
    </row>
    <row r="144" spans="1:4" ht="18" hidden="1">
      <c r="A144" s="8" t="s">
        <v>158</v>
      </c>
      <c r="B144" s="6"/>
      <c r="C144" s="6"/>
      <c r="D144" s="6">
        <f t="shared" si="2"/>
        <v>0</v>
      </c>
    </row>
    <row r="145" spans="1:4" ht="18" hidden="1">
      <c r="A145" s="8" t="s">
        <v>159</v>
      </c>
      <c r="B145" s="14"/>
      <c r="C145" s="14"/>
      <c r="D145" s="6">
        <f t="shared" si="2"/>
        <v>0</v>
      </c>
    </row>
    <row r="146" spans="1:4" ht="18" hidden="1">
      <c r="A146" s="8" t="s">
        <v>160</v>
      </c>
      <c r="B146" s="14"/>
      <c r="C146" s="14"/>
      <c r="D146" s="6">
        <f t="shared" si="2"/>
        <v>0</v>
      </c>
    </row>
    <row r="147" spans="1:4" ht="18" hidden="1">
      <c r="A147" s="8" t="s">
        <v>161</v>
      </c>
      <c r="B147" s="14"/>
      <c r="C147" s="14"/>
      <c r="D147" s="6">
        <f t="shared" si="2"/>
        <v>0</v>
      </c>
    </row>
    <row r="148" spans="1:4" ht="18" hidden="1">
      <c r="A148" s="8" t="s">
        <v>162</v>
      </c>
      <c r="B148" s="14"/>
      <c r="C148" s="14"/>
      <c r="D148" s="6">
        <f t="shared" si="2"/>
        <v>0</v>
      </c>
    </row>
    <row r="149" spans="1:4" ht="18" hidden="1">
      <c r="A149" s="8" t="s">
        <v>163</v>
      </c>
      <c r="B149" s="14"/>
      <c r="C149" s="14"/>
      <c r="D149" s="6">
        <f t="shared" si="2"/>
        <v>0</v>
      </c>
    </row>
    <row r="150" spans="1:4" ht="18" hidden="1">
      <c r="A150" s="8" t="s">
        <v>164</v>
      </c>
      <c r="B150" s="14"/>
      <c r="C150" s="14"/>
      <c r="D150" s="6">
        <f t="shared" si="2"/>
        <v>0</v>
      </c>
    </row>
    <row r="151" spans="1:4" ht="18" hidden="1">
      <c r="A151" s="8" t="s">
        <v>165</v>
      </c>
      <c r="B151" s="14"/>
      <c r="C151" s="14"/>
      <c r="D151" s="6">
        <f t="shared" si="2"/>
        <v>0</v>
      </c>
    </row>
    <row r="152" spans="1:4" ht="18" hidden="1">
      <c r="A152" s="8" t="s">
        <v>166</v>
      </c>
      <c r="B152" s="14"/>
      <c r="C152" s="14"/>
      <c r="D152" s="6">
        <f t="shared" si="2"/>
        <v>0</v>
      </c>
    </row>
    <row r="153" spans="1:4" ht="18" hidden="1">
      <c r="A153" s="8" t="s">
        <v>167</v>
      </c>
      <c r="B153" s="6"/>
      <c r="C153" s="6"/>
      <c r="D153" s="6">
        <f t="shared" si="2"/>
        <v>0</v>
      </c>
    </row>
    <row r="154" spans="1:4" ht="18" hidden="1">
      <c r="A154" s="8" t="s">
        <v>168</v>
      </c>
      <c r="B154" s="6"/>
      <c r="C154" s="6"/>
      <c r="D154" s="6">
        <f t="shared" si="2"/>
        <v>0</v>
      </c>
    </row>
    <row r="155" spans="1:4" ht="18" hidden="1">
      <c r="A155" s="8" t="s">
        <v>169</v>
      </c>
      <c r="B155" s="6"/>
      <c r="C155" s="6"/>
      <c r="D155" s="6">
        <f t="shared" si="2"/>
        <v>0</v>
      </c>
    </row>
    <row r="156" spans="1:4" ht="18" hidden="1">
      <c r="A156" s="8" t="s">
        <v>170</v>
      </c>
      <c r="B156" s="6"/>
      <c r="C156" s="6"/>
      <c r="D156" s="6">
        <f t="shared" si="2"/>
        <v>0</v>
      </c>
    </row>
    <row r="157" spans="1:4" ht="18" hidden="1">
      <c r="A157" s="15" t="s">
        <v>171</v>
      </c>
      <c r="B157" s="6"/>
      <c r="C157" s="6"/>
      <c r="D157" s="6">
        <f t="shared" si="2"/>
        <v>0</v>
      </c>
    </row>
    <row r="158" spans="1:4" ht="18" hidden="1">
      <c r="A158" s="16" t="s">
        <v>172</v>
      </c>
      <c r="B158" s="6"/>
      <c r="C158" s="6"/>
      <c r="D158" s="6">
        <f t="shared" si="2"/>
        <v>0</v>
      </c>
    </row>
    <row r="159" spans="1:4" ht="18" hidden="1">
      <c r="A159" s="8" t="s">
        <v>173</v>
      </c>
      <c r="B159" s="6"/>
      <c r="C159" s="6"/>
      <c r="D159" s="6">
        <f t="shared" si="2"/>
        <v>0</v>
      </c>
    </row>
    <row r="160" spans="1:4" ht="18" hidden="1">
      <c r="A160" s="8" t="s">
        <v>174</v>
      </c>
      <c r="B160" s="6"/>
      <c r="C160" s="6"/>
      <c r="D160" s="6">
        <f t="shared" si="2"/>
        <v>0</v>
      </c>
    </row>
    <row r="161" spans="1:4" ht="18" hidden="1">
      <c r="A161" s="8" t="s">
        <v>175</v>
      </c>
      <c r="B161" s="6"/>
      <c r="C161" s="6"/>
      <c r="D161" s="6">
        <f t="shared" si="2"/>
        <v>0</v>
      </c>
    </row>
    <row r="162" spans="1:4" ht="18" hidden="1">
      <c r="A162" s="8" t="s">
        <v>176</v>
      </c>
      <c r="B162" s="14"/>
      <c r="C162" s="14"/>
      <c r="D162" s="6">
        <f t="shared" si="2"/>
        <v>0</v>
      </c>
    </row>
    <row r="163" spans="1:4" ht="18" hidden="1">
      <c r="A163" s="8" t="s">
        <v>177</v>
      </c>
      <c r="B163" s="14"/>
      <c r="C163" s="14"/>
      <c r="D163" s="6">
        <f t="shared" si="2"/>
        <v>0</v>
      </c>
    </row>
    <row r="164" spans="1:4" ht="18" hidden="1">
      <c r="A164" s="8" t="s">
        <v>178</v>
      </c>
      <c r="B164" s="14"/>
      <c r="C164" s="14"/>
      <c r="D164" s="6">
        <f t="shared" si="2"/>
        <v>0</v>
      </c>
    </row>
    <row r="165" spans="1:4" ht="18" hidden="1">
      <c r="A165" s="8" t="s">
        <v>179</v>
      </c>
      <c r="B165" s="6"/>
      <c r="C165" s="6"/>
      <c r="D165" s="6">
        <f t="shared" si="2"/>
        <v>0</v>
      </c>
    </row>
    <row r="166" spans="1:4" ht="18" hidden="1">
      <c r="A166" s="8" t="s">
        <v>180</v>
      </c>
      <c r="B166" s="6"/>
      <c r="C166" s="6"/>
      <c r="D166" s="6">
        <f t="shared" si="2"/>
        <v>0</v>
      </c>
    </row>
    <row r="167" spans="1:4" ht="18" hidden="1">
      <c r="A167" s="15" t="s">
        <v>181</v>
      </c>
      <c r="B167" s="6"/>
      <c r="C167" s="6"/>
      <c r="D167" s="6">
        <f t="shared" si="2"/>
        <v>0</v>
      </c>
    </row>
    <row r="168" spans="1:4" ht="18" hidden="1">
      <c r="A168" s="11" t="s">
        <v>182</v>
      </c>
      <c r="B168" s="6"/>
      <c r="C168" s="6"/>
      <c r="D168" s="6">
        <f t="shared" si="2"/>
        <v>0</v>
      </c>
    </row>
    <row r="169" spans="1:4" ht="18" hidden="1">
      <c r="A169" s="8" t="s">
        <v>183</v>
      </c>
      <c r="B169" s="6"/>
      <c r="C169" s="26"/>
      <c r="D169" s="6">
        <f t="shared" si="2"/>
        <v>0</v>
      </c>
    </row>
    <row r="170" spans="1:4" ht="18" hidden="1">
      <c r="A170" s="27" t="s">
        <v>184</v>
      </c>
      <c r="B170" s="6"/>
      <c r="C170" s="6"/>
      <c r="D170" s="6">
        <f t="shared" si="2"/>
        <v>0</v>
      </c>
    </row>
    <row r="171" spans="1:4" ht="18" hidden="1">
      <c r="A171" s="8" t="s">
        <v>185</v>
      </c>
      <c r="B171" s="6"/>
      <c r="C171" s="6"/>
      <c r="D171" s="6">
        <f t="shared" si="2"/>
        <v>0</v>
      </c>
    </row>
    <row r="172" spans="1:4" ht="18" hidden="1">
      <c r="A172" s="8" t="s">
        <v>186</v>
      </c>
      <c r="B172" s="6"/>
      <c r="C172" s="6"/>
      <c r="D172" s="6">
        <f t="shared" si="2"/>
        <v>0</v>
      </c>
    </row>
    <row r="173" spans="1:4" ht="18" hidden="1">
      <c r="A173" s="18" t="s">
        <v>187</v>
      </c>
      <c r="B173" s="6"/>
      <c r="C173" s="6"/>
      <c r="D173" s="6">
        <f t="shared" si="2"/>
        <v>0</v>
      </c>
    </row>
    <row r="174" spans="1:4" ht="18" hidden="1">
      <c r="A174" s="8" t="s">
        <v>188</v>
      </c>
      <c r="B174" s="6"/>
      <c r="C174" s="6"/>
      <c r="D174" s="6">
        <f t="shared" si="2"/>
        <v>0</v>
      </c>
    </row>
    <row r="175" spans="1:4" ht="18" hidden="1">
      <c r="A175" s="28" t="s">
        <v>189</v>
      </c>
      <c r="B175" s="29"/>
      <c r="C175" s="29"/>
      <c r="D175" s="6">
        <f t="shared" si="2"/>
        <v>0</v>
      </c>
    </row>
    <row r="176" spans="1:4" ht="18" hidden="1">
      <c r="A176" s="10" t="s">
        <v>190</v>
      </c>
      <c r="B176" s="6"/>
      <c r="C176" s="6"/>
      <c r="D176" s="6">
        <f t="shared" si="2"/>
        <v>0</v>
      </c>
    </row>
    <row r="177" spans="1:4" ht="18" hidden="1">
      <c r="A177" s="8" t="s">
        <v>191</v>
      </c>
      <c r="B177" s="6"/>
      <c r="C177" s="6"/>
      <c r="D177" s="6">
        <f t="shared" si="2"/>
        <v>0</v>
      </c>
    </row>
    <row r="178" spans="1:4" ht="18" hidden="1">
      <c r="A178" s="8" t="s">
        <v>192</v>
      </c>
      <c r="B178" s="6"/>
      <c r="C178" s="6"/>
      <c r="D178" s="6">
        <f t="shared" si="2"/>
        <v>0</v>
      </c>
    </row>
    <row r="179" spans="1:4" ht="18" hidden="1">
      <c r="A179" s="11" t="s">
        <v>193</v>
      </c>
      <c r="B179" s="6"/>
      <c r="C179" s="6"/>
      <c r="D179" s="6">
        <f t="shared" si="2"/>
        <v>0</v>
      </c>
    </row>
    <row r="180" spans="1:4" ht="18" hidden="1">
      <c r="A180" s="8" t="s">
        <v>194</v>
      </c>
      <c r="B180" s="6"/>
      <c r="C180" s="6"/>
      <c r="D180" s="6">
        <f t="shared" si="2"/>
        <v>0</v>
      </c>
    </row>
    <row r="181" spans="1:4" ht="18" hidden="1">
      <c r="A181" s="8" t="s">
        <v>195</v>
      </c>
      <c r="B181" s="6"/>
      <c r="C181" s="6"/>
      <c r="D181" s="6">
        <f t="shared" si="2"/>
        <v>0</v>
      </c>
    </row>
    <row r="182" spans="1:4" ht="18" hidden="1">
      <c r="A182" s="11" t="s">
        <v>196</v>
      </c>
      <c r="B182" s="6"/>
      <c r="C182" s="6"/>
      <c r="D182" s="6">
        <f t="shared" si="2"/>
        <v>0</v>
      </c>
    </row>
    <row r="183" spans="1:4" ht="18" hidden="1">
      <c r="A183" s="11" t="s">
        <v>197</v>
      </c>
      <c r="B183" s="6"/>
      <c r="C183" s="6"/>
      <c r="D183" s="6">
        <f t="shared" si="2"/>
        <v>0</v>
      </c>
    </row>
    <row r="184" spans="1:4" ht="18">
      <c r="A184" s="11" t="s">
        <v>198</v>
      </c>
      <c r="B184" s="6">
        <v>300</v>
      </c>
      <c r="C184" s="6">
        <v>6000</v>
      </c>
      <c r="D184" s="6">
        <f t="shared" si="2"/>
        <v>1800000</v>
      </c>
    </row>
    <row r="185" spans="1:4" ht="18">
      <c r="A185" s="8" t="s">
        <v>199</v>
      </c>
      <c r="B185" s="6">
        <v>70</v>
      </c>
      <c r="C185" s="6">
        <v>2000</v>
      </c>
      <c r="D185" s="6">
        <f t="shared" si="2"/>
        <v>140000</v>
      </c>
    </row>
    <row r="186" spans="1:4" ht="18" hidden="1">
      <c r="A186" s="11" t="s">
        <v>200</v>
      </c>
      <c r="B186" s="6"/>
      <c r="C186" s="6"/>
      <c r="D186" s="6">
        <f t="shared" si="2"/>
        <v>0</v>
      </c>
    </row>
    <row r="187" spans="1:4" ht="18">
      <c r="A187" s="11" t="s">
        <v>201</v>
      </c>
      <c r="B187" s="6">
        <v>5</v>
      </c>
      <c r="C187" s="6">
        <v>20000</v>
      </c>
      <c r="D187" s="6">
        <f t="shared" si="2"/>
        <v>100000</v>
      </c>
    </row>
    <row r="188" spans="1:4" ht="18" hidden="1">
      <c r="A188" s="11" t="s">
        <v>202</v>
      </c>
      <c r="B188" s="6"/>
      <c r="C188" s="6"/>
      <c r="D188" s="6">
        <f t="shared" si="2"/>
        <v>0</v>
      </c>
    </row>
    <row r="189" spans="1:4" ht="18" hidden="1">
      <c r="A189" s="8" t="s">
        <v>203</v>
      </c>
      <c r="B189" s="6"/>
      <c r="C189" s="6"/>
      <c r="D189" s="6">
        <f t="shared" si="2"/>
        <v>0</v>
      </c>
    </row>
    <row r="190" spans="1:4" ht="18" hidden="1">
      <c r="A190" s="15" t="s">
        <v>204</v>
      </c>
      <c r="B190" s="6"/>
      <c r="C190" s="6"/>
      <c r="D190" s="6">
        <f t="shared" si="2"/>
        <v>0</v>
      </c>
    </row>
    <row r="191" spans="1:4" ht="18" hidden="1">
      <c r="A191" s="15" t="s">
        <v>205</v>
      </c>
      <c r="B191" s="6"/>
      <c r="C191" s="6"/>
      <c r="D191" s="6">
        <f t="shared" si="2"/>
        <v>0</v>
      </c>
    </row>
    <row r="192" spans="1:4" ht="18" hidden="1">
      <c r="A192" s="15" t="s">
        <v>206</v>
      </c>
      <c r="B192" s="6"/>
      <c r="C192" s="6"/>
      <c r="D192" s="6">
        <f t="shared" si="2"/>
        <v>0</v>
      </c>
    </row>
    <row r="193" spans="1:4" ht="18" hidden="1">
      <c r="A193" s="15" t="s">
        <v>207</v>
      </c>
      <c r="B193" s="6"/>
      <c r="C193" s="6"/>
      <c r="D193" s="6">
        <f t="shared" si="2"/>
        <v>0</v>
      </c>
    </row>
    <row r="194" spans="1:4" ht="18" hidden="1">
      <c r="A194" s="11" t="s">
        <v>208</v>
      </c>
      <c r="B194" s="6"/>
      <c r="C194" s="6"/>
      <c r="D194" s="6">
        <f t="shared" si="2"/>
        <v>0</v>
      </c>
    </row>
    <row r="195" spans="1:4" ht="18" hidden="1">
      <c r="A195" s="8" t="s">
        <v>209</v>
      </c>
      <c r="B195" s="6"/>
      <c r="C195" s="6"/>
      <c r="D195" s="6">
        <f t="shared" si="2"/>
        <v>0</v>
      </c>
    </row>
    <row r="196" spans="1:4" ht="18" hidden="1">
      <c r="A196" s="30" t="s">
        <v>210</v>
      </c>
      <c r="B196" s="6"/>
      <c r="C196" s="6"/>
      <c r="D196" s="6">
        <f t="shared" ref="D196:D259" si="3">B196*C196</f>
        <v>0</v>
      </c>
    </row>
    <row r="197" spans="1:4" ht="18" hidden="1">
      <c r="A197" s="30" t="s">
        <v>211</v>
      </c>
      <c r="B197" s="6"/>
      <c r="C197" s="6"/>
      <c r="D197" s="6">
        <f t="shared" si="3"/>
        <v>0</v>
      </c>
    </row>
    <row r="198" spans="1:4" ht="18" hidden="1">
      <c r="A198" s="30" t="s">
        <v>212</v>
      </c>
      <c r="B198" s="6"/>
      <c r="C198" s="6"/>
      <c r="D198" s="6">
        <f t="shared" si="3"/>
        <v>0</v>
      </c>
    </row>
    <row r="199" spans="1:4" ht="18" hidden="1">
      <c r="A199" s="30" t="s">
        <v>213</v>
      </c>
      <c r="B199" s="6"/>
      <c r="C199" s="6"/>
      <c r="D199" s="6">
        <f t="shared" si="3"/>
        <v>0</v>
      </c>
    </row>
    <row r="200" spans="1:4" ht="18" hidden="1">
      <c r="A200" s="8" t="s">
        <v>214</v>
      </c>
      <c r="B200" s="6"/>
      <c r="C200" s="6"/>
      <c r="D200" s="6">
        <f t="shared" si="3"/>
        <v>0</v>
      </c>
    </row>
    <row r="201" spans="1:4" ht="18" hidden="1">
      <c r="A201" s="31" t="s">
        <v>215</v>
      </c>
      <c r="B201" s="6"/>
      <c r="C201" s="6"/>
      <c r="D201" s="6">
        <f t="shared" si="3"/>
        <v>0</v>
      </c>
    </row>
    <row r="202" spans="1:4" ht="18">
      <c r="A202" s="8" t="s">
        <v>216</v>
      </c>
      <c r="B202" s="6">
        <f>130+75</f>
        <v>205</v>
      </c>
      <c r="C202" s="6">
        <v>19000</v>
      </c>
      <c r="D202" s="6">
        <f t="shared" si="3"/>
        <v>3895000</v>
      </c>
    </row>
    <row r="203" spans="1:4" ht="18">
      <c r="A203" s="11" t="s">
        <v>217</v>
      </c>
      <c r="B203" s="6">
        <v>400</v>
      </c>
      <c r="C203" s="6">
        <v>19000</v>
      </c>
      <c r="D203" s="6">
        <f t="shared" si="3"/>
        <v>7600000</v>
      </c>
    </row>
    <row r="204" spans="1:4" ht="18" hidden="1">
      <c r="A204" s="8" t="s">
        <v>218</v>
      </c>
      <c r="B204" s="6"/>
      <c r="C204" s="6"/>
      <c r="D204" s="6">
        <f t="shared" si="3"/>
        <v>0</v>
      </c>
    </row>
    <row r="205" spans="1:4" ht="18">
      <c r="A205" s="8" t="s">
        <v>219</v>
      </c>
      <c r="B205" s="6">
        <v>280</v>
      </c>
      <c r="C205" s="6">
        <v>13000</v>
      </c>
      <c r="D205" s="6">
        <f t="shared" si="3"/>
        <v>3640000</v>
      </c>
    </row>
    <row r="206" spans="1:4" ht="18" hidden="1">
      <c r="A206" s="32" t="s">
        <v>220</v>
      </c>
      <c r="B206" s="6"/>
      <c r="C206" s="6"/>
      <c r="D206" s="6">
        <f t="shared" si="3"/>
        <v>0</v>
      </c>
    </row>
    <row r="207" spans="1:4" ht="18" hidden="1">
      <c r="A207" s="32" t="s">
        <v>221</v>
      </c>
      <c r="B207" s="6"/>
      <c r="C207" s="6"/>
      <c r="D207" s="6">
        <f t="shared" si="3"/>
        <v>0</v>
      </c>
    </row>
    <row r="208" spans="1:4" ht="18" hidden="1">
      <c r="A208" s="8" t="s">
        <v>222</v>
      </c>
      <c r="B208" s="6"/>
      <c r="C208" s="6"/>
      <c r="D208" s="6">
        <f t="shared" si="3"/>
        <v>0</v>
      </c>
    </row>
    <row r="209" spans="1:4" ht="18">
      <c r="A209" s="10" t="s">
        <v>223</v>
      </c>
      <c r="B209" s="6">
        <v>5</v>
      </c>
      <c r="C209" s="6">
        <v>35000</v>
      </c>
      <c r="D209" s="6">
        <f t="shared" si="3"/>
        <v>175000</v>
      </c>
    </row>
    <row r="210" spans="1:4" ht="18" hidden="1">
      <c r="A210" s="8" t="s">
        <v>224</v>
      </c>
      <c r="B210" s="6"/>
      <c r="C210" s="6"/>
      <c r="D210" s="6">
        <f t="shared" si="3"/>
        <v>0</v>
      </c>
    </row>
    <row r="211" spans="1:4" ht="18">
      <c r="A211" s="8" t="s">
        <v>225</v>
      </c>
      <c r="B211" s="6">
        <v>2</v>
      </c>
      <c r="C211" s="6">
        <v>12000</v>
      </c>
      <c r="D211" s="6">
        <f t="shared" si="3"/>
        <v>24000</v>
      </c>
    </row>
    <row r="212" spans="1:4" ht="18" hidden="1">
      <c r="A212" s="8" t="s">
        <v>226</v>
      </c>
      <c r="B212" s="6"/>
      <c r="C212" s="6"/>
      <c r="D212" s="6">
        <f t="shared" si="3"/>
        <v>0</v>
      </c>
    </row>
    <row r="213" spans="1:4" ht="18" hidden="1">
      <c r="A213" s="8" t="s">
        <v>227</v>
      </c>
      <c r="B213" s="6"/>
      <c r="C213" s="6"/>
      <c r="D213" s="6">
        <f t="shared" si="3"/>
        <v>0</v>
      </c>
    </row>
    <row r="214" spans="1:4" ht="18" hidden="1">
      <c r="A214" s="33" t="s">
        <v>228</v>
      </c>
      <c r="B214" s="6"/>
      <c r="C214" s="6"/>
      <c r="D214" s="6">
        <f t="shared" si="3"/>
        <v>0</v>
      </c>
    </row>
    <row r="215" spans="1:4" ht="18" hidden="1">
      <c r="A215" s="8" t="s">
        <v>229</v>
      </c>
      <c r="B215" s="6"/>
      <c r="C215" s="6"/>
      <c r="D215" s="6">
        <f t="shared" si="3"/>
        <v>0</v>
      </c>
    </row>
    <row r="216" spans="1:4" ht="18">
      <c r="A216" s="8" t="s">
        <v>230</v>
      </c>
      <c r="B216" s="6">
        <v>370</v>
      </c>
      <c r="C216" s="6">
        <v>16000</v>
      </c>
      <c r="D216" s="6">
        <f t="shared" si="3"/>
        <v>5920000</v>
      </c>
    </row>
    <row r="217" spans="1:4" ht="18" hidden="1">
      <c r="A217" s="8" t="s">
        <v>231</v>
      </c>
      <c r="B217" s="6"/>
      <c r="C217" s="6"/>
      <c r="D217" s="6">
        <f t="shared" si="3"/>
        <v>0</v>
      </c>
    </row>
    <row r="218" spans="1:4" ht="18" hidden="1">
      <c r="A218" s="8" t="s">
        <v>232</v>
      </c>
      <c r="B218" s="6"/>
      <c r="C218" s="6"/>
      <c r="D218" s="6">
        <f t="shared" si="3"/>
        <v>0</v>
      </c>
    </row>
    <row r="219" spans="1:4" ht="18" hidden="1">
      <c r="A219" s="15" t="s">
        <v>233</v>
      </c>
      <c r="B219" s="6"/>
      <c r="C219" s="6"/>
      <c r="D219" s="6">
        <f t="shared" si="3"/>
        <v>0</v>
      </c>
    </row>
    <row r="220" spans="1:4" ht="18" hidden="1">
      <c r="A220" s="15" t="s">
        <v>234</v>
      </c>
      <c r="B220" s="6"/>
      <c r="C220" s="6"/>
      <c r="D220" s="6">
        <f t="shared" si="3"/>
        <v>0</v>
      </c>
    </row>
    <row r="221" spans="1:4" ht="18">
      <c r="A221" s="15" t="s">
        <v>235</v>
      </c>
      <c r="B221" s="6">
        <v>0.8</v>
      </c>
      <c r="C221" s="6">
        <v>40000</v>
      </c>
      <c r="D221" s="6">
        <f t="shared" si="3"/>
        <v>32000</v>
      </c>
    </row>
    <row r="222" spans="1:4" ht="18" hidden="1">
      <c r="A222" s="15" t="s">
        <v>236</v>
      </c>
      <c r="B222" s="6"/>
      <c r="C222" s="6"/>
      <c r="D222" s="6">
        <f t="shared" si="3"/>
        <v>0</v>
      </c>
    </row>
    <row r="223" spans="1:4" ht="18" hidden="1">
      <c r="A223" s="8" t="s">
        <v>237</v>
      </c>
      <c r="B223" s="6"/>
      <c r="C223" s="6"/>
      <c r="D223" s="6">
        <f t="shared" si="3"/>
        <v>0</v>
      </c>
    </row>
    <row r="224" spans="1:4" ht="18" hidden="1">
      <c r="A224" s="8" t="s">
        <v>238</v>
      </c>
      <c r="B224" s="6"/>
      <c r="C224" s="6"/>
      <c r="D224" s="6">
        <f t="shared" si="3"/>
        <v>0</v>
      </c>
    </row>
    <row r="225" spans="1:4" ht="18" hidden="1">
      <c r="A225" s="15" t="s">
        <v>239</v>
      </c>
      <c r="B225" s="6"/>
      <c r="C225" s="6"/>
      <c r="D225" s="6">
        <f t="shared" si="3"/>
        <v>0</v>
      </c>
    </row>
    <row r="226" spans="1:4" ht="18" hidden="1">
      <c r="A226" s="15" t="s">
        <v>240</v>
      </c>
      <c r="B226" s="6"/>
      <c r="C226" s="6"/>
      <c r="D226" s="6">
        <f t="shared" si="3"/>
        <v>0</v>
      </c>
    </row>
    <row r="227" spans="1:4" ht="18">
      <c r="A227" s="10" t="s">
        <v>241</v>
      </c>
      <c r="B227" s="6">
        <v>480</v>
      </c>
      <c r="C227" s="193">
        <v>37000</v>
      </c>
      <c r="D227" s="193">
        <f t="shared" si="3"/>
        <v>17760000</v>
      </c>
    </row>
    <row r="228" spans="1:4" ht="18" hidden="1">
      <c r="A228" s="11" t="s">
        <v>242</v>
      </c>
      <c r="B228" s="6"/>
      <c r="C228" s="6"/>
      <c r="D228" s="6">
        <f t="shared" si="3"/>
        <v>0</v>
      </c>
    </row>
    <row r="229" spans="1:4" ht="18" hidden="1">
      <c r="A229" s="10" t="s">
        <v>243</v>
      </c>
      <c r="B229" s="6"/>
      <c r="C229" s="6"/>
      <c r="D229" s="6">
        <f t="shared" si="3"/>
        <v>0</v>
      </c>
    </row>
    <row r="230" spans="1:4" ht="18" hidden="1">
      <c r="A230" s="15" t="s">
        <v>244</v>
      </c>
      <c r="B230" s="6"/>
      <c r="C230" s="6"/>
      <c r="D230" s="6">
        <f t="shared" si="3"/>
        <v>0</v>
      </c>
    </row>
    <row r="231" spans="1:4" ht="18" hidden="1">
      <c r="A231" s="10" t="s">
        <v>245</v>
      </c>
      <c r="B231" s="6"/>
      <c r="C231" s="6"/>
      <c r="D231" s="6">
        <f t="shared" si="3"/>
        <v>0</v>
      </c>
    </row>
    <row r="232" spans="1:4" ht="18" hidden="1">
      <c r="A232" s="10" t="s">
        <v>246</v>
      </c>
      <c r="B232" s="6"/>
      <c r="C232" s="6"/>
      <c r="D232" s="6">
        <f t="shared" si="3"/>
        <v>0</v>
      </c>
    </row>
    <row r="233" spans="1:4" ht="18" hidden="1">
      <c r="A233" s="10" t="s">
        <v>247</v>
      </c>
      <c r="B233" s="6"/>
      <c r="C233" s="6"/>
      <c r="D233" s="6">
        <f t="shared" si="3"/>
        <v>0</v>
      </c>
    </row>
    <row r="234" spans="1:4" ht="18" hidden="1">
      <c r="A234" s="8" t="s">
        <v>248</v>
      </c>
      <c r="B234" s="6"/>
      <c r="C234" s="6"/>
      <c r="D234" s="6">
        <f t="shared" si="3"/>
        <v>0</v>
      </c>
    </row>
    <row r="235" spans="1:4" ht="18" hidden="1">
      <c r="A235" s="8" t="s">
        <v>249</v>
      </c>
      <c r="B235" s="6"/>
      <c r="C235" s="6"/>
      <c r="D235" s="6">
        <f t="shared" si="3"/>
        <v>0</v>
      </c>
    </row>
    <row r="236" spans="1:4" ht="18" hidden="1">
      <c r="A236" s="10" t="s">
        <v>250</v>
      </c>
      <c r="B236" s="6"/>
      <c r="C236" s="6"/>
      <c r="D236" s="6">
        <f t="shared" si="3"/>
        <v>0</v>
      </c>
    </row>
    <row r="237" spans="1:4" ht="18" hidden="1">
      <c r="A237" s="32" t="s">
        <v>251</v>
      </c>
      <c r="B237" s="6"/>
      <c r="C237" s="6"/>
      <c r="D237" s="6">
        <f t="shared" si="3"/>
        <v>0</v>
      </c>
    </row>
    <row r="238" spans="1:4" ht="18" hidden="1">
      <c r="A238" s="8" t="s">
        <v>252</v>
      </c>
      <c r="B238" s="6"/>
      <c r="C238" s="6"/>
      <c r="D238" s="6">
        <f t="shared" si="3"/>
        <v>0</v>
      </c>
    </row>
    <row r="239" spans="1:4" ht="18" hidden="1">
      <c r="A239" s="8" t="s">
        <v>253</v>
      </c>
      <c r="B239" s="6"/>
      <c r="C239" s="6"/>
      <c r="D239" s="6">
        <f t="shared" si="3"/>
        <v>0</v>
      </c>
    </row>
    <row r="240" spans="1:4" ht="18" hidden="1">
      <c r="A240" s="12" t="s">
        <v>254</v>
      </c>
      <c r="B240" s="6"/>
      <c r="C240" s="6"/>
      <c r="D240" s="6">
        <f t="shared" si="3"/>
        <v>0</v>
      </c>
    </row>
    <row r="241" spans="1:4" ht="18" hidden="1">
      <c r="A241" s="12" t="s">
        <v>255</v>
      </c>
      <c r="B241" s="6"/>
      <c r="C241" s="6"/>
      <c r="D241" s="6">
        <f t="shared" si="3"/>
        <v>0</v>
      </c>
    </row>
    <row r="242" spans="1:4" ht="18" hidden="1">
      <c r="A242" s="30" t="s">
        <v>256</v>
      </c>
      <c r="B242" s="6"/>
      <c r="C242" s="6"/>
      <c r="D242" s="6">
        <f t="shared" si="3"/>
        <v>0</v>
      </c>
    </row>
    <row r="243" spans="1:4" ht="18" hidden="1">
      <c r="A243" s="8" t="s">
        <v>257</v>
      </c>
      <c r="B243" s="6"/>
      <c r="C243" s="6"/>
      <c r="D243" s="6">
        <f t="shared" si="3"/>
        <v>0</v>
      </c>
    </row>
    <row r="244" spans="1:4" ht="18" hidden="1">
      <c r="A244" s="8" t="s">
        <v>258</v>
      </c>
      <c r="B244" s="6"/>
      <c r="C244" s="6"/>
      <c r="D244" s="6">
        <f t="shared" si="3"/>
        <v>0</v>
      </c>
    </row>
    <row r="245" spans="1:4" ht="18" hidden="1">
      <c r="A245" s="8" t="s">
        <v>259</v>
      </c>
      <c r="B245" s="14"/>
      <c r="C245" s="14"/>
      <c r="D245" s="6">
        <f t="shared" si="3"/>
        <v>0</v>
      </c>
    </row>
    <row r="246" spans="1:4" ht="18" hidden="1">
      <c r="A246" s="30" t="s">
        <v>260</v>
      </c>
      <c r="B246" s="6"/>
      <c r="C246" s="6"/>
      <c r="D246" s="6">
        <f t="shared" si="3"/>
        <v>0</v>
      </c>
    </row>
    <row r="247" spans="1:4" ht="18" hidden="1">
      <c r="A247" s="8" t="s">
        <v>261</v>
      </c>
      <c r="B247" s="14"/>
      <c r="C247" s="14"/>
      <c r="D247" s="6">
        <f t="shared" si="3"/>
        <v>0</v>
      </c>
    </row>
    <row r="248" spans="1:4" ht="18">
      <c r="A248" s="8" t="s">
        <v>262</v>
      </c>
      <c r="B248" s="6">
        <v>9</v>
      </c>
      <c r="C248" s="6">
        <v>14000</v>
      </c>
      <c r="D248" s="6">
        <f t="shared" si="3"/>
        <v>126000</v>
      </c>
    </row>
    <row r="249" spans="1:4" ht="18" hidden="1">
      <c r="A249" s="10" t="s">
        <v>263</v>
      </c>
      <c r="B249" s="6"/>
      <c r="C249" s="6"/>
      <c r="D249" s="6">
        <f t="shared" si="3"/>
        <v>0</v>
      </c>
    </row>
    <row r="250" spans="1:4" ht="18" hidden="1">
      <c r="A250" s="10" t="s">
        <v>264</v>
      </c>
      <c r="B250" s="6"/>
      <c r="C250" s="6"/>
      <c r="D250" s="6">
        <f t="shared" si="3"/>
        <v>0</v>
      </c>
    </row>
    <row r="251" spans="1:4" ht="18">
      <c r="A251" s="8" t="s">
        <v>265</v>
      </c>
      <c r="B251" s="6">
        <f>80+40+30+55</f>
        <v>205</v>
      </c>
      <c r="C251" s="6">
        <v>23000</v>
      </c>
      <c r="D251" s="6">
        <f t="shared" si="3"/>
        <v>4715000</v>
      </c>
    </row>
    <row r="252" spans="1:4" ht="18" hidden="1">
      <c r="A252" s="8" t="s">
        <v>266</v>
      </c>
      <c r="B252" s="6"/>
      <c r="C252" s="6"/>
      <c r="D252" s="6">
        <f t="shared" si="3"/>
        <v>0</v>
      </c>
    </row>
    <row r="253" spans="1:4" ht="18" hidden="1">
      <c r="A253" s="8" t="s">
        <v>267</v>
      </c>
      <c r="B253" s="6"/>
      <c r="C253" s="6"/>
      <c r="D253" s="6">
        <f t="shared" si="3"/>
        <v>0</v>
      </c>
    </row>
    <row r="254" spans="1:4" ht="18" hidden="1">
      <c r="A254" s="8" t="s">
        <v>268</v>
      </c>
      <c r="B254" s="6"/>
      <c r="C254" s="6"/>
      <c r="D254" s="6">
        <f t="shared" si="3"/>
        <v>0</v>
      </c>
    </row>
    <row r="255" spans="1:4" ht="18" hidden="1">
      <c r="A255" s="8" t="s">
        <v>269</v>
      </c>
      <c r="B255" s="6"/>
      <c r="C255" s="6"/>
      <c r="D255" s="6">
        <f t="shared" si="3"/>
        <v>0</v>
      </c>
    </row>
    <row r="256" spans="1:4" ht="18" hidden="1">
      <c r="A256" s="15" t="s">
        <v>270</v>
      </c>
      <c r="B256" s="6"/>
      <c r="C256" s="6"/>
      <c r="D256" s="6">
        <f t="shared" si="3"/>
        <v>0</v>
      </c>
    </row>
    <row r="257" spans="1:4" ht="18" hidden="1">
      <c r="A257" s="19" t="s">
        <v>271</v>
      </c>
      <c r="B257" s="6"/>
      <c r="C257" s="6"/>
      <c r="D257" s="6">
        <f t="shared" si="3"/>
        <v>0</v>
      </c>
    </row>
    <row r="258" spans="1:4" ht="18" hidden="1">
      <c r="A258" s="19" t="s">
        <v>272</v>
      </c>
      <c r="B258" s="6"/>
      <c r="C258" s="6"/>
      <c r="D258" s="6">
        <f t="shared" si="3"/>
        <v>0</v>
      </c>
    </row>
    <row r="259" spans="1:4" ht="18">
      <c r="A259" s="8" t="s">
        <v>273</v>
      </c>
      <c r="B259" s="6">
        <f>115+30+15+14-40</f>
        <v>134</v>
      </c>
      <c r="C259" s="6">
        <v>28000</v>
      </c>
      <c r="D259" s="6">
        <f t="shared" si="3"/>
        <v>3752000</v>
      </c>
    </row>
    <row r="260" spans="1:4" ht="18" hidden="1">
      <c r="A260" s="8" t="s">
        <v>274</v>
      </c>
      <c r="B260" s="6"/>
      <c r="C260" s="6"/>
      <c r="D260" s="6">
        <f t="shared" ref="D260:D323" si="4">B260*C260</f>
        <v>0</v>
      </c>
    </row>
    <row r="261" spans="1:4" ht="18" hidden="1">
      <c r="A261" s="8" t="s">
        <v>275</v>
      </c>
      <c r="B261" s="6"/>
      <c r="C261" s="6"/>
      <c r="D261" s="6">
        <f t="shared" si="4"/>
        <v>0</v>
      </c>
    </row>
    <row r="262" spans="1:4" ht="18" hidden="1">
      <c r="A262" s="8" t="s">
        <v>276</v>
      </c>
      <c r="B262" s="6"/>
      <c r="C262" s="6"/>
      <c r="D262" s="6">
        <f t="shared" si="4"/>
        <v>0</v>
      </c>
    </row>
    <row r="263" spans="1:4" ht="18">
      <c r="A263" s="8" t="s">
        <v>277</v>
      </c>
      <c r="B263" s="6">
        <v>12</v>
      </c>
      <c r="C263" s="6">
        <v>18000</v>
      </c>
      <c r="D263" s="6">
        <f t="shared" si="4"/>
        <v>216000</v>
      </c>
    </row>
    <row r="264" spans="1:4" ht="18" hidden="1">
      <c r="A264" s="8" t="s">
        <v>278</v>
      </c>
      <c r="B264" s="6"/>
      <c r="C264" s="6"/>
      <c r="D264" s="6">
        <f t="shared" si="4"/>
        <v>0</v>
      </c>
    </row>
    <row r="265" spans="1:4" ht="18" hidden="1">
      <c r="A265" s="8" t="s">
        <v>279</v>
      </c>
      <c r="B265" s="6"/>
      <c r="C265" s="6"/>
      <c r="D265" s="6">
        <f t="shared" si="4"/>
        <v>0</v>
      </c>
    </row>
    <row r="266" spans="1:4" ht="18" hidden="1">
      <c r="A266" s="8" t="s">
        <v>280</v>
      </c>
      <c r="B266" s="14"/>
      <c r="C266" s="14"/>
      <c r="D266" s="6">
        <f t="shared" si="4"/>
        <v>0</v>
      </c>
    </row>
    <row r="267" spans="1:4" ht="18" hidden="1">
      <c r="A267" s="12" t="s">
        <v>281</v>
      </c>
      <c r="B267" s="6"/>
      <c r="C267" s="6"/>
      <c r="D267" s="6">
        <f t="shared" si="4"/>
        <v>0</v>
      </c>
    </row>
    <row r="268" spans="1:4" ht="18" hidden="1">
      <c r="A268" s="8" t="s">
        <v>282</v>
      </c>
      <c r="B268" s="6"/>
      <c r="C268" s="6"/>
      <c r="D268" s="6">
        <f t="shared" si="4"/>
        <v>0</v>
      </c>
    </row>
    <row r="269" spans="1:4" ht="18" hidden="1">
      <c r="A269" s="10" t="s">
        <v>283</v>
      </c>
      <c r="B269" s="6"/>
      <c r="C269" s="6"/>
      <c r="D269" s="6">
        <f t="shared" si="4"/>
        <v>0</v>
      </c>
    </row>
    <row r="270" spans="1:4" ht="18" hidden="1">
      <c r="A270" s="8" t="s">
        <v>284</v>
      </c>
      <c r="B270" s="6"/>
      <c r="C270" s="6"/>
      <c r="D270" s="6">
        <f t="shared" si="4"/>
        <v>0</v>
      </c>
    </row>
    <row r="271" spans="1:4" ht="18" hidden="1">
      <c r="A271" s="8" t="s">
        <v>285</v>
      </c>
      <c r="B271" s="6"/>
      <c r="C271" s="6"/>
      <c r="D271" s="6">
        <f t="shared" si="4"/>
        <v>0</v>
      </c>
    </row>
    <row r="272" spans="1:4" ht="18" hidden="1">
      <c r="A272" s="8" t="s">
        <v>286</v>
      </c>
      <c r="B272" s="6"/>
      <c r="C272" s="6"/>
      <c r="D272" s="6">
        <f t="shared" si="4"/>
        <v>0</v>
      </c>
    </row>
    <row r="273" spans="1:4" ht="18" hidden="1">
      <c r="A273" s="8" t="s">
        <v>287</v>
      </c>
      <c r="B273" s="6"/>
      <c r="C273" s="6"/>
      <c r="D273" s="6">
        <f t="shared" si="4"/>
        <v>0</v>
      </c>
    </row>
    <row r="274" spans="1:4" ht="18">
      <c r="A274" s="8" t="s">
        <v>288</v>
      </c>
      <c r="B274" s="6">
        <v>3</v>
      </c>
      <c r="C274" s="6">
        <v>16000</v>
      </c>
      <c r="D274" s="6">
        <f t="shared" si="4"/>
        <v>48000</v>
      </c>
    </row>
    <row r="275" spans="1:4" ht="18" hidden="1">
      <c r="A275" s="8" t="s">
        <v>289</v>
      </c>
      <c r="B275" s="6"/>
      <c r="C275" s="6"/>
      <c r="D275" s="6">
        <f t="shared" si="4"/>
        <v>0</v>
      </c>
    </row>
    <row r="276" spans="1:4" ht="18" hidden="1">
      <c r="A276" s="8" t="s">
        <v>290</v>
      </c>
      <c r="B276" s="6"/>
      <c r="C276" s="6"/>
      <c r="D276" s="6">
        <f t="shared" si="4"/>
        <v>0</v>
      </c>
    </row>
    <row r="277" spans="1:4" ht="18" hidden="1">
      <c r="A277" s="30" t="s">
        <v>291</v>
      </c>
      <c r="B277" s="6"/>
      <c r="C277" s="6"/>
      <c r="D277" s="6">
        <f t="shared" si="4"/>
        <v>0</v>
      </c>
    </row>
    <row r="278" spans="1:4" ht="18" hidden="1">
      <c r="A278" s="8" t="s">
        <v>292</v>
      </c>
      <c r="B278" s="6"/>
      <c r="C278" s="6"/>
      <c r="D278" s="6">
        <f t="shared" si="4"/>
        <v>0</v>
      </c>
    </row>
    <row r="279" spans="1:4" ht="18" hidden="1">
      <c r="A279" s="30" t="s">
        <v>293</v>
      </c>
      <c r="B279" s="6"/>
      <c r="C279" s="6"/>
      <c r="D279" s="6">
        <f t="shared" si="4"/>
        <v>0</v>
      </c>
    </row>
    <row r="280" spans="1:4" ht="18" hidden="1">
      <c r="A280" s="30" t="s">
        <v>294</v>
      </c>
      <c r="B280" s="6"/>
      <c r="C280" s="6"/>
      <c r="D280" s="6">
        <f t="shared" si="4"/>
        <v>0</v>
      </c>
    </row>
    <row r="281" spans="1:4" ht="18" hidden="1">
      <c r="A281" s="11" t="s">
        <v>295</v>
      </c>
      <c r="B281" s="14"/>
      <c r="C281" s="14"/>
      <c r="D281" s="6">
        <f t="shared" si="4"/>
        <v>0</v>
      </c>
    </row>
    <row r="282" spans="1:4" ht="18" hidden="1">
      <c r="A282" s="11" t="s">
        <v>296</v>
      </c>
      <c r="B282" s="6"/>
      <c r="C282" s="6"/>
      <c r="D282" s="6">
        <f t="shared" si="4"/>
        <v>0</v>
      </c>
    </row>
    <row r="283" spans="1:4" ht="18" hidden="1">
      <c r="A283" s="10" t="s">
        <v>297</v>
      </c>
      <c r="B283" s="6"/>
      <c r="C283" s="6"/>
      <c r="D283" s="6">
        <f t="shared" si="4"/>
        <v>0</v>
      </c>
    </row>
    <row r="284" spans="1:4" ht="18" hidden="1">
      <c r="A284" s="10" t="s">
        <v>298</v>
      </c>
      <c r="B284" s="6"/>
      <c r="C284" s="6"/>
      <c r="D284" s="6">
        <f t="shared" si="4"/>
        <v>0</v>
      </c>
    </row>
    <row r="285" spans="1:4" ht="18" hidden="1">
      <c r="A285" s="15" t="s">
        <v>299</v>
      </c>
      <c r="B285" s="6"/>
      <c r="C285" s="6"/>
      <c r="D285" s="6">
        <f t="shared" si="4"/>
        <v>0</v>
      </c>
    </row>
    <row r="286" spans="1:4" ht="18" hidden="1">
      <c r="A286" s="15" t="s">
        <v>300</v>
      </c>
      <c r="B286" s="6"/>
      <c r="C286" s="6"/>
      <c r="D286" s="6">
        <f t="shared" si="4"/>
        <v>0</v>
      </c>
    </row>
    <row r="287" spans="1:4" ht="18" hidden="1">
      <c r="A287" s="15" t="s">
        <v>301</v>
      </c>
      <c r="B287" s="6"/>
      <c r="C287" s="6"/>
      <c r="D287" s="6">
        <f t="shared" si="4"/>
        <v>0</v>
      </c>
    </row>
    <row r="288" spans="1:4" ht="18" hidden="1">
      <c r="A288" s="8" t="s">
        <v>302</v>
      </c>
      <c r="B288" s="6"/>
      <c r="C288" s="6"/>
      <c r="D288" s="6">
        <f t="shared" si="4"/>
        <v>0</v>
      </c>
    </row>
    <row r="289" spans="1:4" ht="18" hidden="1">
      <c r="A289" s="15" t="s">
        <v>303</v>
      </c>
      <c r="B289" s="6"/>
      <c r="C289" s="6"/>
      <c r="D289" s="6">
        <f t="shared" si="4"/>
        <v>0</v>
      </c>
    </row>
    <row r="290" spans="1:4" ht="18" hidden="1">
      <c r="A290" s="8" t="s">
        <v>304</v>
      </c>
      <c r="B290" s="6"/>
      <c r="C290" s="6"/>
      <c r="D290" s="6">
        <f t="shared" si="4"/>
        <v>0</v>
      </c>
    </row>
    <row r="291" spans="1:4" ht="18">
      <c r="A291" s="8" t="s">
        <v>305</v>
      </c>
      <c r="B291" s="6">
        <v>22</v>
      </c>
      <c r="C291" s="6">
        <v>7000</v>
      </c>
      <c r="D291" s="6">
        <f t="shared" si="4"/>
        <v>154000</v>
      </c>
    </row>
    <row r="292" spans="1:4" ht="18" hidden="1">
      <c r="A292" s="15" t="s">
        <v>306</v>
      </c>
      <c r="B292" s="6"/>
      <c r="C292" s="6"/>
      <c r="D292" s="6">
        <f t="shared" si="4"/>
        <v>0</v>
      </c>
    </row>
    <row r="293" spans="1:4" ht="18" hidden="1">
      <c r="A293" s="23" t="s">
        <v>307</v>
      </c>
      <c r="B293" s="6"/>
      <c r="C293" s="6"/>
      <c r="D293" s="6">
        <f t="shared" si="4"/>
        <v>0</v>
      </c>
    </row>
    <row r="294" spans="1:4" ht="18">
      <c r="A294" s="8" t="s">
        <v>308</v>
      </c>
      <c r="B294" s="6">
        <v>52</v>
      </c>
      <c r="C294" s="6">
        <v>10000</v>
      </c>
      <c r="D294" s="6">
        <f t="shared" si="4"/>
        <v>520000</v>
      </c>
    </row>
    <row r="295" spans="1:4" ht="18" hidden="1">
      <c r="A295" s="12" t="s">
        <v>309</v>
      </c>
      <c r="B295" s="6"/>
      <c r="C295" s="6"/>
      <c r="D295" s="6">
        <f t="shared" si="4"/>
        <v>0</v>
      </c>
    </row>
    <row r="296" spans="1:4" ht="18" hidden="1">
      <c r="A296" s="12" t="s">
        <v>310</v>
      </c>
      <c r="B296" s="6"/>
      <c r="C296" s="6"/>
      <c r="D296" s="6">
        <f t="shared" si="4"/>
        <v>0</v>
      </c>
    </row>
    <row r="297" spans="1:4" ht="18" hidden="1">
      <c r="A297" s="11" t="s">
        <v>311</v>
      </c>
      <c r="B297" s="6"/>
      <c r="C297" s="6"/>
      <c r="D297" s="6">
        <f t="shared" si="4"/>
        <v>0</v>
      </c>
    </row>
    <row r="298" spans="1:4" ht="18" hidden="1">
      <c r="A298" s="15" t="s">
        <v>312</v>
      </c>
      <c r="B298" s="6"/>
      <c r="C298" s="6"/>
      <c r="D298" s="6">
        <f t="shared" si="4"/>
        <v>0</v>
      </c>
    </row>
    <row r="299" spans="1:4" ht="18" hidden="1">
      <c r="A299" s="12" t="s">
        <v>313</v>
      </c>
      <c r="B299" s="6"/>
      <c r="C299" s="6"/>
      <c r="D299" s="6">
        <f t="shared" si="4"/>
        <v>0</v>
      </c>
    </row>
    <row r="300" spans="1:4" ht="18" hidden="1">
      <c r="A300" s="8" t="s">
        <v>314</v>
      </c>
      <c r="B300" s="6"/>
      <c r="C300" s="6"/>
      <c r="D300" s="6">
        <f t="shared" si="4"/>
        <v>0</v>
      </c>
    </row>
    <row r="301" spans="1:4" ht="18" hidden="1">
      <c r="A301" s="15" t="s">
        <v>315</v>
      </c>
      <c r="B301" s="6"/>
      <c r="C301" s="6"/>
      <c r="D301" s="6">
        <f t="shared" si="4"/>
        <v>0</v>
      </c>
    </row>
    <row r="302" spans="1:4" ht="18" hidden="1">
      <c r="A302" s="8" t="s">
        <v>316</v>
      </c>
      <c r="B302" s="6"/>
      <c r="C302" s="6"/>
      <c r="D302" s="6">
        <f t="shared" si="4"/>
        <v>0</v>
      </c>
    </row>
    <row r="303" spans="1:4" ht="18" hidden="1">
      <c r="A303" s="8" t="s">
        <v>317</v>
      </c>
      <c r="B303" s="6"/>
      <c r="C303" s="6"/>
      <c r="D303" s="6">
        <f t="shared" si="4"/>
        <v>0</v>
      </c>
    </row>
    <row r="304" spans="1:4" ht="18" hidden="1">
      <c r="A304" s="10" t="s">
        <v>318</v>
      </c>
      <c r="B304" s="6"/>
      <c r="C304" s="6"/>
      <c r="D304" s="6">
        <f t="shared" si="4"/>
        <v>0</v>
      </c>
    </row>
    <row r="305" spans="1:4" ht="18" hidden="1">
      <c r="A305" s="11" t="s">
        <v>319</v>
      </c>
      <c r="B305" s="6"/>
      <c r="C305" s="6"/>
      <c r="D305" s="6">
        <f t="shared" si="4"/>
        <v>0</v>
      </c>
    </row>
    <row r="306" spans="1:4" ht="18" hidden="1">
      <c r="A306" s="11" t="s">
        <v>320</v>
      </c>
      <c r="B306" s="6"/>
      <c r="C306" s="6"/>
      <c r="D306" s="6">
        <f t="shared" si="4"/>
        <v>0</v>
      </c>
    </row>
    <row r="307" spans="1:4" ht="18" hidden="1">
      <c r="A307" s="8" t="s">
        <v>321</v>
      </c>
      <c r="B307" s="6"/>
      <c r="C307" s="6"/>
      <c r="D307" s="6">
        <f t="shared" si="4"/>
        <v>0</v>
      </c>
    </row>
    <row r="308" spans="1:4" ht="18" hidden="1">
      <c r="A308" s="8" t="s">
        <v>322</v>
      </c>
      <c r="B308" s="6"/>
      <c r="C308" s="6"/>
      <c r="D308" s="6">
        <f t="shared" si="4"/>
        <v>0</v>
      </c>
    </row>
    <row r="309" spans="1:4" ht="18" hidden="1">
      <c r="A309" s="8" t="s">
        <v>323</v>
      </c>
      <c r="B309" s="6"/>
      <c r="C309" s="6"/>
      <c r="D309" s="6">
        <f t="shared" si="4"/>
        <v>0</v>
      </c>
    </row>
    <row r="310" spans="1:4" ht="18" hidden="1">
      <c r="A310" s="12" t="s">
        <v>324</v>
      </c>
      <c r="B310" s="6"/>
      <c r="C310" s="6"/>
      <c r="D310" s="6">
        <f t="shared" si="4"/>
        <v>0</v>
      </c>
    </row>
    <row r="311" spans="1:4" ht="18" hidden="1">
      <c r="A311" s="12" t="s">
        <v>325</v>
      </c>
      <c r="B311" s="6"/>
      <c r="C311" s="6"/>
      <c r="D311" s="6">
        <f t="shared" si="4"/>
        <v>0</v>
      </c>
    </row>
    <row r="312" spans="1:4" ht="18" hidden="1">
      <c r="A312" s="19" t="s">
        <v>326</v>
      </c>
      <c r="B312" s="6"/>
      <c r="C312" s="6"/>
      <c r="D312" s="6">
        <f t="shared" si="4"/>
        <v>0</v>
      </c>
    </row>
    <row r="313" spans="1:4" ht="18" hidden="1">
      <c r="A313" s="12" t="s">
        <v>327</v>
      </c>
      <c r="B313" s="6"/>
      <c r="C313" s="6"/>
      <c r="D313" s="6">
        <f t="shared" si="4"/>
        <v>0</v>
      </c>
    </row>
    <row r="314" spans="1:4" ht="18" hidden="1">
      <c r="A314" s="8" t="s">
        <v>328</v>
      </c>
      <c r="B314" s="6"/>
      <c r="C314" s="6"/>
      <c r="D314" s="6">
        <f t="shared" si="4"/>
        <v>0</v>
      </c>
    </row>
    <row r="315" spans="1:4" ht="18" hidden="1">
      <c r="A315" s="8" t="s">
        <v>329</v>
      </c>
      <c r="B315" s="6"/>
      <c r="C315" s="6"/>
      <c r="D315" s="6">
        <f t="shared" si="4"/>
        <v>0</v>
      </c>
    </row>
    <row r="316" spans="1:4" ht="18" hidden="1">
      <c r="A316" s="8" t="s">
        <v>330</v>
      </c>
      <c r="B316" s="6"/>
      <c r="C316" s="6"/>
      <c r="D316" s="6">
        <f t="shared" si="4"/>
        <v>0</v>
      </c>
    </row>
    <row r="317" spans="1:4" ht="18" hidden="1">
      <c r="A317" s="8" t="s">
        <v>331</v>
      </c>
      <c r="B317" s="6"/>
      <c r="C317" s="6"/>
      <c r="D317" s="6">
        <f t="shared" si="4"/>
        <v>0</v>
      </c>
    </row>
    <row r="318" spans="1:4" ht="18" hidden="1">
      <c r="A318" s="19" t="s">
        <v>332</v>
      </c>
      <c r="B318" s="6"/>
      <c r="C318" s="6"/>
      <c r="D318" s="6">
        <f t="shared" si="4"/>
        <v>0</v>
      </c>
    </row>
    <row r="319" spans="1:4" ht="18" hidden="1">
      <c r="A319" s="8" t="s">
        <v>333</v>
      </c>
      <c r="B319" s="6"/>
      <c r="C319" s="6"/>
      <c r="D319" s="6">
        <f t="shared" si="4"/>
        <v>0</v>
      </c>
    </row>
    <row r="320" spans="1:4" ht="18" hidden="1">
      <c r="A320" s="8" t="s">
        <v>334</v>
      </c>
      <c r="B320" s="6"/>
      <c r="C320" s="6"/>
      <c r="D320" s="6">
        <f t="shared" si="4"/>
        <v>0</v>
      </c>
    </row>
    <row r="321" spans="1:4" ht="18" hidden="1">
      <c r="A321" s="11" t="s">
        <v>335</v>
      </c>
      <c r="B321" s="6"/>
      <c r="C321" s="6"/>
      <c r="D321" s="6">
        <f t="shared" si="4"/>
        <v>0</v>
      </c>
    </row>
    <row r="322" spans="1:4" ht="18" hidden="1">
      <c r="A322" s="8" t="s">
        <v>336</v>
      </c>
      <c r="B322" s="34"/>
      <c r="C322" s="34"/>
      <c r="D322" s="6">
        <f t="shared" si="4"/>
        <v>0</v>
      </c>
    </row>
    <row r="323" spans="1:4" ht="18" hidden="1">
      <c r="A323" s="8" t="s">
        <v>337</v>
      </c>
      <c r="B323" s="6"/>
      <c r="C323" s="6"/>
      <c r="D323" s="6">
        <f t="shared" si="4"/>
        <v>0</v>
      </c>
    </row>
    <row r="324" spans="1:4" ht="18" hidden="1">
      <c r="A324" s="8" t="s">
        <v>338</v>
      </c>
      <c r="B324" s="6"/>
      <c r="C324" s="6"/>
      <c r="D324" s="6">
        <f t="shared" ref="D324:D387" si="5">B324*C324</f>
        <v>0</v>
      </c>
    </row>
    <row r="325" spans="1:4" ht="18" hidden="1">
      <c r="A325" s="19" t="s">
        <v>339</v>
      </c>
      <c r="B325" s="6"/>
      <c r="C325" s="6"/>
      <c r="D325" s="6">
        <f t="shared" si="5"/>
        <v>0</v>
      </c>
    </row>
    <row r="326" spans="1:4" ht="18" hidden="1">
      <c r="A326" s="19" t="s">
        <v>340</v>
      </c>
      <c r="B326" s="6"/>
      <c r="C326" s="6"/>
      <c r="D326" s="6">
        <f t="shared" si="5"/>
        <v>0</v>
      </c>
    </row>
    <row r="327" spans="1:4" ht="18">
      <c r="A327" s="8" t="s">
        <v>341</v>
      </c>
      <c r="B327" s="6">
        <v>4</v>
      </c>
      <c r="C327" s="6">
        <v>28000</v>
      </c>
      <c r="D327" s="6">
        <f t="shared" si="5"/>
        <v>112000</v>
      </c>
    </row>
    <row r="328" spans="1:4" ht="18" hidden="1">
      <c r="A328" s="8" t="s">
        <v>342</v>
      </c>
      <c r="B328" s="6"/>
      <c r="C328" s="6"/>
      <c r="D328" s="6">
        <f t="shared" si="5"/>
        <v>0</v>
      </c>
    </row>
    <row r="329" spans="1:4" ht="18" hidden="1">
      <c r="A329" s="19" t="s">
        <v>343</v>
      </c>
      <c r="B329" s="6"/>
      <c r="C329" s="6"/>
      <c r="D329" s="6">
        <f t="shared" si="5"/>
        <v>0</v>
      </c>
    </row>
    <row r="330" spans="1:4" ht="18" hidden="1">
      <c r="A330" s="8" t="s">
        <v>344</v>
      </c>
      <c r="B330" s="6"/>
      <c r="C330" s="6"/>
      <c r="D330" s="6">
        <f t="shared" si="5"/>
        <v>0</v>
      </c>
    </row>
    <row r="331" spans="1:4" ht="18" hidden="1">
      <c r="A331" s="8" t="s">
        <v>345</v>
      </c>
      <c r="B331" s="6"/>
      <c r="C331" s="6"/>
      <c r="D331" s="6">
        <f t="shared" si="5"/>
        <v>0</v>
      </c>
    </row>
    <row r="332" spans="1:4" ht="18" hidden="1">
      <c r="A332" s="8" t="s">
        <v>346</v>
      </c>
      <c r="B332" s="6"/>
      <c r="C332" s="6"/>
      <c r="D332" s="6">
        <f t="shared" si="5"/>
        <v>0</v>
      </c>
    </row>
    <row r="333" spans="1:4" ht="18" hidden="1">
      <c r="A333" s="8" t="s">
        <v>347</v>
      </c>
      <c r="B333" s="6"/>
      <c r="C333" s="6"/>
      <c r="D333" s="6">
        <f t="shared" si="5"/>
        <v>0</v>
      </c>
    </row>
    <row r="334" spans="1:4" ht="18" hidden="1">
      <c r="A334" s="8" t="s">
        <v>348</v>
      </c>
      <c r="B334" s="6"/>
      <c r="C334" s="6"/>
      <c r="D334" s="6">
        <f t="shared" si="5"/>
        <v>0</v>
      </c>
    </row>
    <row r="335" spans="1:4" ht="18" hidden="1">
      <c r="A335" s="8" t="s">
        <v>349</v>
      </c>
      <c r="B335" s="6"/>
      <c r="C335" s="6"/>
      <c r="D335" s="6">
        <f t="shared" si="5"/>
        <v>0</v>
      </c>
    </row>
    <row r="336" spans="1:4" ht="18" hidden="1">
      <c r="A336" s="8" t="s">
        <v>350</v>
      </c>
      <c r="B336" s="6"/>
      <c r="C336" s="6"/>
      <c r="D336" s="6">
        <f t="shared" si="5"/>
        <v>0</v>
      </c>
    </row>
    <row r="337" spans="1:4" ht="18" hidden="1">
      <c r="A337" s="8" t="s">
        <v>351</v>
      </c>
      <c r="B337" s="6"/>
      <c r="C337" s="6"/>
      <c r="D337" s="6">
        <f t="shared" si="5"/>
        <v>0</v>
      </c>
    </row>
    <row r="338" spans="1:4" ht="18" hidden="1">
      <c r="A338" s="10" t="s">
        <v>352</v>
      </c>
      <c r="B338" s="6"/>
      <c r="C338" s="6"/>
      <c r="D338" s="6">
        <f t="shared" si="5"/>
        <v>0</v>
      </c>
    </row>
    <row r="339" spans="1:4" ht="18" hidden="1">
      <c r="A339" s="10" t="s">
        <v>353</v>
      </c>
      <c r="B339" s="6"/>
      <c r="C339" s="6"/>
      <c r="D339" s="6">
        <f t="shared" si="5"/>
        <v>0</v>
      </c>
    </row>
    <row r="340" spans="1:4" ht="18">
      <c r="A340" s="35"/>
      <c r="B340" s="36">
        <f>SUM(B3:B339)</f>
        <v>3273.8</v>
      </c>
      <c r="C340" s="36"/>
      <c r="D340" s="6">
        <f>SUM(D15:D327)</f>
        <v>59808000</v>
      </c>
    </row>
    <row r="341" spans="1:4" ht="18" hidden="1">
      <c r="D341" s="6">
        <f t="shared" si="5"/>
        <v>0</v>
      </c>
    </row>
    <row r="342" spans="1:4" ht="18">
      <c r="A342" s="1" t="s">
        <v>382</v>
      </c>
      <c r="B342" s="2"/>
      <c r="C342" s="2"/>
      <c r="D342" s="6"/>
    </row>
    <row r="343" spans="1:4" ht="26.4">
      <c r="A343" s="207" t="s">
        <v>381</v>
      </c>
      <c r="B343" s="4" t="s">
        <v>3</v>
      </c>
      <c r="C343" s="4" t="s">
        <v>4</v>
      </c>
      <c r="D343" s="6" t="s">
        <v>5</v>
      </c>
    </row>
    <row r="344" spans="1:4" ht="18" hidden="1">
      <c r="A344" s="206"/>
      <c r="B344" s="37"/>
      <c r="C344" s="37"/>
      <c r="D344" s="6">
        <f t="shared" si="5"/>
        <v>0</v>
      </c>
    </row>
    <row r="345" spans="1:4" ht="18" hidden="1">
      <c r="A345" s="11" t="s">
        <v>82</v>
      </c>
      <c r="B345" s="6"/>
      <c r="C345" s="6"/>
      <c r="D345" s="6">
        <f t="shared" si="5"/>
        <v>0</v>
      </c>
    </row>
    <row r="346" spans="1:4" ht="18" hidden="1">
      <c r="A346" s="10" t="s">
        <v>83</v>
      </c>
      <c r="B346" s="6"/>
      <c r="C346" s="6"/>
      <c r="D346" s="6">
        <f t="shared" si="5"/>
        <v>0</v>
      </c>
    </row>
    <row r="347" spans="1:4" ht="18" hidden="1">
      <c r="A347" s="11" t="s">
        <v>84</v>
      </c>
      <c r="B347" s="6"/>
      <c r="C347" s="6"/>
      <c r="D347" s="6">
        <f t="shared" si="5"/>
        <v>0</v>
      </c>
    </row>
    <row r="348" spans="1:4" ht="18" hidden="1">
      <c r="A348" s="11" t="s">
        <v>85</v>
      </c>
      <c r="B348" s="6"/>
      <c r="C348" s="6"/>
      <c r="D348" s="6">
        <f t="shared" si="5"/>
        <v>0</v>
      </c>
    </row>
    <row r="349" spans="1:4" ht="18" hidden="1">
      <c r="A349" s="11" t="s">
        <v>86</v>
      </c>
      <c r="B349" s="6"/>
      <c r="C349" s="6"/>
      <c r="D349" s="6">
        <f t="shared" si="5"/>
        <v>0</v>
      </c>
    </row>
    <row r="350" spans="1:4" ht="18" hidden="1">
      <c r="A350" s="18" t="s">
        <v>87</v>
      </c>
      <c r="B350" s="6"/>
      <c r="C350" s="6"/>
      <c r="D350" s="6">
        <f t="shared" si="5"/>
        <v>0</v>
      </c>
    </row>
    <row r="351" spans="1:4" ht="18" hidden="1">
      <c r="A351" s="8" t="s">
        <v>88</v>
      </c>
      <c r="B351" s="6"/>
      <c r="C351" s="6"/>
      <c r="D351" s="6">
        <f t="shared" si="5"/>
        <v>0</v>
      </c>
    </row>
    <row r="352" spans="1:4" ht="18" hidden="1">
      <c r="A352" s="11" t="s">
        <v>96</v>
      </c>
      <c r="B352" s="14"/>
      <c r="C352" s="14"/>
      <c r="D352" s="6">
        <f t="shared" si="5"/>
        <v>0</v>
      </c>
    </row>
    <row r="353" spans="1:4" ht="18" hidden="1">
      <c r="A353" s="11" t="s">
        <v>97</v>
      </c>
      <c r="B353" s="14"/>
      <c r="C353" s="14"/>
      <c r="D353" s="6">
        <f t="shared" si="5"/>
        <v>0</v>
      </c>
    </row>
    <row r="354" spans="1:4" ht="18" hidden="1">
      <c r="A354" s="11" t="s">
        <v>98</v>
      </c>
      <c r="B354" s="14"/>
      <c r="C354" s="14"/>
      <c r="D354" s="6">
        <f t="shared" si="5"/>
        <v>0</v>
      </c>
    </row>
    <row r="355" spans="1:4" ht="18" hidden="1">
      <c r="A355" s="8" t="s">
        <v>110</v>
      </c>
      <c r="B355" s="6"/>
      <c r="C355" s="6"/>
      <c r="D355" s="6">
        <f t="shared" si="5"/>
        <v>0</v>
      </c>
    </row>
    <row r="356" spans="1:4" ht="18" hidden="1">
      <c r="A356" s="8" t="s">
        <v>111</v>
      </c>
      <c r="B356" s="6"/>
      <c r="C356" s="6"/>
      <c r="D356" s="6">
        <f t="shared" si="5"/>
        <v>0</v>
      </c>
    </row>
    <row r="357" spans="1:4" ht="18" hidden="1">
      <c r="A357" s="8" t="s">
        <v>113</v>
      </c>
      <c r="B357" s="14"/>
      <c r="C357" s="14"/>
      <c r="D357" s="6">
        <f t="shared" si="5"/>
        <v>0</v>
      </c>
    </row>
    <row r="358" spans="1:4" ht="18" hidden="1">
      <c r="A358" s="19" t="s">
        <v>115</v>
      </c>
      <c r="B358" s="6"/>
      <c r="C358" s="6"/>
      <c r="D358" s="6">
        <f t="shared" si="5"/>
        <v>0</v>
      </c>
    </row>
    <row r="359" spans="1:4" ht="18" hidden="1">
      <c r="A359" s="10" t="s">
        <v>131</v>
      </c>
      <c r="B359" s="6"/>
      <c r="C359" s="6"/>
      <c r="D359" s="6">
        <f t="shared" si="5"/>
        <v>0</v>
      </c>
    </row>
    <row r="360" spans="1:4" ht="18" hidden="1">
      <c r="A360" s="19" t="s">
        <v>132</v>
      </c>
      <c r="B360" s="6"/>
      <c r="C360" s="6"/>
      <c r="D360" s="6">
        <f t="shared" si="5"/>
        <v>0</v>
      </c>
    </row>
    <row r="361" spans="1:4" ht="18" hidden="1">
      <c r="A361" s="8" t="s">
        <v>124</v>
      </c>
      <c r="B361" s="6"/>
      <c r="C361" s="6"/>
      <c r="D361" s="6">
        <f t="shared" si="5"/>
        <v>0</v>
      </c>
    </row>
    <row r="362" spans="1:4" ht="18" hidden="1">
      <c r="A362" s="8" t="s">
        <v>125</v>
      </c>
      <c r="B362" s="6"/>
      <c r="C362" s="6"/>
      <c r="D362" s="6">
        <f t="shared" si="5"/>
        <v>0</v>
      </c>
    </row>
    <row r="363" spans="1:4" ht="18" hidden="1">
      <c r="A363" s="8" t="s">
        <v>126</v>
      </c>
      <c r="B363" s="6"/>
      <c r="C363" s="6"/>
      <c r="D363" s="6">
        <f t="shared" si="5"/>
        <v>0</v>
      </c>
    </row>
    <row r="364" spans="1:4" ht="18" hidden="1">
      <c r="A364" s="10" t="s">
        <v>264</v>
      </c>
      <c r="B364" s="6"/>
      <c r="C364" s="6"/>
      <c r="D364" s="6">
        <f t="shared" si="5"/>
        <v>0</v>
      </c>
    </row>
    <row r="365" spans="1:4" ht="18" hidden="1">
      <c r="A365" s="8" t="s">
        <v>265</v>
      </c>
      <c r="B365" s="6"/>
      <c r="C365" s="6"/>
      <c r="D365" s="6">
        <f t="shared" si="5"/>
        <v>0</v>
      </c>
    </row>
    <row r="366" spans="1:4" ht="18" hidden="1">
      <c r="A366" s="8" t="s">
        <v>266</v>
      </c>
      <c r="B366" s="6"/>
      <c r="C366" s="6"/>
      <c r="D366" s="6">
        <f t="shared" si="5"/>
        <v>0</v>
      </c>
    </row>
    <row r="367" spans="1:4" ht="18" hidden="1">
      <c r="A367" s="8" t="s">
        <v>267</v>
      </c>
      <c r="B367" s="6"/>
      <c r="C367" s="6"/>
      <c r="D367" s="6">
        <f t="shared" si="5"/>
        <v>0</v>
      </c>
    </row>
    <row r="368" spans="1:4" ht="18" hidden="1">
      <c r="A368" s="8" t="s">
        <v>268</v>
      </c>
      <c r="B368" s="6"/>
      <c r="C368" s="6"/>
      <c r="D368" s="6">
        <f t="shared" si="5"/>
        <v>0</v>
      </c>
    </row>
    <row r="369" spans="1:4" ht="18" hidden="1">
      <c r="A369" s="8" t="s">
        <v>269</v>
      </c>
      <c r="B369" s="6"/>
      <c r="C369" s="6"/>
      <c r="D369" s="6">
        <f t="shared" si="5"/>
        <v>0</v>
      </c>
    </row>
    <row r="370" spans="1:4" ht="18" hidden="1">
      <c r="A370" s="8" t="s">
        <v>273</v>
      </c>
      <c r="B370" s="6"/>
      <c r="C370" s="6"/>
      <c r="D370" s="6">
        <f t="shared" si="5"/>
        <v>0</v>
      </c>
    </row>
    <row r="371" spans="1:4" ht="18" hidden="1">
      <c r="A371" s="8" t="s">
        <v>274</v>
      </c>
      <c r="B371" s="6"/>
      <c r="C371" s="6"/>
      <c r="D371" s="6">
        <f t="shared" si="5"/>
        <v>0</v>
      </c>
    </row>
    <row r="372" spans="1:4" ht="18" hidden="1">
      <c r="A372" s="8" t="s">
        <v>275</v>
      </c>
      <c r="B372" s="6"/>
      <c r="C372" s="6"/>
      <c r="D372" s="6">
        <f t="shared" si="5"/>
        <v>0</v>
      </c>
    </row>
    <row r="373" spans="1:4" ht="18" hidden="1">
      <c r="A373" s="8" t="s">
        <v>276</v>
      </c>
      <c r="B373" s="6"/>
      <c r="C373" s="6"/>
      <c r="D373" s="6">
        <f t="shared" si="5"/>
        <v>0</v>
      </c>
    </row>
    <row r="374" spans="1:4" ht="18" hidden="1">
      <c r="A374" s="8" t="s">
        <v>277</v>
      </c>
      <c r="B374" s="6"/>
      <c r="C374" s="6"/>
      <c r="D374" s="6">
        <f t="shared" si="5"/>
        <v>0</v>
      </c>
    </row>
    <row r="375" spans="1:4" ht="18" hidden="1">
      <c r="A375" s="8" t="s">
        <v>278</v>
      </c>
      <c r="B375" s="6"/>
      <c r="C375" s="6"/>
      <c r="D375" s="6">
        <f t="shared" si="5"/>
        <v>0</v>
      </c>
    </row>
    <row r="376" spans="1:4" ht="18" hidden="1">
      <c r="A376" s="8" t="s">
        <v>279</v>
      </c>
      <c r="B376" s="6"/>
      <c r="C376" s="6"/>
      <c r="D376" s="6">
        <f t="shared" si="5"/>
        <v>0</v>
      </c>
    </row>
    <row r="377" spans="1:4" ht="18">
      <c r="A377" s="8" t="s">
        <v>150</v>
      </c>
      <c r="B377" s="6">
        <f>70+13+18</f>
        <v>101</v>
      </c>
      <c r="C377" s="6">
        <v>12000</v>
      </c>
      <c r="D377" s="6">
        <f t="shared" si="5"/>
        <v>1212000</v>
      </c>
    </row>
    <row r="378" spans="1:4" ht="18" hidden="1">
      <c r="A378" s="15" t="s">
        <v>151</v>
      </c>
      <c r="B378" s="6"/>
      <c r="C378" s="6"/>
      <c r="D378" s="6">
        <f t="shared" si="5"/>
        <v>0</v>
      </c>
    </row>
    <row r="379" spans="1:4" ht="18" hidden="1">
      <c r="A379" s="8" t="s">
        <v>192</v>
      </c>
      <c r="B379" s="6"/>
      <c r="C379" s="6"/>
      <c r="D379" s="6">
        <f t="shared" si="5"/>
        <v>0</v>
      </c>
    </row>
    <row r="380" spans="1:4" ht="18" hidden="1">
      <c r="A380" s="11" t="s">
        <v>208</v>
      </c>
      <c r="B380" s="6"/>
      <c r="C380" s="6"/>
      <c r="D380" s="6">
        <f t="shared" si="5"/>
        <v>0</v>
      </c>
    </row>
    <row r="381" spans="1:4" ht="18" hidden="1">
      <c r="A381" s="8" t="s">
        <v>334</v>
      </c>
      <c r="B381" s="6"/>
      <c r="C381" s="6"/>
      <c r="D381" s="6">
        <f t="shared" si="5"/>
        <v>0</v>
      </c>
    </row>
    <row r="382" spans="1:4" ht="18" hidden="1">
      <c r="A382" s="8" t="s">
        <v>227</v>
      </c>
      <c r="B382" s="6"/>
      <c r="C382" s="6"/>
      <c r="D382" s="6">
        <f t="shared" si="5"/>
        <v>0</v>
      </c>
    </row>
    <row r="383" spans="1:4" ht="18" hidden="1">
      <c r="A383" s="33" t="s">
        <v>228</v>
      </c>
      <c r="B383" s="6"/>
      <c r="C383" s="6"/>
      <c r="D383" s="6">
        <f t="shared" si="5"/>
        <v>0</v>
      </c>
    </row>
    <row r="384" spans="1:4" ht="18" hidden="1">
      <c r="A384" s="8" t="s">
        <v>229</v>
      </c>
      <c r="B384" s="6"/>
      <c r="C384" s="6"/>
      <c r="D384" s="6">
        <f t="shared" si="5"/>
        <v>0</v>
      </c>
    </row>
    <row r="385" spans="1:4" ht="18">
      <c r="A385" s="8" t="s">
        <v>230</v>
      </c>
      <c r="B385" s="6">
        <f>60+15+105+60+70+80+270+80-370</f>
        <v>370</v>
      </c>
      <c r="C385" s="6">
        <v>16000</v>
      </c>
      <c r="D385" s="6">
        <f t="shared" si="5"/>
        <v>5920000</v>
      </c>
    </row>
    <row r="386" spans="1:4" ht="18" hidden="1">
      <c r="A386" s="8" t="s">
        <v>231</v>
      </c>
      <c r="B386" s="6"/>
      <c r="C386" s="6"/>
      <c r="D386" s="6">
        <f t="shared" si="5"/>
        <v>0</v>
      </c>
    </row>
    <row r="387" spans="1:4" ht="18" hidden="1">
      <c r="A387" s="8" t="s">
        <v>370</v>
      </c>
      <c r="B387" s="6"/>
      <c r="C387" s="6"/>
      <c r="D387" s="6">
        <f t="shared" si="5"/>
        <v>0</v>
      </c>
    </row>
    <row r="388" spans="1:4" ht="18" hidden="1">
      <c r="A388" s="8" t="s">
        <v>232</v>
      </c>
      <c r="B388" s="6"/>
      <c r="C388" s="6"/>
      <c r="D388" s="6">
        <f t="shared" ref="D388:D451" si="6">B388*C388</f>
        <v>0</v>
      </c>
    </row>
    <row r="389" spans="1:4" ht="18" hidden="1">
      <c r="A389" s="8" t="s">
        <v>117</v>
      </c>
      <c r="B389" s="6"/>
      <c r="C389" s="6"/>
      <c r="D389" s="6">
        <f t="shared" si="6"/>
        <v>0</v>
      </c>
    </row>
    <row r="390" spans="1:4" ht="18" hidden="1">
      <c r="A390" s="39" t="s">
        <v>118</v>
      </c>
      <c r="B390" s="6"/>
      <c r="C390" s="6"/>
      <c r="D390" s="6">
        <f t="shared" si="6"/>
        <v>0</v>
      </c>
    </row>
    <row r="391" spans="1:4" ht="18" hidden="1">
      <c r="A391" s="10" t="s">
        <v>121</v>
      </c>
      <c r="B391" s="6"/>
      <c r="C391" s="6"/>
      <c r="D391" s="6">
        <f t="shared" si="6"/>
        <v>0</v>
      </c>
    </row>
    <row r="392" spans="1:4" ht="18" hidden="1">
      <c r="A392" s="8" t="s">
        <v>123</v>
      </c>
      <c r="B392" s="6"/>
      <c r="C392" s="6"/>
      <c r="D392" s="6">
        <f t="shared" si="6"/>
        <v>0</v>
      </c>
    </row>
    <row r="393" spans="1:4" ht="18" hidden="1">
      <c r="A393" s="8" t="s">
        <v>18</v>
      </c>
      <c r="B393" s="6"/>
      <c r="C393" s="6"/>
      <c r="D393" s="6">
        <f t="shared" si="6"/>
        <v>0</v>
      </c>
    </row>
    <row r="394" spans="1:4" ht="18" hidden="1">
      <c r="A394" s="8" t="s">
        <v>19</v>
      </c>
      <c r="B394" s="6"/>
      <c r="C394" s="6"/>
      <c r="D394" s="6">
        <f t="shared" si="6"/>
        <v>0</v>
      </c>
    </row>
    <row r="395" spans="1:4" ht="18" hidden="1">
      <c r="A395" s="11" t="s">
        <v>20</v>
      </c>
      <c r="B395" s="6"/>
      <c r="C395" s="6"/>
      <c r="D395" s="6">
        <f t="shared" si="6"/>
        <v>0</v>
      </c>
    </row>
    <row r="396" spans="1:4" ht="18" hidden="1">
      <c r="A396" s="8" t="s">
        <v>180</v>
      </c>
      <c r="B396" s="6"/>
      <c r="C396" s="6"/>
      <c r="D396" s="6">
        <f t="shared" si="6"/>
        <v>0</v>
      </c>
    </row>
    <row r="397" spans="1:4" ht="18" hidden="1">
      <c r="A397" s="15" t="s">
        <v>181</v>
      </c>
      <c r="B397" s="6"/>
      <c r="C397" s="6"/>
      <c r="D397" s="6">
        <f t="shared" si="6"/>
        <v>0</v>
      </c>
    </row>
    <row r="398" spans="1:4" ht="18" hidden="1">
      <c r="A398" s="8" t="s">
        <v>214</v>
      </c>
      <c r="B398" s="6"/>
      <c r="C398" s="6"/>
      <c r="D398" s="6">
        <f t="shared" si="6"/>
        <v>0</v>
      </c>
    </row>
    <row r="399" spans="1:4" ht="18" hidden="1">
      <c r="A399" s="31" t="s">
        <v>215</v>
      </c>
      <c r="B399" s="6"/>
      <c r="C399" s="6"/>
      <c r="D399" s="6">
        <f t="shared" si="6"/>
        <v>0</v>
      </c>
    </row>
    <row r="400" spans="1:4" ht="18" hidden="1">
      <c r="A400" s="8" t="s">
        <v>252</v>
      </c>
      <c r="B400" s="6"/>
      <c r="C400" s="6"/>
      <c r="D400" s="6">
        <f t="shared" si="6"/>
        <v>0</v>
      </c>
    </row>
    <row r="401" spans="1:4" ht="18" hidden="1">
      <c r="A401" s="8" t="s">
        <v>253</v>
      </c>
      <c r="B401" s="6"/>
      <c r="C401" s="6"/>
      <c r="D401" s="6">
        <f t="shared" si="6"/>
        <v>0</v>
      </c>
    </row>
    <row r="402" spans="1:4" ht="18" hidden="1">
      <c r="A402" s="11" t="s">
        <v>28</v>
      </c>
      <c r="B402" s="6"/>
      <c r="C402" s="6"/>
      <c r="D402" s="6">
        <f t="shared" si="6"/>
        <v>0</v>
      </c>
    </row>
    <row r="403" spans="1:4" ht="18" hidden="1">
      <c r="A403" s="11" t="s">
        <v>29</v>
      </c>
      <c r="B403" s="6"/>
      <c r="C403" s="6"/>
      <c r="D403" s="6">
        <f t="shared" si="6"/>
        <v>0</v>
      </c>
    </row>
    <row r="404" spans="1:4" ht="18" hidden="1">
      <c r="A404" s="16" t="s">
        <v>188</v>
      </c>
      <c r="B404" s="6"/>
      <c r="C404" s="6"/>
      <c r="D404" s="6">
        <f t="shared" si="6"/>
        <v>0</v>
      </c>
    </row>
    <row r="405" spans="1:4" ht="18" hidden="1">
      <c r="A405" s="28" t="s">
        <v>189</v>
      </c>
      <c r="B405" s="29"/>
      <c r="C405" s="29"/>
      <c r="D405" s="6">
        <f t="shared" si="6"/>
        <v>0</v>
      </c>
    </row>
    <row r="406" spans="1:4" ht="18" hidden="1">
      <c r="A406" s="8" t="s">
        <v>35</v>
      </c>
      <c r="B406" s="6"/>
      <c r="C406" s="6"/>
      <c r="D406" s="6">
        <f t="shared" si="6"/>
        <v>0</v>
      </c>
    </row>
    <row r="407" spans="1:4" ht="18" hidden="1">
      <c r="A407" s="11" t="s">
        <v>37</v>
      </c>
      <c r="B407" s="6"/>
      <c r="C407" s="6"/>
      <c r="D407" s="6">
        <f t="shared" si="6"/>
        <v>0</v>
      </c>
    </row>
    <row r="408" spans="1:4" ht="18" hidden="1">
      <c r="A408" s="11" t="s">
        <v>46</v>
      </c>
      <c r="B408" s="6"/>
      <c r="C408" s="6"/>
      <c r="D408" s="6">
        <f t="shared" si="6"/>
        <v>0</v>
      </c>
    </row>
    <row r="409" spans="1:4" ht="18" hidden="1">
      <c r="A409" s="8" t="s">
        <v>216</v>
      </c>
      <c r="B409" s="6"/>
      <c r="C409" s="6"/>
      <c r="D409" s="6">
        <f t="shared" si="6"/>
        <v>0</v>
      </c>
    </row>
    <row r="410" spans="1:4" ht="18" hidden="1">
      <c r="A410" s="11" t="s">
        <v>217</v>
      </c>
      <c r="B410" s="6"/>
      <c r="C410" s="6"/>
      <c r="D410" s="6">
        <f t="shared" si="6"/>
        <v>0</v>
      </c>
    </row>
    <row r="411" spans="1:4" ht="18" hidden="1">
      <c r="A411" s="8" t="s">
        <v>366</v>
      </c>
      <c r="B411" s="6"/>
      <c r="C411" s="6"/>
      <c r="D411" s="6">
        <f t="shared" si="6"/>
        <v>0</v>
      </c>
    </row>
    <row r="412" spans="1:4" ht="18" hidden="1">
      <c r="A412" s="8" t="s">
        <v>218</v>
      </c>
      <c r="B412" s="6"/>
      <c r="C412" s="6"/>
      <c r="D412" s="6">
        <f t="shared" si="6"/>
        <v>0</v>
      </c>
    </row>
    <row r="413" spans="1:4" ht="18" hidden="1">
      <c r="A413" s="8" t="s">
        <v>288</v>
      </c>
      <c r="B413" s="6"/>
      <c r="C413" s="6"/>
      <c r="D413" s="6">
        <f t="shared" si="6"/>
        <v>0</v>
      </c>
    </row>
    <row r="414" spans="1:4" ht="18" hidden="1">
      <c r="A414" s="8" t="s">
        <v>289</v>
      </c>
      <c r="B414" s="6"/>
      <c r="C414" s="6"/>
      <c r="D414" s="6">
        <f t="shared" si="6"/>
        <v>0</v>
      </c>
    </row>
    <row r="415" spans="1:4" ht="18" hidden="1">
      <c r="A415" s="5" t="s">
        <v>6</v>
      </c>
      <c r="B415" s="6"/>
      <c r="C415" s="6"/>
      <c r="D415" s="6">
        <f t="shared" si="6"/>
        <v>0</v>
      </c>
    </row>
    <row r="416" spans="1:4" ht="18" hidden="1">
      <c r="A416" s="7" t="s">
        <v>8</v>
      </c>
      <c r="B416" s="6"/>
      <c r="C416" s="6"/>
      <c r="D416" s="6">
        <f t="shared" si="6"/>
        <v>0</v>
      </c>
    </row>
    <row r="417" spans="1:4" ht="18" hidden="1">
      <c r="A417" s="5" t="s">
        <v>10</v>
      </c>
      <c r="B417" s="6"/>
      <c r="C417" s="6"/>
      <c r="D417" s="6">
        <f t="shared" si="6"/>
        <v>0</v>
      </c>
    </row>
    <row r="418" spans="1:4" ht="18" hidden="1">
      <c r="A418" s="15" t="s">
        <v>75</v>
      </c>
      <c r="B418" s="6"/>
      <c r="C418" s="6"/>
      <c r="D418" s="6">
        <f t="shared" si="6"/>
        <v>0</v>
      </c>
    </row>
    <row r="419" spans="1:4" ht="18" hidden="1">
      <c r="A419" s="12" t="s">
        <v>313</v>
      </c>
      <c r="B419" s="6"/>
      <c r="C419" s="6"/>
      <c r="D419" s="6">
        <f t="shared" si="6"/>
        <v>0</v>
      </c>
    </row>
    <row r="420" spans="1:4" ht="18" hidden="1">
      <c r="A420" s="12" t="s">
        <v>324</v>
      </c>
      <c r="B420" s="6"/>
      <c r="C420" s="6"/>
      <c r="D420" s="6">
        <f t="shared" si="6"/>
        <v>0</v>
      </c>
    </row>
    <row r="421" spans="1:4" ht="18" hidden="1">
      <c r="A421" s="12" t="s">
        <v>325</v>
      </c>
      <c r="B421" s="6"/>
      <c r="C421" s="6"/>
      <c r="D421" s="6">
        <f t="shared" si="6"/>
        <v>0</v>
      </c>
    </row>
    <row r="422" spans="1:4" ht="18" hidden="1">
      <c r="A422" s="12" t="s">
        <v>327</v>
      </c>
      <c r="B422" s="6"/>
      <c r="C422" s="6"/>
      <c r="D422" s="6">
        <f t="shared" si="6"/>
        <v>0</v>
      </c>
    </row>
    <row r="423" spans="1:4" ht="18" hidden="1">
      <c r="A423" s="8" t="s">
        <v>336</v>
      </c>
      <c r="B423" s="34"/>
      <c r="C423" s="34"/>
      <c r="D423" s="6">
        <f t="shared" si="6"/>
        <v>0</v>
      </c>
    </row>
    <row r="424" spans="1:4" ht="18" hidden="1">
      <c r="A424" s="8" t="s">
        <v>99</v>
      </c>
      <c r="B424" s="6"/>
      <c r="C424" s="6"/>
      <c r="D424" s="6">
        <f t="shared" si="6"/>
        <v>0</v>
      </c>
    </row>
    <row r="425" spans="1:4" ht="18" hidden="1">
      <c r="A425" s="8" t="s">
        <v>100</v>
      </c>
      <c r="B425" s="6"/>
      <c r="C425" s="6"/>
      <c r="D425" s="6">
        <f t="shared" si="6"/>
        <v>0</v>
      </c>
    </row>
    <row r="426" spans="1:4" ht="18" hidden="1">
      <c r="A426" s="8" t="s">
        <v>101</v>
      </c>
      <c r="B426" s="6"/>
      <c r="C426" s="6"/>
      <c r="D426" s="6">
        <f t="shared" si="6"/>
        <v>0</v>
      </c>
    </row>
    <row r="427" spans="1:4" ht="18" hidden="1">
      <c r="A427" s="8" t="s">
        <v>102</v>
      </c>
      <c r="B427" s="6"/>
      <c r="C427" s="6"/>
      <c r="D427" s="6">
        <f t="shared" si="6"/>
        <v>0</v>
      </c>
    </row>
    <row r="428" spans="1:4" ht="18" hidden="1">
      <c r="A428" s="8" t="s">
        <v>103</v>
      </c>
      <c r="B428" s="6"/>
      <c r="C428" s="6"/>
      <c r="D428" s="6">
        <f t="shared" si="6"/>
        <v>0</v>
      </c>
    </row>
    <row r="429" spans="1:4" ht="18" hidden="1">
      <c r="A429" s="8" t="s">
        <v>191</v>
      </c>
      <c r="B429" s="6"/>
      <c r="C429" s="6"/>
      <c r="D429" s="6">
        <f t="shared" si="6"/>
        <v>0</v>
      </c>
    </row>
    <row r="430" spans="1:4" ht="18" hidden="1">
      <c r="A430" s="8" t="s">
        <v>257</v>
      </c>
      <c r="B430" s="6"/>
      <c r="C430" s="6"/>
      <c r="D430" s="6">
        <f t="shared" si="6"/>
        <v>0</v>
      </c>
    </row>
    <row r="431" spans="1:4" ht="18" hidden="1">
      <c r="A431" s="8" t="s">
        <v>258</v>
      </c>
      <c r="B431" s="6"/>
      <c r="C431" s="6"/>
      <c r="D431" s="6">
        <f t="shared" si="6"/>
        <v>0</v>
      </c>
    </row>
    <row r="432" spans="1:4" ht="18" hidden="1">
      <c r="A432" s="8" t="s">
        <v>280</v>
      </c>
      <c r="B432" s="14"/>
      <c r="C432" s="14"/>
      <c r="D432" s="6">
        <f t="shared" si="6"/>
        <v>0</v>
      </c>
    </row>
    <row r="433" spans="1:4" ht="18" hidden="1">
      <c r="A433" s="12" t="s">
        <v>281</v>
      </c>
      <c r="B433" s="6"/>
      <c r="C433" s="6"/>
      <c r="D433" s="6">
        <f t="shared" si="6"/>
        <v>0</v>
      </c>
    </row>
    <row r="434" spans="1:4" ht="18" hidden="1">
      <c r="A434" s="11" t="s">
        <v>311</v>
      </c>
      <c r="B434" s="6"/>
      <c r="C434" s="6"/>
      <c r="D434" s="6">
        <f t="shared" si="6"/>
        <v>0</v>
      </c>
    </row>
    <row r="435" spans="1:4" ht="18" hidden="1">
      <c r="A435" s="15" t="s">
        <v>312</v>
      </c>
      <c r="B435" s="6"/>
      <c r="C435" s="6"/>
      <c r="D435" s="6">
        <f t="shared" si="6"/>
        <v>0</v>
      </c>
    </row>
    <row r="436" spans="1:4" ht="18">
      <c r="A436" s="8" t="s">
        <v>137</v>
      </c>
      <c r="B436" s="6">
        <v>3</v>
      </c>
      <c r="C436" s="6">
        <v>10000</v>
      </c>
      <c r="D436" s="6">
        <f t="shared" si="6"/>
        <v>30000</v>
      </c>
    </row>
    <row r="437" spans="1:4" ht="18" hidden="1">
      <c r="A437" s="15" t="s">
        <v>53</v>
      </c>
      <c r="B437" s="6"/>
      <c r="C437" s="6"/>
      <c r="D437" s="6">
        <f t="shared" si="6"/>
        <v>0</v>
      </c>
    </row>
    <row r="438" spans="1:4" ht="18" hidden="1">
      <c r="A438" s="8" t="s">
        <v>55</v>
      </c>
      <c r="B438" s="6"/>
      <c r="C438" s="6"/>
      <c r="D438" s="6">
        <f t="shared" si="6"/>
        <v>0</v>
      </c>
    </row>
    <row r="439" spans="1:4" ht="18" hidden="1">
      <c r="A439" s="8" t="s">
        <v>56</v>
      </c>
      <c r="B439" s="6"/>
      <c r="C439" s="6"/>
      <c r="D439" s="6">
        <f t="shared" si="6"/>
        <v>0</v>
      </c>
    </row>
    <row r="440" spans="1:4" ht="18" hidden="1">
      <c r="A440" s="15" t="s">
        <v>300</v>
      </c>
      <c r="B440" s="6"/>
      <c r="C440" s="6"/>
      <c r="D440" s="6">
        <f t="shared" si="6"/>
        <v>0</v>
      </c>
    </row>
    <row r="441" spans="1:4" ht="18" hidden="1">
      <c r="A441" s="15" t="s">
        <v>301</v>
      </c>
      <c r="B441" s="6"/>
      <c r="C441" s="6"/>
      <c r="D441" s="6">
        <f t="shared" si="6"/>
        <v>0</v>
      </c>
    </row>
    <row r="442" spans="1:4" ht="18" hidden="1">
      <c r="A442" s="8" t="s">
        <v>156</v>
      </c>
      <c r="B442" s="14"/>
      <c r="C442" s="14"/>
      <c r="D442" s="6">
        <f t="shared" si="6"/>
        <v>0</v>
      </c>
    </row>
    <row r="443" spans="1:4" ht="18" hidden="1">
      <c r="A443" s="8" t="s">
        <v>157</v>
      </c>
      <c r="B443" s="14"/>
      <c r="C443" s="14"/>
      <c r="D443" s="6">
        <f t="shared" si="6"/>
        <v>0</v>
      </c>
    </row>
    <row r="444" spans="1:4" ht="18" hidden="1">
      <c r="A444" s="22" t="s">
        <v>159</v>
      </c>
      <c r="B444" s="14"/>
      <c r="C444" s="14"/>
      <c r="D444" s="6">
        <f t="shared" si="6"/>
        <v>0</v>
      </c>
    </row>
    <row r="445" spans="1:4" ht="18" hidden="1">
      <c r="A445" s="22" t="s">
        <v>160</v>
      </c>
      <c r="B445" s="14"/>
      <c r="C445" s="14"/>
      <c r="D445" s="6">
        <f t="shared" si="6"/>
        <v>0</v>
      </c>
    </row>
    <row r="446" spans="1:4" ht="18" hidden="1">
      <c r="A446" s="22" t="s">
        <v>161</v>
      </c>
      <c r="B446" s="14"/>
      <c r="C446" s="14"/>
      <c r="D446" s="6">
        <f t="shared" si="6"/>
        <v>0</v>
      </c>
    </row>
    <row r="447" spans="1:4" ht="18" hidden="1">
      <c r="A447" s="8" t="s">
        <v>162</v>
      </c>
      <c r="B447" s="14"/>
      <c r="C447" s="14"/>
      <c r="D447" s="6">
        <f t="shared" si="6"/>
        <v>0</v>
      </c>
    </row>
    <row r="448" spans="1:4" ht="18" hidden="1">
      <c r="A448" s="8" t="s">
        <v>164</v>
      </c>
      <c r="B448" s="14"/>
      <c r="C448" s="14"/>
      <c r="D448" s="6">
        <f t="shared" si="6"/>
        <v>0</v>
      </c>
    </row>
    <row r="449" spans="1:4" ht="18" hidden="1">
      <c r="A449" s="8" t="s">
        <v>165</v>
      </c>
      <c r="B449" s="14"/>
      <c r="C449" s="14"/>
      <c r="D449" s="6">
        <f t="shared" si="6"/>
        <v>0</v>
      </c>
    </row>
    <row r="450" spans="1:4" ht="18" hidden="1">
      <c r="A450" s="8" t="s">
        <v>166</v>
      </c>
      <c r="B450" s="14"/>
      <c r="C450" s="14"/>
      <c r="D450" s="6">
        <f t="shared" si="6"/>
        <v>0</v>
      </c>
    </row>
    <row r="451" spans="1:4" ht="18" hidden="1">
      <c r="A451" s="8" t="s">
        <v>176</v>
      </c>
      <c r="B451" s="14"/>
      <c r="C451" s="14"/>
      <c r="D451" s="6">
        <f t="shared" si="6"/>
        <v>0</v>
      </c>
    </row>
    <row r="452" spans="1:4" ht="18" hidden="1">
      <c r="A452" s="8" t="s">
        <v>177</v>
      </c>
      <c r="B452" s="14"/>
      <c r="C452" s="14"/>
      <c r="D452" s="6">
        <f t="shared" ref="D452:D515" si="7">B452*C452</f>
        <v>0</v>
      </c>
    </row>
    <row r="453" spans="1:4" ht="18" hidden="1">
      <c r="A453" s="8" t="s">
        <v>178</v>
      </c>
      <c r="B453" s="14"/>
      <c r="C453" s="14"/>
      <c r="D453" s="6">
        <f t="shared" si="7"/>
        <v>0</v>
      </c>
    </row>
    <row r="454" spans="1:4" ht="18">
      <c r="A454" s="11" t="s">
        <v>65</v>
      </c>
      <c r="B454" s="6">
        <f>270+160</f>
        <v>430</v>
      </c>
      <c r="C454" s="6">
        <v>16000</v>
      </c>
      <c r="D454" s="6">
        <f t="shared" si="7"/>
        <v>6880000</v>
      </c>
    </row>
    <row r="455" spans="1:4" ht="18" hidden="1">
      <c r="A455" s="8" t="s">
        <v>76</v>
      </c>
      <c r="B455" s="6"/>
      <c r="C455" s="6"/>
      <c r="D455" s="6">
        <f t="shared" si="7"/>
        <v>0</v>
      </c>
    </row>
    <row r="456" spans="1:4" ht="18" hidden="1">
      <c r="A456" s="8" t="s">
        <v>89</v>
      </c>
      <c r="B456" s="6"/>
      <c r="C456" s="6"/>
      <c r="D456" s="6">
        <f t="shared" si="7"/>
        <v>0</v>
      </c>
    </row>
    <row r="457" spans="1:4" ht="18" hidden="1">
      <c r="A457" s="11" t="s">
        <v>357</v>
      </c>
      <c r="B457" s="6"/>
      <c r="C457" s="6"/>
      <c r="D457" s="6">
        <f t="shared" si="7"/>
        <v>0</v>
      </c>
    </row>
    <row r="458" spans="1:4" ht="18" hidden="1">
      <c r="A458" s="8" t="s">
        <v>23</v>
      </c>
      <c r="B458" s="6"/>
      <c r="C458" s="6"/>
      <c r="D458" s="6">
        <f t="shared" si="7"/>
        <v>0</v>
      </c>
    </row>
    <row r="459" spans="1:4" ht="18" hidden="1">
      <c r="A459" s="8" t="s">
        <v>375</v>
      </c>
      <c r="B459" s="6"/>
      <c r="C459" s="6"/>
      <c r="D459" s="6">
        <f t="shared" si="7"/>
        <v>0</v>
      </c>
    </row>
    <row r="460" spans="1:4" ht="18" hidden="1">
      <c r="A460" s="8" t="s">
        <v>379</v>
      </c>
      <c r="B460" s="6"/>
      <c r="C460" s="6"/>
      <c r="D460" s="6">
        <f t="shared" si="7"/>
        <v>0</v>
      </c>
    </row>
    <row r="461" spans="1:4" ht="18">
      <c r="A461" s="8" t="s">
        <v>27</v>
      </c>
      <c r="B461" s="6">
        <f>120+110+330+45+735-200</f>
        <v>1140</v>
      </c>
      <c r="C461" s="6">
        <v>13000</v>
      </c>
      <c r="D461" s="193">
        <f t="shared" si="7"/>
        <v>14820000</v>
      </c>
    </row>
    <row r="462" spans="1:4" ht="18" hidden="1">
      <c r="A462" s="8" t="s">
        <v>51</v>
      </c>
      <c r="B462" s="6"/>
      <c r="C462" s="6"/>
      <c r="D462" s="6">
        <f t="shared" si="7"/>
        <v>0</v>
      </c>
    </row>
    <row r="463" spans="1:4" ht="18" hidden="1">
      <c r="A463" s="10" t="s">
        <v>61</v>
      </c>
      <c r="B463" s="6"/>
      <c r="C463" s="6"/>
      <c r="D463" s="6">
        <f t="shared" si="7"/>
        <v>0</v>
      </c>
    </row>
    <row r="464" spans="1:4" ht="18" hidden="1">
      <c r="A464" s="12" t="s">
        <v>62</v>
      </c>
      <c r="B464" s="6"/>
      <c r="C464" s="6"/>
      <c r="D464" s="6">
        <f t="shared" si="7"/>
        <v>0</v>
      </c>
    </row>
    <row r="465" spans="1:4" ht="18" hidden="1">
      <c r="A465" s="9" t="s">
        <v>139</v>
      </c>
      <c r="B465" s="6"/>
      <c r="C465" s="6"/>
      <c r="D465" s="6">
        <f t="shared" si="7"/>
        <v>0</v>
      </c>
    </row>
    <row r="466" spans="1:4" ht="18" hidden="1">
      <c r="A466" s="12" t="s">
        <v>140</v>
      </c>
      <c r="B466" s="6"/>
      <c r="C466" s="6"/>
      <c r="D466" s="6">
        <f t="shared" si="7"/>
        <v>0</v>
      </c>
    </row>
    <row r="467" spans="1:4" ht="18" hidden="1">
      <c r="A467" s="11" t="s">
        <v>141</v>
      </c>
      <c r="B467" s="14"/>
      <c r="C467" s="14"/>
      <c r="D467" s="6">
        <f t="shared" si="7"/>
        <v>0</v>
      </c>
    </row>
    <row r="468" spans="1:4" ht="18" hidden="1">
      <c r="A468" s="11" t="s">
        <v>142</v>
      </c>
      <c r="B468" s="14"/>
      <c r="C468" s="14"/>
      <c r="D468" s="6">
        <f t="shared" si="7"/>
        <v>0</v>
      </c>
    </row>
    <row r="469" spans="1:4" ht="18" hidden="1">
      <c r="A469" s="11" t="s">
        <v>143</v>
      </c>
      <c r="B469" s="14"/>
      <c r="C469" s="14"/>
      <c r="D469" s="6">
        <f t="shared" si="7"/>
        <v>0</v>
      </c>
    </row>
    <row r="470" spans="1:4" ht="18" hidden="1">
      <c r="A470" s="11" t="s">
        <v>144</v>
      </c>
      <c r="B470" s="24"/>
      <c r="C470" s="24"/>
      <c r="D470" s="6">
        <f t="shared" si="7"/>
        <v>0</v>
      </c>
    </row>
    <row r="471" spans="1:4" ht="18" hidden="1">
      <c r="A471" s="8" t="s">
        <v>163</v>
      </c>
      <c r="B471" s="14"/>
      <c r="C471" s="14"/>
      <c r="D471" s="6">
        <f t="shared" si="7"/>
        <v>0</v>
      </c>
    </row>
    <row r="472" spans="1:4" ht="18" hidden="1">
      <c r="A472" s="15" t="s">
        <v>233</v>
      </c>
      <c r="B472" s="6"/>
      <c r="C472" s="6"/>
      <c r="D472" s="6">
        <f t="shared" si="7"/>
        <v>0</v>
      </c>
    </row>
    <row r="473" spans="1:4" ht="18" hidden="1">
      <c r="A473" s="15" t="s">
        <v>234</v>
      </c>
      <c r="B473" s="6"/>
      <c r="C473" s="6"/>
      <c r="D473" s="6">
        <f t="shared" si="7"/>
        <v>0</v>
      </c>
    </row>
    <row r="474" spans="1:4" ht="18" hidden="1">
      <c r="A474" s="15" t="s">
        <v>235</v>
      </c>
      <c r="B474" s="6"/>
      <c r="C474" s="6"/>
      <c r="D474" s="6">
        <f t="shared" si="7"/>
        <v>0</v>
      </c>
    </row>
    <row r="475" spans="1:4" ht="18" hidden="1">
      <c r="A475" s="15" t="s">
        <v>236</v>
      </c>
      <c r="B475" s="6"/>
      <c r="C475" s="6"/>
      <c r="D475" s="6">
        <f t="shared" si="7"/>
        <v>0</v>
      </c>
    </row>
    <row r="476" spans="1:4" ht="18" hidden="1">
      <c r="A476" s="8" t="s">
        <v>237</v>
      </c>
      <c r="B476" s="6"/>
      <c r="C476" s="6"/>
      <c r="D476" s="6">
        <f t="shared" si="7"/>
        <v>0</v>
      </c>
    </row>
    <row r="477" spans="1:4" ht="18" hidden="1">
      <c r="A477" s="8" t="s">
        <v>238</v>
      </c>
      <c r="B477" s="6"/>
      <c r="C477" s="6"/>
      <c r="D477" s="6">
        <f t="shared" si="7"/>
        <v>0</v>
      </c>
    </row>
    <row r="478" spans="1:4" ht="18" hidden="1">
      <c r="A478" s="15" t="s">
        <v>239</v>
      </c>
      <c r="B478" s="6"/>
      <c r="C478" s="6"/>
      <c r="D478" s="6">
        <f t="shared" si="7"/>
        <v>0</v>
      </c>
    </row>
    <row r="479" spans="1:4" ht="18" hidden="1">
      <c r="A479" s="15" t="s">
        <v>240</v>
      </c>
      <c r="B479" s="6"/>
      <c r="C479" s="6"/>
      <c r="D479" s="6">
        <f t="shared" si="7"/>
        <v>0</v>
      </c>
    </row>
    <row r="480" spans="1:4" ht="18" hidden="1">
      <c r="A480" s="8" t="s">
        <v>259</v>
      </c>
      <c r="B480" s="14"/>
      <c r="C480" s="14"/>
      <c r="D480" s="6">
        <f t="shared" si="7"/>
        <v>0</v>
      </c>
    </row>
    <row r="481" spans="1:4" ht="18" hidden="1">
      <c r="A481" s="8" t="s">
        <v>261</v>
      </c>
      <c r="B481" s="14"/>
      <c r="C481" s="14"/>
      <c r="D481" s="6">
        <f t="shared" si="7"/>
        <v>0</v>
      </c>
    </row>
    <row r="482" spans="1:4" ht="18" hidden="1">
      <c r="A482" s="11" t="s">
        <v>295</v>
      </c>
      <c r="B482" s="14"/>
      <c r="C482" s="14"/>
      <c r="D482" s="6">
        <f t="shared" si="7"/>
        <v>0</v>
      </c>
    </row>
    <row r="483" spans="1:4" ht="18" hidden="1">
      <c r="A483" s="8" t="s">
        <v>308</v>
      </c>
      <c r="B483" s="6"/>
      <c r="C483" s="6"/>
      <c r="D483" s="6">
        <f t="shared" si="7"/>
        <v>0</v>
      </c>
    </row>
    <row r="484" spans="1:4" ht="18" hidden="1">
      <c r="A484" s="12" t="s">
        <v>309</v>
      </c>
      <c r="B484" s="6"/>
      <c r="C484" s="6"/>
      <c r="D484" s="6">
        <f t="shared" si="7"/>
        <v>0</v>
      </c>
    </row>
    <row r="485" spans="1:4" ht="18" hidden="1">
      <c r="A485" s="11" t="s">
        <v>319</v>
      </c>
      <c r="B485" s="6"/>
      <c r="C485" s="6"/>
      <c r="D485" s="6">
        <f t="shared" si="7"/>
        <v>0</v>
      </c>
    </row>
    <row r="486" spans="1:4" ht="18">
      <c r="A486" s="8" t="s">
        <v>219</v>
      </c>
      <c r="B486" s="6">
        <f>70+340+160-280</f>
        <v>290</v>
      </c>
      <c r="C486" s="6">
        <v>13000</v>
      </c>
      <c r="D486" s="6">
        <f t="shared" si="7"/>
        <v>3770000</v>
      </c>
    </row>
    <row r="487" spans="1:4" ht="18" hidden="1">
      <c r="A487" s="32" t="s">
        <v>220</v>
      </c>
      <c r="B487" s="6"/>
      <c r="C487" s="6"/>
      <c r="D487" s="6">
        <f t="shared" si="7"/>
        <v>0</v>
      </c>
    </row>
    <row r="488" spans="1:4" ht="18" hidden="1">
      <c r="A488" s="32" t="s">
        <v>221</v>
      </c>
      <c r="B488" s="6"/>
      <c r="C488" s="6"/>
      <c r="D488" s="6">
        <f t="shared" si="7"/>
        <v>0</v>
      </c>
    </row>
    <row r="489" spans="1:4" ht="18" hidden="1">
      <c r="A489" s="8" t="s">
        <v>52</v>
      </c>
      <c r="B489" s="6"/>
      <c r="C489" s="6"/>
      <c r="D489" s="6">
        <f t="shared" si="7"/>
        <v>0</v>
      </c>
    </row>
    <row r="490" spans="1:4" ht="18" hidden="1">
      <c r="A490" s="8" t="s">
        <v>292</v>
      </c>
      <c r="B490" s="6"/>
      <c r="C490" s="6"/>
      <c r="D490" s="6">
        <f t="shared" si="7"/>
        <v>0</v>
      </c>
    </row>
    <row r="491" spans="1:4" ht="18" hidden="1">
      <c r="A491" s="8" t="s">
        <v>66</v>
      </c>
      <c r="B491" s="6"/>
      <c r="C491" s="6"/>
      <c r="D491" s="6">
        <f t="shared" si="7"/>
        <v>0</v>
      </c>
    </row>
    <row r="492" spans="1:4" ht="18" hidden="1">
      <c r="A492" s="15" t="s">
        <v>67</v>
      </c>
      <c r="B492" s="6"/>
      <c r="C492" s="6"/>
      <c r="D492" s="6">
        <f t="shared" si="7"/>
        <v>0</v>
      </c>
    </row>
    <row r="493" spans="1:4" ht="18" hidden="1">
      <c r="A493" s="15" t="s">
        <v>69</v>
      </c>
      <c r="B493" s="6"/>
      <c r="C493" s="6"/>
      <c r="D493" s="6">
        <f t="shared" si="7"/>
        <v>0</v>
      </c>
    </row>
    <row r="494" spans="1:4" ht="18" hidden="1">
      <c r="A494" s="15" t="s">
        <v>70</v>
      </c>
      <c r="B494" s="6"/>
      <c r="C494" s="6"/>
      <c r="D494" s="6">
        <f t="shared" si="7"/>
        <v>0</v>
      </c>
    </row>
    <row r="495" spans="1:4" ht="18" hidden="1">
      <c r="A495" s="8" t="s">
        <v>71</v>
      </c>
      <c r="B495" s="6"/>
      <c r="C495" s="6"/>
      <c r="D495" s="6">
        <f t="shared" si="7"/>
        <v>0</v>
      </c>
    </row>
    <row r="496" spans="1:4" ht="18" hidden="1">
      <c r="A496" s="10" t="s">
        <v>72</v>
      </c>
      <c r="B496" s="6"/>
      <c r="C496" s="6"/>
      <c r="D496" s="6">
        <f t="shared" si="7"/>
        <v>0</v>
      </c>
    </row>
    <row r="497" spans="1:4" ht="18" hidden="1">
      <c r="A497" s="8" t="s">
        <v>73</v>
      </c>
      <c r="B497" s="6"/>
      <c r="C497" s="6"/>
      <c r="D497" s="6">
        <f t="shared" si="7"/>
        <v>0</v>
      </c>
    </row>
    <row r="498" spans="1:4" ht="18" hidden="1">
      <c r="A498" s="8" t="s">
        <v>74</v>
      </c>
      <c r="B498" s="6"/>
      <c r="C498" s="6"/>
      <c r="D498" s="6">
        <f t="shared" si="7"/>
        <v>0</v>
      </c>
    </row>
    <row r="499" spans="1:4" ht="18" hidden="1">
      <c r="A499" s="8" t="s">
        <v>78</v>
      </c>
      <c r="B499" s="6"/>
      <c r="C499" s="6"/>
      <c r="D499" s="6">
        <f t="shared" si="7"/>
        <v>0</v>
      </c>
    </row>
    <row r="500" spans="1:4" ht="18" hidden="1">
      <c r="A500" s="16" t="s">
        <v>79</v>
      </c>
      <c r="B500" s="6"/>
      <c r="C500" s="6"/>
      <c r="D500" s="6">
        <f t="shared" si="7"/>
        <v>0</v>
      </c>
    </row>
    <row r="501" spans="1:4" ht="18" hidden="1">
      <c r="A501" s="18" t="s">
        <v>80</v>
      </c>
      <c r="B501" s="6"/>
      <c r="C501" s="6"/>
      <c r="D501" s="6">
        <f t="shared" si="7"/>
        <v>0</v>
      </c>
    </row>
    <row r="502" spans="1:4" ht="18" hidden="1">
      <c r="A502" s="8" t="s">
        <v>167</v>
      </c>
      <c r="B502" s="6"/>
      <c r="C502" s="6"/>
      <c r="D502" s="6">
        <f t="shared" si="7"/>
        <v>0</v>
      </c>
    </row>
    <row r="503" spans="1:4" ht="18" hidden="1">
      <c r="A503" s="8" t="s">
        <v>364</v>
      </c>
      <c r="B503" s="6"/>
      <c r="C503" s="6"/>
      <c r="D503" s="6">
        <f t="shared" si="7"/>
        <v>0</v>
      </c>
    </row>
    <row r="504" spans="1:4" ht="18" hidden="1">
      <c r="A504" s="8" t="s">
        <v>168</v>
      </c>
      <c r="B504" s="6"/>
      <c r="C504" s="6"/>
      <c r="D504" s="6">
        <f t="shared" si="7"/>
        <v>0</v>
      </c>
    </row>
    <row r="505" spans="1:4" ht="18" hidden="1">
      <c r="A505" s="8" t="s">
        <v>169</v>
      </c>
      <c r="B505" s="6"/>
      <c r="C505" s="6"/>
      <c r="D505" s="6">
        <f t="shared" si="7"/>
        <v>0</v>
      </c>
    </row>
    <row r="506" spans="1:4" ht="18" hidden="1">
      <c r="A506" s="8" t="s">
        <v>170</v>
      </c>
      <c r="B506" s="6"/>
      <c r="C506" s="6"/>
      <c r="D506" s="6">
        <f t="shared" si="7"/>
        <v>0</v>
      </c>
    </row>
    <row r="507" spans="1:4" ht="18" hidden="1">
      <c r="A507" s="15" t="s">
        <v>171</v>
      </c>
      <c r="B507" s="6"/>
      <c r="C507" s="6"/>
      <c r="D507" s="6">
        <f t="shared" si="7"/>
        <v>0</v>
      </c>
    </row>
    <row r="508" spans="1:4" ht="18">
      <c r="A508" s="8" t="s">
        <v>90</v>
      </c>
      <c r="B508" s="6">
        <v>48</v>
      </c>
      <c r="C508" s="6">
        <v>27000</v>
      </c>
      <c r="D508" s="6">
        <f t="shared" si="7"/>
        <v>1296000</v>
      </c>
    </row>
    <row r="509" spans="1:4" ht="18" hidden="1">
      <c r="A509" s="12" t="s">
        <v>91</v>
      </c>
      <c r="B509" s="6"/>
      <c r="C509" s="6"/>
      <c r="D509" s="6">
        <f t="shared" si="7"/>
        <v>0</v>
      </c>
    </row>
    <row r="510" spans="1:4" ht="18" hidden="1">
      <c r="A510" s="8" t="s">
        <v>92</v>
      </c>
      <c r="B510" s="6"/>
      <c r="C510" s="6"/>
      <c r="D510" s="6">
        <f t="shared" si="7"/>
        <v>0</v>
      </c>
    </row>
    <row r="511" spans="1:4" ht="18" hidden="1">
      <c r="A511" s="8" t="s">
        <v>94</v>
      </c>
      <c r="B511" s="6"/>
      <c r="C511" s="6"/>
      <c r="D511" s="6">
        <f t="shared" si="7"/>
        <v>0</v>
      </c>
    </row>
    <row r="512" spans="1:4" ht="18" hidden="1">
      <c r="A512" s="8" t="s">
        <v>95</v>
      </c>
      <c r="B512" s="6"/>
      <c r="C512" s="6"/>
      <c r="D512" s="6">
        <f t="shared" si="7"/>
        <v>0</v>
      </c>
    </row>
    <row r="513" spans="1:4" ht="18" hidden="1">
      <c r="A513" s="12" t="s">
        <v>109</v>
      </c>
      <c r="B513" s="6"/>
      <c r="C513" s="6"/>
      <c r="D513" s="6">
        <f t="shared" si="7"/>
        <v>0</v>
      </c>
    </row>
    <row r="514" spans="1:4" ht="18" hidden="1">
      <c r="A514" s="8" t="s">
        <v>321</v>
      </c>
      <c r="B514" s="6"/>
      <c r="C514" s="6"/>
      <c r="D514" s="6">
        <f t="shared" si="7"/>
        <v>0</v>
      </c>
    </row>
    <row r="515" spans="1:4" ht="18" hidden="1">
      <c r="A515" s="11" t="s">
        <v>335</v>
      </c>
      <c r="B515" s="6"/>
      <c r="C515" s="6"/>
      <c r="D515" s="6">
        <f t="shared" si="7"/>
        <v>0</v>
      </c>
    </row>
    <row r="516" spans="1:4" ht="18" hidden="1">
      <c r="A516" s="8" t="s">
        <v>338</v>
      </c>
      <c r="B516" s="6"/>
      <c r="C516" s="6"/>
      <c r="D516" s="6">
        <f t="shared" ref="D516:D579" si="8">B516*C516</f>
        <v>0</v>
      </c>
    </row>
    <row r="517" spans="1:4" ht="18" hidden="1">
      <c r="A517" s="19" t="s">
        <v>106</v>
      </c>
      <c r="B517" s="6"/>
      <c r="C517" s="6"/>
      <c r="D517" s="6">
        <f t="shared" si="8"/>
        <v>0</v>
      </c>
    </row>
    <row r="518" spans="1:4" ht="18" hidden="1">
      <c r="A518" s="19" t="s">
        <v>107</v>
      </c>
      <c r="B518" s="6"/>
      <c r="C518" s="6"/>
      <c r="D518" s="6">
        <f t="shared" si="8"/>
        <v>0</v>
      </c>
    </row>
    <row r="519" spans="1:4" ht="18" hidden="1">
      <c r="A519" s="10" t="s">
        <v>108</v>
      </c>
      <c r="B519" s="6"/>
      <c r="C519" s="6"/>
      <c r="D519" s="6">
        <f t="shared" si="8"/>
        <v>0</v>
      </c>
    </row>
    <row r="520" spans="1:4" ht="18" hidden="1">
      <c r="A520" s="11" t="s">
        <v>196</v>
      </c>
      <c r="B520" s="6"/>
      <c r="C520" s="6"/>
      <c r="D520" s="6">
        <f t="shared" si="8"/>
        <v>0</v>
      </c>
    </row>
    <row r="521" spans="1:4" ht="18" hidden="1">
      <c r="A521" s="11" t="s">
        <v>197</v>
      </c>
      <c r="B521" s="6"/>
      <c r="C521" s="6"/>
      <c r="D521" s="6">
        <f t="shared" si="8"/>
        <v>0</v>
      </c>
    </row>
    <row r="522" spans="1:4" ht="18">
      <c r="A522" s="11" t="s">
        <v>198</v>
      </c>
      <c r="B522" s="6">
        <f>160+160+300+440+45-300</f>
        <v>805</v>
      </c>
      <c r="C522" s="6">
        <v>6000</v>
      </c>
      <c r="D522" s="6">
        <f t="shared" si="8"/>
        <v>4830000</v>
      </c>
    </row>
    <row r="523" spans="1:4" ht="18" hidden="1">
      <c r="A523" s="8" t="s">
        <v>199</v>
      </c>
      <c r="B523" s="6"/>
      <c r="C523" s="6"/>
      <c r="D523" s="6">
        <f t="shared" si="8"/>
        <v>0</v>
      </c>
    </row>
    <row r="524" spans="1:4" ht="18" hidden="1">
      <c r="A524" s="11" t="s">
        <v>200</v>
      </c>
      <c r="B524" s="6"/>
      <c r="C524" s="6"/>
      <c r="D524" s="6">
        <f t="shared" si="8"/>
        <v>0</v>
      </c>
    </row>
    <row r="525" spans="1:4" ht="18" hidden="1">
      <c r="A525" s="11" t="s">
        <v>201</v>
      </c>
      <c r="B525" s="6"/>
      <c r="C525" s="6"/>
      <c r="D525" s="6">
        <f t="shared" si="8"/>
        <v>0</v>
      </c>
    </row>
    <row r="526" spans="1:4" ht="18" hidden="1">
      <c r="A526" s="11" t="s">
        <v>202</v>
      </c>
      <c r="B526" s="6"/>
      <c r="C526" s="6"/>
      <c r="D526" s="6">
        <f t="shared" si="8"/>
        <v>0</v>
      </c>
    </row>
    <row r="527" spans="1:4" ht="18" hidden="1">
      <c r="A527" s="8" t="s">
        <v>203</v>
      </c>
      <c r="B527" s="6"/>
      <c r="C527" s="6"/>
      <c r="D527" s="6">
        <f t="shared" si="8"/>
        <v>0</v>
      </c>
    </row>
    <row r="528" spans="1:4" ht="18" hidden="1">
      <c r="A528" s="8" t="s">
        <v>225</v>
      </c>
      <c r="B528" s="6"/>
      <c r="C528" s="6"/>
      <c r="D528" s="6">
        <f t="shared" si="8"/>
        <v>0</v>
      </c>
    </row>
    <row r="529" spans="1:4" ht="18" hidden="1">
      <c r="A529" s="8" t="s">
        <v>226</v>
      </c>
      <c r="B529" s="6"/>
      <c r="C529" s="6"/>
      <c r="D529" s="6">
        <f t="shared" si="8"/>
        <v>0</v>
      </c>
    </row>
    <row r="530" spans="1:4" ht="18" hidden="1">
      <c r="A530" s="8" t="s">
        <v>368</v>
      </c>
      <c r="B530" s="6"/>
      <c r="C530" s="6"/>
      <c r="D530" s="6">
        <f t="shared" si="8"/>
        <v>0</v>
      </c>
    </row>
    <row r="531" spans="1:4" ht="18" hidden="1">
      <c r="A531" s="8" t="s">
        <v>369</v>
      </c>
      <c r="B531" s="6"/>
      <c r="C531" s="6"/>
      <c r="D531" s="6">
        <f t="shared" si="8"/>
        <v>0</v>
      </c>
    </row>
    <row r="532" spans="1:4" ht="18" hidden="1">
      <c r="A532" s="8" t="s">
        <v>119</v>
      </c>
      <c r="B532" s="6"/>
      <c r="C532" s="6"/>
      <c r="D532" s="6">
        <f t="shared" si="8"/>
        <v>0</v>
      </c>
    </row>
    <row r="533" spans="1:4" ht="18" hidden="1">
      <c r="A533" s="8" t="s">
        <v>120</v>
      </c>
      <c r="B533" s="6"/>
      <c r="C533" s="6"/>
      <c r="D533" s="6">
        <f t="shared" si="8"/>
        <v>0</v>
      </c>
    </row>
    <row r="534" spans="1:4" ht="18">
      <c r="A534" s="8" t="s">
        <v>104</v>
      </c>
      <c r="B534" s="6">
        <v>60</v>
      </c>
      <c r="C534" s="6">
        <v>9000</v>
      </c>
      <c r="D534" s="6">
        <f t="shared" si="8"/>
        <v>540000</v>
      </c>
    </row>
    <row r="535" spans="1:4" ht="18" hidden="1">
      <c r="A535" s="19" t="s">
        <v>105</v>
      </c>
      <c r="B535" s="6"/>
      <c r="C535" s="6"/>
      <c r="D535" s="6">
        <f t="shared" si="8"/>
        <v>0</v>
      </c>
    </row>
    <row r="536" spans="1:4" ht="18">
      <c r="A536" s="5" t="s">
        <v>11</v>
      </c>
      <c r="B536" s="6">
        <v>80</v>
      </c>
      <c r="C536" s="6">
        <v>6500</v>
      </c>
      <c r="D536" s="6">
        <f t="shared" si="8"/>
        <v>520000</v>
      </c>
    </row>
    <row r="537" spans="1:4" ht="18" hidden="1">
      <c r="A537" s="8" t="s">
        <v>12</v>
      </c>
      <c r="B537" s="6"/>
      <c r="C537" s="6"/>
      <c r="D537" s="6">
        <f t="shared" si="8"/>
        <v>0</v>
      </c>
    </row>
    <row r="538" spans="1:4" ht="18" hidden="1">
      <c r="A538" s="5" t="s">
        <v>15</v>
      </c>
      <c r="B538" s="6"/>
      <c r="C538" s="6"/>
      <c r="D538" s="6">
        <f t="shared" si="8"/>
        <v>0</v>
      </c>
    </row>
    <row r="539" spans="1:4" ht="18">
      <c r="A539" s="8" t="s">
        <v>365</v>
      </c>
      <c r="B539" s="6">
        <v>110</v>
      </c>
      <c r="C539" s="6">
        <v>7500</v>
      </c>
      <c r="D539" s="6">
        <f t="shared" si="8"/>
        <v>825000</v>
      </c>
    </row>
    <row r="540" spans="1:4" ht="18" hidden="1">
      <c r="A540" s="11" t="s">
        <v>182</v>
      </c>
      <c r="B540" s="6"/>
      <c r="C540" s="6"/>
      <c r="D540" s="6">
        <f t="shared" si="8"/>
        <v>0</v>
      </c>
    </row>
    <row r="541" spans="1:4" ht="18" hidden="1">
      <c r="A541" s="8" t="s">
        <v>183</v>
      </c>
      <c r="B541" s="6"/>
      <c r="C541" s="6"/>
      <c r="D541" s="6">
        <f t="shared" si="8"/>
        <v>0</v>
      </c>
    </row>
    <row r="542" spans="1:4" ht="18" hidden="1">
      <c r="A542" s="8" t="s">
        <v>185</v>
      </c>
      <c r="B542" s="6"/>
      <c r="C542" s="6"/>
      <c r="D542" s="6">
        <f t="shared" si="8"/>
        <v>0</v>
      </c>
    </row>
    <row r="543" spans="1:4" ht="18" hidden="1">
      <c r="A543" s="8" t="s">
        <v>186</v>
      </c>
      <c r="B543" s="6"/>
      <c r="C543" s="6"/>
      <c r="D543" s="6">
        <f t="shared" si="8"/>
        <v>0</v>
      </c>
    </row>
    <row r="544" spans="1:4" ht="18" hidden="1">
      <c r="A544" s="18" t="s">
        <v>187</v>
      </c>
      <c r="B544" s="6"/>
      <c r="C544" s="6"/>
      <c r="D544" s="6">
        <f t="shared" si="8"/>
        <v>0</v>
      </c>
    </row>
    <row r="545" spans="1:4" ht="18" hidden="1">
      <c r="A545" s="11" t="s">
        <v>242</v>
      </c>
      <c r="B545" s="6"/>
      <c r="C545" s="6"/>
      <c r="D545" s="6">
        <f t="shared" si="8"/>
        <v>0</v>
      </c>
    </row>
    <row r="546" spans="1:4" ht="18" hidden="1">
      <c r="A546" s="11" t="s">
        <v>22</v>
      </c>
      <c r="B546" s="6"/>
      <c r="C546" s="6"/>
      <c r="D546" s="6">
        <f t="shared" si="8"/>
        <v>0</v>
      </c>
    </row>
    <row r="547" spans="1:4" ht="18" hidden="1">
      <c r="A547" s="10" t="s">
        <v>358</v>
      </c>
      <c r="B547" s="6"/>
      <c r="C547" s="6"/>
      <c r="D547" s="6">
        <f t="shared" si="8"/>
        <v>0</v>
      </c>
    </row>
    <row r="548" spans="1:4" ht="18" hidden="1">
      <c r="A548" s="10" t="s">
        <v>359</v>
      </c>
      <c r="B548" s="6"/>
      <c r="C548" s="6"/>
      <c r="D548" s="6">
        <f t="shared" si="8"/>
        <v>0</v>
      </c>
    </row>
    <row r="549" spans="1:4" ht="18" hidden="1">
      <c r="A549" s="10" t="s">
        <v>360</v>
      </c>
      <c r="B549" s="6"/>
      <c r="C549" s="6"/>
      <c r="D549" s="6">
        <f t="shared" si="8"/>
        <v>0</v>
      </c>
    </row>
    <row r="550" spans="1:4" ht="18" hidden="1">
      <c r="A550" s="10" t="s">
        <v>361</v>
      </c>
      <c r="B550" s="6"/>
      <c r="C550" s="6"/>
      <c r="D550" s="6">
        <f t="shared" si="8"/>
        <v>0</v>
      </c>
    </row>
    <row r="551" spans="1:4" ht="18" hidden="1">
      <c r="A551" s="8" t="s">
        <v>128</v>
      </c>
      <c r="B551" s="6"/>
      <c r="C551" s="6"/>
      <c r="D551" s="6">
        <f t="shared" si="8"/>
        <v>0</v>
      </c>
    </row>
    <row r="552" spans="1:4" ht="18" hidden="1">
      <c r="A552" s="8" t="s">
        <v>129</v>
      </c>
      <c r="B552" s="6"/>
      <c r="C552" s="6"/>
      <c r="D552" s="6">
        <f t="shared" si="8"/>
        <v>0</v>
      </c>
    </row>
    <row r="553" spans="1:4" ht="18" hidden="1">
      <c r="A553" s="8" t="s">
        <v>362</v>
      </c>
      <c r="B553" s="6"/>
      <c r="C553" s="6"/>
      <c r="D553" s="6">
        <f t="shared" si="8"/>
        <v>0</v>
      </c>
    </row>
    <row r="554" spans="1:4" ht="18" hidden="1">
      <c r="A554" s="8" t="s">
        <v>130</v>
      </c>
      <c r="B554" s="6"/>
      <c r="C554" s="6"/>
      <c r="D554" s="6">
        <f t="shared" si="8"/>
        <v>0</v>
      </c>
    </row>
    <row r="555" spans="1:4" ht="18" hidden="1">
      <c r="A555" s="11" t="s">
        <v>152</v>
      </c>
      <c r="B555" s="6"/>
      <c r="C555" s="6"/>
      <c r="D555" s="6">
        <f t="shared" si="8"/>
        <v>0</v>
      </c>
    </row>
    <row r="556" spans="1:4" ht="18" hidden="1">
      <c r="A556" s="11" t="s">
        <v>153</v>
      </c>
      <c r="B556" s="6"/>
      <c r="C556" s="6"/>
      <c r="D556" s="6">
        <f t="shared" si="8"/>
        <v>0</v>
      </c>
    </row>
    <row r="557" spans="1:4" ht="18" hidden="1">
      <c r="A557" s="8" t="s">
        <v>154</v>
      </c>
      <c r="B557" s="6"/>
      <c r="C557" s="6"/>
      <c r="D557" s="6">
        <f t="shared" si="8"/>
        <v>0</v>
      </c>
    </row>
    <row r="558" spans="1:4" ht="18" hidden="1">
      <c r="A558" s="8" t="s">
        <v>363</v>
      </c>
      <c r="B558" s="6"/>
      <c r="C558" s="6"/>
      <c r="D558" s="6">
        <f t="shared" si="8"/>
        <v>0</v>
      </c>
    </row>
    <row r="559" spans="1:4" ht="18" hidden="1">
      <c r="A559" s="8" t="s">
        <v>222</v>
      </c>
      <c r="B559" s="6"/>
      <c r="C559" s="6"/>
      <c r="D559" s="6">
        <f t="shared" si="8"/>
        <v>0</v>
      </c>
    </row>
    <row r="560" spans="1:4" ht="18" hidden="1">
      <c r="A560" s="10" t="s">
        <v>223</v>
      </c>
      <c r="B560" s="6"/>
      <c r="C560" s="6"/>
      <c r="D560" s="6">
        <f t="shared" si="8"/>
        <v>0</v>
      </c>
    </row>
    <row r="561" spans="1:4" ht="18" hidden="1">
      <c r="A561" s="8" t="s">
        <v>224</v>
      </c>
      <c r="B561" s="6"/>
      <c r="C561" s="6"/>
      <c r="D561" s="6">
        <f t="shared" si="8"/>
        <v>0</v>
      </c>
    </row>
    <row r="562" spans="1:4" ht="18" hidden="1">
      <c r="A562" s="10" t="s">
        <v>367</v>
      </c>
      <c r="B562" s="6"/>
      <c r="C562" s="6"/>
      <c r="D562" s="6">
        <f t="shared" si="8"/>
        <v>0</v>
      </c>
    </row>
    <row r="563" spans="1:4" ht="18" hidden="1">
      <c r="A563" s="8" t="s">
        <v>262</v>
      </c>
      <c r="B563" s="6"/>
      <c r="C563" s="6"/>
      <c r="D563" s="6">
        <f t="shared" si="8"/>
        <v>0</v>
      </c>
    </row>
    <row r="564" spans="1:4" ht="18" hidden="1">
      <c r="A564" s="8" t="s">
        <v>282</v>
      </c>
      <c r="B564" s="6"/>
      <c r="C564" s="6"/>
      <c r="D564" s="6">
        <f t="shared" si="8"/>
        <v>0</v>
      </c>
    </row>
    <row r="565" spans="1:4" ht="18" hidden="1">
      <c r="A565" s="8" t="s">
        <v>285</v>
      </c>
      <c r="B565" s="6"/>
      <c r="C565" s="6"/>
      <c r="D565" s="6">
        <f t="shared" si="8"/>
        <v>0</v>
      </c>
    </row>
    <row r="566" spans="1:4" ht="18" hidden="1">
      <c r="A566" s="8" t="s">
        <v>314</v>
      </c>
      <c r="B566" s="6"/>
      <c r="C566" s="6"/>
      <c r="D566" s="6">
        <f t="shared" si="8"/>
        <v>0</v>
      </c>
    </row>
    <row r="567" spans="1:4" ht="18" hidden="1">
      <c r="A567" s="15" t="s">
        <v>315</v>
      </c>
      <c r="B567" s="6"/>
      <c r="C567" s="6"/>
      <c r="D567" s="6">
        <f t="shared" si="8"/>
        <v>0</v>
      </c>
    </row>
    <row r="568" spans="1:4" ht="18" hidden="1">
      <c r="A568" s="11" t="s">
        <v>377</v>
      </c>
      <c r="B568" s="6"/>
      <c r="C568" s="6"/>
      <c r="D568" s="6">
        <f t="shared" si="8"/>
        <v>0</v>
      </c>
    </row>
    <row r="569" spans="1:4" ht="18" hidden="1">
      <c r="A569" s="10" t="s">
        <v>355</v>
      </c>
      <c r="B569" s="6"/>
      <c r="C569" s="6"/>
      <c r="D569" s="6">
        <f t="shared" si="8"/>
        <v>0</v>
      </c>
    </row>
    <row r="570" spans="1:4" ht="18" hidden="1">
      <c r="A570" s="8" t="s">
        <v>47</v>
      </c>
      <c r="B570" s="6"/>
      <c r="C570" s="6"/>
      <c r="D570" s="6">
        <f t="shared" si="8"/>
        <v>0</v>
      </c>
    </row>
    <row r="571" spans="1:4" ht="18" hidden="1">
      <c r="A571" s="8" t="s">
        <v>48</v>
      </c>
      <c r="B571" s="6"/>
      <c r="C571" s="6"/>
      <c r="D571" s="6">
        <f t="shared" si="8"/>
        <v>0</v>
      </c>
    </row>
    <row r="572" spans="1:4" ht="18" hidden="1">
      <c r="A572" s="10" t="s">
        <v>356</v>
      </c>
      <c r="B572" s="14"/>
      <c r="C572" s="14"/>
      <c r="D572" s="6">
        <f t="shared" si="8"/>
        <v>0</v>
      </c>
    </row>
    <row r="573" spans="1:4" ht="18" hidden="1">
      <c r="A573" s="10" t="s">
        <v>50</v>
      </c>
      <c r="B573" s="14"/>
      <c r="C573" s="14"/>
      <c r="D573" s="6">
        <f t="shared" si="8"/>
        <v>0</v>
      </c>
    </row>
    <row r="574" spans="1:4" ht="18" hidden="1">
      <c r="A574" s="15" t="s">
        <v>270</v>
      </c>
      <c r="B574" s="6"/>
      <c r="C574" s="6"/>
      <c r="D574" s="6">
        <f t="shared" si="8"/>
        <v>0</v>
      </c>
    </row>
    <row r="575" spans="1:4" ht="18" hidden="1">
      <c r="A575" s="19" t="s">
        <v>271</v>
      </c>
      <c r="B575" s="6"/>
      <c r="C575" s="6"/>
      <c r="D575" s="6">
        <f t="shared" si="8"/>
        <v>0</v>
      </c>
    </row>
    <row r="576" spans="1:4" ht="18" hidden="1">
      <c r="A576" s="19" t="s">
        <v>272</v>
      </c>
      <c r="B576" s="6"/>
      <c r="C576" s="6"/>
      <c r="D576" s="6">
        <f t="shared" si="8"/>
        <v>0</v>
      </c>
    </row>
    <row r="577" spans="1:4" ht="18" hidden="1">
      <c r="A577" s="10" t="s">
        <v>373</v>
      </c>
      <c r="B577" s="6"/>
      <c r="C577" s="6"/>
      <c r="D577" s="6">
        <f t="shared" si="8"/>
        <v>0</v>
      </c>
    </row>
    <row r="578" spans="1:4" ht="18" hidden="1">
      <c r="A578" s="10" t="s">
        <v>283</v>
      </c>
      <c r="B578" s="6"/>
      <c r="C578" s="6"/>
      <c r="D578" s="6">
        <f t="shared" si="8"/>
        <v>0</v>
      </c>
    </row>
    <row r="579" spans="1:4" ht="18" hidden="1">
      <c r="A579" s="8" t="s">
        <v>284</v>
      </c>
      <c r="B579" s="6"/>
      <c r="C579" s="6"/>
      <c r="D579" s="6">
        <f t="shared" si="8"/>
        <v>0</v>
      </c>
    </row>
    <row r="580" spans="1:4" ht="18" hidden="1">
      <c r="A580" s="8" t="s">
        <v>374</v>
      </c>
      <c r="B580" s="6"/>
      <c r="C580" s="6"/>
      <c r="D580" s="6">
        <f t="shared" ref="D580:D643" si="9">B580*C580</f>
        <v>0</v>
      </c>
    </row>
    <row r="581" spans="1:4" ht="18" hidden="1">
      <c r="A581" s="8" t="s">
        <v>287</v>
      </c>
      <c r="B581" s="6"/>
      <c r="C581" s="6"/>
      <c r="D581" s="6">
        <f t="shared" si="9"/>
        <v>0</v>
      </c>
    </row>
    <row r="582" spans="1:4" ht="18" hidden="1">
      <c r="A582" s="15" t="s">
        <v>299</v>
      </c>
      <c r="B582" s="6"/>
      <c r="C582" s="6"/>
      <c r="D582" s="6">
        <f t="shared" si="9"/>
        <v>0</v>
      </c>
    </row>
    <row r="583" spans="1:4" ht="18" hidden="1">
      <c r="A583" s="11" t="s">
        <v>193</v>
      </c>
      <c r="B583" s="6"/>
      <c r="C583" s="6"/>
      <c r="D583" s="6">
        <f t="shared" si="9"/>
        <v>0</v>
      </c>
    </row>
    <row r="584" spans="1:4" ht="18" hidden="1">
      <c r="A584" s="8" t="s">
        <v>194</v>
      </c>
      <c r="B584" s="6"/>
      <c r="C584" s="6"/>
      <c r="D584" s="6">
        <f t="shared" si="9"/>
        <v>0</v>
      </c>
    </row>
    <row r="585" spans="1:4" ht="18" hidden="1">
      <c r="A585" s="8" t="s">
        <v>195</v>
      </c>
      <c r="B585" s="6"/>
      <c r="C585" s="6"/>
      <c r="D585" s="6">
        <f t="shared" si="9"/>
        <v>0</v>
      </c>
    </row>
    <row r="586" spans="1:4" ht="18" hidden="1">
      <c r="A586" s="11" t="s">
        <v>320</v>
      </c>
      <c r="B586" s="6"/>
      <c r="C586" s="6"/>
      <c r="D586" s="6">
        <f t="shared" si="9"/>
        <v>0</v>
      </c>
    </row>
    <row r="587" spans="1:4" ht="18" hidden="1">
      <c r="A587" s="8" t="s">
        <v>322</v>
      </c>
      <c r="B587" s="6"/>
      <c r="C587" s="6"/>
      <c r="D587" s="6">
        <f t="shared" si="9"/>
        <v>0</v>
      </c>
    </row>
    <row r="588" spans="1:4" ht="18" hidden="1">
      <c r="A588" s="8" t="s">
        <v>323</v>
      </c>
      <c r="B588" s="6"/>
      <c r="C588" s="6"/>
      <c r="D588" s="6">
        <f t="shared" si="9"/>
        <v>0</v>
      </c>
    </row>
    <row r="589" spans="1:4" ht="18" hidden="1">
      <c r="A589" s="19" t="s">
        <v>326</v>
      </c>
      <c r="B589" s="6"/>
      <c r="C589" s="6"/>
      <c r="D589" s="6">
        <f t="shared" si="9"/>
        <v>0</v>
      </c>
    </row>
    <row r="590" spans="1:4" ht="18" hidden="1">
      <c r="A590" s="8" t="s">
        <v>328</v>
      </c>
      <c r="B590" s="6"/>
      <c r="C590" s="6"/>
      <c r="D590" s="6">
        <f t="shared" si="9"/>
        <v>0</v>
      </c>
    </row>
    <row r="591" spans="1:4" ht="18" hidden="1">
      <c r="A591" s="8" t="s">
        <v>329</v>
      </c>
      <c r="B591" s="6"/>
      <c r="C591" s="6"/>
      <c r="D591" s="6">
        <f t="shared" si="9"/>
        <v>0</v>
      </c>
    </row>
    <row r="592" spans="1:4" ht="18" hidden="1">
      <c r="A592" s="8" t="s">
        <v>330</v>
      </c>
      <c r="B592" s="6"/>
      <c r="C592" s="6"/>
      <c r="D592" s="6">
        <f t="shared" si="9"/>
        <v>0</v>
      </c>
    </row>
    <row r="593" spans="1:4" ht="18" hidden="1">
      <c r="A593" s="8" t="s">
        <v>331</v>
      </c>
      <c r="B593" s="6"/>
      <c r="C593" s="6"/>
      <c r="D593" s="6">
        <f t="shared" si="9"/>
        <v>0</v>
      </c>
    </row>
    <row r="594" spans="1:4" ht="18" hidden="1">
      <c r="A594" s="19" t="s">
        <v>332</v>
      </c>
      <c r="B594" s="6"/>
      <c r="C594" s="6"/>
      <c r="D594" s="6">
        <f t="shared" si="9"/>
        <v>0</v>
      </c>
    </row>
    <row r="595" spans="1:4" ht="18" hidden="1">
      <c r="A595" s="8" t="s">
        <v>333</v>
      </c>
      <c r="B595" s="6"/>
      <c r="C595" s="6"/>
      <c r="D595" s="6">
        <f t="shared" si="9"/>
        <v>0</v>
      </c>
    </row>
    <row r="596" spans="1:4" ht="18" hidden="1">
      <c r="A596" s="8" t="s">
        <v>337</v>
      </c>
      <c r="B596" s="6"/>
      <c r="C596" s="6"/>
      <c r="D596" s="6">
        <f t="shared" si="9"/>
        <v>0</v>
      </c>
    </row>
    <row r="597" spans="1:4" ht="18" hidden="1">
      <c r="A597" s="19" t="s">
        <v>339</v>
      </c>
      <c r="B597" s="6"/>
      <c r="C597" s="6"/>
      <c r="D597" s="6">
        <f t="shared" si="9"/>
        <v>0</v>
      </c>
    </row>
    <row r="598" spans="1:4" ht="18" hidden="1">
      <c r="A598" s="19" t="s">
        <v>340</v>
      </c>
      <c r="B598" s="6"/>
      <c r="C598" s="6"/>
      <c r="D598" s="6">
        <f t="shared" si="9"/>
        <v>0</v>
      </c>
    </row>
    <row r="599" spans="1:4" ht="18" hidden="1">
      <c r="A599" s="8" t="s">
        <v>341</v>
      </c>
      <c r="B599" s="6"/>
      <c r="C599" s="6"/>
      <c r="D599" s="6">
        <f t="shared" si="9"/>
        <v>0</v>
      </c>
    </row>
    <row r="600" spans="1:4" ht="18" hidden="1">
      <c r="A600" s="8" t="s">
        <v>342</v>
      </c>
      <c r="B600" s="6"/>
      <c r="C600" s="6"/>
      <c r="D600" s="6">
        <f t="shared" si="9"/>
        <v>0</v>
      </c>
    </row>
    <row r="601" spans="1:4" ht="18" hidden="1">
      <c r="A601" s="19" t="s">
        <v>343</v>
      </c>
      <c r="B601" s="6"/>
      <c r="C601" s="6"/>
      <c r="D601" s="6">
        <f t="shared" si="9"/>
        <v>0</v>
      </c>
    </row>
    <row r="602" spans="1:4" ht="18" hidden="1">
      <c r="A602" s="8" t="s">
        <v>344</v>
      </c>
      <c r="B602" s="6"/>
      <c r="C602" s="6"/>
      <c r="D602" s="6">
        <f t="shared" si="9"/>
        <v>0</v>
      </c>
    </row>
    <row r="603" spans="1:4" ht="18" hidden="1">
      <c r="A603" s="8" t="s">
        <v>345</v>
      </c>
      <c r="B603" s="6"/>
      <c r="C603" s="6"/>
      <c r="D603" s="6">
        <f t="shared" si="9"/>
        <v>0</v>
      </c>
    </row>
    <row r="604" spans="1:4" ht="18" hidden="1">
      <c r="A604" s="8" t="s">
        <v>346</v>
      </c>
      <c r="B604" s="6"/>
      <c r="C604" s="6"/>
      <c r="D604" s="6">
        <f t="shared" si="9"/>
        <v>0</v>
      </c>
    </row>
    <row r="605" spans="1:4" ht="18" hidden="1">
      <c r="A605" s="8" t="s">
        <v>347</v>
      </c>
      <c r="B605" s="6"/>
      <c r="C605" s="6"/>
      <c r="D605" s="6">
        <f t="shared" si="9"/>
        <v>0</v>
      </c>
    </row>
    <row r="606" spans="1:4" ht="18" hidden="1">
      <c r="A606" s="8" t="s">
        <v>348</v>
      </c>
      <c r="B606" s="6"/>
      <c r="C606" s="6"/>
      <c r="D606" s="6">
        <f t="shared" si="9"/>
        <v>0</v>
      </c>
    </row>
    <row r="607" spans="1:4" ht="18" hidden="1">
      <c r="A607" s="8" t="s">
        <v>349</v>
      </c>
      <c r="B607" s="6"/>
      <c r="C607" s="6"/>
      <c r="D607" s="6">
        <f t="shared" si="9"/>
        <v>0</v>
      </c>
    </row>
    <row r="608" spans="1:4" ht="18" hidden="1">
      <c r="A608" s="8" t="s">
        <v>350</v>
      </c>
      <c r="B608" s="6"/>
      <c r="C608" s="6"/>
      <c r="D608" s="6">
        <f t="shared" si="9"/>
        <v>0</v>
      </c>
    </row>
    <row r="609" spans="1:4" ht="18" hidden="1">
      <c r="A609" s="8" t="s">
        <v>351</v>
      </c>
      <c r="B609" s="6"/>
      <c r="C609" s="6"/>
      <c r="D609" s="6">
        <f t="shared" si="9"/>
        <v>0</v>
      </c>
    </row>
    <row r="610" spans="1:4" ht="18" hidden="1">
      <c r="A610" s="8" t="s">
        <v>302</v>
      </c>
      <c r="B610" s="6"/>
      <c r="C610" s="6"/>
      <c r="D610" s="6">
        <f t="shared" si="9"/>
        <v>0</v>
      </c>
    </row>
    <row r="611" spans="1:4" ht="18" hidden="1">
      <c r="A611" s="15" t="s">
        <v>303</v>
      </c>
      <c r="B611" s="6"/>
      <c r="C611" s="6"/>
      <c r="D611" s="6">
        <f t="shared" si="9"/>
        <v>0</v>
      </c>
    </row>
    <row r="612" spans="1:4" ht="18" hidden="1">
      <c r="A612" s="8" t="s">
        <v>304</v>
      </c>
      <c r="B612" s="6"/>
      <c r="C612" s="6"/>
      <c r="D612" s="6">
        <f t="shared" si="9"/>
        <v>0</v>
      </c>
    </row>
    <row r="613" spans="1:4" ht="18">
      <c r="A613" s="8" t="s">
        <v>30</v>
      </c>
      <c r="B613" s="6">
        <v>2.8</v>
      </c>
      <c r="C613" s="6">
        <v>14000</v>
      </c>
      <c r="D613" s="6">
        <f t="shared" si="9"/>
        <v>39200</v>
      </c>
    </row>
    <row r="614" spans="1:4" ht="18" hidden="1">
      <c r="A614" s="8" t="s">
        <v>31</v>
      </c>
      <c r="B614" s="6"/>
      <c r="C614" s="6"/>
      <c r="D614" s="6">
        <f t="shared" si="9"/>
        <v>0</v>
      </c>
    </row>
    <row r="615" spans="1:4" ht="18" hidden="1">
      <c r="A615" s="8" t="s">
        <v>32</v>
      </c>
      <c r="B615" s="6"/>
      <c r="C615" s="6"/>
      <c r="D615" s="6">
        <f t="shared" si="9"/>
        <v>0</v>
      </c>
    </row>
    <row r="616" spans="1:4" ht="18" hidden="1">
      <c r="A616" s="8" t="s">
        <v>33</v>
      </c>
      <c r="B616" s="6"/>
      <c r="C616" s="6"/>
      <c r="D616" s="6">
        <f t="shared" si="9"/>
        <v>0</v>
      </c>
    </row>
    <row r="617" spans="1:4" ht="18" hidden="1">
      <c r="A617" s="8" t="s">
        <v>34</v>
      </c>
      <c r="B617" s="6"/>
      <c r="C617" s="6"/>
      <c r="D617" s="6">
        <f t="shared" si="9"/>
        <v>0</v>
      </c>
    </row>
    <row r="618" spans="1:4" ht="18" hidden="1">
      <c r="A618" s="8" t="s">
        <v>58</v>
      </c>
      <c r="B618" s="6"/>
      <c r="C618" s="6"/>
      <c r="D618" s="6">
        <f t="shared" si="9"/>
        <v>0</v>
      </c>
    </row>
    <row r="619" spans="1:4" ht="18" hidden="1">
      <c r="A619" s="8" t="s">
        <v>59</v>
      </c>
      <c r="B619" s="6"/>
      <c r="C619" s="6"/>
      <c r="D619" s="6">
        <f t="shared" si="9"/>
        <v>0</v>
      </c>
    </row>
    <row r="620" spans="1:4" ht="18" hidden="1">
      <c r="A620" s="12" t="s">
        <v>60</v>
      </c>
      <c r="B620" s="6"/>
      <c r="C620" s="6"/>
      <c r="D620" s="6">
        <f t="shared" si="9"/>
        <v>0</v>
      </c>
    </row>
    <row r="621" spans="1:4" ht="18" hidden="1">
      <c r="A621" s="8" t="s">
        <v>63</v>
      </c>
      <c r="B621" s="6"/>
      <c r="C621" s="6"/>
      <c r="D621" s="6">
        <f t="shared" si="9"/>
        <v>0</v>
      </c>
    </row>
    <row r="622" spans="1:4" ht="18" hidden="1">
      <c r="A622" s="8" t="s">
        <v>64</v>
      </c>
      <c r="B622" s="6"/>
      <c r="C622" s="6"/>
      <c r="D622" s="6">
        <f t="shared" si="9"/>
        <v>0</v>
      </c>
    </row>
    <row r="623" spans="1:4" ht="18" hidden="1">
      <c r="A623" s="25" t="s">
        <v>145</v>
      </c>
      <c r="B623" s="6"/>
      <c r="C623" s="6"/>
      <c r="D623" s="6">
        <f t="shared" si="9"/>
        <v>0</v>
      </c>
    </row>
    <row r="624" spans="1:4" ht="18" hidden="1">
      <c r="A624" s="11" t="s">
        <v>146</v>
      </c>
      <c r="B624" s="14"/>
      <c r="C624" s="14"/>
      <c r="D624" s="6">
        <f t="shared" si="9"/>
        <v>0</v>
      </c>
    </row>
    <row r="625" spans="1:4" ht="18" hidden="1">
      <c r="A625" s="8" t="s">
        <v>147</v>
      </c>
      <c r="B625" s="6"/>
      <c r="C625" s="6"/>
      <c r="D625" s="6">
        <f t="shared" si="9"/>
        <v>0</v>
      </c>
    </row>
    <row r="626" spans="1:4" ht="18" hidden="1">
      <c r="A626" s="8" t="s">
        <v>148</v>
      </c>
      <c r="B626" s="6"/>
      <c r="C626" s="6"/>
      <c r="D626" s="6">
        <f t="shared" si="9"/>
        <v>0</v>
      </c>
    </row>
    <row r="627" spans="1:4" ht="18" hidden="1">
      <c r="A627" s="8" t="s">
        <v>305</v>
      </c>
      <c r="B627" s="6"/>
      <c r="C627" s="6"/>
      <c r="D627" s="6">
        <f t="shared" si="9"/>
        <v>0</v>
      </c>
    </row>
    <row r="628" spans="1:4" ht="18" hidden="1">
      <c r="A628" s="15" t="s">
        <v>306</v>
      </c>
      <c r="B628" s="6"/>
      <c r="C628" s="6"/>
      <c r="D628" s="6">
        <f t="shared" si="9"/>
        <v>0</v>
      </c>
    </row>
    <row r="629" spans="1:4" ht="18" hidden="1">
      <c r="A629" s="8" t="s">
        <v>24</v>
      </c>
      <c r="B629" s="6"/>
      <c r="C629" s="6"/>
      <c r="D629" s="6">
        <f t="shared" si="9"/>
        <v>0</v>
      </c>
    </row>
    <row r="630" spans="1:4" ht="18" hidden="1">
      <c r="A630" s="12" t="s">
        <v>25</v>
      </c>
      <c r="B630" s="6"/>
      <c r="C630" s="6"/>
      <c r="D630" s="6">
        <f t="shared" si="9"/>
        <v>0</v>
      </c>
    </row>
    <row r="631" spans="1:4" ht="18" hidden="1">
      <c r="A631" s="10" t="s">
        <v>26</v>
      </c>
      <c r="B631" s="6"/>
      <c r="C631" s="6"/>
      <c r="D631" s="6">
        <f t="shared" si="9"/>
        <v>0</v>
      </c>
    </row>
    <row r="632" spans="1:4" ht="18" hidden="1">
      <c r="A632" s="8" t="s">
        <v>172</v>
      </c>
      <c r="B632" s="6"/>
      <c r="C632" s="6"/>
      <c r="D632" s="6">
        <f t="shared" si="9"/>
        <v>0</v>
      </c>
    </row>
    <row r="633" spans="1:4" ht="18" hidden="1">
      <c r="A633" s="8" t="s">
        <v>173</v>
      </c>
      <c r="B633" s="6"/>
      <c r="C633" s="6"/>
      <c r="D633" s="6">
        <f t="shared" si="9"/>
        <v>0</v>
      </c>
    </row>
    <row r="634" spans="1:4" ht="18" hidden="1">
      <c r="A634" s="8" t="s">
        <v>174</v>
      </c>
      <c r="B634" s="6"/>
      <c r="C634" s="6"/>
      <c r="D634" s="6">
        <f t="shared" si="9"/>
        <v>0</v>
      </c>
    </row>
    <row r="635" spans="1:4" ht="18" hidden="1">
      <c r="A635" s="8" t="s">
        <v>175</v>
      </c>
      <c r="B635" s="6"/>
      <c r="C635" s="6"/>
      <c r="D635" s="6">
        <f t="shared" si="9"/>
        <v>0</v>
      </c>
    </row>
    <row r="636" spans="1:4" ht="18" hidden="1">
      <c r="A636" s="9" t="s">
        <v>13</v>
      </c>
      <c r="B636" s="6"/>
      <c r="C636" s="6"/>
      <c r="D636" s="6">
        <f t="shared" si="9"/>
        <v>0</v>
      </c>
    </row>
    <row r="637" spans="1:4" ht="18" hidden="1">
      <c r="A637" s="5" t="s">
        <v>14</v>
      </c>
      <c r="B637" s="6"/>
      <c r="C637" s="6"/>
      <c r="D637" s="6">
        <f t="shared" si="9"/>
        <v>0</v>
      </c>
    </row>
    <row r="638" spans="1:4" ht="18" hidden="1">
      <c r="A638" s="17" t="s">
        <v>77</v>
      </c>
      <c r="B638" s="6"/>
      <c r="C638" s="6"/>
      <c r="D638" s="6">
        <f t="shared" si="9"/>
        <v>0</v>
      </c>
    </row>
    <row r="639" spans="1:4" ht="18" hidden="1">
      <c r="A639" s="11" t="s">
        <v>81</v>
      </c>
      <c r="B639" s="6"/>
      <c r="C639" s="6"/>
      <c r="D639" s="6">
        <f t="shared" si="9"/>
        <v>0</v>
      </c>
    </row>
    <row r="640" spans="1:4" ht="18" hidden="1">
      <c r="A640" s="10" t="s">
        <v>116</v>
      </c>
      <c r="B640" s="6"/>
      <c r="C640" s="6"/>
      <c r="D640" s="6">
        <f t="shared" si="9"/>
        <v>0</v>
      </c>
    </row>
    <row r="641" spans="1:4" ht="18" hidden="1">
      <c r="A641" s="23" t="s">
        <v>122</v>
      </c>
      <c r="B641" s="6"/>
      <c r="C641" s="6"/>
      <c r="D641" s="6">
        <f t="shared" si="9"/>
        <v>0</v>
      </c>
    </row>
    <row r="642" spans="1:4" ht="18" hidden="1">
      <c r="A642" s="8" t="s">
        <v>133</v>
      </c>
      <c r="B642" s="6"/>
      <c r="C642" s="6"/>
      <c r="D642" s="6">
        <f t="shared" si="9"/>
        <v>0</v>
      </c>
    </row>
    <row r="643" spans="1:4" ht="18" hidden="1">
      <c r="A643" s="10" t="s">
        <v>135</v>
      </c>
      <c r="B643" s="6"/>
      <c r="C643" s="6"/>
      <c r="D643" s="6">
        <f t="shared" si="9"/>
        <v>0</v>
      </c>
    </row>
    <row r="644" spans="1:4" ht="18" hidden="1">
      <c r="A644" s="10" t="s">
        <v>136</v>
      </c>
      <c r="B644" s="6"/>
      <c r="C644" s="6"/>
      <c r="D644" s="6">
        <f t="shared" ref="D644:D671" si="10">B644*C644</f>
        <v>0</v>
      </c>
    </row>
    <row r="645" spans="1:4" ht="18" hidden="1">
      <c r="A645" s="8" t="s">
        <v>158</v>
      </c>
      <c r="B645" s="6"/>
      <c r="C645" s="6"/>
      <c r="D645" s="6">
        <f t="shared" si="10"/>
        <v>0</v>
      </c>
    </row>
    <row r="646" spans="1:4" ht="18" hidden="1">
      <c r="A646" s="10" t="s">
        <v>190</v>
      </c>
      <c r="B646" s="6"/>
      <c r="C646" s="6"/>
      <c r="D646" s="6">
        <f t="shared" si="10"/>
        <v>0</v>
      </c>
    </row>
    <row r="647" spans="1:4" ht="18" hidden="1">
      <c r="A647" s="15" t="s">
        <v>204</v>
      </c>
      <c r="B647" s="6"/>
      <c r="C647" s="6"/>
      <c r="D647" s="6">
        <f t="shared" si="10"/>
        <v>0</v>
      </c>
    </row>
    <row r="648" spans="1:4" ht="18" hidden="1">
      <c r="A648" s="15" t="s">
        <v>205</v>
      </c>
      <c r="B648" s="6"/>
      <c r="C648" s="6"/>
      <c r="D648" s="6">
        <f t="shared" si="10"/>
        <v>0</v>
      </c>
    </row>
    <row r="649" spans="1:4" ht="18" hidden="1">
      <c r="A649" s="15" t="s">
        <v>206</v>
      </c>
      <c r="B649" s="6"/>
      <c r="C649" s="6"/>
      <c r="D649" s="6">
        <f t="shared" si="10"/>
        <v>0</v>
      </c>
    </row>
    <row r="650" spans="1:4" ht="18" hidden="1">
      <c r="A650" s="15" t="s">
        <v>207</v>
      </c>
      <c r="B650" s="6"/>
      <c r="C650" s="6"/>
      <c r="D650" s="6">
        <f t="shared" si="10"/>
        <v>0</v>
      </c>
    </row>
    <row r="651" spans="1:4" ht="18" hidden="1">
      <c r="A651" s="8" t="s">
        <v>209</v>
      </c>
      <c r="B651" s="6"/>
      <c r="C651" s="6"/>
      <c r="D651" s="6">
        <f t="shared" si="10"/>
        <v>0</v>
      </c>
    </row>
    <row r="652" spans="1:4" ht="18" hidden="1">
      <c r="A652" s="30" t="s">
        <v>210</v>
      </c>
      <c r="B652" s="6"/>
      <c r="C652" s="6"/>
      <c r="D652" s="6">
        <f t="shared" si="10"/>
        <v>0</v>
      </c>
    </row>
    <row r="653" spans="1:4" ht="18" hidden="1">
      <c r="A653" s="30" t="s">
        <v>211</v>
      </c>
      <c r="B653" s="6"/>
      <c r="C653" s="6"/>
      <c r="D653" s="6">
        <f t="shared" si="10"/>
        <v>0</v>
      </c>
    </row>
    <row r="654" spans="1:4" ht="18" hidden="1">
      <c r="A654" s="30" t="s">
        <v>212</v>
      </c>
      <c r="B654" s="6"/>
      <c r="C654" s="6"/>
      <c r="D654" s="6">
        <f t="shared" si="10"/>
        <v>0</v>
      </c>
    </row>
    <row r="655" spans="1:4" ht="18" hidden="1">
      <c r="A655" s="30" t="s">
        <v>213</v>
      </c>
      <c r="B655" s="6"/>
      <c r="C655" s="6"/>
      <c r="D655" s="6">
        <f t="shared" si="10"/>
        <v>0</v>
      </c>
    </row>
    <row r="656" spans="1:4" ht="18" hidden="1">
      <c r="A656" s="10" t="s">
        <v>241</v>
      </c>
      <c r="B656" s="6"/>
      <c r="C656" s="6"/>
      <c r="D656" s="6">
        <f t="shared" si="10"/>
        <v>0</v>
      </c>
    </row>
    <row r="657" spans="1:4" ht="18" hidden="1">
      <c r="A657" s="19" t="s">
        <v>371</v>
      </c>
      <c r="B657" s="6"/>
      <c r="C657" s="6"/>
      <c r="D657" s="6">
        <f t="shared" si="10"/>
        <v>0</v>
      </c>
    </row>
    <row r="658" spans="1:4" ht="18" hidden="1">
      <c r="A658" s="19" t="s">
        <v>372</v>
      </c>
      <c r="B658" s="6"/>
      <c r="C658" s="6"/>
      <c r="D658" s="6">
        <f t="shared" si="10"/>
        <v>0</v>
      </c>
    </row>
    <row r="659" spans="1:4" ht="18" hidden="1">
      <c r="A659" s="10" t="s">
        <v>247</v>
      </c>
      <c r="B659" s="6"/>
      <c r="C659" s="6"/>
      <c r="D659" s="6">
        <f t="shared" si="10"/>
        <v>0</v>
      </c>
    </row>
    <row r="660" spans="1:4" ht="18" hidden="1">
      <c r="A660" s="12" t="s">
        <v>254</v>
      </c>
      <c r="B660" s="6"/>
      <c r="C660" s="6"/>
      <c r="D660" s="6">
        <f t="shared" si="10"/>
        <v>0</v>
      </c>
    </row>
    <row r="661" spans="1:4" ht="18" hidden="1">
      <c r="A661" s="12" t="s">
        <v>255</v>
      </c>
      <c r="B661" s="6"/>
      <c r="C661" s="6"/>
      <c r="D661" s="6">
        <f t="shared" si="10"/>
        <v>0</v>
      </c>
    </row>
    <row r="662" spans="1:4" ht="18" hidden="1">
      <c r="A662" s="30" t="s">
        <v>256</v>
      </c>
      <c r="B662" s="6"/>
      <c r="C662" s="6"/>
      <c r="D662" s="6">
        <f t="shared" si="10"/>
        <v>0</v>
      </c>
    </row>
    <row r="663" spans="1:4" ht="18" hidden="1">
      <c r="A663" s="30" t="s">
        <v>260</v>
      </c>
      <c r="B663" s="6"/>
      <c r="C663" s="6"/>
      <c r="D663" s="6">
        <f t="shared" si="10"/>
        <v>0</v>
      </c>
    </row>
    <row r="664" spans="1:4" ht="18" hidden="1">
      <c r="A664" s="30" t="s">
        <v>291</v>
      </c>
      <c r="B664" s="6"/>
      <c r="C664" s="6"/>
      <c r="D664" s="6">
        <f t="shared" si="10"/>
        <v>0</v>
      </c>
    </row>
    <row r="665" spans="1:4" ht="18" hidden="1">
      <c r="A665" s="30" t="s">
        <v>293</v>
      </c>
      <c r="B665" s="6"/>
      <c r="C665" s="6"/>
      <c r="D665" s="6">
        <f t="shared" si="10"/>
        <v>0</v>
      </c>
    </row>
    <row r="666" spans="1:4" ht="18" hidden="1">
      <c r="A666" s="10" t="s">
        <v>376</v>
      </c>
      <c r="B666" s="6"/>
      <c r="C666" s="6"/>
      <c r="D666" s="6">
        <f t="shared" si="10"/>
        <v>0</v>
      </c>
    </row>
    <row r="667" spans="1:4" ht="18" hidden="1">
      <c r="A667" s="30" t="s">
        <v>294</v>
      </c>
      <c r="B667" s="6"/>
      <c r="C667" s="6"/>
      <c r="D667" s="6">
        <f t="shared" si="10"/>
        <v>0</v>
      </c>
    </row>
    <row r="668" spans="1:4" ht="18" hidden="1">
      <c r="A668" s="23" t="s">
        <v>307</v>
      </c>
      <c r="B668" s="6"/>
      <c r="C668" s="6"/>
      <c r="D668" s="6">
        <f t="shared" si="10"/>
        <v>0</v>
      </c>
    </row>
    <row r="669" spans="1:4" ht="18" hidden="1">
      <c r="A669" s="8" t="s">
        <v>378</v>
      </c>
      <c r="B669" s="6"/>
      <c r="C669" s="6"/>
      <c r="D669" s="6">
        <f t="shared" si="10"/>
        <v>0</v>
      </c>
    </row>
    <row r="670" spans="1:4" ht="18" hidden="1">
      <c r="A670" s="10" t="s">
        <v>318</v>
      </c>
      <c r="B670" s="6"/>
      <c r="C670" s="6"/>
      <c r="D670" s="6">
        <f t="shared" si="10"/>
        <v>0</v>
      </c>
    </row>
    <row r="671" spans="1:4" ht="18" hidden="1">
      <c r="A671" s="10" t="s">
        <v>353</v>
      </c>
      <c r="B671" s="6"/>
      <c r="C671" s="6"/>
      <c r="D671" s="6">
        <f t="shared" si="10"/>
        <v>0</v>
      </c>
    </row>
    <row r="672" spans="1:4" ht="17.399999999999999">
      <c r="A672" s="35"/>
      <c r="B672" s="36">
        <f>SUM(B345:B671)</f>
        <v>3439.8</v>
      </c>
      <c r="C672" s="36"/>
      <c r="D672" s="36">
        <f t="shared" ref="D672" si="11">SUM(D345:D671)</f>
        <v>40682200</v>
      </c>
    </row>
    <row r="674" spans="4:4">
      <c r="D674" s="190">
        <f>D672+D340</f>
        <v>100490200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4000000}">
    <filterColumn colId="1">
      <customFilters>
        <customFilter operator="notEqual" val="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674"/>
  <sheetViews>
    <sheetView topLeftCell="A362" workbookViewId="0">
      <selection activeCell="D674" sqref="D674"/>
    </sheetView>
  </sheetViews>
  <sheetFormatPr defaultColWidth="9" defaultRowHeight="14.4"/>
  <cols>
    <col min="1" max="1" width="31.88671875" customWidth="1"/>
    <col min="3" max="3" width="11.44140625" customWidth="1"/>
    <col min="4" max="4" width="17.6640625" customWidth="1"/>
  </cols>
  <sheetData>
    <row r="1" spans="1:4">
      <c r="A1" s="1" t="s">
        <v>383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4</v>
      </c>
      <c r="D2" s="4" t="s">
        <v>5</v>
      </c>
    </row>
    <row r="3" spans="1:4" ht="18">
      <c r="A3" s="5" t="s">
        <v>6</v>
      </c>
      <c r="B3" s="6">
        <v>6</v>
      </c>
      <c r="C3" s="6">
        <v>14000</v>
      </c>
      <c r="D3" s="6">
        <f>B3*C3</f>
        <v>84000</v>
      </c>
    </row>
    <row r="4" spans="1:4" ht="18" hidden="1">
      <c r="A4" s="7" t="s">
        <v>8</v>
      </c>
      <c r="B4" s="6"/>
      <c r="C4" s="6"/>
      <c r="D4" s="6">
        <f t="shared" ref="D4:D67" si="0">B4*C4</f>
        <v>0</v>
      </c>
    </row>
    <row r="5" spans="1:4" ht="18" hidden="1">
      <c r="A5" s="5" t="s">
        <v>10</v>
      </c>
      <c r="B5" s="6"/>
      <c r="C5" s="6"/>
      <c r="D5" s="6">
        <f t="shared" si="0"/>
        <v>0</v>
      </c>
    </row>
    <row r="6" spans="1:4" ht="18" hidden="1">
      <c r="A6" s="5" t="s">
        <v>11</v>
      </c>
      <c r="B6" s="6"/>
      <c r="C6" s="6"/>
      <c r="D6" s="6">
        <f t="shared" si="0"/>
        <v>0</v>
      </c>
    </row>
    <row r="7" spans="1:4" ht="18" hidden="1">
      <c r="A7" s="8" t="s">
        <v>12</v>
      </c>
      <c r="B7" s="6"/>
      <c r="C7" s="6"/>
      <c r="D7" s="6">
        <f t="shared" si="0"/>
        <v>0</v>
      </c>
    </row>
    <row r="8" spans="1:4" ht="18" hidden="1">
      <c r="A8" s="9" t="s">
        <v>13</v>
      </c>
      <c r="B8" s="6"/>
      <c r="C8" s="6"/>
      <c r="D8" s="6">
        <f t="shared" si="0"/>
        <v>0</v>
      </c>
    </row>
    <row r="9" spans="1:4" ht="18" hidden="1">
      <c r="A9" s="5" t="s">
        <v>14</v>
      </c>
      <c r="B9" s="6"/>
      <c r="C9" s="6"/>
      <c r="D9" s="6">
        <f t="shared" si="0"/>
        <v>0</v>
      </c>
    </row>
    <row r="10" spans="1:4" ht="18" hidden="1">
      <c r="A10" s="5" t="s">
        <v>15</v>
      </c>
      <c r="B10" s="6"/>
      <c r="C10" s="6"/>
      <c r="D10" s="6">
        <f t="shared" si="0"/>
        <v>0</v>
      </c>
    </row>
    <row r="11" spans="1:4" ht="18" hidden="1">
      <c r="A11" s="10" t="s">
        <v>16</v>
      </c>
      <c r="B11" s="6"/>
      <c r="C11" s="6"/>
      <c r="D11" s="6">
        <f t="shared" si="0"/>
        <v>0</v>
      </c>
    </row>
    <row r="12" spans="1:4" ht="18" hidden="1">
      <c r="A12" s="8" t="s">
        <v>18</v>
      </c>
      <c r="B12" s="6"/>
      <c r="C12" s="6"/>
      <c r="D12" s="6">
        <f t="shared" si="0"/>
        <v>0</v>
      </c>
    </row>
    <row r="13" spans="1:4" ht="18" hidden="1">
      <c r="A13" s="8" t="s">
        <v>19</v>
      </c>
      <c r="B13" s="6"/>
      <c r="C13" s="6"/>
      <c r="D13" s="6">
        <f t="shared" si="0"/>
        <v>0</v>
      </c>
    </row>
    <row r="14" spans="1:4" ht="18" hidden="1">
      <c r="A14" s="11" t="s">
        <v>20</v>
      </c>
      <c r="B14" s="6"/>
      <c r="C14" s="6"/>
      <c r="D14" s="6">
        <f t="shared" si="0"/>
        <v>0</v>
      </c>
    </row>
    <row r="15" spans="1:4" ht="18">
      <c r="A15" s="11" t="s">
        <v>22</v>
      </c>
      <c r="B15" s="6">
        <v>28</v>
      </c>
      <c r="C15" s="6">
        <v>18000</v>
      </c>
      <c r="D15" s="6">
        <f t="shared" si="0"/>
        <v>504000</v>
      </c>
    </row>
    <row r="16" spans="1:4" ht="18" hidden="1">
      <c r="A16" s="8" t="s">
        <v>23</v>
      </c>
      <c r="B16" s="6"/>
      <c r="C16" s="6"/>
      <c r="D16" s="6">
        <f t="shared" si="0"/>
        <v>0</v>
      </c>
    </row>
    <row r="17" spans="1:4" ht="18" hidden="1">
      <c r="A17" s="8" t="s">
        <v>24</v>
      </c>
      <c r="B17" s="6"/>
      <c r="C17" s="6"/>
      <c r="D17" s="6">
        <f t="shared" si="0"/>
        <v>0</v>
      </c>
    </row>
    <row r="18" spans="1:4" ht="18">
      <c r="A18" s="12" t="s">
        <v>25</v>
      </c>
      <c r="B18" s="6">
        <v>5</v>
      </c>
      <c r="C18" s="6">
        <v>4000</v>
      </c>
      <c r="D18" s="6">
        <f t="shared" si="0"/>
        <v>20000</v>
      </c>
    </row>
    <row r="19" spans="1:4" ht="18" hidden="1">
      <c r="A19" s="10" t="s">
        <v>26</v>
      </c>
      <c r="B19" s="6"/>
      <c r="C19" s="13"/>
      <c r="D19" s="6">
        <f t="shared" si="0"/>
        <v>0</v>
      </c>
    </row>
    <row r="20" spans="1:4" ht="18">
      <c r="A20" s="8" t="s">
        <v>27</v>
      </c>
      <c r="B20" s="6">
        <v>75</v>
      </c>
      <c r="C20" s="6">
        <v>13000</v>
      </c>
      <c r="D20" s="6">
        <f t="shared" si="0"/>
        <v>975000</v>
      </c>
    </row>
    <row r="21" spans="1:4" ht="18" hidden="1">
      <c r="A21" s="11" t="s">
        <v>28</v>
      </c>
      <c r="B21" s="6"/>
      <c r="C21" s="6"/>
      <c r="D21" s="6">
        <f t="shared" si="0"/>
        <v>0</v>
      </c>
    </row>
    <row r="22" spans="1:4" ht="18" hidden="1">
      <c r="A22" s="11" t="s">
        <v>29</v>
      </c>
      <c r="B22" s="6"/>
      <c r="C22" s="6"/>
      <c r="D22" s="6">
        <f t="shared" si="0"/>
        <v>0</v>
      </c>
    </row>
    <row r="23" spans="1:4" ht="18" hidden="1">
      <c r="A23" s="8" t="s">
        <v>30</v>
      </c>
      <c r="B23" s="6"/>
      <c r="C23" s="6"/>
      <c r="D23" s="6">
        <f t="shared" si="0"/>
        <v>0</v>
      </c>
    </row>
    <row r="24" spans="1:4" ht="18" hidden="1">
      <c r="A24" s="8" t="s">
        <v>31</v>
      </c>
      <c r="B24" s="6"/>
      <c r="C24" s="6"/>
      <c r="D24" s="6">
        <f t="shared" si="0"/>
        <v>0</v>
      </c>
    </row>
    <row r="25" spans="1:4" ht="18">
      <c r="A25" s="8" t="s">
        <v>32</v>
      </c>
      <c r="B25" s="6">
        <v>125</v>
      </c>
      <c r="C25" s="6">
        <v>13000</v>
      </c>
      <c r="D25" s="6">
        <f t="shared" si="0"/>
        <v>1625000</v>
      </c>
    </row>
    <row r="26" spans="1:4" ht="18" hidden="1">
      <c r="A26" s="8" t="s">
        <v>33</v>
      </c>
      <c r="B26" s="6"/>
      <c r="C26" s="6"/>
      <c r="D26" s="6">
        <f t="shared" si="0"/>
        <v>0</v>
      </c>
    </row>
    <row r="27" spans="1:4" ht="18" hidden="1">
      <c r="A27" s="8" t="s">
        <v>34</v>
      </c>
      <c r="B27" s="6"/>
      <c r="C27" s="6"/>
      <c r="D27" s="6">
        <f t="shared" si="0"/>
        <v>0</v>
      </c>
    </row>
    <row r="28" spans="1:4" ht="18">
      <c r="A28" s="8" t="s">
        <v>35</v>
      </c>
      <c r="B28" s="6">
        <f>34</f>
        <v>34</v>
      </c>
      <c r="C28" s="6">
        <v>12500</v>
      </c>
      <c r="D28" s="6">
        <f t="shared" si="0"/>
        <v>425000</v>
      </c>
    </row>
    <row r="29" spans="1:4" ht="18" hidden="1">
      <c r="A29" s="10" t="s">
        <v>36</v>
      </c>
      <c r="B29" s="14"/>
      <c r="C29" s="14"/>
      <c r="D29" s="6">
        <f t="shared" si="0"/>
        <v>0</v>
      </c>
    </row>
    <row r="30" spans="1:4" ht="18" hidden="1">
      <c r="A30" s="11" t="s">
        <v>37</v>
      </c>
      <c r="B30" s="6"/>
      <c r="C30" s="6"/>
      <c r="D30" s="6">
        <f t="shared" si="0"/>
        <v>0</v>
      </c>
    </row>
    <row r="31" spans="1:4" ht="18" hidden="1">
      <c r="A31" s="10" t="s">
        <v>38</v>
      </c>
      <c r="B31" s="6"/>
      <c r="C31" s="6"/>
      <c r="D31" s="6">
        <f t="shared" si="0"/>
        <v>0</v>
      </c>
    </row>
    <row r="32" spans="1:4" ht="18" hidden="1">
      <c r="A32" s="10" t="s">
        <v>40</v>
      </c>
      <c r="B32" s="6"/>
      <c r="C32" s="6"/>
      <c r="D32" s="6">
        <f t="shared" si="0"/>
        <v>0</v>
      </c>
    </row>
    <row r="33" spans="1:4" ht="18" hidden="1">
      <c r="A33" s="10" t="s">
        <v>41</v>
      </c>
      <c r="B33" s="6"/>
      <c r="C33" s="6"/>
      <c r="D33" s="6">
        <f t="shared" si="0"/>
        <v>0</v>
      </c>
    </row>
    <row r="34" spans="1:4" ht="18" hidden="1">
      <c r="A34" s="11" t="s">
        <v>42</v>
      </c>
      <c r="B34" s="6"/>
      <c r="C34" s="6"/>
      <c r="D34" s="6">
        <f t="shared" si="0"/>
        <v>0</v>
      </c>
    </row>
    <row r="35" spans="1:4" ht="18" hidden="1">
      <c r="A35" s="10" t="s">
        <v>43</v>
      </c>
      <c r="B35" s="6"/>
      <c r="C35" s="6"/>
      <c r="D35" s="6">
        <f t="shared" si="0"/>
        <v>0</v>
      </c>
    </row>
    <row r="36" spans="1:4" ht="18" hidden="1">
      <c r="A36" s="10" t="s">
        <v>44</v>
      </c>
      <c r="B36" s="6"/>
      <c r="C36" s="6"/>
      <c r="D36" s="6">
        <f t="shared" si="0"/>
        <v>0</v>
      </c>
    </row>
    <row r="37" spans="1:4" ht="18" hidden="1">
      <c r="A37" s="10" t="s">
        <v>45</v>
      </c>
      <c r="B37" s="6"/>
      <c r="C37" s="6"/>
      <c r="D37" s="6">
        <f t="shared" si="0"/>
        <v>0</v>
      </c>
    </row>
    <row r="38" spans="1:4" ht="18">
      <c r="A38" s="11" t="s">
        <v>46</v>
      </c>
      <c r="B38" s="6">
        <v>26</v>
      </c>
      <c r="C38" s="6">
        <v>11000</v>
      </c>
      <c r="D38" s="6">
        <f t="shared" si="0"/>
        <v>286000</v>
      </c>
    </row>
    <row r="39" spans="1:4" ht="18" hidden="1">
      <c r="A39" s="8" t="s">
        <v>47</v>
      </c>
      <c r="B39" s="6"/>
      <c r="C39" s="6"/>
      <c r="D39" s="6">
        <f t="shared" si="0"/>
        <v>0</v>
      </c>
    </row>
    <row r="40" spans="1:4" ht="18" hidden="1">
      <c r="A40" s="8" t="s">
        <v>48</v>
      </c>
      <c r="B40" s="6"/>
      <c r="C40" s="6"/>
      <c r="D40" s="6">
        <f t="shared" si="0"/>
        <v>0</v>
      </c>
    </row>
    <row r="41" spans="1:4" ht="18" hidden="1">
      <c r="A41" s="10" t="s">
        <v>50</v>
      </c>
      <c r="B41" s="14"/>
      <c r="C41" s="14"/>
      <c r="D41" s="6">
        <f t="shared" si="0"/>
        <v>0</v>
      </c>
    </row>
    <row r="42" spans="1:4" ht="18" hidden="1">
      <c r="A42" s="8" t="s">
        <v>51</v>
      </c>
      <c r="B42" s="6"/>
      <c r="C42" s="6"/>
      <c r="D42" s="6">
        <f t="shared" si="0"/>
        <v>0</v>
      </c>
    </row>
    <row r="43" spans="1:4" ht="18" hidden="1">
      <c r="A43" s="8" t="s">
        <v>52</v>
      </c>
      <c r="B43" s="6"/>
      <c r="C43" s="6"/>
      <c r="D43" s="6">
        <f t="shared" si="0"/>
        <v>0</v>
      </c>
    </row>
    <row r="44" spans="1:4" ht="18" hidden="1">
      <c r="A44" s="15" t="s">
        <v>53</v>
      </c>
      <c r="B44" s="6"/>
      <c r="C44" s="6"/>
      <c r="D44" s="6">
        <f t="shared" si="0"/>
        <v>0</v>
      </c>
    </row>
    <row r="45" spans="1:4" ht="18" hidden="1">
      <c r="A45" s="8" t="s">
        <v>55</v>
      </c>
      <c r="B45" s="6"/>
      <c r="C45" s="6"/>
      <c r="D45" s="6">
        <f t="shared" si="0"/>
        <v>0</v>
      </c>
    </row>
    <row r="46" spans="1:4" ht="18" hidden="1">
      <c r="A46" s="8" t="s">
        <v>56</v>
      </c>
      <c r="B46" s="6"/>
      <c r="C46" s="6"/>
      <c r="D46" s="6">
        <f t="shared" si="0"/>
        <v>0</v>
      </c>
    </row>
    <row r="47" spans="1:4" ht="18" hidden="1">
      <c r="A47" s="8" t="s">
        <v>58</v>
      </c>
      <c r="B47" s="6"/>
      <c r="C47" s="6"/>
      <c r="D47" s="6">
        <f t="shared" si="0"/>
        <v>0</v>
      </c>
    </row>
    <row r="48" spans="1:4" ht="18" hidden="1">
      <c r="A48" s="16" t="s">
        <v>59</v>
      </c>
      <c r="B48" s="6"/>
      <c r="C48" s="6"/>
      <c r="D48" s="6">
        <f t="shared" si="0"/>
        <v>0</v>
      </c>
    </row>
    <row r="49" spans="1:4" ht="18" hidden="1">
      <c r="A49" s="12" t="s">
        <v>60</v>
      </c>
      <c r="B49" s="6"/>
      <c r="C49" s="6"/>
      <c r="D49" s="6">
        <f t="shared" si="0"/>
        <v>0</v>
      </c>
    </row>
    <row r="50" spans="1:4" ht="18" hidden="1">
      <c r="A50" s="10" t="s">
        <v>61</v>
      </c>
      <c r="B50" s="6"/>
      <c r="C50" s="6"/>
      <c r="D50" s="6">
        <f t="shared" si="0"/>
        <v>0</v>
      </c>
    </row>
    <row r="51" spans="1:4" ht="18" hidden="1">
      <c r="A51" s="12" t="s">
        <v>62</v>
      </c>
      <c r="B51" s="6"/>
      <c r="C51" s="6"/>
      <c r="D51" s="6">
        <f t="shared" si="0"/>
        <v>0</v>
      </c>
    </row>
    <row r="52" spans="1:4" ht="18" hidden="1">
      <c r="A52" s="8" t="s">
        <v>63</v>
      </c>
      <c r="B52" s="6"/>
      <c r="C52" s="6"/>
      <c r="D52" s="6">
        <f t="shared" si="0"/>
        <v>0</v>
      </c>
    </row>
    <row r="53" spans="1:4" ht="18" hidden="1">
      <c r="A53" s="8" t="s">
        <v>64</v>
      </c>
      <c r="B53" s="6"/>
      <c r="C53" s="6"/>
      <c r="D53" s="6">
        <f t="shared" si="0"/>
        <v>0</v>
      </c>
    </row>
    <row r="54" spans="1:4" ht="18" hidden="1">
      <c r="A54" s="11" t="s">
        <v>65</v>
      </c>
      <c r="B54" s="6"/>
      <c r="C54" s="6"/>
      <c r="D54" s="6">
        <f t="shared" si="0"/>
        <v>0</v>
      </c>
    </row>
    <row r="55" spans="1:4" ht="18" hidden="1">
      <c r="A55" s="8" t="s">
        <v>66</v>
      </c>
      <c r="B55" s="6"/>
      <c r="C55" s="6"/>
      <c r="D55" s="6">
        <f t="shared" si="0"/>
        <v>0</v>
      </c>
    </row>
    <row r="56" spans="1:4" ht="18" hidden="1">
      <c r="A56" s="15" t="s">
        <v>67</v>
      </c>
      <c r="B56" s="6"/>
      <c r="C56" s="6"/>
      <c r="D56" s="6">
        <f t="shared" si="0"/>
        <v>0</v>
      </c>
    </row>
    <row r="57" spans="1:4" ht="18" hidden="1">
      <c r="A57" s="15" t="s">
        <v>69</v>
      </c>
      <c r="B57" s="6"/>
      <c r="C57" s="6"/>
      <c r="D57" s="6">
        <f t="shared" si="0"/>
        <v>0</v>
      </c>
    </row>
    <row r="58" spans="1:4" ht="18" hidden="1">
      <c r="A58" s="15" t="s">
        <v>70</v>
      </c>
      <c r="B58" s="6"/>
      <c r="C58" s="6"/>
      <c r="D58" s="6">
        <f t="shared" si="0"/>
        <v>0</v>
      </c>
    </row>
    <row r="59" spans="1:4" ht="18" hidden="1">
      <c r="A59" s="8" t="s">
        <v>71</v>
      </c>
      <c r="B59" s="6"/>
      <c r="C59" s="6"/>
      <c r="D59" s="6">
        <f t="shared" si="0"/>
        <v>0</v>
      </c>
    </row>
    <row r="60" spans="1:4" ht="18" hidden="1">
      <c r="A60" s="10" t="s">
        <v>72</v>
      </c>
      <c r="B60" s="6"/>
      <c r="C60" s="6"/>
      <c r="D60" s="6">
        <f t="shared" si="0"/>
        <v>0</v>
      </c>
    </row>
    <row r="61" spans="1:4" ht="18" hidden="1">
      <c r="A61" s="8" t="s">
        <v>73</v>
      </c>
      <c r="B61" s="6"/>
      <c r="C61" s="6"/>
      <c r="D61" s="6">
        <f t="shared" si="0"/>
        <v>0</v>
      </c>
    </row>
    <row r="62" spans="1:4" ht="18" hidden="1">
      <c r="A62" s="16" t="s">
        <v>74</v>
      </c>
      <c r="B62" s="6"/>
      <c r="C62" s="6"/>
      <c r="D62" s="6">
        <f t="shared" si="0"/>
        <v>0</v>
      </c>
    </row>
    <row r="63" spans="1:4" ht="18" hidden="1">
      <c r="A63" s="15" t="s">
        <v>75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v>10</v>
      </c>
      <c r="C64" s="6">
        <v>13000</v>
      </c>
      <c r="D64" s="6">
        <f t="shared" si="0"/>
        <v>130000</v>
      </c>
    </row>
    <row r="65" spans="1:4" ht="18" hidden="1">
      <c r="A65" s="17" t="s">
        <v>77</v>
      </c>
      <c r="B65" s="6"/>
      <c r="C65" s="6"/>
      <c r="D65" s="6">
        <f t="shared" si="0"/>
        <v>0</v>
      </c>
    </row>
    <row r="66" spans="1:4" ht="18" hidden="1">
      <c r="A66" s="8" t="s">
        <v>78</v>
      </c>
      <c r="B66" s="6"/>
      <c r="C66" s="6"/>
      <c r="D66" s="6">
        <f t="shared" si="0"/>
        <v>0</v>
      </c>
    </row>
    <row r="67" spans="1:4" ht="18" hidden="1">
      <c r="A67" s="8" t="s">
        <v>79</v>
      </c>
      <c r="B67" s="6"/>
      <c r="C67" s="6"/>
      <c r="D67" s="6">
        <f t="shared" si="0"/>
        <v>0</v>
      </c>
    </row>
    <row r="68" spans="1:4" ht="18" hidden="1">
      <c r="A68" s="18" t="s">
        <v>80</v>
      </c>
      <c r="B68" s="6"/>
      <c r="C68" s="6"/>
      <c r="D68" s="6">
        <f t="shared" ref="D68:D131" si="1">B68*C68</f>
        <v>0</v>
      </c>
    </row>
    <row r="69" spans="1:4" ht="18" hidden="1">
      <c r="A69" s="11" t="s">
        <v>81</v>
      </c>
      <c r="B69" s="6"/>
      <c r="C69" s="6"/>
      <c r="D69" s="6">
        <f t="shared" si="1"/>
        <v>0</v>
      </c>
    </row>
    <row r="70" spans="1:4" ht="18">
      <c r="A70" s="11" t="s">
        <v>82</v>
      </c>
      <c r="B70" s="6">
        <v>6</v>
      </c>
      <c r="C70" s="6">
        <v>12000</v>
      </c>
      <c r="D70" s="6">
        <f t="shared" si="1"/>
        <v>72000</v>
      </c>
    </row>
    <row r="71" spans="1:4" ht="18" hidden="1">
      <c r="A71" s="10" t="s">
        <v>83</v>
      </c>
      <c r="B71" s="6"/>
      <c r="C71" s="6"/>
      <c r="D71" s="6">
        <f t="shared" si="1"/>
        <v>0</v>
      </c>
    </row>
    <row r="72" spans="1:4" ht="18" hidden="1">
      <c r="A72" s="11" t="s">
        <v>84</v>
      </c>
      <c r="B72" s="6"/>
      <c r="C72" s="6"/>
      <c r="D72" s="6">
        <f t="shared" si="1"/>
        <v>0</v>
      </c>
    </row>
    <row r="73" spans="1:4" ht="18" hidden="1">
      <c r="A73" s="11" t="s">
        <v>85</v>
      </c>
      <c r="B73" s="6"/>
      <c r="C73" s="6"/>
      <c r="D73" s="6">
        <f t="shared" si="1"/>
        <v>0</v>
      </c>
    </row>
    <row r="74" spans="1:4" ht="18" hidden="1">
      <c r="A74" s="11" t="s">
        <v>86</v>
      </c>
      <c r="B74" s="6"/>
      <c r="C74" s="6"/>
      <c r="D74" s="6">
        <f t="shared" si="1"/>
        <v>0</v>
      </c>
    </row>
    <row r="75" spans="1:4" ht="18" hidden="1">
      <c r="A75" s="18" t="s">
        <v>87</v>
      </c>
      <c r="B75" s="6"/>
      <c r="C75" s="6"/>
      <c r="D75" s="6">
        <f t="shared" si="1"/>
        <v>0</v>
      </c>
    </row>
    <row r="76" spans="1:4" ht="18" hidden="1">
      <c r="A76" s="8" t="s">
        <v>88</v>
      </c>
      <c r="B76" s="6"/>
      <c r="C76" s="6"/>
      <c r="D76" s="6">
        <f t="shared" si="1"/>
        <v>0</v>
      </c>
    </row>
    <row r="77" spans="1:4" ht="18" hidden="1">
      <c r="A77" s="8" t="s">
        <v>89</v>
      </c>
      <c r="B77" s="6"/>
      <c r="C77" s="6"/>
      <c r="D77" s="6">
        <f t="shared" si="1"/>
        <v>0</v>
      </c>
    </row>
    <row r="78" spans="1:4" ht="18" hidden="1">
      <c r="A78" s="8" t="s">
        <v>90</v>
      </c>
      <c r="B78" s="6"/>
      <c r="C78" s="6"/>
      <c r="D78" s="6">
        <f t="shared" si="1"/>
        <v>0</v>
      </c>
    </row>
    <row r="79" spans="1:4" ht="18" hidden="1">
      <c r="A79" s="12" t="s">
        <v>91</v>
      </c>
      <c r="B79" s="6"/>
      <c r="C79" s="6"/>
      <c r="D79" s="6">
        <f t="shared" si="1"/>
        <v>0</v>
      </c>
    </row>
    <row r="80" spans="1:4" ht="18" hidden="1">
      <c r="A80" s="8" t="s">
        <v>92</v>
      </c>
      <c r="B80" s="6"/>
      <c r="C80" s="6"/>
      <c r="D80" s="6">
        <f t="shared" si="1"/>
        <v>0</v>
      </c>
    </row>
    <row r="81" spans="1:4" ht="18">
      <c r="A81" s="8" t="s">
        <v>94</v>
      </c>
      <c r="B81" s="6">
        <v>5</v>
      </c>
      <c r="C81" s="6">
        <v>21000</v>
      </c>
      <c r="D81" s="6">
        <f t="shared" si="1"/>
        <v>105000</v>
      </c>
    </row>
    <row r="82" spans="1:4" ht="18" hidden="1">
      <c r="A82" s="8" t="s">
        <v>95</v>
      </c>
      <c r="B82" s="6"/>
      <c r="C82" s="6"/>
      <c r="D82" s="6">
        <f t="shared" si="1"/>
        <v>0</v>
      </c>
    </row>
    <row r="83" spans="1:4" ht="18" hidden="1">
      <c r="A83" s="11" t="s">
        <v>96</v>
      </c>
      <c r="B83" s="14"/>
      <c r="C83" s="14"/>
      <c r="D83" s="6">
        <f t="shared" si="1"/>
        <v>0</v>
      </c>
    </row>
    <row r="84" spans="1:4" ht="18" hidden="1">
      <c r="A84" s="11" t="s">
        <v>97</v>
      </c>
      <c r="B84" s="14"/>
      <c r="C84" s="14"/>
      <c r="D84" s="6">
        <f t="shared" si="1"/>
        <v>0</v>
      </c>
    </row>
    <row r="85" spans="1:4" ht="18" hidden="1">
      <c r="A85" s="11" t="s">
        <v>98</v>
      </c>
      <c r="B85" s="14"/>
      <c r="C85" s="14"/>
      <c r="D85" s="6">
        <f t="shared" si="1"/>
        <v>0</v>
      </c>
    </row>
    <row r="86" spans="1:4" ht="18" hidden="1">
      <c r="A86" s="8" t="s">
        <v>99</v>
      </c>
      <c r="B86" s="6"/>
      <c r="C86" s="6"/>
      <c r="D86" s="6">
        <f t="shared" si="1"/>
        <v>0</v>
      </c>
    </row>
    <row r="87" spans="1:4" ht="18" hidden="1">
      <c r="A87" s="8" t="s">
        <v>100</v>
      </c>
      <c r="B87" s="6"/>
      <c r="C87" s="6"/>
      <c r="D87" s="6">
        <f t="shared" si="1"/>
        <v>0</v>
      </c>
    </row>
    <row r="88" spans="1:4" ht="18" hidden="1">
      <c r="A88" s="8" t="s">
        <v>101</v>
      </c>
      <c r="B88" s="6"/>
      <c r="C88" s="6"/>
      <c r="D88" s="6">
        <f t="shared" si="1"/>
        <v>0</v>
      </c>
    </row>
    <row r="89" spans="1:4" ht="18" hidden="1">
      <c r="A89" s="8" t="s">
        <v>102</v>
      </c>
      <c r="B89" s="6"/>
      <c r="C89" s="6"/>
      <c r="D89" s="6">
        <f t="shared" si="1"/>
        <v>0</v>
      </c>
    </row>
    <row r="90" spans="1:4" ht="18" hidden="1">
      <c r="A90" s="8" t="s">
        <v>103</v>
      </c>
      <c r="B90" s="6"/>
      <c r="C90" s="6"/>
      <c r="D90" s="6">
        <f t="shared" si="1"/>
        <v>0</v>
      </c>
    </row>
    <row r="91" spans="1:4" ht="18">
      <c r="A91" s="8" t="s">
        <v>104</v>
      </c>
      <c r="B91" s="6">
        <v>60</v>
      </c>
      <c r="C91" s="6">
        <v>9000</v>
      </c>
      <c r="D91" s="6">
        <f t="shared" si="1"/>
        <v>540000</v>
      </c>
    </row>
    <row r="92" spans="1:4" ht="18" hidden="1">
      <c r="A92" s="19" t="s">
        <v>105</v>
      </c>
      <c r="B92" s="6"/>
      <c r="C92" s="6"/>
      <c r="D92" s="6">
        <f t="shared" si="1"/>
        <v>0</v>
      </c>
    </row>
    <row r="93" spans="1:4" ht="18" hidden="1">
      <c r="A93" s="19" t="s">
        <v>106</v>
      </c>
      <c r="B93" s="6"/>
      <c r="C93" s="6"/>
      <c r="D93" s="6">
        <f t="shared" si="1"/>
        <v>0</v>
      </c>
    </row>
    <row r="94" spans="1:4" ht="18" hidden="1">
      <c r="A94" s="19" t="s">
        <v>107</v>
      </c>
      <c r="B94" s="6"/>
      <c r="C94" s="6"/>
      <c r="D94" s="6">
        <f t="shared" si="1"/>
        <v>0</v>
      </c>
    </row>
    <row r="95" spans="1:4" ht="18" hidden="1">
      <c r="A95" s="10" t="s">
        <v>108</v>
      </c>
      <c r="B95" s="6"/>
      <c r="C95" s="6"/>
      <c r="D95" s="6">
        <f t="shared" si="1"/>
        <v>0</v>
      </c>
    </row>
    <row r="96" spans="1:4" ht="18" hidden="1">
      <c r="A96" s="12" t="s">
        <v>109</v>
      </c>
      <c r="B96" s="6"/>
      <c r="C96" s="6"/>
      <c r="D96" s="6">
        <f t="shared" si="1"/>
        <v>0</v>
      </c>
    </row>
    <row r="97" spans="1:4" ht="18" hidden="1">
      <c r="A97" s="8" t="s">
        <v>110</v>
      </c>
      <c r="B97" s="6"/>
      <c r="C97" s="6"/>
      <c r="D97" s="6">
        <f t="shared" si="1"/>
        <v>0</v>
      </c>
    </row>
    <row r="98" spans="1:4" ht="18" hidden="1">
      <c r="A98" s="8" t="s">
        <v>111</v>
      </c>
      <c r="B98" s="6"/>
      <c r="C98" s="6"/>
      <c r="D98" s="6">
        <f t="shared" si="1"/>
        <v>0</v>
      </c>
    </row>
    <row r="99" spans="1:4" ht="18" hidden="1">
      <c r="A99" s="10" t="s">
        <v>112</v>
      </c>
      <c r="B99" s="6"/>
      <c r="C99" s="6"/>
      <c r="D99" s="6">
        <f t="shared" si="1"/>
        <v>0</v>
      </c>
    </row>
    <row r="100" spans="1:4" ht="18" hidden="1">
      <c r="A100" s="8" t="s">
        <v>113</v>
      </c>
      <c r="B100" s="14"/>
      <c r="C100" s="14"/>
      <c r="D100" s="6">
        <f t="shared" si="1"/>
        <v>0</v>
      </c>
    </row>
    <row r="101" spans="1:4" ht="18" hidden="1">
      <c r="A101" s="10" t="s">
        <v>114</v>
      </c>
      <c r="B101" s="6"/>
      <c r="C101" s="6"/>
      <c r="D101" s="6">
        <f t="shared" si="1"/>
        <v>0</v>
      </c>
    </row>
    <row r="102" spans="1:4" ht="18" hidden="1">
      <c r="A102" s="20" t="s">
        <v>115</v>
      </c>
      <c r="B102" s="6"/>
      <c r="C102" s="6"/>
      <c r="D102" s="6">
        <f t="shared" si="1"/>
        <v>0</v>
      </c>
    </row>
    <row r="103" spans="1:4" ht="18" hidden="1">
      <c r="A103" s="21" t="s">
        <v>116</v>
      </c>
      <c r="B103" s="6"/>
      <c r="C103" s="6"/>
      <c r="D103" s="6">
        <f t="shared" si="1"/>
        <v>0</v>
      </c>
    </row>
    <row r="104" spans="1:4" ht="18" hidden="1">
      <c r="A104" s="22" t="s">
        <v>117</v>
      </c>
      <c r="B104" s="6"/>
      <c r="C104" s="6"/>
      <c r="D104" s="6">
        <f t="shared" si="1"/>
        <v>0</v>
      </c>
    </row>
    <row r="105" spans="1:4" ht="18" hidden="1">
      <c r="A105" s="15" t="s">
        <v>118</v>
      </c>
      <c r="B105" s="6"/>
      <c r="C105" s="6"/>
      <c r="D105" s="6">
        <f t="shared" si="1"/>
        <v>0</v>
      </c>
    </row>
    <row r="106" spans="1:4" ht="18" hidden="1">
      <c r="A106" s="8" t="s">
        <v>119</v>
      </c>
      <c r="B106" s="6"/>
      <c r="C106" s="6"/>
      <c r="D106" s="6">
        <f t="shared" si="1"/>
        <v>0</v>
      </c>
    </row>
    <row r="107" spans="1:4" ht="18" hidden="1">
      <c r="A107" s="8" t="s">
        <v>120</v>
      </c>
      <c r="B107" s="6"/>
      <c r="C107" s="6"/>
      <c r="D107" s="6">
        <f t="shared" si="1"/>
        <v>0</v>
      </c>
    </row>
    <row r="108" spans="1:4" ht="18" hidden="1">
      <c r="A108" s="10" t="s">
        <v>121</v>
      </c>
      <c r="B108" s="6"/>
      <c r="C108" s="6"/>
      <c r="D108" s="6">
        <f t="shared" si="1"/>
        <v>0</v>
      </c>
    </row>
    <row r="109" spans="1:4" ht="18" hidden="1">
      <c r="A109" s="23" t="s">
        <v>122</v>
      </c>
      <c r="B109" s="6"/>
      <c r="C109" s="6"/>
      <c r="D109" s="6">
        <f t="shared" si="1"/>
        <v>0</v>
      </c>
    </row>
    <row r="110" spans="1:4" ht="18" hidden="1">
      <c r="A110" s="8" t="s">
        <v>123</v>
      </c>
      <c r="B110" s="6"/>
      <c r="C110" s="6"/>
      <c r="D110" s="6">
        <f t="shared" si="1"/>
        <v>0</v>
      </c>
    </row>
    <row r="111" spans="1:4" ht="18" hidden="1">
      <c r="A111" s="8" t="s">
        <v>124</v>
      </c>
      <c r="B111" s="6"/>
      <c r="C111" s="6"/>
      <c r="D111" s="6">
        <f t="shared" si="1"/>
        <v>0</v>
      </c>
    </row>
    <row r="112" spans="1:4" ht="18" hidden="1">
      <c r="A112" s="8" t="s">
        <v>125</v>
      </c>
      <c r="B112" s="6"/>
      <c r="C112" s="6"/>
      <c r="D112" s="6">
        <f t="shared" si="1"/>
        <v>0</v>
      </c>
    </row>
    <row r="113" spans="1:4" ht="18" hidden="1">
      <c r="A113" s="8" t="s">
        <v>126</v>
      </c>
      <c r="B113" s="6"/>
      <c r="C113" s="6"/>
      <c r="D113" s="6">
        <f t="shared" si="1"/>
        <v>0</v>
      </c>
    </row>
    <row r="114" spans="1:4" ht="18">
      <c r="A114" s="8" t="s">
        <v>127</v>
      </c>
      <c r="B114" s="6">
        <v>2</v>
      </c>
      <c r="C114" s="6">
        <v>22000</v>
      </c>
      <c r="D114" s="6">
        <f t="shared" si="1"/>
        <v>44000</v>
      </c>
    </row>
    <row r="115" spans="1:4" ht="18" hidden="1">
      <c r="A115" s="8" t="s">
        <v>128</v>
      </c>
      <c r="B115" s="6"/>
      <c r="C115" s="6"/>
      <c r="D115" s="6">
        <f t="shared" si="1"/>
        <v>0</v>
      </c>
    </row>
    <row r="116" spans="1:4" ht="18" hidden="1">
      <c r="A116" s="8" t="s">
        <v>129</v>
      </c>
      <c r="B116" s="6"/>
      <c r="C116" s="6"/>
      <c r="D116" s="6">
        <f t="shared" si="1"/>
        <v>0</v>
      </c>
    </row>
    <row r="117" spans="1:4" ht="18" hidden="1">
      <c r="A117" s="8" t="s">
        <v>130</v>
      </c>
      <c r="B117" s="6"/>
      <c r="C117" s="6"/>
      <c r="D117" s="6">
        <f t="shared" si="1"/>
        <v>0</v>
      </c>
    </row>
    <row r="118" spans="1:4" ht="18" hidden="1">
      <c r="A118" s="10" t="s">
        <v>131</v>
      </c>
      <c r="B118" s="6"/>
      <c r="C118" s="6"/>
      <c r="D118" s="6">
        <f t="shared" si="1"/>
        <v>0</v>
      </c>
    </row>
    <row r="119" spans="1:4" ht="18" hidden="1">
      <c r="A119" s="19" t="s">
        <v>132</v>
      </c>
      <c r="B119" s="6"/>
      <c r="C119" s="6"/>
      <c r="D119" s="6">
        <f t="shared" si="1"/>
        <v>0</v>
      </c>
    </row>
    <row r="120" spans="1:4" ht="18" hidden="1">
      <c r="A120" s="8" t="s">
        <v>133</v>
      </c>
      <c r="B120" s="6"/>
      <c r="C120" s="6"/>
      <c r="D120" s="6">
        <f t="shared" si="1"/>
        <v>0</v>
      </c>
    </row>
    <row r="121" spans="1:4" ht="18" hidden="1">
      <c r="A121" s="10" t="s">
        <v>135</v>
      </c>
      <c r="B121" s="6"/>
      <c r="C121" s="6"/>
      <c r="D121" s="6">
        <f t="shared" si="1"/>
        <v>0</v>
      </c>
    </row>
    <row r="122" spans="1:4" ht="18" hidden="1">
      <c r="A122" s="10" t="s">
        <v>136</v>
      </c>
      <c r="B122" s="6"/>
      <c r="C122" s="6"/>
      <c r="D122" s="6">
        <f t="shared" si="1"/>
        <v>0</v>
      </c>
    </row>
    <row r="123" spans="1:4" ht="18" hidden="1">
      <c r="A123" s="8" t="s">
        <v>137</v>
      </c>
      <c r="B123" s="6"/>
      <c r="C123" s="6"/>
      <c r="D123" s="6">
        <f t="shared" si="1"/>
        <v>0</v>
      </c>
    </row>
    <row r="124" spans="1:4" ht="18" hidden="1">
      <c r="A124" s="8" t="s">
        <v>138</v>
      </c>
      <c r="B124" s="6"/>
      <c r="C124" s="6"/>
      <c r="D124" s="6">
        <f t="shared" si="1"/>
        <v>0</v>
      </c>
    </row>
    <row r="125" spans="1:4" ht="18" hidden="1">
      <c r="A125" s="9" t="s">
        <v>139</v>
      </c>
      <c r="B125" s="6"/>
      <c r="C125" s="6"/>
      <c r="D125" s="6">
        <f t="shared" si="1"/>
        <v>0</v>
      </c>
    </row>
    <row r="126" spans="1:4" ht="18" hidden="1">
      <c r="A126" s="12" t="s">
        <v>140</v>
      </c>
      <c r="B126" s="6"/>
      <c r="C126" s="6"/>
      <c r="D126" s="6">
        <f t="shared" si="1"/>
        <v>0</v>
      </c>
    </row>
    <row r="127" spans="1:4" ht="18" hidden="1">
      <c r="A127" s="11" t="s">
        <v>141</v>
      </c>
      <c r="B127" s="14"/>
      <c r="C127" s="14"/>
      <c r="D127" s="6">
        <f t="shared" si="1"/>
        <v>0</v>
      </c>
    </row>
    <row r="128" spans="1:4" ht="18" hidden="1">
      <c r="A128" s="11" t="s">
        <v>142</v>
      </c>
      <c r="B128" s="14"/>
      <c r="C128" s="14"/>
      <c r="D128" s="6">
        <f t="shared" si="1"/>
        <v>0</v>
      </c>
    </row>
    <row r="129" spans="1:4" ht="18" hidden="1">
      <c r="A129" s="11" t="s">
        <v>143</v>
      </c>
      <c r="B129" s="14"/>
      <c r="C129" s="14"/>
      <c r="D129" s="6">
        <f t="shared" si="1"/>
        <v>0</v>
      </c>
    </row>
    <row r="130" spans="1:4" ht="18" hidden="1">
      <c r="A130" s="11" t="s">
        <v>144</v>
      </c>
      <c r="B130" s="24"/>
      <c r="C130" s="24"/>
      <c r="D130" s="6">
        <f t="shared" si="1"/>
        <v>0</v>
      </c>
    </row>
    <row r="131" spans="1:4" ht="18" hidden="1">
      <c r="A131" s="25" t="s">
        <v>145</v>
      </c>
      <c r="B131" s="6"/>
      <c r="C131" s="6"/>
      <c r="D131" s="6">
        <f t="shared" si="1"/>
        <v>0</v>
      </c>
    </row>
    <row r="132" spans="1:4" ht="18">
      <c r="A132" s="11" t="s">
        <v>146</v>
      </c>
      <c r="B132" s="14">
        <v>6.5</v>
      </c>
      <c r="C132" s="14">
        <v>16000</v>
      </c>
      <c r="D132" s="6">
        <f t="shared" ref="D132:D195" si="2">B132*C132</f>
        <v>104000</v>
      </c>
    </row>
    <row r="133" spans="1:4" ht="18" hidden="1">
      <c r="A133" s="8" t="s">
        <v>147</v>
      </c>
      <c r="B133" s="6"/>
      <c r="C133" s="6"/>
      <c r="D133" s="6">
        <f t="shared" si="2"/>
        <v>0</v>
      </c>
    </row>
    <row r="134" spans="1:4" ht="18" hidden="1">
      <c r="A134" s="8" t="s">
        <v>148</v>
      </c>
      <c r="B134" s="6"/>
      <c r="C134" s="6"/>
      <c r="D134" s="6">
        <f t="shared" si="2"/>
        <v>0</v>
      </c>
    </row>
    <row r="135" spans="1:4" ht="18" hidden="1">
      <c r="A135" s="8" t="s">
        <v>149</v>
      </c>
      <c r="B135" s="6"/>
      <c r="C135" s="6"/>
      <c r="D135" s="6">
        <f t="shared" si="2"/>
        <v>0</v>
      </c>
    </row>
    <row r="136" spans="1:4" ht="18" hidden="1">
      <c r="A136" s="8" t="s">
        <v>150</v>
      </c>
      <c r="B136" s="6"/>
      <c r="C136" s="6"/>
      <c r="D136" s="6">
        <f t="shared" si="2"/>
        <v>0</v>
      </c>
    </row>
    <row r="137" spans="1:4" ht="18" hidden="1">
      <c r="A137" s="15" t="s">
        <v>151</v>
      </c>
      <c r="B137" s="6"/>
      <c r="C137" s="6"/>
      <c r="D137" s="6">
        <f t="shared" si="2"/>
        <v>0</v>
      </c>
    </row>
    <row r="138" spans="1:4" ht="18" hidden="1">
      <c r="A138" s="11" t="s">
        <v>152</v>
      </c>
      <c r="B138" s="6"/>
      <c r="C138" s="6"/>
      <c r="D138" s="6">
        <f t="shared" si="2"/>
        <v>0</v>
      </c>
    </row>
    <row r="139" spans="1:4" ht="18" hidden="1">
      <c r="A139" s="11" t="s">
        <v>153</v>
      </c>
      <c r="B139" s="6"/>
      <c r="C139" s="6"/>
      <c r="D139" s="6">
        <f t="shared" si="2"/>
        <v>0</v>
      </c>
    </row>
    <row r="140" spans="1:4" ht="18" hidden="1">
      <c r="A140" s="8" t="s">
        <v>154</v>
      </c>
      <c r="B140" s="6"/>
      <c r="C140" s="6"/>
      <c r="D140" s="6">
        <f t="shared" si="2"/>
        <v>0</v>
      </c>
    </row>
    <row r="141" spans="1:4" ht="18" hidden="1">
      <c r="A141" s="8" t="s">
        <v>155</v>
      </c>
      <c r="B141" s="6"/>
      <c r="C141" s="6"/>
      <c r="D141" s="6">
        <f t="shared" si="2"/>
        <v>0</v>
      </c>
    </row>
    <row r="142" spans="1:4" ht="18" hidden="1">
      <c r="A142" s="8" t="s">
        <v>156</v>
      </c>
      <c r="B142" s="14"/>
      <c r="C142" s="14"/>
      <c r="D142" s="6">
        <f t="shared" si="2"/>
        <v>0</v>
      </c>
    </row>
    <row r="143" spans="1:4" ht="18" hidden="1">
      <c r="A143" s="8" t="s">
        <v>157</v>
      </c>
      <c r="B143" s="14"/>
      <c r="C143" s="14"/>
      <c r="D143" s="6">
        <f t="shared" si="2"/>
        <v>0</v>
      </c>
    </row>
    <row r="144" spans="1:4" ht="18" hidden="1">
      <c r="A144" s="8" t="s">
        <v>158</v>
      </c>
      <c r="B144" s="6"/>
      <c r="C144" s="6"/>
      <c r="D144" s="6">
        <f t="shared" si="2"/>
        <v>0</v>
      </c>
    </row>
    <row r="145" spans="1:4" ht="18" hidden="1">
      <c r="A145" s="8" t="s">
        <v>159</v>
      </c>
      <c r="B145" s="14"/>
      <c r="C145" s="14"/>
      <c r="D145" s="6">
        <f t="shared" si="2"/>
        <v>0</v>
      </c>
    </row>
    <row r="146" spans="1:4" ht="18" hidden="1">
      <c r="A146" s="8" t="s">
        <v>160</v>
      </c>
      <c r="B146" s="14"/>
      <c r="C146" s="14"/>
      <c r="D146" s="6">
        <f t="shared" si="2"/>
        <v>0</v>
      </c>
    </row>
    <row r="147" spans="1:4" ht="18" hidden="1">
      <c r="A147" s="8" t="s">
        <v>161</v>
      </c>
      <c r="B147" s="14"/>
      <c r="C147" s="14"/>
      <c r="D147" s="6">
        <f t="shared" si="2"/>
        <v>0</v>
      </c>
    </row>
    <row r="148" spans="1:4" ht="18" hidden="1">
      <c r="A148" s="8" t="s">
        <v>162</v>
      </c>
      <c r="B148" s="14"/>
      <c r="C148" s="14"/>
      <c r="D148" s="6">
        <f t="shared" si="2"/>
        <v>0</v>
      </c>
    </row>
    <row r="149" spans="1:4" ht="18" hidden="1">
      <c r="A149" s="8" t="s">
        <v>163</v>
      </c>
      <c r="B149" s="14"/>
      <c r="C149" s="14"/>
      <c r="D149" s="6">
        <f t="shared" si="2"/>
        <v>0</v>
      </c>
    </row>
    <row r="150" spans="1:4" ht="18" hidden="1">
      <c r="A150" s="8" t="s">
        <v>164</v>
      </c>
      <c r="B150" s="14"/>
      <c r="C150" s="14"/>
      <c r="D150" s="6">
        <f t="shared" si="2"/>
        <v>0</v>
      </c>
    </row>
    <row r="151" spans="1:4" ht="18" hidden="1">
      <c r="A151" s="8" t="s">
        <v>165</v>
      </c>
      <c r="B151" s="14"/>
      <c r="C151" s="14"/>
      <c r="D151" s="6">
        <f t="shared" si="2"/>
        <v>0</v>
      </c>
    </row>
    <row r="152" spans="1:4" ht="18" hidden="1">
      <c r="A152" s="8" t="s">
        <v>166</v>
      </c>
      <c r="B152" s="14"/>
      <c r="C152" s="14"/>
      <c r="D152" s="6">
        <f t="shared" si="2"/>
        <v>0</v>
      </c>
    </row>
    <row r="153" spans="1:4" ht="18" hidden="1">
      <c r="A153" s="8" t="s">
        <v>167</v>
      </c>
      <c r="B153" s="6"/>
      <c r="C153" s="6"/>
      <c r="D153" s="6">
        <f t="shared" si="2"/>
        <v>0</v>
      </c>
    </row>
    <row r="154" spans="1:4" ht="18" hidden="1">
      <c r="A154" s="8" t="s">
        <v>168</v>
      </c>
      <c r="B154" s="6"/>
      <c r="C154" s="6"/>
      <c r="D154" s="6">
        <f t="shared" si="2"/>
        <v>0</v>
      </c>
    </row>
    <row r="155" spans="1:4" ht="18" hidden="1">
      <c r="A155" s="8" t="s">
        <v>169</v>
      </c>
      <c r="B155" s="6"/>
      <c r="C155" s="6"/>
      <c r="D155" s="6">
        <f t="shared" si="2"/>
        <v>0</v>
      </c>
    </row>
    <row r="156" spans="1:4" ht="18" hidden="1">
      <c r="A156" s="8" t="s">
        <v>170</v>
      </c>
      <c r="B156" s="6"/>
      <c r="C156" s="6"/>
      <c r="D156" s="6">
        <f t="shared" si="2"/>
        <v>0</v>
      </c>
    </row>
    <row r="157" spans="1:4" ht="18" hidden="1">
      <c r="A157" s="15" t="s">
        <v>171</v>
      </c>
      <c r="B157" s="6"/>
      <c r="C157" s="6"/>
      <c r="D157" s="6">
        <f t="shared" si="2"/>
        <v>0</v>
      </c>
    </row>
    <row r="158" spans="1:4" ht="18" hidden="1">
      <c r="A158" s="16" t="s">
        <v>172</v>
      </c>
      <c r="B158" s="6"/>
      <c r="C158" s="6"/>
      <c r="D158" s="6">
        <f t="shared" si="2"/>
        <v>0</v>
      </c>
    </row>
    <row r="159" spans="1:4" ht="18" hidden="1">
      <c r="A159" s="8" t="s">
        <v>173</v>
      </c>
      <c r="B159" s="6"/>
      <c r="C159" s="6"/>
      <c r="D159" s="6">
        <f t="shared" si="2"/>
        <v>0</v>
      </c>
    </row>
    <row r="160" spans="1:4" ht="18" hidden="1">
      <c r="A160" s="8" t="s">
        <v>174</v>
      </c>
      <c r="B160" s="6"/>
      <c r="C160" s="6"/>
      <c r="D160" s="6">
        <f t="shared" si="2"/>
        <v>0</v>
      </c>
    </row>
    <row r="161" spans="1:4" ht="18" hidden="1">
      <c r="A161" s="8" t="s">
        <v>175</v>
      </c>
      <c r="B161" s="6"/>
      <c r="C161" s="6"/>
      <c r="D161" s="6">
        <f t="shared" si="2"/>
        <v>0</v>
      </c>
    </row>
    <row r="162" spans="1:4" ht="18" hidden="1">
      <c r="A162" s="8" t="s">
        <v>176</v>
      </c>
      <c r="B162" s="14"/>
      <c r="C162" s="14"/>
      <c r="D162" s="6">
        <f t="shared" si="2"/>
        <v>0</v>
      </c>
    </row>
    <row r="163" spans="1:4" ht="18" hidden="1">
      <c r="A163" s="8" t="s">
        <v>177</v>
      </c>
      <c r="B163" s="14"/>
      <c r="C163" s="14"/>
      <c r="D163" s="6">
        <f t="shared" si="2"/>
        <v>0</v>
      </c>
    </row>
    <row r="164" spans="1:4" ht="18" hidden="1">
      <c r="A164" s="8" t="s">
        <v>178</v>
      </c>
      <c r="B164" s="14"/>
      <c r="C164" s="14"/>
      <c r="D164" s="6">
        <f t="shared" si="2"/>
        <v>0</v>
      </c>
    </row>
    <row r="165" spans="1:4" ht="18" hidden="1">
      <c r="A165" s="8" t="s">
        <v>179</v>
      </c>
      <c r="B165" s="6"/>
      <c r="C165" s="6"/>
      <c r="D165" s="6">
        <f t="shared" si="2"/>
        <v>0</v>
      </c>
    </row>
    <row r="166" spans="1:4" ht="18" hidden="1">
      <c r="A166" s="8" t="s">
        <v>180</v>
      </c>
      <c r="B166" s="6"/>
      <c r="C166" s="6"/>
      <c r="D166" s="6">
        <f t="shared" si="2"/>
        <v>0</v>
      </c>
    </row>
    <row r="167" spans="1:4" ht="18" hidden="1">
      <c r="A167" s="15" t="s">
        <v>181</v>
      </c>
      <c r="B167" s="6"/>
      <c r="C167" s="6"/>
      <c r="D167" s="6">
        <f t="shared" si="2"/>
        <v>0</v>
      </c>
    </row>
    <row r="168" spans="1:4" ht="18" hidden="1">
      <c r="A168" s="11" t="s">
        <v>182</v>
      </c>
      <c r="B168" s="6"/>
      <c r="C168" s="6"/>
      <c r="D168" s="6">
        <f t="shared" si="2"/>
        <v>0</v>
      </c>
    </row>
    <row r="169" spans="1:4" ht="18" hidden="1">
      <c r="A169" s="8" t="s">
        <v>183</v>
      </c>
      <c r="B169" s="6"/>
      <c r="C169" s="26"/>
      <c r="D169" s="6">
        <f t="shared" si="2"/>
        <v>0</v>
      </c>
    </row>
    <row r="170" spans="1:4" ht="18" hidden="1">
      <c r="A170" s="27" t="s">
        <v>184</v>
      </c>
      <c r="B170" s="6"/>
      <c r="C170" s="6"/>
      <c r="D170" s="6">
        <f t="shared" si="2"/>
        <v>0</v>
      </c>
    </row>
    <row r="171" spans="1:4" ht="18" hidden="1">
      <c r="A171" s="8" t="s">
        <v>185</v>
      </c>
      <c r="B171" s="6"/>
      <c r="C171" s="6"/>
      <c r="D171" s="6">
        <f t="shared" si="2"/>
        <v>0</v>
      </c>
    </row>
    <row r="172" spans="1:4" ht="18" hidden="1">
      <c r="A172" s="8" t="s">
        <v>186</v>
      </c>
      <c r="B172" s="6"/>
      <c r="C172" s="6"/>
      <c r="D172" s="6">
        <f t="shared" si="2"/>
        <v>0</v>
      </c>
    </row>
    <row r="173" spans="1:4" ht="18" hidden="1">
      <c r="A173" s="18" t="s">
        <v>187</v>
      </c>
      <c r="B173" s="6"/>
      <c r="C173" s="6"/>
      <c r="D173" s="6">
        <f t="shared" si="2"/>
        <v>0</v>
      </c>
    </row>
    <row r="174" spans="1:4" ht="18" hidden="1">
      <c r="A174" s="8" t="s">
        <v>188</v>
      </c>
      <c r="B174" s="6"/>
      <c r="C174" s="6"/>
      <c r="D174" s="6">
        <f t="shared" si="2"/>
        <v>0</v>
      </c>
    </row>
    <row r="175" spans="1:4" ht="18" hidden="1">
      <c r="A175" s="28" t="s">
        <v>189</v>
      </c>
      <c r="B175" s="29"/>
      <c r="C175" s="29"/>
      <c r="D175" s="6">
        <f t="shared" si="2"/>
        <v>0</v>
      </c>
    </row>
    <row r="176" spans="1:4" ht="18" hidden="1">
      <c r="A176" s="10" t="s">
        <v>190</v>
      </c>
      <c r="B176" s="6"/>
      <c r="C176" s="6"/>
      <c r="D176" s="6">
        <f t="shared" si="2"/>
        <v>0</v>
      </c>
    </row>
    <row r="177" spans="1:4" ht="18">
      <c r="A177" s="8" t="s">
        <v>191</v>
      </c>
      <c r="B177" s="14">
        <v>3.7</v>
      </c>
      <c r="C177" s="6">
        <v>45000</v>
      </c>
      <c r="D177" s="6">
        <f t="shared" si="2"/>
        <v>166500</v>
      </c>
    </row>
    <row r="178" spans="1:4" ht="18" hidden="1">
      <c r="A178" s="8" t="s">
        <v>192</v>
      </c>
      <c r="B178" s="6"/>
      <c r="C178" s="6"/>
      <c r="D178" s="6">
        <f t="shared" si="2"/>
        <v>0</v>
      </c>
    </row>
    <row r="179" spans="1:4" ht="18" hidden="1">
      <c r="A179" s="11" t="s">
        <v>193</v>
      </c>
      <c r="B179" s="6"/>
      <c r="C179" s="6"/>
      <c r="D179" s="6">
        <f t="shared" si="2"/>
        <v>0</v>
      </c>
    </row>
    <row r="180" spans="1:4" ht="18" hidden="1">
      <c r="A180" s="8" t="s">
        <v>194</v>
      </c>
      <c r="B180" s="6"/>
      <c r="C180" s="6"/>
      <c r="D180" s="6">
        <f t="shared" si="2"/>
        <v>0</v>
      </c>
    </row>
    <row r="181" spans="1:4" ht="18" hidden="1">
      <c r="A181" s="8" t="s">
        <v>195</v>
      </c>
      <c r="B181" s="6"/>
      <c r="C181" s="6"/>
      <c r="D181" s="6">
        <f t="shared" si="2"/>
        <v>0</v>
      </c>
    </row>
    <row r="182" spans="1:4" ht="18" hidden="1">
      <c r="A182" s="11" t="s">
        <v>196</v>
      </c>
      <c r="B182" s="6"/>
      <c r="C182" s="6"/>
      <c r="D182" s="6">
        <f t="shared" si="2"/>
        <v>0</v>
      </c>
    </row>
    <row r="183" spans="1:4" ht="18" hidden="1">
      <c r="A183" s="11" t="s">
        <v>197</v>
      </c>
      <c r="B183" s="6"/>
      <c r="C183" s="6"/>
      <c r="D183" s="6">
        <f t="shared" si="2"/>
        <v>0</v>
      </c>
    </row>
    <row r="184" spans="1:4" ht="18">
      <c r="A184" s="11" t="s">
        <v>198</v>
      </c>
      <c r="B184" s="6">
        <v>150</v>
      </c>
      <c r="C184" s="6">
        <v>6800</v>
      </c>
      <c r="D184" s="6">
        <f t="shared" si="2"/>
        <v>1020000</v>
      </c>
    </row>
    <row r="185" spans="1:4" ht="18">
      <c r="A185" s="8" t="s">
        <v>199</v>
      </c>
      <c r="B185" s="6">
        <f>120+33</f>
        <v>153</v>
      </c>
      <c r="C185" s="6">
        <v>3000</v>
      </c>
      <c r="D185" s="6">
        <f t="shared" si="2"/>
        <v>459000</v>
      </c>
    </row>
    <row r="186" spans="1:4" ht="18" hidden="1">
      <c r="A186" s="11" t="s">
        <v>200</v>
      </c>
      <c r="B186" s="6"/>
      <c r="C186" s="6"/>
      <c r="D186" s="6">
        <f t="shared" si="2"/>
        <v>0</v>
      </c>
    </row>
    <row r="187" spans="1:4" ht="18" hidden="1">
      <c r="A187" s="11" t="s">
        <v>201</v>
      </c>
      <c r="B187" s="6"/>
      <c r="C187" s="6"/>
      <c r="D187" s="6">
        <f t="shared" si="2"/>
        <v>0</v>
      </c>
    </row>
    <row r="188" spans="1:4" ht="18" hidden="1">
      <c r="A188" s="11" t="s">
        <v>202</v>
      </c>
      <c r="B188" s="6"/>
      <c r="C188" s="6"/>
      <c r="D188" s="6">
        <f t="shared" si="2"/>
        <v>0</v>
      </c>
    </row>
    <row r="189" spans="1:4" ht="18" hidden="1">
      <c r="A189" s="8" t="s">
        <v>203</v>
      </c>
      <c r="B189" s="6"/>
      <c r="C189" s="6"/>
      <c r="D189" s="6">
        <f t="shared" si="2"/>
        <v>0</v>
      </c>
    </row>
    <row r="190" spans="1:4" ht="18" hidden="1">
      <c r="A190" s="15" t="s">
        <v>204</v>
      </c>
      <c r="B190" s="6"/>
      <c r="C190" s="6"/>
      <c r="D190" s="6">
        <f t="shared" si="2"/>
        <v>0</v>
      </c>
    </row>
    <row r="191" spans="1:4" ht="18" hidden="1">
      <c r="A191" s="15" t="s">
        <v>205</v>
      </c>
      <c r="B191" s="6"/>
      <c r="C191" s="6"/>
      <c r="D191" s="6">
        <f t="shared" si="2"/>
        <v>0</v>
      </c>
    </row>
    <row r="192" spans="1:4" ht="18" hidden="1">
      <c r="A192" s="15" t="s">
        <v>206</v>
      </c>
      <c r="B192" s="6"/>
      <c r="C192" s="6"/>
      <c r="D192" s="6">
        <f t="shared" si="2"/>
        <v>0</v>
      </c>
    </row>
    <row r="193" spans="1:4" ht="18" hidden="1">
      <c r="A193" s="15" t="s">
        <v>207</v>
      </c>
      <c r="B193" s="6"/>
      <c r="C193" s="6"/>
      <c r="D193" s="6">
        <f t="shared" si="2"/>
        <v>0</v>
      </c>
    </row>
    <row r="194" spans="1:4" ht="18" hidden="1">
      <c r="A194" s="11" t="s">
        <v>208</v>
      </c>
      <c r="B194" s="6"/>
      <c r="C194" s="6"/>
      <c r="D194" s="6">
        <f t="shared" si="2"/>
        <v>0</v>
      </c>
    </row>
    <row r="195" spans="1:4" ht="18" hidden="1">
      <c r="A195" s="8" t="s">
        <v>209</v>
      </c>
      <c r="B195" s="6"/>
      <c r="C195" s="6"/>
      <c r="D195" s="6">
        <f t="shared" si="2"/>
        <v>0</v>
      </c>
    </row>
    <row r="196" spans="1:4" ht="18" hidden="1">
      <c r="A196" s="30" t="s">
        <v>210</v>
      </c>
      <c r="B196" s="6"/>
      <c r="C196" s="6"/>
      <c r="D196" s="6">
        <f t="shared" ref="D196:D259" si="3">B196*C196</f>
        <v>0</v>
      </c>
    </row>
    <row r="197" spans="1:4" ht="18" hidden="1">
      <c r="A197" s="30" t="s">
        <v>211</v>
      </c>
      <c r="B197" s="6"/>
      <c r="C197" s="6"/>
      <c r="D197" s="6">
        <f t="shared" si="3"/>
        <v>0</v>
      </c>
    </row>
    <row r="198" spans="1:4" ht="18" hidden="1">
      <c r="A198" s="30" t="s">
        <v>212</v>
      </c>
      <c r="B198" s="6"/>
      <c r="C198" s="6"/>
      <c r="D198" s="6">
        <f t="shared" si="3"/>
        <v>0</v>
      </c>
    </row>
    <row r="199" spans="1:4" ht="18" hidden="1">
      <c r="A199" s="30" t="s">
        <v>213</v>
      </c>
      <c r="B199" s="6"/>
      <c r="C199" s="6"/>
      <c r="D199" s="6">
        <f t="shared" si="3"/>
        <v>0</v>
      </c>
    </row>
    <row r="200" spans="1:4" ht="18" hidden="1">
      <c r="A200" s="8" t="s">
        <v>214</v>
      </c>
      <c r="B200" s="6"/>
      <c r="C200" s="6"/>
      <c r="D200" s="6">
        <f t="shared" si="3"/>
        <v>0</v>
      </c>
    </row>
    <row r="201" spans="1:4" ht="18" hidden="1">
      <c r="A201" s="31" t="s">
        <v>384</v>
      </c>
      <c r="B201" s="6"/>
      <c r="C201" s="6"/>
      <c r="D201" s="6">
        <f t="shared" si="3"/>
        <v>0</v>
      </c>
    </row>
    <row r="202" spans="1:4" ht="18">
      <c r="A202" s="8" t="s">
        <v>216</v>
      </c>
      <c r="B202" s="6">
        <f>200+140-50+300+30+45</f>
        <v>665</v>
      </c>
      <c r="C202" s="6">
        <v>19000</v>
      </c>
      <c r="D202" s="6">
        <f t="shared" si="3"/>
        <v>12635000</v>
      </c>
    </row>
    <row r="203" spans="1:4" ht="18">
      <c r="A203" s="11" t="s">
        <v>217</v>
      </c>
      <c r="B203" s="6">
        <f>160+25</f>
        <v>185</v>
      </c>
      <c r="C203" s="6">
        <v>19000</v>
      </c>
      <c r="D203" s="6">
        <f t="shared" si="3"/>
        <v>3515000</v>
      </c>
    </row>
    <row r="204" spans="1:4" ht="18" hidden="1">
      <c r="A204" s="8" t="s">
        <v>218</v>
      </c>
      <c r="B204" s="6"/>
      <c r="C204" s="6"/>
      <c r="D204" s="6">
        <f t="shared" si="3"/>
        <v>0</v>
      </c>
    </row>
    <row r="205" spans="1:4" ht="18">
      <c r="A205" s="8" t="s">
        <v>219</v>
      </c>
      <c r="B205" s="6">
        <v>190</v>
      </c>
      <c r="C205" s="6">
        <v>14000</v>
      </c>
      <c r="D205" s="6">
        <f t="shared" si="3"/>
        <v>2660000</v>
      </c>
    </row>
    <row r="206" spans="1:4" ht="18" hidden="1">
      <c r="A206" s="32" t="s">
        <v>220</v>
      </c>
      <c r="B206" s="6"/>
      <c r="C206" s="6"/>
      <c r="D206" s="6">
        <f t="shared" si="3"/>
        <v>0</v>
      </c>
    </row>
    <row r="207" spans="1:4" ht="18" hidden="1">
      <c r="A207" s="32" t="s">
        <v>221</v>
      </c>
      <c r="B207" s="6"/>
      <c r="C207" s="6"/>
      <c r="D207" s="6">
        <f t="shared" si="3"/>
        <v>0</v>
      </c>
    </row>
    <row r="208" spans="1:4" ht="18" hidden="1">
      <c r="A208" s="8" t="s">
        <v>222</v>
      </c>
      <c r="B208" s="6"/>
      <c r="C208" s="6"/>
      <c r="D208" s="6">
        <f t="shared" si="3"/>
        <v>0</v>
      </c>
    </row>
    <row r="209" spans="1:4" ht="18">
      <c r="A209" s="10" t="s">
        <v>223</v>
      </c>
      <c r="B209" s="14">
        <v>5.5</v>
      </c>
      <c r="C209" s="6">
        <v>35000</v>
      </c>
      <c r="D209" s="6">
        <f t="shared" si="3"/>
        <v>192500</v>
      </c>
    </row>
    <row r="210" spans="1:4" ht="18" hidden="1">
      <c r="A210" s="8" t="s">
        <v>224</v>
      </c>
      <c r="B210" s="6"/>
      <c r="C210" s="6"/>
      <c r="D210" s="6">
        <f t="shared" si="3"/>
        <v>0</v>
      </c>
    </row>
    <row r="211" spans="1:4" ht="18" hidden="1">
      <c r="A211" s="8" t="s">
        <v>225</v>
      </c>
      <c r="B211" s="6"/>
      <c r="C211" s="6"/>
      <c r="D211" s="6">
        <f t="shared" si="3"/>
        <v>0</v>
      </c>
    </row>
    <row r="212" spans="1:4" ht="18" hidden="1">
      <c r="A212" s="8" t="s">
        <v>226</v>
      </c>
      <c r="B212" s="6"/>
      <c r="C212" s="6"/>
      <c r="D212" s="6">
        <f t="shared" si="3"/>
        <v>0</v>
      </c>
    </row>
    <row r="213" spans="1:4" ht="18" hidden="1">
      <c r="A213" s="8" t="s">
        <v>227</v>
      </c>
      <c r="B213" s="6"/>
      <c r="C213" s="6"/>
      <c r="D213" s="6">
        <f t="shared" si="3"/>
        <v>0</v>
      </c>
    </row>
    <row r="214" spans="1:4" ht="18" hidden="1">
      <c r="A214" s="33" t="s">
        <v>228</v>
      </c>
      <c r="B214" s="6"/>
      <c r="C214" s="6"/>
      <c r="D214" s="6">
        <f t="shared" si="3"/>
        <v>0</v>
      </c>
    </row>
    <row r="215" spans="1:4" ht="18" hidden="1">
      <c r="A215" s="8" t="s">
        <v>229</v>
      </c>
      <c r="B215" s="6"/>
      <c r="C215" s="6"/>
      <c r="D215" s="6">
        <f t="shared" si="3"/>
        <v>0</v>
      </c>
    </row>
    <row r="216" spans="1:4" ht="18">
      <c r="A216" s="8" t="s">
        <v>230</v>
      </c>
      <c r="B216" s="6">
        <v>185</v>
      </c>
      <c r="C216" s="6">
        <v>16000</v>
      </c>
      <c r="D216" s="6">
        <f t="shared" si="3"/>
        <v>2960000</v>
      </c>
    </row>
    <row r="217" spans="1:4" ht="18" hidden="1">
      <c r="A217" s="8" t="s">
        <v>231</v>
      </c>
      <c r="B217" s="6"/>
      <c r="C217" s="6"/>
      <c r="D217" s="6">
        <f t="shared" si="3"/>
        <v>0</v>
      </c>
    </row>
    <row r="218" spans="1:4" ht="18" hidden="1">
      <c r="A218" s="8" t="s">
        <v>232</v>
      </c>
      <c r="B218" s="6"/>
      <c r="C218" s="6"/>
      <c r="D218" s="6">
        <f t="shared" si="3"/>
        <v>0</v>
      </c>
    </row>
    <row r="219" spans="1:4" ht="18" hidden="1">
      <c r="A219" s="15" t="s">
        <v>233</v>
      </c>
      <c r="B219" s="6"/>
      <c r="C219" s="6"/>
      <c r="D219" s="6">
        <f t="shared" si="3"/>
        <v>0</v>
      </c>
    </row>
    <row r="220" spans="1:4" ht="18" hidden="1">
      <c r="A220" s="15" t="s">
        <v>234</v>
      </c>
      <c r="B220" s="6"/>
      <c r="C220" s="6"/>
      <c r="D220" s="6">
        <f t="shared" si="3"/>
        <v>0</v>
      </c>
    </row>
    <row r="221" spans="1:4" ht="18" hidden="1">
      <c r="A221" s="15" t="s">
        <v>235</v>
      </c>
      <c r="B221" s="6"/>
      <c r="C221" s="6"/>
      <c r="D221" s="6">
        <f t="shared" si="3"/>
        <v>0</v>
      </c>
    </row>
    <row r="222" spans="1:4" ht="18" hidden="1">
      <c r="A222" s="15" t="s">
        <v>236</v>
      </c>
      <c r="B222" s="6"/>
      <c r="C222" s="6"/>
      <c r="D222" s="6">
        <f t="shared" si="3"/>
        <v>0</v>
      </c>
    </row>
    <row r="223" spans="1:4" ht="18" hidden="1">
      <c r="A223" s="8" t="s">
        <v>237</v>
      </c>
      <c r="B223" s="6"/>
      <c r="C223" s="6"/>
      <c r="D223" s="6">
        <f t="shared" si="3"/>
        <v>0</v>
      </c>
    </row>
    <row r="224" spans="1:4" ht="18" hidden="1">
      <c r="A224" s="8" t="s">
        <v>238</v>
      </c>
      <c r="B224" s="6"/>
      <c r="C224" s="6"/>
      <c r="D224" s="6">
        <f t="shared" si="3"/>
        <v>0</v>
      </c>
    </row>
    <row r="225" spans="1:4" ht="18" hidden="1">
      <c r="A225" s="15" t="s">
        <v>239</v>
      </c>
      <c r="B225" s="6"/>
      <c r="C225" s="6"/>
      <c r="D225" s="6">
        <f t="shared" si="3"/>
        <v>0</v>
      </c>
    </row>
    <row r="226" spans="1:4" ht="18" hidden="1">
      <c r="A226" s="15" t="s">
        <v>240</v>
      </c>
      <c r="B226" s="6"/>
      <c r="C226" s="6"/>
      <c r="D226" s="6">
        <f t="shared" si="3"/>
        <v>0</v>
      </c>
    </row>
    <row r="227" spans="1:4" ht="18" hidden="1">
      <c r="A227" s="10" t="s">
        <v>241</v>
      </c>
      <c r="B227" s="6"/>
      <c r="C227" s="6"/>
      <c r="D227" s="6">
        <f t="shared" si="3"/>
        <v>0</v>
      </c>
    </row>
    <row r="228" spans="1:4" ht="18" hidden="1">
      <c r="A228" s="11" t="s">
        <v>242</v>
      </c>
      <c r="B228" s="6"/>
      <c r="C228" s="6"/>
      <c r="D228" s="6">
        <f t="shared" si="3"/>
        <v>0</v>
      </c>
    </row>
    <row r="229" spans="1:4" ht="18" hidden="1">
      <c r="A229" s="10" t="s">
        <v>243</v>
      </c>
      <c r="B229" s="6"/>
      <c r="C229" s="6"/>
      <c r="D229" s="6">
        <f t="shared" si="3"/>
        <v>0</v>
      </c>
    </row>
    <row r="230" spans="1:4" ht="18" hidden="1">
      <c r="A230" s="15" t="s">
        <v>244</v>
      </c>
      <c r="B230" s="6"/>
      <c r="C230" s="6"/>
      <c r="D230" s="6">
        <f t="shared" si="3"/>
        <v>0</v>
      </c>
    </row>
    <row r="231" spans="1:4" ht="18" hidden="1">
      <c r="A231" s="10" t="s">
        <v>245</v>
      </c>
      <c r="B231" s="6"/>
      <c r="C231" s="6"/>
      <c r="D231" s="6">
        <f t="shared" si="3"/>
        <v>0</v>
      </c>
    </row>
    <row r="232" spans="1:4" ht="18" hidden="1">
      <c r="A232" s="10" t="s">
        <v>246</v>
      </c>
      <c r="B232" s="6"/>
      <c r="C232" s="6"/>
      <c r="D232" s="6">
        <f t="shared" si="3"/>
        <v>0</v>
      </c>
    </row>
    <row r="233" spans="1:4" ht="18" hidden="1">
      <c r="A233" s="10" t="s">
        <v>247</v>
      </c>
      <c r="B233" s="6"/>
      <c r="C233" s="6"/>
      <c r="D233" s="6">
        <f t="shared" si="3"/>
        <v>0</v>
      </c>
    </row>
    <row r="234" spans="1:4" ht="18" hidden="1">
      <c r="A234" s="8" t="s">
        <v>248</v>
      </c>
      <c r="B234" s="6"/>
      <c r="C234" s="6"/>
      <c r="D234" s="6">
        <f t="shared" si="3"/>
        <v>0</v>
      </c>
    </row>
    <row r="235" spans="1:4" ht="18" hidden="1">
      <c r="A235" s="8" t="s">
        <v>249</v>
      </c>
      <c r="B235" s="6"/>
      <c r="C235" s="6"/>
      <c r="D235" s="6">
        <f t="shared" si="3"/>
        <v>0</v>
      </c>
    </row>
    <row r="236" spans="1:4" ht="18" hidden="1">
      <c r="A236" s="10" t="s">
        <v>250</v>
      </c>
      <c r="B236" s="6"/>
      <c r="C236" s="6"/>
      <c r="D236" s="6">
        <f t="shared" si="3"/>
        <v>0</v>
      </c>
    </row>
    <row r="237" spans="1:4" ht="18" hidden="1">
      <c r="A237" s="32" t="s">
        <v>251</v>
      </c>
      <c r="B237" s="6"/>
      <c r="C237" s="6"/>
      <c r="D237" s="6">
        <f t="shared" si="3"/>
        <v>0</v>
      </c>
    </row>
    <row r="238" spans="1:4" ht="18" hidden="1">
      <c r="A238" s="8" t="s">
        <v>252</v>
      </c>
      <c r="B238" s="6"/>
      <c r="C238" s="6"/>
      <c r="D238" s="6">
        <f t="shared" si="3"/>
        <v>0</v>
      </c>
    </row>
    <row r="239" spans="1:4" ht="18" hidden="1">
      <c r="A239" s="8" t="s">
        <v>253</v>
      </c>
      <c r="B239" s="6"/>
      <c r="C239" s="6"/>
      <c r="D239" s="6">
        <f t="shared" si="3"/>
        <v>0</v>
      </c>
    </row>
    <row r="240" spans="1:4" ht="18" hidden="1">
      <c r="A240" s="12" t="s">
        <v>254</v>
      </c>
      <c r="B240" s="6"/>
      <c r="C240" s="6"/>
      <c r="D240" s="6">
        <f t="shared" si="3"/>
        <v>0</v>
      </c>
    </row>
    <row r="241" spans="1:4" ht="18" hidden="1">
      <c r="A241" s="12" t="s">
        <v>255</v>
      </c>
      <c r="B241" s="6"/>
      <c r="C241" s="6"/>
      <c r="D241" s="6">
        <f t="shared" si="3"/>
        <v>0</v>
      </c>
    </row>
    <row r="242" spans="1:4" ht="18" hidden="1">
      <c r="A242" s="30" t="s">
        <v>256</v>
      </c>
      <c r="B242" s="6"/>
      <c r="C242" s="6"/>
      <c r="D242" s="6">
        <f t="shared" si="3"/>
        <v>0</v>
      </c>
    </row>
    <row r="243" spans="1:4" ht="18" hidden="1">
      <c r="A243" s="8" t="s">
        <v>257</v>
      </c>
      <c r="B243" s="6"/>
      <c r="C243" s="6"/>
      <c r="D243" s="6">
        <f t="shared" si="3"/>
        <v>0</v>
      </c>
    </row>
    <row r="244" spans="1:4" ht="18" hidden="1">
      <c r="A244" s="8" t="s">
        <v>258</v>
      </c>
      <c r="B244" s="6"/>
      <c r="C244" s="6"/>
      <c r="D244" s="6">
        <f t="shared" si="3"/>
        <v>0</v>
      </c>
    </row>
    <row r="245" spans="1:4" ht="18" hidden="1">
      <c r="A245" s="8" t="s">
        <v>259</v>
      </c>
      <c r="B245" s="14"/>
      <c r="C245" s="14"/>
      <c r="D245" s="6">
        <f t="shared" si="3"/>
        <v>0</v>
      </c>
    </row>
    <row r="246" spans="1:4" ht="18" hidden="1">
      <c r="A246" s="30" t="s">
        <v>260</v>
      </c>
      <c r="B246" s="6"/>
      <c r="C246" s="6"/>
      <c r="D246" s="6">
        <f t="shared" si="3"/>
        <v>0</v>
      </c>
    </row>
    <row r="247" spans="1:4" ht="18" hidden="1">
      <c r="A247" s="8" t="s">
        <v>261</v>
      </c>
      <c r="B247" s="14"/>
      <c r="C247" s="14"/>
      <c r="D247" s="6">
        <f t="shared" si="3"/>
        <v>0</v>
      </c>
    </row>
    <row r="248" spans="1:4" ht="18">
      <c r="A248" s="8" t="s">
        <v>262</v>
      </c>
      <c r="B248" s="6">
        <v>2</v>
      </c>
      <c r="C248" s="6">
        <v>14000</v>
      </c>
      <c r="D248" s="6">
        <f t="shared" si="3"/>
        <v>28000</v>
      </c>
    </row>
    <row r="249" spans="1:4" ht="18" hidden="1">
      <c r="A249" s="10" t="s">
        <v>263</v>
      </c>
      <c r="B249" s="6"/>
      <c r="C249" s="6"/>
      <c r="D249" s="6">
        <f t="shared" si="3"/>
        <v>0</v>
      </c>
    </row>
    <row r="250" spans="1:4" ht="18" hidden="1">
      <c r="A250" s="10" t="s">
        <v>264</v>
      </c>
      <c r="B250" s="6"/>
      <c r="C250" s="6"/>
      <c r="D250" s="6">
        <f t="shared" si="3"/>
        <v>0</v>
      </c>
    </row>
    <row r="251" spans="1:4" ht="18">
      <c r="A251" s="8" t="s">
        <v>265</v>
      </c>
      <c r="B251" s="6">
        <v>35</v>
      </c>
      <c r="C251" s="6">
        <v>21000</v>
      </c>
      <c r="D251" s="6">
        <f t="shared" si="3"/>
        <v>735000</v>
      </c>
    </row>
    <row r="252" spans="1:4" ht="18" hidden="1">
      <c r="A252" s="8" t="s">
        <v>266</v>
      </c>
      <c r="B252" s="6"/>
      <c r="C252" s="6"/>
      <c r="D252" s="6">
        <f t="shared" si="3"/>
        <v>0</v>
      </c>
    </row>
    <row r="253" spans="1:4" ht="18" hidden="1">
      <c r="A253" s="8" t="s">
        <v>267</v>
      </c>
      <c r="B253" s="6"/>
      <c r="C253" s="6"/>
      <c r="D253" s="6">
        <f t="shared" si="3"/>
        <v>0</v>
      </c>
    </row>
    <row r="254" spans="1:4" ht="18" hidden="1">
      <c r="A254" s="8" t="s">
        <v>268</v>
      </c>
      <c r="B254" s="6"/>
      <c r="C254" s="6"/>
      <c r="D254" s="6">
        <f t="shared" si="3"/>
        <v>0</v>
      </c>
    </row>
    <row r="255" spans="1:4" ht="18" hidden="1">
      <c r="A255" s="8" t="s">
        <v>269</v>
      </c>
      <c r="B255" s="6"/>
      <c r="C255" s="6"/>
      <c r="D255" s="6">
        <f t="shared" si="3"/>
        <v>0</v>
      </c>
    </row>
    <row r="256" spans="1:4" ht="18" hidden="1">
      <c r="A256" s="15" t="s">
        <v>270</v>
      </c>
      <c r="B256" s="6"/>
      <c r="C256" s="6"/>
      <c r="D256" s="6">
        <f t="shared" si="3"/>
        <v>0</v>
      </c>
    </row>
    <row r="257" spans="1:4" ht="18" hidden="1">
      <c r="A257" s="19" t="s">
        <v>271</v>
      </c>
      <c r="B257" s="6"/>
      <c r="C257" s="6"/>
      <c r="D257" s="6">
        <f t="shared" si="3"/>
        <v>0</v>
      </c>
    </row>
    <row r="258" spans="1:4" ht="18" hidden="1">
      <c r="A258" s="19" t="s">
        <v>272</v>
      </c>
      <c r="B258" s="6"/>
      <c r="C258" s="6"/>
      <c r="D258" s="6">
        <f t="shared" si="3"/>
        <v>0</v>
      </c>
    </row>
    <row r="259" spans="1:4" ht="18">
      <c r="A259" s="8" t="s">
        <v>273</v>
      </c>
      <c r="B259" s="6">
        <f>15+60+35+10</f>
        <v>120</v>
      </c>
      <c r="C259" s="6">
        <v>28000</v>
      </c>
      <c r="D259" s="6">
        <f t="shared" si="3"/>
        <v>3360000</v>
      </c>
    </row>
    <row r="260" spans="1:4" ht="18" hidden="1">
      <c r="A260" s="8" t="s">
        <v>274</v>
      </c>
      <c r="B260" s="6"/>
      <c r="C260" s="6"/>
      <c r="D260" s="6">
        <f t="shared" ref="D260:D323" si="4">B260*C260</f>
        <v>0</v>
      </c>
    </row>
    <row r="261" spans="1:4" ht="18" hidden="1">
      <c r="A261" s="8" t="s">
        <v>275</v>
      </c>
      <c r="B261" s="6"/>
      <c r="C261" s="6"/>
      <c r="D261" s="6">
        <f t="shared" si="4"/>
        <v>0</v>
      </c>
    </row>
    <row r="262" spans="1:4" ht="18" hidden="1">
      <c r="A262" s="8" t="s">
        <v>276</v>
      </c>
      <c r="B262" s="6"/>
      <c r="C262" s="6"/>
      <c r="D262" s="6">
        <f t="shared" si="4"/>
        <v>0</v>
      </c>
    </row>
    <row r="263" spans="1:4" ht="18">
      <c r="A263" s="8" t="s">
        <v>277</v>
      </c>
      <c r="B263" s="6">
        <f>20+10+6+13</f>
        <v>49</v>
      </c>
      <c r="C263" s="6">
        <v>17000</v>
      </c>
      <c r="D263" s="6">
        <f t="shared" si="4"/>
        <v>833000</v>
      </c>
    </row>
    <row r="264" spans="1:4" ht="18">
      <c r="A264" s="8" t="s">
        <v>278</v>
      </c>
      <c r="B264" s="6">
        <v>6</v>
      </c>
      <c r="C264" s="6">
        <v>14000</v>
      </c>
      <c r="D264" s="6">
        <f t="shared" si="4"/>
        <v>84000</v>
      </c>
    </row>
    <row r="265" spans="1:4" ht="18" hidden="1">
      <c r="A265" s="8" t="s">
        <v>279</v>
      </c>
      <c r="B265" s="6"/>
      <c r="C265" s="6"/>
      <c r="D265" s="6">
        <f t="shared" si="4"/>
        <v>0</v>
      </c>
    </row>
    <row r="266" spans="1:4" ht="18" hidden="1">
      <c r="A266" s="8" t="s">
        <v>280</v>
      </c>
      <c r="B266" s="14"/>
      <c r="C266" s="14"/>
      <c r="D266" s="6">
        <f t="shared" si="4"/>
        <v>0</v>
      </c>
    </row>
    <row r="267" spans="1:4" ht="18" hidden="1">
      <c r="A267" s="12" t="s">
        <v>281</v>
      </c>
      <c r="B267" s="6"/>
      <c r="C267" s="6"/>
      <c r="D267" s="6">
        <f t="shared" si="4"/>
        <v>0</v>
      </c>
    </row>
    <row r="268" spans="1:4" ht="18" hidden="1">
      <c r="A268" s="8" t="s">
        <v>282</v>
      </c>
      <c r="B268" s="6"/>
      <c r="C268" s="6"/>
      <c r="D268" s="6">
        <f t="shared" si="4"/>
        <v>0</v>
      </c>
    </row>
    <row r="269" spans="1:4" ht="18" hidden="1">
      <c r="A269" s="10" t="s">
        <v>283</v>
      </c>
      <c r="B269" s="6"/>
      <c r="C269" s="6"/>
      <c r="D269" s="6">
        <f t="shared" si="4"/>
        <v>0</v>
      </c>
    </row>
    <row r="270" spans="1:4" ht="18">
      <c r="A270" s="8" t="s">
        <v>284</v>
      </c>
      <c r="B270" s="6">
        <v>12</v>
      </c>
      <c r="C270" s="6">
        <v>12000</v>
      </c>
      <c r="D270" s="6">
        <f t="shared" si="4"/>
        <v>144000</v>
      </c>
    </row>
    <row r="271" spans="1:4" ht="18" hidden="1">
      <c r="A271" s="8" t="s">
        <v>285</v>
      </c>
      <c r="B271" s="6"/>
      <c r="C271" s="6"/>
      <c r="D271" s="6">
        <f t="shared" si="4"/>
        <v>0</v>
      </c>
    </row>
    <row r="272" spans="1:4" ht="18" hidden="1">
      <c r="A272" s="8" t="s">
        <v>286</v>
      </c>
      <c r="B272" s="6"/>
      <c r="C272" s="6"/>
      <c r="D272" s="6">
        <f t="shared" si="4"/>
        <v>0</v>
      </c>
    </row>
    <row r="273" spans="1:4" ht="18" hidden="1">
      <c r="A273" s="8" t="s">
        <v>287</v>
      </c>
      <c r="B273" s="6"/>
      <c r="C273" s="6"/>
      <c r="D273" s="6">
        <f t="shared" si="4"/>
        <v>0</v>
      </c>
    </row>
    <row r="274" spans="1:4" ht="18">
      <c r="A274" s="8" t="s">
        <v>288</v>
      </c>
      <c r="B274" s="6">
        <v>40</v>
      </c>
      <c r="C274" s="6">
        <v>16000</v>
      </c>
      <c r="D274" s="6">
        <f t="shared" si="4"/>
        <v>640000</v>
      </c>
    </row>
    <row r="275" spans="1:4" ht="18" hidden="1">
      <c r="A275" s="8" t="s">
        <v>289</v>
      </c>
      <c r="B275" s="6"/>
      <c r="C275" s="6"/>
      <c r="D275" s="6">
        <f t="shared" si="4"/>
        <v>0</v>
      </c>
    </row>
    <row r="276" spans="1:4" ht="18" hidden="1">
      <c r="A276" s="8" t="s">
        <v>290</v>
      </c>
      <c r="B276" s="6"/>
      <c r="C276" s="6"/>
      <c r="D276" s="6">
        <f t="shared" si="4"/>
        <v>0</v>
      </c>
    </row>
    <row r="277" spans="1:4" ht="18" hidden="1">
      <c r="A277" s="30" t="s">
        <v>291</v>
      </c>
      <c r="B277" s="6"/>
      <c r="C277" s="6"/>
      <c r="D277" s="6">
        <f t="shared" si="4"/>
        <v>0</v>
      </c>
    </row>
    <row r="278" spans="1:4" ht="18" hidden="1">
      <c r="A278" s="8" t="s">
        <v>292</v>
      </c>
      <c r="B278" s="6"/>
      <c r="C278" s="6"/>
      <c r="D278" s="6">
        <f t="shared" si="4"/>
        <v>0</v>
      </c>
    </row>
    <row r="279" spans="1:4" ht="18" hidden="1">
      <c r="A279" s="30" t="s">
        <v>293</v>
      </c>
      <c r="B279" s="6"/>
      <c r="C279" s="6"/>
      <c r="D279" s="6">
        <f t="shared" si="4"/>
        <v>0</v>
      </c>
    </row>
    <row r="280" spans="1:4" ht="18" hidden="1">
      <c r="A280" s="30" t="s">
        <v>294</v>
      </c>
      <c r="B280" s="6"/>
      <c r="C280" s="6"/>
      <c r="D280" s="6">
        <f t="shared" si="4"/>
        <v>0</v>
      </c>
    </row>
    <row r="281" spans="1:4" ht="18" hidden="1">
      <c r="A281" s="11" t="s">
        <v>295</v>
      </c>
      <c r="B281" s="14"/>
      <c r="C281" s="14"/>
      <c r="D281" s="6">
        <f t="shared" si="4"/>
        <v>0</v>
      </c>
    </row>
    <row r="282" spans="1:4" ht="18" hidden="1">
      <c r="A282" s="11" t="s">
        <v>296</v>
      </c>
      <c r="B282" s="6"/>
      <c r="C282" s="6"/>
      <c r="D282" s="6">
        <f t="shared" si="4"/>
        <v>0</v>
      </c>
    </row>
    <row r="283" spans="1:4" ht="18" hidden="1">
      <c r="A283" s="10" t="s">
        <v>297</v>
      </c>
      <c r="B283" s="6"/>
      <c r="C283" s="6"/>
      <c r="D283" s="6">
        <f t="shared" si="4"/>
        <v>0</v>
      </c>
    </row>
    <row r="284" spans="1:4" ht="18" hidden="1">
      <c r="A284" s="10" t="s">
        <v>298</v>
      </c>
      <c r="B284" s="6"/>
      <c r="C284" s="6"/>
      <c r="D284" s="6">
        <f t="shared" si="4"/>
        <v>0</v>
      </c>
    </row>
    <row r="285" spans="1:4" ht="18" hidden="1">
      <c r="A285" s="15" t="s">
        <v>299</v>
      </c>
      <c r="B285" s="6"/>
      <c r="C285" s="6"/>
      <c r="D285" s="6">
        <f t="shared" si="4"/>
        <v>0</v>
      </c>
    </row>
    <row r="286" spans="1:4" ht="18" hidden="1">
      <c r="A286" s="15" t="s">
        <v>300</v>
      </c>
      <c r="B286" s="6"/>
      <c r="C286" s="6"/>
      <c r="D286" s="6">
        <f t="shared" si="4"/>
        <v>0</v>
      </c>
    </row>
    <row r="287" spans="1:4" ht="18" hidden="1">
      <c r="A287" s="15" t="s">
        <v>301</v>
      </c>
      <c r="B287" s="6"/>
      <c r="C287" s="6"/>
      <c r="D287" s="6">
        <f t="shared" si="4"/>
        <v>0</v>
      </c>
    </row>
    <row r="288" spans="1:4" ht="18">
      <c r="A288" s="8" t="s">
        <v>302</v>
      </c>
      <c r="B288" s="6">
        <v>3</v>
      </c>
      <c r="C288" s="6">
        <v>10000</v>
      </c>
      <c r="D288" s="6">
        <f t="shared" si="4"/>
        <v>30000</v>
      </c>
    </row>
    <row r="289" spans="1:4" ht="18" hidden="1">
      <c r="A289" s="15" t="s">
        <v>303</v>
      </c>
      <c r="B289" s="6"/>
      <c r="C289" s="6"/>
      <c r="D289" s="6">
        <f t="shared" si="4"/>
        <v>0</v>
      </c>
    </row>
    <row r="290" spans="1:4" ht="18" hidden="1">
      <c r="A290" s="8" t="s">
        <v>304</v>
      </c>
      <c r="B290" s="6"/>
      <c r="C290" s="6"/>
      <c r="D290" s="6">
        <f t="shared" si="4"/>
        <v>0</v>
      </c>
    </row>
    <row r="291" spans="1:4" ht="18" hidden="1">
      <c r="A291" s="8" t="s">
        <v>305</v>
      </c>
      <c r="B291" s="6"/>
      <c r="C291" s="6"/>
      <c r="D291" s="6">
        <f t="shared" si="4"/>
        <v>0</v>
      </c>
    </row>
    <row r="292" spans="1:4" ht="18" hidden="1">
      <c r="A292" s="15" t="s">
        <v>306</v>
      </c>
      <c r="B292" s="6"/>
      <c r="C292" s="6"/>
      <c r="D292" s="6">
        <f t="shared" si="4"/>
        <v>0</v>
      </c>
    </row>
    <row r="293" spans="1:4" ht="18" hidden="1">
      <c r="A293" s="23" t="s">
        <v>307</v>
      </c>
      <c r="B293" s="6"/>
      <c r="C293" s="6"/>
      <c r="D293" s="6">
        <f t="shared" si="4"/>
        <v>0</v>
      </c>
    </row>
    <row r="294" spans="1:4" ht="18">
      <c r="A294" s="8" t="s">
        <v>308</v>
      </c>
      <c r="B294" s="6">
        <v>23</v>
      </c>
      <c r="C294" s="6">
        <v>10000</v>
      </c>
      <c r="D294" s="6">
        <f t="shared" si="4"/>
        <v>230000</v>
      </c>
    </row>
    <row r="295" spans="1:4" ht="18" hidden="1">
      <c r="A295" s="12" t="s">
        <v>309</v>
      </c>
      <c r="B295" s="6"/>
      <c r="C295" s="6"/>
      <c r="D295" s="6">
        <f t="shared" si="4"/>
        <v>0</v>
      </c>
    </row>
    <row r="296" spans="1:4" ht="18" hidden="1">
      <c r="A296" s="12" t="s">
        <v>310</v>
      </c>
      <c r="B296" s="6"/>
      <c r="C296" s="6"/>
      <c r="D296" s="6">
        <f t="shared" si="4"/>
        <v>0</v>
      </c>
    </row>
    <row r="297" spans="1:4" ht="18" hidden="1">
      <c r="A297" s="11" t="s">
        <v>311</v>
      </c>
      <c r="B297" s="6"/>
      <c r="C297" s="6"/>
      <c r="D297" s="6">
        <f t="shared" si="4"/>
        <v>0</v>
      </c>
    </row>
    <row r="298" spans="1:4" ht="18" hidden="1">
      <c r="A298" s="15" t="s">
        <v>312</v>
      </c>
      <c r="B298" s="6"/>
      <c r="C298" s="6"/>
      <c r="D298" s="6">
        <f t="shared" si="4"/>
        <v>0</v>
      </c>
    </row>
    <row r="299" spans="1:4" ht="18" hidden="1">
      <c r="A299" s="12" t="s">
        <v>313</v>
      </c>
      <c r="B299" s="6"/>
      <c r="C299" s="6"/>
      <c r="D299" s="6">
        <f t="shared" si="4"/>
        <v>0</v>
      </c>
    </row>
    <row r="300" spans="1:4" ht="18" hidden="1">
      <c r="A300" s="8" t="s">
        <v>314</v>
      </c>
      <c r="B300" s="6"/>
      <c r="C300" s="6"/>
      <c r="D300" s="6">
        <f t="shared" si="4"/>
        <v>0</v>
      </c>
    </row>
    <row r="301" spans="1:4" ht="18" hidden="1">
      <c r="A301" s="15" t="s">
        <v>315</v>
      </c>
      <c r="B301" s="6"/>
      <c r="C301" s="6"/>
      <c r="D301" s="6">
        <f t="shared" si="4"/>
        <v>0</v>
      </c>
    </row>
    <row r="302" spans="1:4" ht="18" hidden="1">
      <c r="A302" s="8" t="s">
        <v>316</v>
      </c>
      <c r="B302" s="6"/>
      <c r="C302" s="6"/>
      <c r="D302" s="6">
        <f t="shared" si="4"/>
        <v>0</v>
      </c>
    </row>
    <row r="303" spans="1:4" ht="18" hidden="1">
      <c r="A303" s="8" t="s">
        <v>317</v>
      </c>
      <c r="B303" s="6"/>
      <c r="C303" s="6"/>
      <c r="D303" s="6">
        <f t="shared" si="4"/>
        <v>0</v>
      </c>
    </row>
    <row r="304" spans="1:4" ht="18" hidden="1">
      <c r="A304" s="10" t="s">
        <v>318</v>
      </c>
      <c r="B304" s="6"/>
      <c r="C304" s="6"/>
      <c r="D304" s="6">
        <f t="shared" si="4"/>
        <v>0</v>
      </c>
    </row>
    <row r="305" spans="1:4" ht="18" hidden="1">
      <c r="A305" s="11" t="s">
        <v>319</v>
      </c>
      <c r="B305" s="6"/>
      <c r="C305" s="6"/>
      <c r="D305" s="6">
        <f t="shared" si="4"/>
        <v>0</v>
      </c>
    </row>
    <row r="306" spans="1:4" ht="18" hidden="1">
      <c r="A306" s="11" t="s">
        <v>320</v>
      </c>
      <c r="B306" s="6"/>
      <c r="C306" s="6"/>
      <c r="D306" s="6">
        <f t="shared" si="4"/>
        <v>0</v>
      </c>
    </row>
    <row r="307" spans="1:4" ht="18" hidden="1">
      <c r="A307" s="8" t="s">
        <v>321</v>
      </c>
      <c r="B307" s="6"/>
      <c r="C307" s="6"/>
      <c r="D307" s="6">
        <f t="shared" si="4"/>
        <v>0</v>
      </c>
    </row>
    <row r="308" spans="1:4" ht="18" hidden="1">
      <c r="A308" s="8" t="s">
        <v>322</v>
      </c>
      <c r="B308" s="6"/>
      <c r="C308" s="6"/>
      <c r="D308" s="6">
        <f t="shared" si="4"/>
        <v>0</v>
      </c>
    </row>
    <row r="309" spans="1:4" ht="18" hidden="1">
      <c r="A309" s="8" t="s">
        <v>323</v>
      </c>
      <c r="B309" s="6"/>
      <c r="C309" s="6"/>
      <c r="D309" s="6">
        <f t="shared" si="4"/>
        <v>0</v>
      </c>
    </row>
    <row r="310" spans="1:4" ht="18" hidden="1">
      <c r="A310" s="12" t="s">
        <v>324</v>
      </c>
      <c r="B310" s="6"/>
      <c r="C310" s="6"/>
      <c r="D310" s="6">
        <f t="shared" si="4"/>
        <v>0</v>
      </c>
    </row>
    <row r="311" spans="1:4" ht="18" hidden="1">
      <c r="A311" s="12" t="s">
        <v>325</v>
      </c>
      <c r="B311" s="6"/>
      <c r="C311" s="6"/>
      <c r="D311" s="6">
        <f t="shared" si="4"/>
        <v>0</v>
      </c>
    </row>
    <row r="312" spans="1:4" ht="18" hidden="1">
      <c r="A312" s="19" t="s">
        <v>326</v>
      </c>
      <c r="B312" s="6"/>
      <c r="C312" s="6"/>
      <c r="D312" s="6">
        <f t="shared" si="4"/>
        <v>0</v>
      </c>
    </row>
    <row r="313" spans="1:4" ht="18" hidden="1">
      <c r="A313" s="12" t="s">
        <v>327</v>
      </c>
      <c r="B313" s="6"/>
      <c r="C313" s="6"/>
      <c r="D313" s="6">
        <f t="shared" si="4"/>
        <v>0</v>
      </c>
    </row>
    <row r="314" spans="1:4" ht="18" hidden="1">
      <c r="A314" s="8" t="s">
        <v>328</v>
      </c>
      <c r="B314" s="6"/>
      <c r="C314" s="6"/>
      <c r="D314" s="6">
        <f t="shared" si="4"/>
        <v>0</v>
      </c>
    </row>
    <row r="315" spans="1:4" ht="18" hidden="1">
      <c r="A315" s="8" t="s">
        <v>329</v>
      </c>
      <c r="B315" s="6"/>
      <c r="C315" s="6"/>
      <c r="D315" s="6">
        <f t="shared" si="4"/>
        <v>0</v>
      </c>
    </row>
    <row r="316" spans="1:4" ht="18" hidden="1">
      <c r="A316" s="8" t="s">
        <v>330</v>
      </c>
      <c r="B316" s="6"/>
      <c r="C316" s="6"/>
      <c r="D316" s="6">
        <f t="shared" si="4"/>
        <v>0</v>
      </c>
    </row>
    <row r="317" spans="1:4" ht="18" hidden="1">
      <c r="A317" s="8" t="s">
        <v>331</v>
      </c>
      <c r="B317" s="6"/>
      <c r="C317" s="6"/>
      <c r="D317" s="6">
        <f t="shared" si="4"/>
        <v>0</v>
      </c>
    </row>
    <row r="318" spans="1:4" ht="18" hidden="1">
      <c r="A318" s="19" t="s">
        <v>332</v>
      </c>
      <c r="B318" s="6"/>
      <c r="C318" s="6"/>
      <c r="D318" s="6">
        <f t="shared" si="4"/>
        <v>0</v>
      </c>
    </row>
    <row r="319" spans="1:4" ht="18" hidden="1">
      <c r="A319" s="8" t="s">
        <v>333</v>
      </c>
      <c r="B319" s="6"/>
      <c r="C319" s="6"/>
      <c r="D319" s="6">
        <f t="shared" si="4"/>
        <v>0</v>
      </c>
    </row>
    <row r="320" spans="1:4" ht="18" hidden="1">
      <c r="A320" s="8" t="s">
        <v>334</v>
      </c>
      <c r="B320" s="6"/>
      <c r="C320" s="6"/>
      <c r="D320" s="6">
        <f t="shared" si="4"/>
        <v>0</v>
      </c>
    </row>
    <row r="321" spans="1:4" ht="18" hidden="1">
      <c r="A321" s="11" t="s">
        <v>335</v>
      </c>
      <c r="B321" s="6"/>
      <c r="C321" s="6"/>
      <c r="D321" s="6">
        <f t="shared" si="4"/>
        <v>0</v>
      </c>
    </row>
    <row r="322" spans="1:4" ht="18" hidden="1">
      <c r="A322" s="8" t="s">
        <v>336</v>
      </c>
      <c r="B322" s="34"/>
      <c r="C322" s="34"/>
      <c r="D322" s="6">
        <f t="shared" si="4"/>
        <v>0</v>
      </c>
    </row>
    <row r="323" spans="1:4" ht="18" hidden="1">
      <c r="A323" s="8" t="s">
        <v>337</v>
      </c>
      <c r="B323" s="6"/>
      <c r="C323" s="6"/>
      <c r="D323" s="6">
        <f t="shared" si="4"/>
        <v>0</v>
      </c>
    </row>
    <row r="324" spans="1:4" ht="18" hidden="1">
      <c r="A324" s="8" t="s">
        <v>338</v>
      </c>
      <c r="B324" s="6"/>
      <c r="C324" s="6"/>
      <c r="D324" s="6">
        <f t="shared" ref="D324:D387" si="5">B324*C324</f>
        <v>0</v>
      </c>
    </row>
    <row r="325" spans="1:4" ht="18" hidden="1">
      <c r="A325" s="19" t="s">
        <v>339</v>
      </c>
      <c r="B325" s="6"/>
      <c r="C325" s="6"/>
      <c r="D325" s="6">
        <f t="shared" si="5"/>
        <v>0</v>
      </c>
    </row>
    <row r="326" spans="1:4" ht="18" hidden="1">
      <c r="A326" s="19" t="s">
        <v>340</v>
      </c>
      <c r="B326" s="6"/>
      <c r="C326" s="6"/>
      <c r="D326" s="6">
        <f t="shared" si="5"/>
        <v>0</v>
      </c>
    </row>
    <row r="327" spans="1:4" ht="18" hidden="1">
      <c r="A327" s="8" t="s">
        <v>341</v>
      </c>
      <c r="B327" s="6"/>
      <c r="C327" s="6"/>
      <c r="D327" s="6">
        <f t="shared" si="5"/>
        <v>0</v>
      </c>
    </row>
    <row r="328" spans="1:4" ht="18" hidden="1">
      <c r="A328" s="8" t="s">
        <v>342</v>
      </c>
      <c r="B328" s="6"/>
      <c r="C328" s="6"/>
      <c r="D328" s="6">
        <f t="shared" si="5"/>
        <v>0</v>
      </c>
    </row>
    <row r="329" spans="1:4" ht="18" hidden="1">
      <c r="A329" s="19" t="s">
        <v>343</v>
      </c>
      <c r="B329" s="6"/>
      <c r="C329" s="6"/>
      <c r="D329" s="6">
        <f t="shared" si="5"/>
        <v>0</v>
      </c>
    </row>
    <row r="330" spans="1:4" ht="18" hidden="1">
      <c r="A330" s="8" t="s">
        <v>344</v>
      </c>
      <c r="B330" s="6"/>
      <c r="C330" s="6"/>
      <c r="D330" s="6">
        <f t="shared" si="5"/>
        <v>0</v>
      </c>
    </row>
    <row r="331" spans="1:4" ht="18" hidden="1">
      <c r="A331" s="8" t="s">
        <v>345</v>
      </c>
      <c r="B331" s="6"/>
      <c r="C331" s="6"/>
      <c r="D331" s="6">
        <f t="shared" si="5"/>
        <v>0</v>
      </c>
    </row>
    <row r="332" spans="1:4" ht="18" hidden="1">
      <c r="A332" s="8" t="s">
        <v>346</v>
      </c>
      <c r="B332" s="6"/>
      <c r="C332" s="6"/>
      <c r="D332" s="6">
        <f t="shared" si="5"/>
        <v>0</v>
      </c>
    </row>
    <row r="333" spans="1:4" ht="18" hidden="1">
      <c r="A333" s="8" t="s">
        <v>347</v>
      </c>
      <c r="B333" s="6"/>
      <c r="C333" s="6"/>
      <c r="D333" s="6">
        <f t="shared" si="5"/>
        <v>0</v>
      </c>
    </row>
    <row r="334" spans="1:4" ht="18" hidden="1">
      <c r="A334" s="8" t="s">
        <v>348</v>
      </c>
      <c r="B334" s="6"/>
      <c r="C334" s="6"/>
      <c r="D334" s="6">
        <f t="shared" si="5"/>
        <v>0</v>
      </c>
    </row>
    <row r="335" spans="1:4" ht="18" hidden="1">
      <c r="A335" s="8" t="s">
        <v>349</v>
      </c>
      <c r="B335" s="6"/>
      <c r="C335" s="6"/>
      <c r="D335" s="6">
        <f t="shared" si="5"/>
        <v>0</v>
      </c>
    </row>
    <row r="336" spans="1:4" ht="18" hidden="1">
      <c r="A336" s="8" t="s">
        <v>350</v>
      </c>
      <c r="B336" s="6"/>
      <c r="C336" s="6"/>
      <c r="D336" s="6">
        <f t="shared" si="5"/>
        <v>0</v>
      </c>
    </row>
    <row r="337" spans="1:4" ht="18" hidden="1">
      <c r="A337" s="8" t="s">
        <v>351</v>
      </c>
      <c r="B337" s="6"/>
      <c r="C337" s="6"/>
      <c r="D337" s="6">
        <f t="shared" si="5"/>
        <v>0</v>
      </c>
    </row>
    <row r="338" spans="1:4" ht="18" hidden="1">
      <c r="A338" s="10" t="s">
        <v>352</v>
      </c>
      <c r="B338" s="6"/>
      <c r="C338" s="6"/>
      <c r="D338" s="6">
        <f t="shared" si="5"/>
        <v>0</v>
      </c>
    </row>
    <row r="339" spans="1:4" ht="18" hidden="1">
      <c r="A339" s="10" t="s">
        <v>353</v>
      </c>
      <c r="B339" s="6"/>
      <c r="C339" s="6"/>
      <c r="D339" s="6">
        <f t="shared" si="5"/>
        <v>0</v>
      </c>
    </row>
    <row r="340" spans="1:4" ht="18">
      <c r="A340" s="35"/>
      <c r="B340" s="36">
        <f>SUM(B3:B339)</f>
        <v>2215.6999999999998</v>
      </c>
      <c r="C340" s="36"/>
      <c r="D340" s="6">
        <f>SUM(D3:D294)</f>
        <v>34606000</v>
      </c>
    </row>
    <row r="341" spans="1:4" ht="18" hidden="1">
      <c r="D341" s="6">
        <f t="shared" si="5"/>
        <v>0</v>
      </c>
    </row>
    <row r="342" spans="1:4" ht="18">
      <c r="A342" s="1" t="s">
        <v>385</v>
      </c>
      <c r="B342" s="2"/>
      <c r="C342" s="2"/>
      <c r="D342" s="6"/>
    </row>
    <row r="343" spans="1:4" ht="26.4">
      <c r="A343" s="207" t="s">
        <v>381</v>
      </c>
      <c r="B343" s="4" t="s">
        <v>3</v>
      </c>
      <c r="C343" s="4" t="s">
        <v>4</v>
      </c>
      <c r="D343" s="6" t="s">
        <v>5</v>
      </c>
    </row>
    <row r="344" spans="1:4" ht="18" hidden="1">
      <c r="A344" s="206"/>
      <c r="B344" s="37"/>
      <c r="C344" s="37"/>
      <c r="D344" s="6">
        <f t="shared" si="5"/>
        <v>0</v>
      </c>
    </row>
    <row r="345" spans="1:4" ht="18" hidden="1">
      <c r="A345" s="5" t="s">
        <v>6</v>
      </c>
      <c r="B345" s="6"/>
      <c r="C345" s="6"/>
      <c r="D345" s="6">
        <f t="shared" si="5"/>
        <v>0</v>
      </c>
    </row>
    <row r="346" spans="1:4" ht="18" hidden="1">
      <c r="A346" s="7" t="s">
        <v>8</v>
      </c>
      <c r="B346" s="6"/>
      <c r="C346" s="6"/>
      <c r="D346" s="6">
        <f t="shared" si="5"/>
        <v>0</v>
      </c>
    </row>
    <row r="347" spans="1:4" ht="18" hidden="1">
      <c r="A347" s="5" t="s">
        <v>10</v>
      </c>
      <c r="B347" s="6"/>
      <c r="C347" s="6"/>
      <c r="D347" s="6">
        <f t="shared" si="5"/>
        <v>0</v>
      </c>
    </row>
    <row r="348" spans="1:4" ht="18">
      <c r="A348" s="5" t="s">
        <v>11</v>
      </c>
      <c r="B348" s="6">
        <f>40+90+84</f>
        <v>214</v>
      </c>
      <c r="C348" s="6">
        <v>6500</v>
      </c>
      <c r="D348" s="6">
        <f t="shared" si="5"/>
        <v>1391000</v>
      </c>
    </row>
    <row r="349" spans="1:4" ht="18" hidden="1">
      <c r="A349" s="8" t="s">
        <v>12</v>
      </c>
      <c r="B349" s="6"/>
      <c r="C349" s="6"/>
      <c r="D349" s="6">
        <f t="shared" si="5"/>
        <v>0</v>
      </c>
    </row>
    <row r="350" spans="1:4" ht="18" hidden="1">
      <c r="A350" s="9" t="s">
        <v>13</v>
      </c>
      <c r="B350" s="6"/>
      <c r="C350" s="6"/>
      <c r="D350" s="6">
        <f t="shared" si="5"/>
        <v>0</v>
      </c>
    </row>
    <row r="351" spans="1:4" ht="18" hidden="1">
      <c r="A351" s="5" t="s">
        <v>14</v>
      </c>
      <c r="B351" s="6"/>
      <c r="C351" s="6"/>
      <c r="D351" s="6">
        <f t="shared" si="5"/>
        <v>0</v>
      </c>
    </row>
    <row r="352" spans="1:4" ht="18" hidden="1">
      <c r="A352" s="5" t="s">
        <v>15</v>
      </c>
      <c r="B352" s="6"/>
      <c r="C352" s="6"/>
      <c r="D352" s="6">
        <f t="shared" si="5"/>
        <v>0</v>
      </c>
    </row>
    <row r="353" spans="1:4" ht="18" hidden="1">
      <c r="A353" s="10" t="s">
        <v>355</v>
      </c>
      <c r="B353" s="6"/>
      <c r="C353" s="6"/>
      <c r="D353" s="6">
        <f t="shared" si="5"/>
        <v>0</v>
      </c>
    </row>
    <row r="354" spans="1:4" ht="18" hidden="1">
      <c r="A354" s="8" t="s">
        <v>18</v>
      </c>
      <c r="B354" s="6"/>
      <c r="C354" s="6"/>
      <c r="D354" s="6">
        <f t="shared" si="5"/>
        <v>0</v>
      </c>
    </row>
    <row r="355" spans="1:4" ht="18" hidden="1">
      <c r="A355" s="8" t="s">
        <v>19</v>
      </c>
      <c r="B355" s="6"/>
      <c r="C355" s="6"/>
      <c r="D355" s="6">
        <f t="shared" si="5"/>
        <v>0</v>
      </c>
    </row>
    <row r="356" spans="1:4" ht="18" hidden="1">
      <c r="A356" s="11" t="s">
        <v>20</v>
      </c>
      <c r="B356" s="6"/>
      <c r="C356" s="6"/>
      <c r="D356" s="6">
        <f t="shared" si="5"/>
        <v>0</v>
      </c>
    </row>
    <row r="357" spans="1:4" ht="18" hidden="1">
      <c r="A357" s="11" t="s">
        <v>22</v>
      </c>
      <c r="B357" s="6"/>
      <c r="C357" s="6"/>
      <c r="D357" s="6">
        <f t="shared" si="5"/>
        <v>0</v>
      </c>
    </row>
    <row r="358" spans="1:4" ht="18" hidden="1">
      <c r="A358" s="8" t="s">
        <v>23</v>
      </c>
      <c r="B358" s="6"/>
      <c r="C358" s="6"/>
      <c r="D358" s="6">
        <f t="shared" si="5"/>
        <v>0</v>
      </c>
    </row>
    <row r="359" spans="1:4" ht="18" hidden="1">
      <c r="A359" s="8" t="s">
        <v>24</v>
      </c>
      <c r="B359" s="6"/>
      <c r="C359" s="6"/>
      <c r="D359" s="6">
        <f t="shared" si="5"/>
        <v>0</v>
      </c>
    </row>
    <row r="360" spans="1:4" ht="18" hidden="1">
      <c r="A360" s="12" t="s">
        <v>25</v>
      </c>
      <c r="B360" s="6"/>
      <c r="C360" s="6"/>
      <c r="D360" s="6">
        <f t="shared" si="5"/>
        <v>0</v>
      </c>
    </row>
    <row r="361" spans="1:4" ht="18" hidden="1">
      <c r="A361" s="10" t="s">
        <v>26</v>
      </c>
      <c r="B361" s="6"/>
      <c r="C361" s="6"/>
      <c r="D361" s="6">
        <f t="shared" si="5"/>
        <v>0</v>
      </c>
    </row>
    <row r="362" spans="1:4" ht="18">
      <c r="A362" s="8" t="s">
        <v>27</v>
      </c>
      <c r="B362" s="6">
        <f>390+420+28-75+975+705+330</f>
        <v>2773</v>
      </c>
      <c r="C362" s="6">
        <v>13000</v>
      </c>
      <c r="D362" s="6">
        <f t="shared" si="5"/>
        <v>36049000</v>
      </c>
    </row>
    <row r="363" spans="1:4" ht="18" hidden="1">
      <c r="A363" s="11" t="s">
        <v>28</v>
      </c>
      <c r="B363" s="6"/>
      <c r="C363" s="6"/>
      <c r="D363" s="6">
        <f t="shared" si="5"/>
        <v>0</v>
      </c>
    </row>
    <row r="364" spans="1:4" ht="18" hidden="1">
      <c r="A364" s="11" t="s">
        <v>29</v>
      </c>
      <c r="B364" s="6"/>
      <c r="C364" s="6"/>
      <c r="D364" s="6">
        <f t="shared" si="5"/>
        <v>0</v>
      </c>
    </row>
    <row r="365" spans="1:4" ht="18" hidden="1">
      <c r="A365" s="8" t="s">
        <v>30</v>
      </c>
      <c r="B365" s="6"/>
      <c r="C365" s="6"/>
      <c r="D365" s="6">
        <f t="shared" si="5"/>
        <v>0</v>
      </c>
    </row>
    <row r="366" spans="1:4" ht="18" hidden="1">
      <c r="A366" s="8" t="s">
        <v>31</v>
      </c>
      <c r="B366" s="6"/>
      <c r="C366" s="6"/>
      <c r="D366" s="6">
        <f t="shared" si="5"/>
        <v>0</v>
      </c>
    </row>
    <row r="367" spans="1:4" ht="18">
      <c r="A367" s="8" t="s">
        <v>32</v>
      </c>
      <c r="B367" s="6">
        <v>125</v>
      </c>
      <c r="C367" s="6">
        <v>13000</v>
      </c>
      <c r="D367" s="6">
        <f t="shared" si="5"/>
        <v>1625000</v>
      </c>
    </row>
    <row r="368" spans="1:4" ht="18" hidden="1">
      <c r="A368" s="8" t="s">
        <v>33</v>
      </c>
      <c r="B368" s="6"/>
      <c r="C368" s="6"/>
      <c r="D368" s="6">
        <f t="shared" si="5"/>
        <v>0</v>
      </c>
    </row>
    <row r="369" spans="1:4" ht="18" hidden="1">
      <c r="A369" s="8" t="s">
        <v>34</v>
      </c>
      <c r="B369" s="6"/>
      <c r="C369" s="6"/>
      <c r="D369" s="6">
        <f t="shared" si="5"/>
        <v>0</v>
      </c>
    </row>
    <row r="370" spans="1:4" ht="18" hidden="1">
      <c r="A370" s="8" t="s">
        <v>35</v>
      </c>
      <c r="B370" s="6"/>
      <c r="C370" s="6"/>
      <c r="D370" s="6">
        <f t="shared" si="5"/>
        <v>0</v>
      </c>
    </row>
    <row r="371" spans="1:4" ht="18" hidden="1">
      <c r="A371" s="11" t="s">
        <v>37</v>
      </c>
      <c r="B371" s="6"/>
      <c r="C371" s="6"/>
      <c r="D371" s="6">
        <f t="shared" si="5"/>
        <v>0</v>
      </c>
    </row>
    <row r="372" spans="1:4" ht="18" hidden="1">
      <c r="A372" s="11" t="s">
        <v>46</v>
      </c>
      <c r="B372" s="6"/>
      <c r="C372" s="6"/>
      <c r="D372" s="6">
        <f t="shared" si="5"/>
        <v>0</v>
      </c>
    </row>
    <row r="373" spans="1:4" ht="18" hidden="1">
      <c r="A373" s="8" t="s">
        <v>47</v>
      </c>
      <c r="B373" s="6"/>
      <c r="C373" s="6"/>
      <c r="D373" s="6">
        <f t="shared" si="5"/>
        <v>0</v>
      </c>
    </row>
    <row r="374" spans="1:4" ht="18" hidden="1">
      <c r="A374" s="8" t="s">
        <v>48</v>
      </c>
      <c r="B374" s="6"/>
      <c r="C374" s="6"/>
      <c r="D374" s="6">
        <f t="shared" si="5"/>
        <v>0</v>
      </c>
    </row>
    <row r="375" spans="1:4" ht="18" hidden="1">
      <c r="A375" s="10" t="s">
        <v>356</v>
      </c>
      <c r="B375" s="14"/>
      <c r="C375" s="14"/>
      <c r="D375" s="6">
        <f t="shared" si="5"/>
        <v>0</v>
      </c>
    </row>
    <row r="376" spans="1:4" ht="18" hidden="1">
      <c r="A376" s="10" t="s">
        <v>50</v>
      </c>
      <c r="B376" s="14"/>
      <c r="C376" s="14"/>
      <c r="D376" s="6">
        <f t="shared" si="5"/>
        <v>0</v>
      </c>
    </row>
    <row r="377" spans="1:4" ht="18" hidden="1">
      <c r="A377" s="8" t="s">
        <v>51</v>
      </c>
      <c r="B377" s="6"/>
      <c r="C377" s="6"/>
      <c r="D377" s="6">
        <f t="shared" si="5"/>
        <v>0</v>
      </c>
    </row>
    <row r="378" spans="1:4" ht="18" hidden="1">
      <c r="A378" s="8" t="s">
        <v>52</v>
      </c>
      <c r="B378" s="6"/>
      <c r="C378" s="6"/>
      <c r="D378" s="6">
        <f t="shared" si="5"/>
        <v>0</v>
      </c>
    </row>
    <row r="379" spans="1:4" ht="18" hidden="1">
      <c r="A379" s="15" t="s">
        <v>53</v>
      </c>
      <c r="B379" s="6"/>
      <c r="C379" s="6"/>
      <c r="D379" s="6">
        <f t="shared" si="5"/>
        <v>0</v>
      </c>
    </row>
    <row r="380" spans="1:4" ht="18" hidden="1">
      <c r="A380" s="8" t="s">
        <v>55</v>
      </c>
      <c r="B380" s="6"/>
      <c r="C380" s="6"/>
      <c r="D380" s="6">
        <f t="shared" si="5"/>
        <v>0</v>
      </c>
    </row>
    <row r="381" spans="1:4" ht="18" hidden="1">
      <c r="A381" s="8" t="s">
        <v>56</v>
      </c>
      <c r="B381" s="6"/>
      <c r="C381" s="6"/>
      <c r="D381" s="6">
        <f t="shared" si="5"/>
        <v>0</v>
      </c>
    </row>
    <row r="382" spans="1:4" ht="18" hidden="1">
      <c r="A382" s="8" t="s">
        <v>58</v>
      </c>
      <c r="B382" s="6"/>
      <c r="C382" s="6"/>
      <c r="D382" s="6">
        <f t="shared" si="5"/>
        <v>0</v>
      </c>
    </row>
    <row r="383" spans="1:4" ht="18" hidden="1">
      <c r="A383" s="8" t="s">
        <v>59</v>
      </c>
      <c r="B383" s="6"/>
      <c r="C383" s="6"/>
      <c r="D383" s="6">
        <f t="shared" si="5"/>
        <v>0</v>
      </c>
    </row>
    <row r="384" spans="1:4" ht="18" hidden="1">
      <c r="A384" s="12" t="s">
        <v>60</v>
      </c>
      <c r="B384" s="6"/>
      <c r="C384" s="6"/>
      <c r="D384" s="6">
        <f t="shared" si="5"/>
        <v>0</v>
      </c>
    </row>
    <row r="385" spans="1:4" ht="18" hidden="1">
      <c r="A385" s="10" t="s">
        <v>61</v>
      </c>
      <c r="B385" s="6"/>
      <c r="C385" s="6"/>
      <c r="D385" s="6">
        <f t="shared" si="5"/>
        <v>0</v>
      </c>
    </row>
    <row r="386" spans="1:4" ht="18" hidden="1">
      <c r="A386" s="12" t="s">
        <v>62</v>
      </c>
      <c r="B386" s="6"/>
      <c r="C386" s="6"/>
      <c r="D386" s="6">
        <f t="shared" si="5"/>
        <v>0</v>
      </c>
    </row>
    <row r="387" spans="1:4" ht="18" hidden="1">
      <c r="A387" s="8" t="s">
        <v>63</v>
      </c>
      <c r="B387" s="6"/>
      <c r="C387" s="6"/>
      <c r="D387" s="6">
        <f t="shared" si="5"/>
        <v>0</v>
      </c>
    </row>
    <row r="388" spans="1:4" ht="18" hidden="1">
      <c r="A388" s="8" t="s">
        <v>64</v>
      </c>
      <c r="B388" s="6"/>
      <c r="C388" s="6"/>
      <c r="D388" s="6">
        <f t="shared" ref="D388:D451" si="6">B388*C388</f>
        <v>0</v>
      </c>
    </row>
    <row r="389" spans="1:4" ht="18">
      <c r="A389" s="11" t="s">
        <v>65</v>
      </c>
      <c r="B389" s="6">
        <f>100+700-400+60</f>
        <v>460</v>
      </c>
      <c r="C389" s="6">
        <v>16000</v>
      </c>
      <c r="D389" s="6">
        <f t="shared" si="6"/>
        <v>7360000</v>
      </c>
    </row>
    <row r="390" spans="1:4" ht="18" hidden="1">
      <c r="A390" s="16" t="s">
        <v>66</v>
      </c>
      <c r="B390" s="6"/>
      <c r="C390" s="6"/>
      <c r="D390" s="6">
        <f t="shared" si="6"/>
        <v>0</v>
      </c>
    </row>
    <row r="391" spans="1:4" ht="18" hidden="1">
      <c r="A391" s="15" t="s">
        <v>67</v>
      </c>
      <c r="B391" s="6"/>
      <c r="C391" s="6"/>
      <c r="D391" s="6">
        <f t="shared" si="6"/>
        <v>0</v>
      </c>
    </row>
    <row r="392" spans="1:4" ht="18" hidden="1">
      <c r="A392" s="15" t="s">
        <v>69</v>
      </c>
      <c r="B392" s="6"/>
      <c r="C392" s="6"/>
      <c r="D392" s="6">
        <f t="shared" si="6"/>
        <v>0</v>
      </c>
    </row>
    <row r="393" spans="1:4" ht="18" hidden="1">
      <c r="A393" s="15" t="s">
        <v>70</v>
      </c>
      <c r="B393" s="6"/>
      <c r="C393" s="6"/>
      <c r="D393" s="6">
        <f t="shared" si="6"/>
        <v>0</v>
      </c>
    </row>
    <row r="394" spans="1:4" ht="18" hidden="1">
      <c r="A394" s="8" t="s">
        <v>71</v>
      </c>
      <c r="B394" s="6"/>
      <c r="C394" s="6"/>
      <c r="D394" s="6">
        <f t="shared" si="6"/>
        <v>0</v>
      </c>
    </row>
    <row r="395" spans="1:4" ht="18" hidden="1">
      <c r="A395" s="10" t="s">
        <v>72</v>
      </c>
      <c r="B395" s="6"/>
      <c r="C395" s="6"/>
      <c r="D395" s="6">
        <f t="shared" si="6"/>
        <v>0</v>
      </c>
    </row>
    <row r="396" spans="1:4" ht="18" hidden="1">
      <c r="A396" s="8" t="s">
        <v>73</v>
      </c>
      <c r="B396" s="6"/>
      <c r="C396" s="6"/>
      <c r="D396" s="6">
        <f t="shared" si="6"/>
        <v>0</v>
      </c>
    </row>
    <row r="397" spans="1:4" ht="18" hidden="1">
      <c r="A397" s="8" t="s">
        <v>74</v>
      </c>
      <c r="B397" s="6"/>
      <c r="C397" s="6"/>
      <c r="D397" s="6">
        <f t="shared" si="6"/>
        <v>0</v>
      </c>
    </row>
    <row r="398" spans="1:4" ht="18" hidden="1">
      <c r="A398" s="15" t="s">
        <v>75</v>
      </c>
      <c r="B398" s="6"/>
      <c r="C398" s="6"/>
      <c r="D398" s="6">
        <f t="shared" si="6"/>
        <v>0</v>
      </c>
    </row>
    <row r="399" spans="1:4" ht="18" hidden="1">
      <c r="A399" s="8" t="s">
        <v>76</v>
      </c>
      <c r="B399" s="6"/>
      <c r="C399" s="6"/>
      <c r="D399" s="6">
        <f t="shared" si="6"/>
        <v>0</v>
      </c>
    </row>
    <row r="400" spans="1:4" ht="18" hidden="1">
      <c r="A400" s="17" t="s">
        <v>77</v>
      </c>
      <c r="B400" s="6"/>
      <c r="C400" s="6"/>
      <c r="D400" s="6">
        <f t="shared" si="6"/>
        <v>0</v>
      </c>
    </row>
    <row r="401" spans="1:4" ht="18" hidden="1">
      <c r="A401" s="8" t="s">
        <v>78</v>
      </c>
      <c r="B401" s="6"/>
      <c r="C401" s="6"/>
      <c r="D401" s="6">
        <f t="shared" si="6"/>
        <v>0</v>
      </c>
    </row>
    <row r="402" spans="1:4" ht="18" hidden="1">
      <c r="A402" s="8" t="s">
        <v>79</v>
      </c>
      <c r="B402" s="6"/>
      <c r="C402" s="6"/>
      <c r="D402" s="6">
        <f t="shared" si="6"/>
        <v>0</v>
      </c>
    </row>
    <row r="403" spans="1:4" ht="18" hidden="1">
      <c r="A403" s="18" t="s">
        <v>80</v>
      </c>
      <c r="B403" s="6"/>
      <c r="C403" s="6"/>
      <c r="D403" s="6">
        <f t="shared" si="6"/>
        <v>0</v>
      </c>
    </row>
    <row r="404" spans="1:4" ht="18" hidden="1">
      <c r="A404" s="38" t="s">
        <v>81</v>
      </c>
      <c r="B404" s="6"/>
      <c r="C404" s="6"/>
      <c r="D404" s="6">
        <f t="shared" si="6"/>
        <v>0</v>
      </c>
    </row>
    <row r="405" spans="1:4" ht="18" hidden="1">
      <c r="A405" s="11" t="s">
        <v>82</v>
      </c>
      <c r="B405" s="6"/>
      <c r="C405" s="6"/>
      <c r="D405" s="6">
        <f t="shared" si="6"/>
        <v>0</v>
      </c>
    </row>
    <row r="406" spans="1:4" ht="18" hidden="1">
      <c r="A406" s="10" t="s">
        <v>83</v>
      </c>
      <c r="B406" s="6"/>
      <c r="C406" s="6"/>
      <c r="D406" s="6">
        <f t="shared" si="6"/>
        <v>0</v>
      </c>
    </row>
    <row r="407" spans="1:4" ht="18" hidden="1">
      <c r="A407" s="11" t="s">
        <v>84</v>
      </c>
      <c r="B407" s="6"/>
      <c r="C407" s="6"/>
      <c r="D407" s="6">
        <f t="shared" si="6"/>
        <v>0</v>
      </c>
    </row>
    <row r="408" spans="1:4" ht="18" hidden="1">
      <c r="A408" s="11" t="s">
        <v>85</v>
      </c>
      <c r="B408" s="6"/>
      <c r="C408" s="6"/>
      <c r="D408" s="6">
        <f t="shared" si="6"/>
        <v>0</v>
      </c>
    </row>
    <row r="409" spans="1:4" ht="18" hidden="1">
      <c r="A409" s="11" t="s">
        <v>86</v>
      </c>
      <c r="B409" s="6"/>
      <c r="C409" s="6"/>
      <c r="D409" s="6">
        <f t="shared" si="6"/>
        <v>0</v>
      </c>
    </row>
    <row r="410" spans="1:4" ht="18" hidden="1">
      <c r="A410" s="18" t="s">
        <v>87</v>
      </c>
      <c r="B410" s="6"/>
      <c r="C410" s="6"/>
      <c r="D410" s="6">
        <f t="shared" si="6"/>
        <v>0</v>
      </c>
    </row>
    <row r="411" spans="1:4" ht="18" hidden="1">
      <c r="A411" s="8" t="s">
        <v>88</v>
      </c>
      <c r="B411" s="6"/>
      <c r="C411" s="6"/>
      <c r="D411" s="6">
        <f t="shared" si="6"/>
        <v>0</v>
      </c>
    </row>
    <row r="412" spans="1:4" ht="18" hidden="1">
      <c r="A412" s="8" t="s">
        <v>89</v>
      </c>
      <c r="B412" s="6"/>
      <c r="C412" s="6"/>
      <c r="D412" s="6">
        <f t="shared" si="6"/>
        <v>0</v>
      </c>
    </row>
    <row r="413" spans="1:4" ht="18" hidden="1">
      <c r="A413" s="11" t="s">
        <v>357</v>
      </c>
      <c r="B413" s="6"/>
      <c r="C413" s="6"/>
      <c r="D413" s="6">
        <f t="shared" si="6"/>
        <v>0</v>
      </c>
    </row>
    <row r="414" spans="1:4" ht="18">
      <c r="A414" s="8" t="s">
        <v>90</v>
      </c>
      <c r="B414" s="6">
        <v>37</v>
      </c>
      <c r="C414" s="6">
        <v>27000</v>
      </c>
      <c r="D414" s="6">
        <f t="shared" si="6"/>
        <v>999000</v>
      </c>
    </row>
    <row r="415" spans="1:4" ht="18" hidden="1">
      <c r="A415" s="12" t="s">
        <v>91</v>
      </c>
      <c r="B415" s="6"/>
      <c r="C415" s="6"/>
      <c r="D415" s="6">
        <f t="shared" si="6"/>
        <v>0</v>
      </c>
    </row>
    <row r="416" spans="1:4" ht="18" hidden="1">
      <c r="A416" s="8" t="s">
        <v>92</v>
      </c>
      <c r="B416" s="6"/>
      <c r="C416" s="6"/>
      <c r="D416" s="6">
        <f t="shared" si="6"/>
        <v>0</v>
      </c>
    </row>
    <row r="417" spans="1:4" ht="18" hidden="1">
      <c r="A417" s="8" t="s">
        <v>94</v>
      </c>
      <c r="B417" s="6"/>
      <c r="C417" s="6"/>
      <c r="D417" s="6">
        <f t="shared" si="6"/>
        <v>0</v>
      </c>
    </row>
    <row r="418" spans="1:4" ht="18" hidden="1">
      <c r="A418" s="8" t="s">
        <v>95</v>
      </c>
      <c r="B418" s="6"/>
      <c r="C418" s="6"/>
      <c r="D418" s="6">
        <f t="shared" si="6"/>
        <v>0</v>
      </c>
    </row>
    <row r="419" spans="1:4" ht="18" hidden="1">
      <c r="A419" s="11" t="s">
        <v>96</v>
      </c>
      <c r="B419" s="14"/>
      <c r="C419" s="14"/>
      <c r="D419" s="6">
        <f t="shared" si="6"/>
        <v>0</v>
      </c>
    </row>
    <row r="420" spans="1:4" ht="18" hidden="1">
      <c r="A420" s="11" t="s">
        <v>97</v>
      </c>
      <c r="B420" s="14"/>
      <c r="C420" s="14"/>
      <c r="D420" s="6">
        <f t="shared" si="6"/>
        <v>0</v>
      </c>
    </row>
    <row r="421" spans="1:4" ht="18" hidden="1">
      <c r="A421" s="11" t="s">
        <v>98</v>
      </c>
      <c r="B421" s="14"/>
      <c r="C421" s="14"/>
      <c r="D421" s="6">
        <f t="shared" si="6"/>
        <v>0</v>
      </c>
    </row>
    <row r="422" spans="1:4" ht="18" hidden="1">
      <c r="A422" s="8" t="s">
        <v>99</v>
      </c>
      <c r="B422" s="6"/>
      <c r="C422" s="6"/>
      <c r="D422" s="6">
        <f t="shared" si="6"/>
        <v>0</v>
      </c>
    </row>
    <row r="423" spans="1:4" ht="18" hidden="1">
      <c r="A423" s="8" t="s">
        <v>100</v>
      </c>
      <c r="B423" s="6"/>
      <c r="C423" s="6"/>
      <c r="D423" s="6">
        <f t="shared" si="6"/>
        <v>0</v>
      </c>
    </row>
    <row r="424" spans="1:4" ht="18" hidden="1">
      <c r="A424" s="8" t="s">
        <v>101</v>
      </c>
      <c r="B424" s="6"/>
      <c r="C424" s="6"/>
      <c r="D424" s="6">
        <f t="shared" si="6"/>
        <v>0</v>
      </c>
    </row>
    <row r="425" spans="1:4" ht="18" hidden="1">
      <c r="A425" s="8" t="s">
        <v>102</v>
      </c>
      <c r="B425" s="6"/>
      <c r="C425" s="6"/>
      <c r="D425" s="6">
        <f t="shared" si="6"/>
        <v>0</v>
      </c>
    </row>
    <row r="426" spans="1:4" ht="18" hidden="1">
      <c r="A426" s="8" t="s">
        <v>103</v>
      </c>
      <c r="B426" s="6"/>
      <c r="C426" s="6"/>
      <c r="D426" s="6">
        <f t="shared" si="6"/>
        <v>0</v>
      </c>
    </row>
    <row r="427" spans="1:4" ht="18" hidden="1">
      <c r="A427" s="8" t="s">
        <v>104</v>
      </c>
      <c r="B427" s="6"/>
      <c r="C427" s="6"/>
      <c r="D427" s="6">
        <f t="shared" si="6"/>
        <v>0</v>
      </c>
    </row>
    <row r="428" spans="1:4" ht="18" hidden="1">
      <c r="A428" s="19" t="s">
        <v>105</v>
      </c>
      <c r="B428" s="6"/>
      <c r="C428" s="6"/>
      <c r="D428" s="6">
        <f t="shared" si="6"/>
        <v>0</v>
      </c>
    </row>
    <row r="429" spans="1:4" ht="18" hidden="1">
      <c r="A429" s="19" t="s">
        <v>106</v>
      </c>
      <c r="B429" s="6"/>
      <c r="C429" s="6"/>
      <c r="D429" s="6">
        <f t="shared" si="6"/>
        <v>0</v>
      </c>
    </row>
    <row r="430" spans="1:4" ht="18" hidden="1">
      <c r="A430" s="19" t="s">
        <v>107</v>
      </c>
      <c r="B430" s="6"/>
      <c r="C430" s="6"/>
      <c r="D430" s="6">
        <f t="shared" si="6"/>
        <v>0</v>
      </c>
    </row>
    <row r="431" spans="1:4" ht="18" hidden="1">
      <c r="A431" s="10" t="s">
        <v>108</v>
      </c>
      <c r="B431" s="6"/>
      <c r="C431" s="6"/>
      <c r="D431" s="6">
        <f t="shared" si="6"/>
        <v>0</v>
      </c>
    </row>
    <row r="432" spans="1:4" ht="18" hidden="1">
      <c r="A432" s="12" t="s">
        <v>109</v>
      </c>
      <c r="B432" s="6"/>
      <c r="C432" s="6"/>
      <c r="D432" s="6">
        <f t="shared" si="6"/>
        <v>0</v>
      </c>
    </row>
    <row r="433" spans="1:4" ht="18" hidden="1">
      <c r="A433" s="10" t="s">
        <v>358</v>
      </c>
      <c r="B433" s="6"/>
      <c r="C433" s="6"/>
      <c r="D433" s="6">
        <f t="shared" si="6"/>
        <v>0</v>
      </c>
    </row>
    <row r="434" spans="1:4" ht="18" hidden="1">
      <c r="A434" s="8" t="s">
        <v>110</v>
      </c>
      <c r="B434" s="6"/>
      <c r="C434" s="6"/>
      <c r="D434" s="6">
        <f t="shared" si="6"/>
        <v>0</v>
      </c>
    </row>
    <row r="435" spans="1:4" ht="18" hidden="1">
      <c r="A435" s="8" t="s">
        <v>111</v>
      </c>
      <c r="B435" s="6"/>
      <c r="C435" s="6"/>
      <c r="D435" s="6">
        <f t="shared" si="6"/>
        <v>0</v>
      </c>
    </row>
    <row r="436" spans="1:4" ht="18" hidden="1">
      <c r="A436" s="10" t="s">
        <v>359</v>
      </c>
      <c r="B436" s="6"/>
      <c r="C436" s="6"/>
      <c r="D436" s="6">
        <f t="shared" si="6"/>
        <v>0</v>
      </c>
    </row>
    <row r="437" spans="1:4" ht="18" hidden="1">
      <c r="A437" s="10" t="s">
        <v>360</v>
      </c>
      <c r="B437" s="6"/>
      <c r="C437" s="6"/>
      <c r="D437" s="6">
        <f t="shared" si="6"/>
        <v>0</v>
      </c>
    </row>
    <row r="438" spans="1:4" ht="18" hidden="1">
      <c r="A438" s="8" t="s">
        <v>113</v>
      </c>
      <c r="B438" s="14"/>
      <c r="C438" s="14"/>
      <c r="D438" s="6">
        <f t="shared" si="6"/>
        <v>0</v>
      </c>
    </row>
    <row r="439" spans="1:4" ht="18" hidden="1">
      <c r="A439" s="19" t="s">
        <v>115</v>
      </c>
      <c r="B439" s="6"/>
      <c r="C439" s="6"/>
      <c r="D439" s="6">
        <f t="shared" si="6"/>
        <v>0</v>
      </c>
    </row>
    <row r="440" spans="1:4" ht="18" hidden="1">
      <c r="A440" s="10" t="s">
        <v>116</v>
      </c>
      <c r="B440" s="6"/>
      <c r="C440" s="6"/>
      <c r="D440" s="6">
        <f t="shared" si="6"/>
        <v>0</v>
      </c>
    </row>
    <row r="441" spans="1:4" ht="18" hidden="1">
      <c r="A441" s="10" t="s">
        <v>361</v>
      </c>
      <c r="B441" s="6"/>
      <c r="C441" s="6"/>
      <c r="D441" s="6">
        <f t="shared" si="6"/>
        <v>0</v>
      </c>
    </row>
    <row r="442" spans="1:4" ht="18" hidden="1">
      <c r="A442" s="8" t="s">
        <v>117</v>
      </c>
      <c r="B442" s="6"/>
      <c r="C442" s="6"/>
      <c r="D442" s="6">
        <f t="shared" si="6"/>
        <v>0</v>
      </c>
    </row>
    <row r="443" spans="1:4" ht="18" hidden="1">
      <c r="A443" s="15" t="s">
        <v>118</v>
      </c>
      <c r="B443" s="6"/>
      <c r="C443" s="6"/>
      <c r="D443" s="6">
        <f t="shared" si="6"/>
        <v>0</v>
      </c>
    </row>
    <row r="444" spans="1:4" ht="18" hidden="1">
      <c r="A444" s="22" t="s">
        <v>119</v>
      </c>
      <c r="B444" s="6"/>
      <c r="C444" s="6"/>
      <c r="D444" s="6">
        <f t="shared" si="6"/>
        <v>0</v>
      </c>
    </row>
    <row r="445" spans="1:4" ht="18" hidden="1">
      <c r="A445" s="22" t="s">
        <v>120</v>
      </c>
      <c r="B445" s="6"/>
      <c r="C445" s="6"/>
      <c r="D445" s="6">
        <f t="shared" si="6"/>
        <v>0</v>
      </c>
    </row>
    <row r="446" spans="1:4" ht="18" hidden="1">
      <c r="A446" s="21" t="s">
        <v>121</v>
      </c>
      <c r="B446" s="6"/>
      <c r="C446" s="6"/>
      <c r="D446" s="6">
        <f t="shared" si="6"/>
        <v>0</v>
      </c>
    </row>
    <row r="447" spans="1:4" ht="18" hidden="1">
      <c r="A447" s="23" t="s">
        <v>122</v>
      </c>
      <c r="B447" s="6"/>
      <c r="C447" s="6"/>
      <c r="D447" s="6">
        <f t="shared" si="6"/>
        <v>0</v>
      </c>
    </row>
    <row r="448" spans="1:4" ht="18" hidden="1">
      <c r="A448" s="8" t="s">
        <v>123</v>
      </c>
      <c r="B448" s="6"/>
      <c r="C448" s="6"/>
      <c r="D448" s="6">
        <f t="shared" si="6"/>
        <v>0</v>
      </c>
    </row>
    <row r="449" spans="1:4" ht="18" hidden="1">
      <c r="A449" s="8" t="s">
        <v>124</v>
      </c>
      <c r="B449" s="6"/>
      <c r="C449" s="6"/>
      <c r="D449" s="6">
        <f t="shared" si="6"/>
        <v>0</v>
      </c>
    </row>
    <row r="450" spans="1:4" ht="18" hidden="1">
      <c r="A450" s="8" t="s">
        <v>125</v>
      </c>
      <c r="B450" s="6"/>
      <c r="C450" s="6"/>
      <c r="D450" s="6">
        <f t="shared" si="6"/>
        <v>0</v>
      </c>
    </row>
    <row r="451" spans="1:4" ht="18" hidden="1">
      <c r="A451" s="8" t="s">
        <v>126</v>
      </c>
      <c r="B451" s="6"/>
      <c r="C451" s="6"/>
      <c r="D451" s="6">
        <f t="shared" si="6"/>
        <v>0</v>
      </c>
    </row>
    <row r="452" spans="1:4" ht="18" hidden="1">
      <c r="A452" s="8" t="s">
        <v>128</v>
      </c>
      <c r="B452" s="6"/>
      <c r="C452" s="6"/>
      <c r="D452" s="6">
        <f t="shared" ref="D452:D515" si="7">B452*C452</f>
        <v>0</v>
      </c>
    </row>
    <row r="453" spans="1:4" ht="18" hidden="1">
      <c r="A453" s="8" t="s">
        <v>129</v>
      </c>
      <c r="B453" s="6"/>
      <c r="C453" s="6"/>
      <c r="D453" s="6">
        <f t="shared" si="7"/>
        <v>0</v>
      </c>
    </row>
    <row r="454" spans="1:4" ht="18" hidden="1">
      <c r="A454" s="8" t="s">
        <v>362</v>
      </c>
      <c r="B454" s="6"/>
      <c r="C454" s="6"/>
      <c r="D454" s="6">
        <f t="shared" si="7"/>
        <v>0</v>
      </c>
    </row>
    <row r="455" spans="1:4" ht="18" hidden="1">
      <c r="A455" s="8" t="s">
        <v>130</v>
      </c>
      <c r="B455" s="6"/>
      <c r="C455" s="6"/>
      <c r="D455" s="6">
        <f t="shared" si="7"/>
        <v>0</v>
      </c>
    </row>
    <row r="456" spans="1:4" ht="18" hidden="1">
      <c r="A456" s="10" t="s">
        <v>131</v>
      </c>
      <c r="B456" s="6"/>
      <c r="C456" s="6"/>
      <c r="D456" s="6">
        <f t="shared" si="7"/>
        <v>0</v>
      </c>
    </row>
    <row r="457" spans="1:4" ht="18" hidden="1">
      <c r="A457" s="19" t="s">
        <v>132</v>
      </c>
      <c r="B457" s="6"/>
      <c r="C457" s="6"/>
      <c r="D457" s="6">
        <f t="shared" si="7"/>
        <v>0</v>
      </c>
    </row>
    <row r="458" spans="1:4" ht="18" hidden="1">
      <c r="A458" s="8" t="s">
        <v>133</v>
      </c>
      <c r="B458" s="6"/>
      <c r="C458" s="6"/>
      <c r="D458" s="6">
        <f t="shared" si="7"/>
        <v>0</v>
      </c>
    </row>
    <row r="459" spans="1:4" ht="18" hidden="1">
      <c r="A459" s="10" t="s">
        <v>135</v>
      </c>
      <c r="B459" s="6"/>
      <c r="C459" s="6"/>
      <c r="D459" s="6">
        <f t="shared" si="7"/>
        <v>0</v>
      </c>
    </row>
    <row r="460" spans="1:4" ht="18" hidden="1">
      <c r="A460" s="10" t="s">
        <v>136</v>
      </c>
      <c r="B460" s="6"/>
      <c r="C460" s="6"/>
      <c r="D460" s="6">
        <f t="shared" si="7"/>
        <v>0</v>
      </c>
    </row>
    <row r="461" spans="1:4" ht="18" hidden="1">
      <c r="A461" s="8" t="s">
        <v>137</v>
      </c>
      <c r="B461" s="6"/>
      <c r="C461" s="6"/>
      <c r="D461" s="6">
        <f t="shared" si="7"/>
        <v>0</v>
      </c>
    </row>
    <row r="462" spans="1:4" ht="18" hidden="1">
      <c r="A462" s="9" t="s">
        <v>139</v>
      </c>
      <c r="B462" s="6"/>
      <c r="C462" s="6"/>
      <c r="D462" s="6">
        <f t="shared" si="7"/>
        <v>0</v>
      </c>
    </row>
    <row r="463" spans="1:4" ht="18" hidden="1">
      <c r="A463" s="12" t="s">
        <v>140</v>
      </c>
      <c r="B463" s="6"/>
      <c r="C463" s="6"/>
      <c r="D463" s="6">
        <f t="shared" si="7"/>
        <v>0</v>
      </c>
    </row>
    <row r="464" spans="1:4" ht="18" hidden="1">
      <c r="A464" s="11" t="s">
        <v>141</v>
      </c>
      <c r="B464" s="14"/>
      <c r="C464" s="14"/>
      <c r="D464" s="6">
        <f t="shared" si="7"/>
        <v>0</v>
      </c>
    </row>
    <row r="465" spans="1:4" ht="18" hidden="1">
      <c r="A465" s="11" t="s">
        <v>142</v>
      </c>
      <c r="B465" s="14"/>
      <c r="C465" s="14"/>
      <c r="D465" s="6">
        <f t="shared" si="7"/>
        <v>0</v>
      </c>
    </row>
    <row r="466" spans="1:4" ht="18" hidden="1">
      <c r="A466" s="11" t="s">
        <v>143</v>
      </c>
      <c r="B466" s="14"/>
      <c r="C466" s="14"/>
      <c r="D466" s="6">
        <f t="shared" si="7"/>
        <v>0</v>
      </c>
    </row>
    <row r="467" spans="1:4" ht="18" hidden="1">
      <c r="A467" s="11" t="s">
        <v>144</v>
      </c>
      <c r="B467" s="24"/>
      <c r="C467" s="24"/>
      <c r="D467" s="6">
        <f t="shared" si="7"/>
        <v>0</v>
      </c>
    </row>
    <row r="468" spans="1:4" ht="18" hidden="1">
      <c r="A468" s="25" t="s">
        <v>145</v>
      </c>
      <c r="B468" s="6"/>
      <c r="C468" s="6"/>
      <c r="D468" s="6">
        <f t="shared" si="7"/>
        <v>0</v>
      </c>
    </row>
    <row r="469" spans="1:4" ht="18" hidden="1">
      <c r="A469" s="11" t="s">
        <v>146</v>
      </c>
      <c r="B469" s="14"/>
      <c r="C469" s="14"/>
      <c r="D469" s="6">
        <f t="shared" si="7"/>
        <v>0</v>
      </c>
    </row>
    <row r="470" spans="1:4" ht="18">
      <c r="A470" s="8" t="s">
        <v>147</v>
      </c>
      <c r="B470" s="6">
        <v>15</v>
      </c>
      <c r="C470" s="6">
        <v>10000</v>
      </c>
      <c r="D470" s="6">
        <f t="shared" si="7"/>
        <v>150000</v>
      </c>
    </row>
    <row r="471" spans="1:4" ht="18" hidden="1">
      <c r="A471" s="8" t="s">
        <v>148</v>
      </c>
      <c r="B471" s="6"/>
      <c r="C471" s="6"/>
      <c r="D471" s="6">
        <f t="shared" si="7"/>
        <v>0</v>
      </c>
    </row>
    <row r="472" spans="1:4" ht="18">
      <c r="A472" s="8" t="s">
        <v>150</v>
      </c>
      <c r="B472" s="6">
        <f>40+40+38</f>
        <v>118</v>
      </c>
      <c r="C472" s="6">
        <v>13000</v>
      </c>
      <c r="D472" s="6">
        <f t="shared" si="7"/>
        <v>1534000</v>
      </c>
    </row>
    <row r="473" spans="1:4" ht="18" hidden="1">
      <c r="A473" s="15" t="s">
        <v>151</v>
      </c>
      <c r="B473" s="6"/>
      <c r="C473" s="6"/>
      <c r="D473" s="6">
        <f t="shared" si="7"/>
        <v>0</v>
      </c>
    </row>
    <row r="474" spans="1:4" ht="18" hidden="1">
      <c r="A474" s="11" t="s">
        <v>152</v>
      </c>
      <c r="B474" s="6"/>
      <c r="C474" s="6"/>
      <c r="D474" s="6">
        <f t="shared" si="7"/>
        <v>0</v>
      </c>
    </row>
    <row r="475" spans="1:4" ht="18" hidden="1">
      <c r="A475" s="11" t="s">
        <v>153</v>
      </c>
      <c r="B475" s="6"/>
      <c r="C475" s="6"/>
      <c r="D475" s="6">
        <f t="shared" si="7"/>
        <v>0</v>
      </c>
    </row>
    <row r="476" spans="1:4" ht="18" hidden="1">
      <c r="A476" s="8" t="s">
        <v>154</v>
      </c>
      <c r="B476" s="6"/>
      <c r="C476" s="6"/>
      <c r="D476" s="6">
        <f t="shared" si="7"/>
        <v>0</v>
      </c>
    </row>
    <row r="477" spans="1:4" ht="18" hidden="1">
      <c r="A477" s="8" t="s">
        <v>363</v>
      </c>
      <c r="B477" s="6"/>
      <c r="C477" s="6"/>
      <c r="D477" s="6">
        <f t="shared" si="7"/>
        <v>0</v>
      </c>
    </row>
    <row r="478" spans="1:4" ht="18" hidden="1">
      <c r="A478" s="8" t="s">
        <v>156</v>
      </c>
      <c r="B478" s="14"/>
      <c r="C478" s="14"/>
      <c r="D478" s="6">
        <f t="shared" si="7"/>
        <v>0</v>
      </c>
    </row>
    <row r="479" spans="1:4" ht="18" hidden="1">
      <c r="A479" s="8" t="s">
        <v>157</v>
      </c>
      <c r="B479" s="14"/>
      <c r="C479" s="14"/>
      <c r="D479" s="6">
        <f t="shared" si="7"/>
        <v>0</v>
      </c>
    </row>
    <row r="480" spans="1:4" ht="18" hidden="1">
      <c r="A480" s="8" t="s">
        <v>158</v>
      </c>
      <c r="B480" s="6"/>
      <c r="C480" s="6"/>
      <c r="D480" s="6">
        <f t="shared" si="7"/>
        <v>0</v>
      </c>
    </row>
    <row r="481" spans="1:4" ht="18" hidden="1">
      <c r="A481" s="8" t="s">
        <v>159</v>
      </c>
      <c r="B481" s="14"/>
      <c r="C481" s="14"/>
      <c r="D481" s="6">
        <f t="shared" si="7"/>
        <v>0</v>
      </c>
    </row>
    <row r="482" spans="1:4" ht="18" hidden="1">
      <c r="A482" s="8" t="s">
        <v>160</v>
      </c>
      <c r="B482" s="14"/>
      <c r="C482" s="14"/>
      <c r="D482" s="6">
        <f t="shared" si="7"/>
        <v>0</v>
      </c>
    </row>
    <row r="483" spans="1:4" ht="18" hidden="1">
      <c r="A483" s="8" t="s">
        <v>161</v>
      </c>
      <c r="B483" s="14"/>
      <c r="C483" s="14"/>
      <c r="D483" s="6">
        <f t="shared" si="7"/>
        <v>0</v>
      </c>
    </row>
    <row r="484" spans="1:4" ht="18" hidden="1">
      <c r="A484" s="8" t="s">
        <v>162</v>
      </c>
      <c r="B484" s="14"/>
      <c r="C484" s="14"/>
      <c r="D484" s="6">
        <f t="shared" si="7"/>
        <v>0</v>
      </c>
    </row>
    <row r="485" spans="1:4" ht="18" hidden="1">
      <c r="A485" s="8" t="s">
        <v>163</v>
      </c>
      <c r="B485" s="14"/>
      <c r="C485" s="14"/>
      <c r="D485" s="6">
        <f t="shared" si="7"/>
        <v>0</v>
      </c>
    </row>
    <row r="486" spans="1:4" ht="18" hidden="1">
      <c r="A486" s="8" t="s">
        <v>164</v>
      </c>
      <c r="B486" s="14"/>
      <c r="C486" s="14"/>
      <c r="D486" s="6">
        <f t="shared" si="7"/>
        <v>0</v>
      </c>
    </row>
    <row r="487" spans="1:4" ht="18" hidden="1">
      <c r="A487" s="8" t="s">
        <v>165</v>
      </c>
      <c r="B487" s="14"/>
      <c r="C487" s="14"/>
      <c r="D487" s="6">
        <f t="shared" si="7"/>
        <v>0</v>
      </c>
    </row>
    <row r="488" spans="1:4" ht="18" hidden="1">
      <c r="A488" s="8" t="s">
        <v>166</v>
      </c>
      <c r="B488" s="14"/>
      <c r="C488" s="14"/>
      <c r="D488" s="6">
        <f t="shared" si="7"/>
        <v>0</v>
      </c>
    </row>
    <row r="489" spans="1:4" ht="18" hidden="1">
      <c r="A489" s="8" t="s">
        <v>167</v>
      </c>
      <c r="B489" s="6"/>
      <c r="C489" s="6"/>
      <c r="D489" s="6">
        <f t="shared" si="7"/>
        <v>0</v>
      </c>
    </row>
    <row r="490" spans="1:4" ht="18" hidden="1">
      <c r="A490" s="8" t="s">
        <v>364</v>
      </c>
      <c r="B490" s="6"/>
      <c r="C490" s="6"/>
      <c r="D490" s="6">
        <f t="shared" si="7"/>
        <v>0</v>
      </c>
    </row>
    <row r="491" spans="1:4" ht="18" hidden="1">
      <c r="A491" s="8" t="s">
        <v>168</v>
      </c>
      <c r="B491" s="6"/>
      <c r="C491" s="6"/>
      <c r="D491" s="6">
        <f t="shared" si="7"/>
        <v>0</v>
      </c>
    </row>
    <row r="492" spans="1:4" ht="18" hidden="1">
      <c r="A492" s="8" t="s">
        <v>169</v>
      </c>
      <c r="B492" s="6"/>
      <c r="C492" s="6"/>
      <c r="D492" s="6">
        <f t="shared" si="7"/>
        <v>0</v>
      </c>
    </row>
    <row r="493" spans="1:4" ht="18" hidden="1">
      <c r="A493" s="8" t="s">
        <v>170</v>
      </c>
      <c r="B493" s="6"/>
      <c r="C493" s="6"/>
      <c r="D493" s="6">
        <f t="shared" si="7"/>
        <v>0</v>
      </c>
    </row>
    <row r="494" spans="1:4" ht="18" hidden="1">
      <c r="A494" s="15" t="s">
        <v>171</v>
      </c>
      <c r="B494" s="6"/>
      <c r="C494" s="6"/>
      <c r="D494" s="6">
        <f t="shared" si="7"/>
        <v>0</v>
      </c>
    </row>
    <row r="495" spans="1:4" ht="18" hidden="1">
      <c r="A495" s="8" t="s">
        <v>172</v>
      </c>
      <c r="B495" s="6"/>
      <c r="C495" s="6"/>
      <c r="D495" s="6">
        <f t="shared" si="7"/>
        <v>0</v>
      </c>
    </row>
    <row r="496" spans="1:4" ht="18" hidden="1">
      <c r="A496" s="8" t="s">
        <v>173</v>
      </c>
      <c r="B496" s="6"/>
      <c r="C496" s="6"/>
      <c r="D496" s="6">
        <f t="shared" si="7"/>
        <v>0</v>
      </c>
    </row>
    <row r="497" spans="1:4" ht="18" hidden="1">
      <c r="A497" s="8" t="s">
        <v>174</v>
      </c>
      <c r="B497" s="6"/>
      <c r="C497" s="6"/>
      <c r="D497" s="6">
        <f t="shared" si="7"/>
        <v>0</v>
      </c>
    </row>
    <row r="498" spans="1:4" ht="18" hidden="1">
      <c r="A498" s="8" t="s">
        <v>175</v>
      </c>
      <c r="B498" s="6"/>
      <c r="C498" s="6"/>
      <c r="D498" s="6">
        <f t="shared" si="7"/>
        <v>0</v>
      </c>
    </row>
    <row r="499" spans="1:4" ht="18" hidden="1">
      <c r="A499" s="8" t="s">
        <v>176</v>
      </c>
      <c r="B499" s="14"/>
      <c r="C499" s="14"/>
      <c r="D499" s="6">
        <f t="shared" si="7"/>
        <v>0</v>
      </c>
    </row>
    <row r="500" spans="1:4" ht="18" hidden="1">
      <c r="A500" s="16" t="s">
        <v>177</v>
      </c>
      <c r="B500" s="14"/>
      <c r="C500" s="14"/>
      <c r="D500" s="6">
        <f t="shared" si="7"/>
        <v>0</v>
      </c>
    </row>
    <row r="501" spans="1:4" ht="18" hidden="1">
      <c r="A501" s="8" t="s">
        <v>178</v>
      </c>
      <c r="B501" s="14"/>
      <c r="C501" s="14"/>
      <c r="D501" s="6">
        <f t="shared" si="7"/>
        <v>0</v>
      </c>
    </row>
    <row r="502" spans="1:4" ht="18" hidden="1">
      <c r="A502" s="8" t="s">
        <v>180</v>
      </c>
      <c r="B502" s="6"/>
      <c r="C502" s="6"/>
      <c r="D502" s="6">
        <f t="shared" si="7"/>
        <v>0</v>
      </c>
    </row>
    <row r="503" spans="1:4" ht="18" hidden="1">
      <c r="A503" s="15" t="s">
        <v>181</v>
      </c>
      <c r="B503" s="6"/>
      <c r="C503" s="6"/>
      <c r="D503" s="6">
        <f t="shared" si="7"/>
        <v>0</v>
      </c>
    </row>
    <row r="504" spans="1:4" ht="18">
      <c r="A504" s="8" t="s">
        <v>365</v>
      </c>
      <c r="B504" s="6">
        <v>9</v>
      </c>
      <c r="C504" s="6">
        <v>7500</v>
      </c>
      <c r="D504" s="6">
        <f t="shared" si="7"/>
        <v>67500</v>
      </c>
    </row>
    <row r="505" spans="1:4" ht="18" hidden="1">
      <c r="A505" s="11" t="s">
        <v>182</v>
      </c>
      <c r="B505" s="6"/>
      <c r="C505" s="6"/>
      <c r="D505" s="6">
        <f t="shared" si="7"/>
        <v>0</v>
      </c>
    </row>
    <row r="506" spans="1:4" ht="18" hidden="1">
      <c r="A506" s="8" t="s">
        <v>183</v>
      </c>
      <c r="B506" s="6"/>
      <c r="C506" s="6"/>
      <c r="D506" s="6">
        <f t="shared" si="7"/>
        <v>0</v>
      </c>
    </row>
    <row r="507" spans="1:4" ht="18" hidden="1">
      <c r="A507" s="8" t="s">
        <v>185</v>
      </c>
      <c r="B507" s="6"/>
      <c r="C507" s="6"/>
      <c r="D507" s="6">
        <f t="shared" si="7"/>
        <v>0</v>
      </c>
    </row>
    <row r="508" spans="1:4" ht="18" hidden="1">
      <c r="A508" s="8" t="s">
        <v>186</v>
      </c>
      <c r="B508" s="6"/>
      <c r="C508" s="6"/>
      <c r="D508" s="6">
        <f t="shared" si="7"/>
        <v>0</v>
      </c>
    </row>
    <row r="509" spans="1:4" ht="18" hidden="1">
      <c r="A509" s="18" t="s">
        <v>187</v>
      </c>
      <c r="B509" s="6"/>
      <c r="C509" s="6"/>
      <c r="D509" s="6">
        <f t="shared" si="7"/>
        <v>0</v>
      </c>
    </row>
    <row r="510" spans="1:4" ht="18" hidden="1">
      <c r="A510" s="8" t="s">
        <v>188</v>
      </c>
      <c r="B510" s="6"/>
      <c r="C510" s="6"/>
      <c r="D510" s="6">
        <f t="shared" si="7"/>
        <v>0</v>
      </c>
    </row>
    <row r="511" spans="1:4" ht="18" hidden="1">
      <c r="A511" s="28" t="s">
        <v>189</v>
      </c>
      <c r="B511" s="29"/>
      <c r="C511" s="29"/>
      <c r="D511" s="6">
        <f t="shared" si="7"/>
        <v>0</v>
      </c>
    </row>
    <row r="512" spans="1:4" ht="18" hidden="1">
      <c r="A512" s="10" t="s">
        <v>190</v>
      </c>
      <c r="B512" s="6"/>
      <c r="C512" s="6"/>
      <c r="D512" s="6">
        <f t="shared" si="7"/>
        <v>0</v>
      </c>
    </row>
    <row r="513" spans="1:4" ht="18" hidden="1">
      <c r="A513" s="8" t="s">
        <v>191</v>
      </c>
      <c r="B513" s="6"/>
      <c r="C513" s="6"/>
      <c r="D513" s="6">
        <f t="shared" si="7"/>
        <v>0</v>
      </c>
    </row>
    <row r="514" spans="1:4" ht="18" hidden="1">
      <c r="A514" s="8" t="s">
        <v>192</v>
      </c>
      <c r="B514" s="6"/>
      <c r="C514" s="6"/>
      <c r="D514" s="6">
        <f t="shared" si="7"/>
        <v>0</v>
      </c>
    </row>
    <row r="515" spans="1:4" ht="18" hidden="1">
      <c r="A515" s="11" t="s">
        <v>193</v>
      </c>
      <c r="B515" s="6"/>
      <c r="C515" s="6"/>
      <c r="D515" s="6">
        <f t="shared" si="7"/>
        <v>0</v>
      </c>
    </row>
    <row r="516" spans="1:4" ht="18" hidden="1">
      <c r="A516" s="8" t="s">
        <v>194</v>
      </c>
      <c r="B516" s="6"/>
      <c r="C516" s="6"/>
      <c r="D516" s="6">
        <f t="shared" ref="D516:D579" si="8">B516*C516</f>
        <v>0</v>
      </c>
    </row>
    <row r="517" spans="1:4" ht="18" hidden="1">
      <c r="A517" s="8" t="s">
        <v>195</v>
      </c>
      <c r="B517" s="6"/>
      <c r="C517" s="6"/>
      <c r="D517" s="6">
        <f t="shared" si="8"/>
        <v>0</v>
      </c>
    </row>
    <row r="518" spans="1:4" ht="18" hidden="1">
      <c r="A518" s="11" t="s">
        <v>196</v>
      </c>
      <c r="B518" s="6"/>
      <c r="C518" s="6"/>
      <c r="D518" s="6">
        <f t="shared" si="8"/>
        <v>0</v>
      </c>
    </row>
    <row r="519" spans="1:4" ht="18" hidden="1">
      <c r="A519" s="11" t="s">
        <v>197</v>
      </c>
      <c r="B519" s="6"/>
      <c r="C519" s="6"/>
      <c r="D519" s="6">
        <f t="shared" si="8"/>
        <v>0</v>
      </c>
    </row>
    <row r="520" spans="1:4" ht="18">
      <c r="A520" s="11" t="s">
        <v>198</v>
      </c>
      <c r="B520" s="6">
        <f>18+500+60+240-150</f>
        <v>668</v>
      </c>
      <c r="C520" s="6">
        <v>6800</v>
      </c>
      <c r="D520" s="6">
        <f t="shared" si="8"/>
        <v>4542400</v>
      </c>
    </row>
    <row r="521" spans="1:4" ht="18" hidden="1">
      <c r="A521" s="8" t="s">
        <v>199</v>
      </c>
      <c r="B521" s="6"/>
      <c r="C521" s="6"/>
      <c r="D521" s="6">
        <f t="shared" si="8"/>
        <v>0</v>
      </c>
    </row>
    <row r="522" spans="1:4" ht="18" hidden="1">
      <c r="A522" s="11" t="s">
        <v>200</v>
      </c>
      <c r="B522" s="6"/>
      <c r="C522" s="6"/>
      <c r="D522" s="6">
        <f t="shared" si="8"/>
        <v>0</v>
      </c>
    </row>
    <row r="523" spans="1:4" ht="18" hidden="1">
      <c r="A523" s="11" t="s">
        <v>201</v>
      </c>
      <c r="B523" s="6"/>
      <c r="C523" s="6"/>
      <c r="D523" s="6">
        <f t="shared" si="8"/>
        <v>0</v>
      </c>
    </row>
    <row r="524" spans="1:4" ht="18" hidden="1">
      <c r="A524" s="11" t="s">
        <v>202</v>
      </c>
      <c r="B524" s="6"/>
      <c r="C524" s="6"/>
      <c r="D524" s="6">
        <f t="shared" si="8"/>
        <v>0</v>
      </c>
    </row>
    <row r="525" spans="1:4" ht="18" hidden="1">
      <c r="A525" s="8" t="s">
        <v>203</v>
      </c>
      <c r="B525" s="6"/>
      <c r="C525" s="6"/>
      <c r="D525" s="6">
        <f t="shared" si="8"/>
        <v>0</v>
      </c>
    </row>
    <row r="526" spans="1:4" ht="18" hidden="1">
      <c r="A526" s="15" t="s">
        <v>204</v>
      </c>
      <c r="B526" s="6"/>
      <c r="C526" s="6"/>
      <c r="D526" s="6">
        <f t="shared" si="8"/>
        <v>0</v>
      </c>
    </row>
    <row r="527" spans="1:4" ht="18" hidden="1">
      <c r="A527" s="15" t="s">
        <v>205</v>
      </c>
      <c r="B527" s="6"/>
      <c r="C527" s="6"/>
      <c r="D527" s="6">
        <f t="shared" si="8"/>
        <v>0</v>
      </c>
    </row>
    <row r="528" spans="1:4" ht="18" hidden="1">
      <c r="A528" s="15" t="s">
        <v>206</v>
      </c>
      <c r="B528" s="6"/>
      <c r="C528" s="6"/>
      <c r="D528" s="6">
        <f t="shared" si="8"/>
        <v>0</v>
      </c>
    </row>
    <row r="529" spans="1:4" ht="18" hidden="1">
      <c r="A529" s="15" t="s">
        <v>207</v>
      </c>
      <c r="B529" s="6"/>
      <c r="C529" s="6"/>
      <c r="D529" s="6">
        <f t="shared" si="8"/>
        <v>0</v>
      </c>
    </row>
    <row r="530" spans="1:4" ht="18" hidden="1">
      <c r="A530" s="11" t="s">
        <v>208</v>
      </c>
      <c r="B530" s="6"/>
      <c r="C530" s="6"/>
      <c r="D530" s="6">
        <f t="shared" si="8"/>
        <v>0</v>
      </c>
    </row>
    <row r="531" spans="1:4" ht="18" hidden="1">
      <c r="A531" s="8" t="s">
        <v>209</v>
      </c>
      <c r="B531" s="6"/>
      <c r="C531" s="6"/>
      <c r="D531" s="6">
        <f t="shared" si="8"/>
        <v>0</v>
      </c>
    </row>
    <row r="532" spans="1:4" ht="18" hidden="1">
      <c r="A532" s="30" t="s">
        <v>210</v>
      </c>
      <c r="B532" s="6"/>
      <c r="C532" s="6"/>
      <c r="D532" s="6">
        <f t="shared" si="8"/>
        <v>0</v>
      </c>
    </row>
    <row r="533" spans="1:4" ht="18" hidden="1">
      <c r="A533" s="30" t="s">
        <v>211</v>
      </c>
      <c r="B533" s="6"/>
      <c r="C533" s="6"/>
      <c r="D533" s="6">
        <f t="shared" si="8"/>
        <v>0</v>
      </c>
    </row>
    <row r="534" spans="1:4" ht="18" hidden="1">
      <c r="A534" s="30" t="s">
        <v>212</v>
      </c>
      <c r="B534" s="6"/>
      <c r="C534" s="6"/>
      <c r="D534" s="6">
        <f t="shared" si="8"/>
        <v>0</v>
      </c>
    </row>
    <row r="535" spans="1:4" ht="18" hidden="1">
      <c r="A535" s="30" t="s">
        <v>213</v>
      </c>
      <c r="B535" s="6"/>
      <c r="C535" s="6"/>
      <c r="D535" s="6">
        <f t="shared" si="8"/>
        <v>0</v>
      </c>
    </row>
    <row r="536" spans="1:4" ht="18" hidden="1">
      <c r="A536" s="8" t="s">
        <v>214</v>
      </c>
      <c r="B536" s="6"/>
      <c r="C536" s="6"/>
      <c r="D536" s="6">
        <f t="shared" si="8"/>
        <v>0</v>
      </c>
    </row>
    <row r="537" spans="1:4" ht="18" hidden="1">
      <c r="A537" s="31" t="s">
        <v>215</v>
      </c>
      <c r="B537" s="6"/>
      <c r="C537" s="6"/>
      <c r="D537" s="6">
        <f t="shared" si="8"/>
        <v>0</v>
      </c>
    </row>
    <row r="538" spans="1:4" ht="18" hidden="1">
      <c r="A538" s="8" t="s">
        <v>216</v>
      </c>
      <c r="B538" s="6"/>
      <c r="C538" s="6"/>
      <c r="D538" s="6">
        <f t="shared" si="8"/>
        <v>0</v>
      </c>
    </row>
    <row r="539" spans="1:4" ht="18" hidden="1">
      <c r="A539" s="11" t="s">
        <v>217</v>
      </c>
      <c r="B539" s="6"/>
      <c r="C539" s="6"/>
      <c r="D539" s="6">
        <f t="shared" si="8"/>
        <v>0</v>
      </c>
    </row>
    <row r="540" spans="1:4" ht="18" hidden="1">
      <c r="A540" s="8" t="s">
        <v>366</v>
      </c>
      <c r="B540" s="6"/>
      <c r="C540" s="6"/>
      <c r="D540" s="6">
        <f t="shared" si="8"/>
        <v>0</v>
      </c>
    </row>
    <row r="541" spans="1:4" ht="18" hidden="1">
      <c r="A541" s="8" t="s">
        <v>218</v>
      </c>
      <c r="B541" s="6"/>
      <c r="C541" s="6"/>
      <c r="D541" s="6">
        <f t="shared" si="8"/>
        <v>0</v>
      </c>
    </row>
    <row r="542" spans="1:4" ht="18">
      <c r="A542" s="8" t="s">
        <v>219</v>
      </c>
      <c r="B542" s="6">
        <f>560+18-190</f>
        <v>388</v>
      </c>
      <c r="C542" s="6">
        <v>14000</v>
      </c>
      <c r="D542" s="6">
        <f t="shared" si="8"/>
        <v>5432000</v>
      </c>
    </row>
    <row r="543" spans="1:4" ht="18" hidden="1">
      <c r="A543" s="32" t="s">
        <v>220</v>
      </c>
      <c r="B543" s="6"/>
      <c r="C543" s="6"/>
      <c r="D543" s="6">
        <f t="shared" si="8"/>
        <v>0</v>
      </c>
    </row>
    <row r="544" spans="1:4" ht="18" hidden="1">
      <c r="A544" s="32" t="s">
        <v>221</v>
      </c>
      <c r="B544" s="6"/>
      <c r="C544" s="6"/>
      <c r="D544" s="6">
        <f t="shared" si="8"/>
        <v>0</v>
      </c>
    </row>
    <row r="545" spans="1:4" ht="18" hidden="1">
      <c r="A545" s="8" t="s">
        <v>222</v>
      </c>
      <c r="B545" s="6"/>
      <c r="C545" s="6"/>
      <c r="D545" s="6">
        <f t="shared" si="8"/>
        <v>0</v>
      </c>
    </row>
    <row r="546" spans="1:4" ht="18" hidden="1">
      <c r="A546" s="10" t="s">
        <v>223</v>
      </c>
      <c r="B546" s="6"/>
      <c r="C546" s="6"/>
      <c r="D546" s="6">
        <f t="shared" si="8"/>
        <v>0</v>
      </c>
    </row>
    <row r="547" spans="1:4" ht="18" hidden="1">
      <c r="A547" s="8" t="s">
        <v>224</v>
      </c>
      <c r="B547" s="6"/>
      <c r="C547" s="6"/>
      <c r="D547" s="6">
        <f t="shared" si="8"/>
        <v>0</v>
      </c>
    </row>
    <row r="548" spans="1:4" ht="18" hidden="1">
      <c r="A548" s="10" t="s">
        <v>367</v>
      </c>
      <c r="B548" s="6"/>
      <c r="C548" s="6"/>
      <c r="D548" s="6">
        <f t="shared" si="8"/>
        <v>0</v>
      </c>
    </row>
    <row r="549" spans="1:4" ht="18" hidden="1">
      <c r="A549" s="8" t="s">
        <v>225</v>
      </c>
      <c r="B549" s="6"/>
      <c r="C549" s="6"/>
      <c r="D549" s="6">
        <f t="shared" si="8"/>
        <v>0</v>
      </c>
    </row>
    <row r="550" spans="1:4" ht="18" hidden="1">
      <c r="A550" s="8" t="s">
        <v>226</v>
      </c>
      <c r="B550" s="6"/>
      <c r="C550" s="6"/>
      <c r="D550" s="6">
        <f t="shared" si="8"/>
        <v>0</v>
      </c>
    </row>
    <row r="551" spans="1:4" ht="18">
      <c r="A551" s="8" t="s">
        <v>368</v>
      </c>
      <c r="B551" s="6">
        <v>8</v>
      </c>
      <c r="C551" s="6">
        <v>12000</v>
      </c>
      <c r="D551" s="6">
        <f t="shared" si="8"/>
        <v>96000</v>
      </c>
    </row>
    <row r="552" spans="1:4" ht="18" hidden="1">
      <c r="A552" s="8" t="s">
        <v>369</v>
      </c>
      <c r="B552" s="6"/>
      <c r="C552" s="6"/>
      <c r="D552" s="6">
        <f t="shared" si="8"/>
        <v>0</v>
      </c>
    </row>
    <row r="553" spans="1:4" ht="18" hidden="1">
      <c r="A553" s="8" t="s">
        <v>227</v>
      </c>
      <c r="B553" s="6"/>
      <c r="C553" s="6"/>
      <c r="D553" s="6">
        <f t="shared" si="8"/>
        <v>0</v>
      </c>
    </row>
    <row r="554" spans="1:4" ht="18" hidden="1">
      <c r="A554" s="33" t="s">
        <v>228</v>
      </c>
      <c r="B554" s="6"/>
      <c r="C554" s="6"/>
      <c r="D554" s="6">
        <f t="shared" si="8"/>
        <v>0</v>
      </c>
    </row>
    <row r="555" spans="1:4" ht="18" hidden="1">
      <c r="A555" s="8" t="s">
        <v>229</v>
      </c>
      <c r="B555" s="6"/>
      <c r="C555" s="6"/>
      <c r="D555" s="6">
        <f t="shared" si="8"/>
        <v>0</v>
      </c>
    </row>
    <row r="556" spans="1:4" ht="18">
      <c r="A556" s="8" t="s">
        <v>230</v>
      </c>
      <c r="B556" s="6">
        <f>130+15+20-185+130+120</f>
        <v>230</v>
      </c>
      <c r="C556" s="6">
        <v>16000</v>
      </c>
      <c r="D556" s="6">
        <f t="shared" si="8"/>
        <v>3680000</v>
      </c>
    </row>
    <row r="557" spans="1:4" ht="18" hidden="1">
      <c r="A557" s="8" t="s">
        <v>231</v>
      </c>
      <c r="B557" s="6"/>
      <c r="C557" s="6"/>
      <c r="D557" s="6">
        <f t="shared" si="8"/>
        <v>0</v>
      </c>
    </row>
    <row r="558" spans="1:4" ht="18" hidden="1">
      <c r="A558" s="8" t="s">
        <v>370</v>
      </c>
      <c r="B558" s="6"/>
      <c r="C558" s="6"/>
      <c r="D558" s="6">
        <f t="shared" si="8"/>
        <v>0</v>
      </c>
    </row>
    <row r="559" spans="1:4" ht="18" hidden="1">
      <c r="A559" s="8" t="s">
        <v>232</v>
      </c>
      <c r="B559" s="6"/>
      <c r="C559" s="6"/>
      <c r="D559" s="6">
        <f t="shared" si="8"/>
        <v>0</v>
      </c>
    </row>
    <row r="560" spans="1:4" ht="18" hidden="1">
      <c r="A560" s="15" t="s">
        <v>233</v>
      </c>
      <c r="B560" s="6"/>
      <c r="C560" s="6"/>
      <c r="D560" s="6">
        <f t="shared" si="8"/>
        <v>0</v>
      </c>
    </row>
    <row r="561" spans="1:4" ht="18" hidden="1">
      <c r="A561" s="15" t="s">
        <v>234</v>
      </c>
      <c r="B561" s="6"/>
      <c r="C561" s="6"/>
      <c r="D561" s="6">
        <f t="shared" si="8"/>
        <v>0</v>
      </c>
    </row>
    <row r="562" spans="1:4" ht="18" hidden="1">
      <c r="A562" s="15" t="s">
        <v>235</v>
      </c>
      <c r="B562" s="6"/>
      <c r="C562" s="6"/>
      <c r="D562" s="6">
        <f t="shared" si="8"/>
        <v>0</v>
      </c>
    </row>
    <row r="563" spans="1:4" ht="18" hidden="1">
      <c r="A563" s="15" t="s">
        <v>236</v>
      </c>
      <c r="B563" s="6"/>
      <c r="C563" s="6"/>
      <c r="D563" s="6">
        <f t="shared" si="8"/>
        <v>0</v>
      </c>
    </row>
    <row r="564" spans="1:4" ht="18" hidden="1">
      <c r="A564" s="8" t="s">
        <v>237</v>
      </c>
      <c r="B564" s="6"/>
      <c r="C564" s="6"/>
      <c r="D564" s="6">
        <f t="shared" si="8"/>
        <v>0</v>
      </c>
    </row>
    <row r="565" spans="1:4" ht="18" hidden="1">
      <c r="A565" s="8" t="s">
        <v>238</v>
      </c>
      <c r="B565" s="6"/>
      <c r="C565" s="6"/>
      <c r="D565" s="6">
        <f t="shared" si="8"/>
        <v>0</v>
      </c>
    </row>
    <row r="566" spans="1:4" ht="18" hidden="1">
      <c r="A566" s="15" t="s">
        <v>239</v>
      </c>
      <c r="B566" s="6"/>
      <c r="C566" s="6"/>
      <c r="D566" s="6">
        <f t="shared" si="8"/>
        <v>0</v>
      </c>
    </row>
    <row r="567" spans="1:4" ht="18" hidden="1">
      <c r="A567" s="15" t="s">
        <v>240</v>
      </c>
      <c r="B567" s="6"/>
      <c r="C567" s="6"/>
      <c r="D567" s="6">
        <f t="shared" si="8"/>
        <v>0</v>
      </c>
    </row>
    <row r="568" spans="1:4" ht="18">
      <c r="A568" s="10" t="s">
        <v>241</v>
      </c>
      <c r="B568" s="6">
        <f>70+115</f>
        <v>185</v>
      </c>
      <c r="C568" s="6"/>
      <c r="D568" s="6">
        <f t="shared" si="8"/>
        <v>0</v>
      </c>
    </row>
    <row r="569" spans="1:4" ht="18" hidden="1">
      <c r="A569" s="11" t="s">
        <v>242</v>
      </c>
      <c r="B569" s="6"/>
      <c r="C569" s="6"/>
      <c r="D569" s="6">
        <f t="shared" si="8"/>
        <v>0</v>
      </c>
    </row>
    <row r="570" spans="1:4" ht="18" hidden="1">
      <c r="A570" s="19" t="s">
        <v>371</v>
      </c>
      <c r="B570" s="6"/>
      <c r="C570" s="6"/>
      <c r="D570" s="6">
        <f t="shared" si="8"/>
        <v>0</v>
      </c>
    </row>
    <row r="571" spans="1:4" ht="18" hidden="1">
      <c r="A571" s="19" t="s">
        <v>372</v>
      </c>
      <c r="B571" s="6"/>
      <c r="C571" s="6"/>
      <c r="D571" s="6">
        <f t="shared" si="8"/>
        <v>0</v>
      </c>
    </row>
    <row r="572" spans="1:4" ht="18" hidden="1">
      <c r="A572" s="10" t="s">
        <v>247</v>
      </c>
      <c r="B572" s="6"/>
      <c r="C572" s="6"/>
      <c r="D572" s="6">
        <f t="shared" si="8"/>
        <v>0</v>
      </c>
    </row>
    <row r="573" spans="1:4" ht="18" hidden="1">
      <c r="A573" s="8" t="s">
        <v>252</v>
      </c>
      <c r="B573" s="6"/>
      <c r="C573" s="6"/>
      <c r="D573" s="6">
        <f t="shared" si="8"/>
        <v>0</v>
      </c>
    </row>
    <row r="574" spans="1:4" ht="18" hidden="1">
      <c r="A574" s="8" t="s">
        <v>253</v>
      </c>
      <c r="B574" s="6"/>
      <c r="C574" s="6"/>
      <c r="D574" s="6">
        <f t="shared" si="8"/>
        <v>0</v>
      </c>
    </row>
    <row r="575" spans="1:4" ht="18" hidden="1">
      <c r="A575" s="12" t="s">
        <v>254</v>
      </c>
      <c r="B575" s="6"/>
      <c r="C575" s="6"/>
      <c r="D575" s="6">
        <f t="shared" si="8"/>
        <v>0</v>
      </c>
    </row>
    <row r="576" spans="1:4" ht="18" hidden="1">
      <c r="A576" s="12" t="s">
        <v>255</v>
      </c>
      <c r="B576" s="6"/>
      <c r="C576" s="6"/>
      <c r="D576" s="6">
        <f t="shared" si="8"/>
        <v>0</v>
      </c>
    </row>
    <row r="577" spans="1:4" ht="18" hidden="1">
      <c r="A577" s="30" t="s">
        <v>256</v>
      </c>
      <c r="B577" s="6"/>
      <c r="C577" s="6"/>
      <c r="D577" s="6">
        <f t="shared" si="8"/>
        <v>0</v>
      </c>
    </row>
    <row r="578" spans="1:4" ht="18" hidden="1">
      <c r="A578" s="8" t="s">
        <v>257</v>
      </c>
      <c r="B578" s="6"/>
      <c r="C578" s="6"/>
      <c r="D578" s="6">
        <f t="shared" si="8"/>
        <v>0</v>
      </c>
    </row>
    <row r="579" spans="1:4" ht="18" hidden="1">
      <c r="A579" s="8" t="s">
        <v>258</v>
      </c>
      <c r="B579" s="6"/>
      <c r="C579" s="6"/>
      <c r="D579" s="6">
        <f t="shared" si="8"/>
        <v>0</v>
      </c>
    </row>
    <row r="580" spans="1:4" ht="18" hidden="1">
      <c r="A580" s="8" t="s">
        <v>259</v>
      </c>
      <c r="B580" s="14"/>
      <c r="C580" s="14"/>
      <c r="D580" s="6">
        <f t="shared" ref="D580:D643" si="9">B580*C580</f>
        <v>0</v>
      </c>
    </row>
    <row r="581" spans="1:4" ht="18" hidden="1">
      <c r="A581" s="30" t="s">
        <v>260</v>
      </c>
      <c r="B581" s="6"/>
      <c r="C581" s="6"/>
      <c r="D581" s="6">
        <f t="shared" si="9"/>
        <v>0</v>
      </c>
    </row>
    <row r="582" spans="1:4" ht="18" hidden="1">
      <c r="A582" s="8" t="s">
        <v>261</v>
      </c>
      <c r="B582" s="14"/>
      <c r="C582" s="14"/>
      <c r="D582" s="6">
        <f t="shared" si="9"/>
        <v>0</v>
      </c>
    </row>
    <row r="583" spans="1:4" ht="18" hidden="1">
      <c r="A583" s="8" t="s">
        <v>262</v>
      </c>
      <c r="B583" s="6"/>
      <c r="C583" s="6"/>
      <c r="D583" s="6">
        <f t="shared" si="9"/>
        <v>0</v>
      </c>
    </row>
    <row r="584" spans="1:4" ht="18" hidden="1">
      <c r="A584" s="10" t="s">
        <v>264</v>
      </c>
      <c r="B584" s="6"/>
      <c r="C584" s="6"/>
      <c r="D584" s="6">
        <f t="shared" si="9"/>
        <v>0</v>
      </c>
    </row>
    <row r="585" spans="1:4" ht="18" hidden="1">
      <c r="A585" s="8" t="s">
        <v>265</v>
      </c>
      <c r="B585" s="6"/>
      <c r="C585" s="6"/>
      <c r="D585" s="6">
        <f t="shared" si="9"/>
        <v>0</v>
      </c>
    </row>
    <row r="586" spans="1:4" ht="18" hidden="1">
      <c r="A586" s="8" t="s">
        <v>266</v>
      </c>
      <c r="B586" s="6"/>
      <c r="C586" s="6"/>
      <c r="D586" s="6">
        <f t="shared" si="9"/>
        <v>0</v>
      </c>
    </row>
    <row r="587" spans="1:4" ht="18" hidden="1">
      <c r="A587" s="8" t="s">
        <v>267</v>
      </c>
      <c r="B587" s="6"/>
      <c r="C587" s="6"/>
      <c r="D587" s="6">
        <f t="shared" si="9"/>
        <v>0</v>
      </c>
    </row>
    <row r="588" spans="1:4" ht="18" hidden="1">
      <c r="A588" s="8" t="s">
        <v>268</v>
      </c>
      <c r="B588" s="6"/>
      <c r="C588" s="6"/>
      <c r="D588" s="6">
        <f t="shared" si="9"/>
        <v>0</v>
      </c>
    </row>
    <row r="589" spans="1:4" ht="18" hidden="1">
      <c r="A589" s="8" t="s">
        <v>269</v>
      </c>
      <c r="B589" s="6"/>
      <c r="C589" s="6"/>
      <c r="D589" s="6">
        <f t="shared" si="9"/>
        <v>0</v>
      </c>
    </row>
    <row r="590" spans="1:4" ht="18" hidden="1">
      <c r="A590" s="15" t="s">
        <v>270</v>
      </c>
      <c r="B590" s="6"/>
      <c r="C590" s="6"/>
      <c r="D590" s="6">
        <f t="shared" si="9"/>
        <v>0</v>
      </c>
    </row>
    <row r="591" spans="1:4" ht="18" hidden="1">
      <c r="A591" s="19" t="s">
        <v>271</v>
      </c>
      <c r="B591" s="6"/>
      <c r="C591" s="6"/>
      <c r="D591" s="6">
        <f t="shared" si="9"/>
        <v>0</v>
      </c>
    </row>
    <row r="592" spans="1:4" ht="18" hidden="1">
      <c r="A592" s="19" t="s">
        <v>272</v>
      </c>
      <c r="B592" s="6"/>
      <c r="C592" s="6"/>
      <c r="D592" s="6">
        <f t="shared" si="9"/>
        <v>0</v>
      </c>
    </row>
    <row r="593" spans="1:4" ht="18" hidden="1">
      <c r="A593" s="8" t="s">
        <v>273</v>
      </c>
      <c r="B593" s="6"/>
      <c r="C593" s="6"/>
      <c r="D593" s="6">
        <f t="shared" si="9"/>
        <v>0</v>
      </c>
    </row>
    <row r="594" spans="1:4" ht="18" hidden="1">
      <c r="A594" s="8" t="s">
        <v>274</v>
      </c>
      <c r="B594" s="6"/>
      <c r="C594" s="6"/>
      <c r="D594" s="6">
        <f t="shared" si="9"/>
        <v>0</v>
      </c>
    </row>
    <row r="595" spans="1:4" ht="18" hidden="1">
      <c r="A595" s="8" t="s">
        <v>275</v>
      </c>
      <c r="B595" s="6"/>
      <c r="C595" s="6"/>
      <c r="D595" s="6">
        <f t="shared" si="9"/>
        <v>0</v>
      </c>
    </row>
    <row r="596" spans="1:4" ht="18" hidden="1">
      <c r="A596" s="8" t="s">
        <v>276</v>
      </c>
      <c r="B596" s="6"/>
      <c r="C596" s="6"/>
      <c r="D596" s="6">
        <f t="shared" si="9"/>
        <v>0</v>
      </c>
    </row>
    <row r="597" spans="1:4" ht="18" hidden="1">
      <c r="A597" s="8" t="s">
        <v>277</v>
      </c>
      <c r="B597" s="6"/>
      <c r="C597" s="6"/>
      <c r="D597" s="6">
        <f t="shared" si="9"/>
        <v>0</v>
      </c>
    </row>
    <row r="598" spans="1:4" ht="18" hidden="1">
      <c r="A598" s="8" t="s">
        <v>278</v>
      </c>
      <c r="B598" s="6"/>
      <c r="C598" s="6"/>
      <c r="D598" s="6">
        <f t="shared" si="9"/>
        <v>0</v>
      </c>
    </row>
    <row r="599" spans="1:4" ht="18" hidden="1">
      <c r="A599" s="8" t="s">
        <v>279</v>
      </c>
      <c r="B599" s="6"/>
      <c r="C599" s="6"/>
      <c r="D599" s="6">
        <f t="shared" si="9"/>
        <v>0</v>
      </c>
    </row>
    <row r="600" spans="1:4" ht="18" hidden="1">
      <c r="A600" s="8" t="s">
        <v>280</v>
      </c>
      <c r="B600" s="14"/>
      <c r="C600" s="14"/>
      <c r="D600" s="6">
        <f t="shared" si="9"/>
        <v>0</v>
      </c>
    </row>
    <row r="601" spans="1:4" ht="18" hidden="1">
      <c r="A601" s="12" t="s">
        <v>281</v>
      </c>
      <c r="B601" s="6"/>
      <c r="C601" s="6"/>
      <c r="D601" s="6">
        <f t="shared" si="9"/>
        <v>0</v>
      </c>
    </row>
    <row r="602" spans="1:4" ht="18" hidden="1">
      <c r="A602" s="8" t="s">
        <v>282</v>
      </c>
      <c r="B602" s="6"/>
      <c r="C602" s="6"/>
      <c r="D602" s="6">
        <f t="shared" si="9"/>
        <v>0</v>
      </c>
    </row>
    <row r="603" spans="1:4" ht="18" hidden="1">
      <c r="A603" s="10" t="s">
        <v>373</v>
      </c>
      <c r="B603" s="6"/>
      <c r="C603" s="6"/>
      <c r="D603" s="6">
        <f t="shared" si="9"/>
        <v>0</v>
      </c>
    </row>
    <row r="604" spans="1:4" ht="18" hidden="1">
      <c r="A604" s="10" t="s">
        <v>283</v>
      </c>
      <c r="B604" s="6"/>
      <c r="C604" s="6"/>
      <c r="D604" s="6">
        <f t="shared" si="9"/>
        <v>0</v>
      </c>
    </row>
    <row r="605" spans="1:4" ht="18" hidden="1">
      <c r="A605" s="8" t="s">
        <v>284</v>
      </c>
      <c r="B605" s="6"/>
      <c r="C605" s="6"/>
      <c r="D605" s="6">
        <f t="shared" si="9"/>
        <v>0</v>
      </c>
    </row>
    <row r="606" spans="1:4" ht="18" hidden="1">
      <c r="A606" s="8" t="s">
        <v>374</v>
      </c>
      <c r="B606" s="6"/>
      <c r="C606" s="6"/>
      <c r="D606" s="6">
        <f t="shared" si="9"/>
        <v>0</v>
      </c>
    </row>
    <row r="607" spans="1:4" ht="18" hidden="1">
      <c r="A607" s="8" t="s">
        <v>285</v>
      </c>
      <c r="B607" s="6"/>
      <c r="C607" s="6"/>
      <c r="D607" s="6">
        <f t="shared" si="9"/>
        <v>0</v>
      </c>
    </row>
    <row r="608" spans="1:4" ht="18" hidden="1">
      <c r="A608" s="8" t="s">
        <v>375</v>
      </c>
      <c r="B608" s="6"/>
      <c r="C608" s="6"/>
      <c r="D608" s="6">
        <f t="shared" si="9"/>
        <v>0</v>
      </c>
    </row>
    <row r="609" spans="1:4" ht="18" hidden="1">
      <c r="A609" s="8" t="s">
        <v>287</v>
      </c>
      <c r="B609" s="6"/>
      <c r="C609" s="6"/>
      <c r="D609" s="6">
        <f t="shared" si="9"/>
        <v>0</v>
      </c>
    </row>
    <row r="610" spans="1:4" ht="18" hidden="1">
      <c r="A610" s="8" t="s">
        <v>288</v>
      </c>
      <c r="B610" s="6"/>
      <c r="C610" s="6"/>
      <c r="D610" s="6">
        <f t="shared" si="9"/>
        <v>0</v>
      </c>
    </row>
    <row r="611" spans="1:4" ht="18" hidden="1">
      <c r="A611" s="8" t="s">
        <v>289</v>
      </c>
      <c r="B611" s="6"/>
      <c r="C611" s="6"/>
      <c r="D611" s="6">
        <f t="shared" si="9"/>
        <v>0</v>
      </c>
    </row>
    <row r="612" spans="1:4" ht="18" hidden="1">
      <c r="A612" s="30" t="s">
        <v>291</v>
      </c>
      <c r="B612" s="6"/>
      <c r="C612" s="6"/>
      <c r="D612" s="6">
        <f t="shared" si="9"/>
        <v>0</v>
      </c>
    </row>
    <row r="613" spans="1:4" ht="18" hidden="1">
      <c r="A613" s="8" t="s">
        <v>292</v>
      </c>
      <c r="B613" s="6"/>
      <c r="C613" s="6"/>
      <c r="D613" s="6">
        <f t="shared" si="9"/>
        <v>0</v>
      </c>
    </row>
    <row r="614" spans="1:4" ht="18" hidden="1">
      <c r="A614" s="30" t="s">
        <v>293</v>
      </c>
      <c r="B614" s="6"/>
      <c r="C614" s="6"/>
      <c r="D614" s="6">
        <f t="shared" si="9"/>
        <v>0</v>
      </c>
    </row>
    <row r="615" spans="1:4" ht="18" hidden="1">
      <c r="A615" s="10" t="s">
        <v>376</v>
      </c>
      <c r="B615" s="6"/>
      <c r="C615" s="6"/>
      <c r="D615" s="6">
        <f t="shared" si="9"/>
        <v>0</v>
      </c>
    </row>
    <row r="616" spans="1:4" ht="18" hidden="1">
      <c r="A616" s="30" t="s">
        <v>294</v>
      </c>
      <c r="B616" s="6"/>
      <c r="C616" s="6"/>
      <c r="D616" s="6">
        <f t="shared" si="9"/>
        <v>0</v>
      </c>
    </row>
    <row r="617" spans="1:4" ht="18" hidden="1">
      <c r="A617" s="11" t="s">
        <v>295</v>
      </c>
      <c r="B617" s="14"/>
      <c r="C617" s="14"/>
      <c r="D617" s="6">
        <f t="shared" si="9"/>
        <v>0</v>
      </c>
    </row>
    <row r="618" spans="1:4" ht="18" hidden="1">
      <c r="A618" s="15" t="s">
        <v>299</v>
      </c>
      <c r="B618" s="6"/>
      <c r="C618" s="6"/>
      <c r="D618" s="6">
        <f t="shared" si="9"/>
        <v>0</v>
      </c>
    </row>
    <row r="619" spans="1:4" ht="18" hidden="1">
      <c r="A619" s="15" t="s">
        <v>300</v>
      </c>
      <c r="B619" s="6"/>
      <c r="C619" s="6"/>
      <c r="D619" s="6">
        <f t="shared" si="9"/>
        <v>0</v>
      </c>
    </row>
    <row r="620" spans="1:4" ht="18" hidden="1">
      <c r="A620" s="15" t="s">
        <v>301</v>
      </c>
      <c r="B620" s="6"/>
      <c r="C620" s="6"/>
      <c r="D620" s="6">
        <f t="shared" si="9"/>
        <v>0</v>
      </c>
    </row>
    <row r="621" spans="1:4" ht="18" hidden="1">
      <c r="A621" s="8" t="s">
        <v>302</v>
      </c>
      <c r="B621" s="6"/>
      <c r="C621" s="6"/>
      <c r="D621" s="6">
        <f t="shared" si="9"/>
        <v>0</v>
      </c>
    </row>
    <row r="622" spans="1:4" ht="18" hidden="1">
      <c r="A622" s="15" t="s">
        <v>303</v>
      </c>
      <c r="B622" s="6"/>
      <c r="C622" s="6"/>
      <c r="D622" s="6">
        <f t="shared" si="9"/>
        <v>0</v>
      </c>
    </row>
    <row r="623" spans="1:4" ht="18" hidden="1">
      <c r="A623" s="8" t="s">
        <v>304</v>
      </c>
      <c r="B623" s="6"/>
      <c r="C623" s="6"/>
      <c r="D623" s="6">
        <f t="shared" si="9"/>
        <v>0</v>
      </c>
    </row>
    <row r="624" spans="1:4" ht="18" hidden="1">
      <c r="A624" s="8" t="s">
        <v>305</v>
      </c>
      <c r="B624" s="6"/>
      <c r="C624" s="6"/>
      <c r="D624" s="6">
        <f t="shared" si="9"/>
        <v>0</v>
      </c>
    </row>
    <row r="625" spans="1:4" ht="18" hidden="1">
      <c r="A625" s="15" t="s">
        <v>306</v>
      </c>
      <c r="B625" s="6"/>
      <c r="C625" s="6"/>
      <c r="D625" s="6">
        <f t="shared" si="9"/>
        <v>0</v>
      </c>
    </row>
    <row r="626" spans="1:4" ht="18" hidden="1">
      <c r="A626" s="23" t="s">
        <v>307</v>
      </c>
      <c r="B626" s="6"/>
      <c r="C626" s="6"/>
      <c r="D626" s="6">
        <f t="shared" si="9"/>
        <v>0</v>
      </c>
    </row>
    <row r="627" spans="1:4" ht="18" hidden="1">
      <c r="A627" s="8" t="s">
        <v>308</v>
      </c>
      <c r="B627" s="6"/>
      <c r="C627" s="6"/>
      <c r="D627" s="6">
        <f t="shared" si="9"/>
        <v>0</v>
      </c>
    </row>
    <row r="628" spans="1:4" ht="18" hidden="1">
      <c r="A628" s="12" t="s">
        <v>309</v>
      </c>
      <c r="B628" s="6"/>
      <c r="C628" s="6"/>
      <c r="D628" s="6">
        <f t="shared" si="9"/>
        <v>0</v>
      </c>
    </row>
    <row r="629" spans="1:4" ht="18" hidden="1">
      <c r="A629" s="11" t="s">
        <v>311</v>
      </c>
      <c r="B629" s="6"/>
      <c r="C629" s="6"/>
      <c r="D629" s="6">
        <f t="shared" si="9"/>
        <v>0</v>
      </c>
    </row>
    <row r="630" spans="1:4" ht="18" hidden="1">
      <c r="A630" s="15" t="s">
        <v>312</v>
      </c>
      <c r="B630" s="6"/>
      <c r="C630" s="6"/>
      <c r="D630" s="6">
        <f t="shared" si="9"/>
        <v>0</v>
      </c>
    </row>
    <row r="631" spans="1:4" ht="18" hidden="1">
      <c r="A631" s="12" t="s">
        <v>313</v>
      </c>
      <c r="B631" s="6"/>
      <c r="C631" s="6"/>
      <c r="D631" s="6">
        <f t="shared" si="9"/>
        <v>0</v>
      </c>
    </row>
    <row r="632" spans="1:4" ht="18" hidden="1">
      <c r="A632" s="8" t="s">
        <v>314</v>
      </c>
      <c r="B632" s="6"/>
      <c r="C632" s="6"/>
      <c r="D632" s="6">
        <f t="shared" si="9"/>
        <v>0</v>
      </c>
    </row>
    <row r="633" spans="1:4" ht="18" hidden="1">
      <c r="A633" s="15" t="s">
        <v>315</v>
      </c>
      <c r="B633" s="6"/>
      <c r="C633" s="6"/>
      <c r="D633" s="6">
        <f t="shared" si="9"/>
        <v>0</v>
      </c>
    </row>
    <row r="634" spans="1:4" ht="18" hidden="1">
      <c r="A634" s="11" t="s">
        <v>377</v>
      </c>
      <c r="B634" s="6"/>
      <c r="C634" s="6"/>
      <c r="D634" s="6">
        <f t="shared" si="9"/>
        <v>0</v>
      </c>
    </row>
    <row r="635" spans="1:4" ht="18" hidden="1">
      <c r="A635" s="8" t="s">
        <v>378</v>
      </c>
      <c r="B635" s="6"/>
      <c r="C635" s="6"/>
      <c r="D635" s="6">
        <f t="shared" si="9"/>
        <v>0</v>
      </c>
    </row>
    <row r="636" spans="1:4" ht="18" hidden="1">
      <c r="A636" s="10" t="s">
        <v>318</v>
      </c>
      <c r="B636" s="6"/>
      <c r="C636" s="6"/>
      <c r="D636" s="6">
        <f t="shared" si="9"/>
        <v>0</v>
      </c>
    </row>
    <row r="637" spans="1:4" ht="18" hidden="1">
      <c r="A637" s="8" t="s">
        <v>379</v>
      </c>
      <c r="B637" s="6"/>
      <c r="C637" s="6"/>
      <c r="D637" s="6">
        <f t="shared" si="9"/>
        <v>0</v>
      </c>
    </row>
    <row r="638" spans="1:4" ht="18" hidden="1">
      <c r="A638" s="11" t="s">
        <v>319</v>
      </c>
      <c r="B638" s="6"/>
      <c r="C638" s="6"/>
      <c r="D638" s="6">
        <f t="shared" si="9"/>
        <v>0</v>
      </c>
    </row>
    <row r="639" spans="1:4" ht="18" hidden="1">
      <c r="A639" s="11" t="s">
        <v>320</v>
      </c>
      <c r="B639" s="6"/>
      <c r="C639" s="6"/>
      <c r="D639" s="6">
        <f t="shared" si="9"/>
        <v>0</v>
      </c>
    </row>
    <row r="640" spans="1:4" ht="18" hidden="1">
      <c r="A640" s="8" t="s">
        <v>321</v>
      </c>
      <c r="B640" s="6"/>
      <c r="C640" s="6"/>
      <c r="D640" s="6">
        <f t="shared" si="9"/>
        <v>0</v>
      </c>
    </row>
    <row r="641" spans="1:4" ht="18" hidden="1">
      <c r="A641" s="8" t="s">
        <v>322</v>
      </c>
      <c r="B641" s="6"/>
      <c r="C641" s="6"/>
      <c r="D641" s="6">
        <f t="shared" si="9"/>
        <v>0</v>
      </c>
    </row>
    <row r="642" spans="1:4" ht="18" hidden="1">
      <c r="A642" s="8" t="s">
        <v>323</v>
      </c>
      <c r="B642" s="6"/>
      <c r="C642" s="6"/>
      <c r="D642" s="6">
        <f t="shared" si="9"/>
        <v>0</v>
      </c>
    </row>
    <row r="643" spans="1:4" ht="18" hidden="1">
      <c r="A643" s="12" t="s">
        <v>324</v>
      </c>
      <c r="B643" s="6"/>
      <c r="C643" s="6"/>
      <c r="D643" s="6">
        <f t="shared" si="9"/>
        <v>0</v>
      </c>
    </row>
    <row r="644" spans="1:4" ht="18" hidden="1">
      <c r="A644" s="12" t="s">
        <v>325</v>
      </c>
      <c r="B644" s="6"/>
      <c r="C644" s="6"/>
      <c r="D644" s="6">
        <f t="shared" ref="D644:D671" si="10">B644*C644</f>
        <v>0</v>
      </c>
    </row>
    <row r="645" spans="1:4" ht="18" hidden="1">
      <c r="A645" s="19" t="s">
        <v>326</v>
      </c>
      <c r="B645" s="6"/>
      <c r="C645" s="6"/>
      <c r="D645" s="6">
        <f t="shared" si="10"/>
        <v>0</v>
      </c>
    </row>
    <row r="646" spans="1:4" ht="18" hidden="1">
      <c r="A646" s="12" t="s">
        <v>327</v>
      </c>
      <c r="B646" s="6"/>
      <c r="C646" s="6"/>
      <c r="D646" s="6">
        <f t="shared" si="10"/>
        <v>0</v>
      </c>
    </row>
    <row r="647" spans="1:4" ht="18" hidden="1">
      <c r="A647" s="8" t="s">
        <v>328</v>
      </c>
      <c r="B647" s="6"/>
      <c r="C647" s="6"/>
      <c r="D647" s="6">
        <f t="shared" si="10"/>
        <v>0</v>
      </c>
    </row>
    <row r="648" spans="1:4" ht="18" hidden="1">
      <c r="A648" s="8" t="s">
        <v>329</v>
      </c>
      <c r="B648" s="6"/>
      <c r="C648" s="6"/>
      <c r="D648" s="6">
        <f t="shared" si="10"/>
        <v>0</v>
      </c>
    </row>
    <row r="649" spans="1:4" ht="18" hidden="1">
      <c r="A649" s="8" t="s">
        <v>330</v>
      </c>
      <c r="B649" s="6"/>
      <c r="C649" s="6"/>
      <c r="D649" s="6">
        <f t="shared" si="10"/>
        <v>0</v>
      </c>
    </row>
    <row r="650" spans="1:4" ht="18" hidden="1">
      <c r="A650" s="8" t="s">
        <v>331</v>
      </c>
      <c r="B650" s="6"/>
      <c r="C650" s="6"/>
      <c r="D650" s="6">
        <f t="shared" si="10"/>
        <v>0</v>
      </c>
    </row>
    <row r="651" spans="1:4" ht="18" hidden="1">
      <c r="A651" s="19" t="s">
        <v>332</v>
      </c>
      <c r="B651" s="6"/>
      <c r="C651" s="6"/>
      <c r="D651" s="6">
        <f t="shared" si="10"/>
        <v>0</v>
      </c>
    </row>
    <row r="652" spans="1:4" ht="18" hidden="1">
      <c r="A652" s="8" t="s">
        <v>333</v>
      </c>
      <c r="B652" s="6"/>
      <c r="C652" s="6"/>
      <c r="D652" s="6">
        <f t="shared" si="10"/>
        <v>0</v>
      </c>
    </row>
    <row r="653" spans="1:4" ht="18" hidden="1">
      <c r="A653" s="8" t="s">
        <v>334</v>
      </c>
      <c r="B653" s="6"/>
      <c r="C653" s="6"/>
      <c r="D653" s="6">
        <f t="shared" si="10"/>
        <v>0</v>
      </c>
    </row>
    <row r="654" spans="1:4" ht="18" hidden="1">
      <c r="A654" s="11" t="s">
        <v>335</v>
      </c>
      <c r="B654" s="6"/>
      <c r="C654" s="6"/>
      <c r="D654" s="6">
        <f t="shared" si="10"/>
        <v>0</v>
      </c>
    </row>
    <row r="655" spans="1:4" ht="18" hidden="1">
      <c r="A655" s="8" t="s">
        <v>336</v>
      </c>
      <c r="B655" s="34"/>
      <c r="C655" s="34"/>
      <c r="D655" s="6">
        <f t="shared" si="10"/>
        <v>0</v>
      </c>
    </row>
    <row r="656" spans="1:4" ht="18" hidden="1">
      <c r="A656" s="8" t="s">
        <v>337</v>
      </c>
      <c r="B656" s="6"/>
      <c r="C656" s="6"/>
      <c r="D656" s="6">
        <f t="shared" si="10"/>
        <v>0</v>
      </c>
    </row>
    <row r="657" spans="1:4" ht="18" hidden="1">
      <c r="A657" s="8" t="s">
        <v>338</v>
      </c>
      <c r="B657" s="6"/>
      <c r="C657" s="6"/>
      <c r="D657" s="6">
        <f t="shared" si="10"/>
        <v>0</v>
      </c>
    </row>
    <row r="658" spans="1:4" ht="18" hidden="1">
      <c r="A658" s="19" t="s">
        <v>339</v>
      </c>
      <c r="B658" s="6"/>
      <c r="C658" s="6"/>
      <c r="D658" s="6">
        <f t="shared" si="10"/>
        <v>0</v>
      </c>
    </row>
    <row r="659" spans="1:4" ht="18" hidden="1">
      <c r="A659" s="19" t="s">
        <v>340</v>
      </c>
      <c r="B659" s="6"/>
      <c r="C659" s="6"/>
      <c r="D659" s="6">
        <f t="shared" si="10"/>
        <v>0</v>
      </c>
    </row>
    <row r="660" spans="1:4" ht="18" hidden="1">
      <c r="A660" s="8" t="s">
        <v>341</v>
      </c>
      <c r="B660" s="6"/>
      <c r="C660" s="6"/>
      <c r="D660" s="6">
        <f t="shared" si="10"/>
        <v>0</v>
      </c>
    </row>
    <row r="661" spans="1:4" ht="18" hidden="1">
      <c r="A661" s="8" t="s">
        <v>342</v>
      </c>
      <c r="B661" s="6"/>
      <c r="C661" s="6"/>
      <c r="D661" s="6">
        <f t="shared" si="10"/>
        <v>0</v>
      </c>
    </row>
    <row r="662" spans="1:4" ht="18" hidden="1">
      <c r="A662" s="19" t="s">
        <v>343</v>
      </c>
      <c r="B662" s="6"/>
      <c r="C662" s="6"/>
      <c r="D662" s="6">
        <f t="shared" si="10"/>
        <v>0</v>
      </c>
    </row>
    <row r="663" spans="1:4" ht="18" hidden="1">
      <c r="A663" s="8" t="s">
        <v>344</v>
      </c>
      <c r="B663" s="6"/>
      <c r="C663" s="6"/>
      <c r="D663" s="6">
        <f t="shared" si="10"/>
        <v>0</v>
      </c>
    </row>
    <row r="664" spans="1:4" ht="18" hidden="1">
      <c r="A664" s="8" t="s">
        <v>345</v>
      </c>
      <c r="B664" s="6"/>
      <c r="C664" s="6"/>
      <c r="D664" s="6">
        <f t="shared" si="10"/>
        <v>0</v>
      </c>
    </row>
    <row r="665" spans="1:4" ht="18" hidden="1">
      <c r="A665" s="8" t="s">
        <v>346</v>
      </c>
      <c r="B665" s="6"/>
      <c r="C665" s="6"/>
      <c r="D665" s="6">
        <f t="shared" si="10"/>
        <v>0</v>
      </c>
    </row>
    <row r="666" spans="1:4" ht="18" hidden="1">
      <c r="A666" s="8" t="s">
        <v>347</v>
      </c>
      <c r="B666" s="6"/>
      <c r="C666" s="6"/>
      <c r="D666" s="6">
        <f t="shared" si="10"/>
        <v>0</v>
      </c>
    </row>
    <row r="667" spans="1:4" ht="18" hidden="1">
      <c r="A667" s="8" t="s">
        <v>348</v>
      </c>
      <c r="B667" s="6"/>
      <c r="C667" s="6"/>
      <c r="D667" s="6">
        <f t="shared" si="10"/>
        <v>0</v>
      </c>
    </row>
    <row r="668" spans="1:4" ht="18" hidden="1">
      <c r="A668" s="8" t="s">
        <v>349</v>
      </c>
      <c r="B668" s="6"/>
      <c r="C668" s="6"/>
      <c r="D668" s="6">
        <f t="shared" si="10"/>
        <v>0</v>
      </c>
    </row>
    <row r="669" spans="1:4" ht="18" hidden="1">
      <c r="A669" s="8" t="s">
        <v>350</v>
      </c>
      <c r="B669" s="6"/>
      <c r="C669" s="6"/>
      <c r="D669" s="6">
        <f t="shared" si="10"/>
        <v>0</v>
      </c>
    </row>
    <row r="670" spans="1:4" ht="18" hidden="1">
      <c r="A670" s="8" t="s">
        <v>351</v>
      </c>
      <c r="B670" s="6"/>
      <c r="C670" s="6"/>
      <c r="D670" s="6">
        <f t="shared" si="10"/>
        <v>0</v>
      </c>
    </row>
    <row r="671" spans="1:4" ht="18" hidden="1">
      <c r="A671" s="10" t="s">
        <v>353</v>
      </c>
      <c r="B671" s="6"/>
      <c r="C671" s="6"/>
      <c r="D671" s="6">
        <f t="shared" si="10"/>
        <v>0</v>
      </c>
    </row>
    <row r="672" spans="1:4" ht="17.399999999999999">
      <c r="A672" s="35"/>
      <c r="B672" s="36">
        <f>SUM(B345:B671)</f>
        <v>5230</v>
      </c>
      <c r="C672" s="36"/>
      <c r="D672" s="36">
        <f t="shared" ref="D672" si="11">SUM(D345:D671)</f>
        <v>62925900</v>
      </c>
    </row>
    <row r="674" spans="4:4">
      <c r="D674" s="190">
        <f>D672+D340</f>
        <v>97531900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5000000}">
    <filterColumn colId="1">
      <customFilters>
        <customFilter operator="notEqual" val="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674"/>
  <sheetViews>
    <sheetView topLeftCell="A251" workbookViewId="0">
      <selection activeCell="D674" sqref="D674"/>
    </sheetView>
  </sheetViews>
  <sheetFormatPr defaultColWidth="9" defaultRowHeight="14.4"/>
  <cols>
    <col min="1" max="1" width="35.44140625" customWidth="1"/>
    <col min="3" max="3" width="14.44140625" customWidth="1"/>
    <col min="4" max="4" width="20.88671875" customWidth="1"/>
  </cols>
  <sheetData>
    <row r="1" spans="1:4">
      <c r="A1" s="1" t="s">
        <v>386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387</v>
      </c>
      <c r="D2" s="4" t="s">
        <v>5</v>
      </c>
    </row>
    <row r="3" spans="1:4" ht="18" hidden="1">
      <c r="A3" s="5" t="s">
        <v>6</v>
      </c>
      <c r="B3" s="6"/>
      <c r="C3" s="6"/>
      <c r="D3" s="6">
        <f>B3*C3</f>
        <v>0</v>
      </c>
    </row>
    <row r="4" spans="1:4" ht="18" hidden="1">
      <c r="A4" s="7" t="s">
        <v>8</v>
      </c>
      <c r="B4" s="6"/>
      <c r="C4" s="6"/>
      <c r="D4" s="6">
        <f t="shared" ref="D4:D67" si="0">B4*C4</f>
        <v>0</v>
      </c>
    </row>
    <row r="5" spans="1:4" ht="18" hidden="1">
      <c r="A5" s="5" t="s">
        <v>10</v>
      </c>
      <c r="B5" s="6"/>
      <c r="C5" s="6"/>
      <c r="D5" s="6">
        <f t="shared" si="0"/>
        <v>0</v>
      </c>
    </row>
    <row r="6" spans="1:4" ht="18" hidden="1">
      <c r="A6" s="5" t="s">
        <v>11</v>
      </c>
      <c r="B6" s="6"/>
      <c r="C6" s="6"/>
      <c r="D6" s="6">
        <f t="shared" si="0"/>
        <v>0</v>
      </c>
    </row>
    <row r="7" spans="1:4" ht="18" hidden="1">
      <c r="A7" s="8" t="s">
        <v>12</v>
      </c>
      <c r="B7" s="6"/>
      <c r="C7" s="6"/>
      <c r="D7" s="6">
        <f t="shared" si="0"/>
        <v>0</v>
      </c>
    </row>
    <row r="8" spans="1:4" ht="18" hidden="1">
      <c r="A8" s="9" t="s">
        <v>13</v>
      </c>
      <c r="B8" s="6"/>
      <c r="C8" s="6"/>
      <c r="D8" s="6">
        <f t="shared" si="0"/>
        <v>0</v>
      </c>
    </row>
    <row r="9" spans="1:4" ht="18" hidden="1">
      <c r="A9" s="5" t="s">
        <v>14</v>
      </c>
      <c r="B9" s="6"/>
      <c r="C9" s="6"/>
      <c r="D9" s="6">
        <f t="shared" si="0"/>
        <v>0</v>
      </c>
    </row>
    <row r="10" spans="1:4" ht="18" hidden="1">
      <c r="A10" s="5" t="s">
        <v>15</v>
      </c>
      <c r="B10" s="6"/>
      <c r="C10" s="6"/>
      <c r="D10" s="6">
        <f t="shared" si="0"/>
        <v>0</v>
      </c>
    </row>
    <row r="11" spans="1:4" ht="18" hidden="1">
      <c r="A11" s="10" t="s">
        <v>16</v>
      </c>
      <c r="B11" s="6"/>
      <c r="C11" s="6"/>
      <c r="D11" s="6">
        <f t="shared" si="0"/>
        <v>0</v>
      </c>
    </row>
    <row r="12" spans="1:4" ht="18" hidden="1">
      <c r="A12" s="8" t="s">
        <v>18</v>
      </c>
      <c r="B12" s="6"/>
      <c r="C12" s="6"/>
      <c r="D12" s="6">
        <f t="shared" si="0"/>
        <v>0</v>
      </c>
    </row>
    <row r="13" spans="1:4" ht="18" hidden="1">
      <c r="A13" s="8" t="s">
        <v>19</v>
      </c>
      <c r="B13" s="6"/>
      <c r="C13" s="6"/>
      <c r="D13" s="6">
        <f t="shared" si="0"/>
        <v>0</v>
      </c>
    </row>
    <row r="14" spans="1:4" ht="18" hidden="1">
      <c r="A14" s="11" t="s">
        <v>20</v>
      </c>
      <c r="B14" s="6"/>
      <c r="C14" s="6"/>
      <c r="D14" s="6">
        <f t="shared" si="0"/>
        <v>0</v>
      </c>
    </row>
    <row r="15" spans="1:4" ht="18">
      <c r="A15" s="11" t="s">
        <v>22</v>
      </c>
      <c r="B15" s="6">
        <v>15</v>
      </c>
      <c r="C15" s="6">
        <v>18000</v>
      </c>
      <c r="D15" s="6">
        <f t="shared" si="0"/>
        <v>270000</v>
      </c>
    </row>
    <row r="16" spans="1:4" ht="18" hidden="1">
      <c r="A16" s="8" t="s">
        <v>23</v>
      </c>
      <c r="B16" s="6"/>
      <c r="C16" s="6"/>
      <c r="D16" s="6">
        <f t="shared" si="0"/>
        <v>0</v>
      </c>
    </row>
    <row r="17" spans="1:4" ht="18" hidden="1">
      <c r="A17" s="8" t="s">
        <v>24</v>
      </c>
      <c r="B17" s="6"/>
      <c r="C17" s="6"/>
      <c r="D17" s="6">
        <f t="shared" si="0"/>
        <v>0</v>
      </c>
    </row>
    <row r="18" spans="1:4" ht="18">
      <c r="A18" s="12" t="s">
        <v>25</v>
      </c>
      <c r="B18" s="6">
        <v>33</v>
      </c>
      <c r="C18" s="6">
        <v>4000</v>
      </c>
      <c r="D18" s="6">
        <f t="shared" si="0"/>
        <v>132000</v>
      </c>
    </row>
    <row r="19" spans="1:4" ht="18" hidden="1">
      <c r="A19" s="10" t="s">
        <v>26</v>
      </c>
      <c r="B19" s="6"/>
      <c r="C19" s="13"/>
      <c r="D19" s="6">
        <f t="shared" si="0"/>
        <v>0</v>
      </c>
    </row>
    <row r="20" spans="1:4" ht="18">
      <c r="A20" s="8" t="s">
        <v>27</v>
      </c>
      <c r="B20" s="6">
        <v>100</v>
      </c>
      <c r="C20" s="6">
        <v>13000</v>
      </c>
      <c r="D20" s="6">
        <f t="shared" si="0"/>
        <v>1300000</v>
      </c>
    </row>
    <row r="21" spans="1:4" ht="18" hidden="1">
      <c r="A21" s="11" t="s">
        <v>28</v>
      </c>
      <c r="B21" s="6"/>
      <c r="C21" s="6"/>
      <c r="D21" s="6">
        <f t="shared" si="0"/>
        <v>0</v>
      </c>
    </row>
    <row r="22" spans="1:4" ht="18" hidden="1">
      <c r="A22" s="11" t="s">
        <v>29</v>
      </c>
      <c r="B22" s="6"/>
      <c r="C22" s="6"/>
      <c r="D22" s="6">
        <f t="shared" si="0"/>
        <v>0</v>
      </c>
    </row>
    <row r="23" spans="1:4" ht="18" hidden="1">
      <c r="A23" s="8" t="s">
        <v>30</v>
      </c>
      <c r="B23" s="6"/>
      <c r="C23" s="6"/>
      <c r="D23" s="6">
        <f t="shared" si="0"/>
        <v>0</v>
      </c>
    </row>
    <row r="24" spans="1:4" ht="18" hidden="1">
      <c r="A24" s="8" t="s">
        <v>31</v>
      </c>
      <c r="B24" s="6"/>
      <c r="C24" s="6"/>
      <c r="D24" s="6">
        <f t="shared" si="0"/>
        <v>0</v>
      </c>
    </row>
    <row r="25" spans="1:4" ht="18">
      <c r="A25" s="8" t="s">
        <v>32</v>
      </c>
      <c r="B25" s="6">
        <v>70</v>
      </c>
      <c r="C25" s="6">
        <v>13000</v>
      </c>
      <c r="D25" s="6">
        <f t="shared" si="0"/>
        <v>910000</v>
      </c>
    </row>
    <row r="26" spans="1:4" ht="18" hidden="1">
      <c r="A26" s="8" t="s">
        <v>33</v>
      </c>
      <c r="B26" s="6"/>
      <c r="C26" s="6"/>
      <c r="D26" s="6">
        <f t="shared" si="0"/>
        <v>0</v>
      </c>
    </row>
    <row r="27" spans="1:4" ht="18" hidden="1">
      <c r="A27" s="8" t="s">
        <v>34</v>
      </c>
      <c r="B27" s="6"/>
      <c r="C27" s="6"/>
      <c r="D27" s="6">
        <f t="shared" si="0"/>
        <v>0</v>
      </c>
    </row>
    <row r="28" spans="1:4" ht="18">
      <c r="A28" s="8" t="s">
        <v>35</v>
      </c>
      <c r="B28" s="6">
        <v>33</v>
      </c>
      <c r="C28" s="6">
        <v>12000</v>
      </c>
      <c r="D28" s="6">
        <f t="shared" si="0"/>
        <v>396000</v>
      </c>
    </row>
    <row r="29" spans="1:4" ht="18" hidden="1">
      <c r="A29" s="10" t="s">
        <v>36</v>
      </c>
      <c r="B29" s="14"/>
      <c r="C29" s="14"/>
      <c r="D29" s="6">
        <f t="shared" si="0"/>
        <v>0</v>
      </c>
    </row>
    <row r="30" spans="1:4" ht="18" hidden="1">
      <c r="A30" s="11" t="s">
        <v>37</v>
      </c>
      <c r="B30" s="6"/>
      <c r="C30" s="6"/>
      <c r="D30" s="6">
        <f t="shared" si="0"/>
        <v>0</v>
      </c>
    </row>
    <row r="31" spans="1:4" ht="18" hidden="1">
      <c r="A31" s="10" t="s">
        <v>38</v>
      </c>
      <c r="B31" s="6"/>
      <c r="C31" s="6"/>
      <c r="D31" s="6">
        <f t="shared" si="0"/>
        <v>0</v>
      </c>
    </row>
    <row r="32" spans="1:4" ht="18" hidden="1">
      <c r="A32" s="10" t="s">
        <v>40</v>
      </c>
      <c r="B32" s="6"/>
      <c r="C32" s="6"/>
      <c r="D32" s="6">
        <f t="shared" si="0"/>
        <v>0</v>
      </c>
    </row>
    <row r="33" spans="1:4" ht="18" hidden="1">
      <c r="A33" s="10" t="s">
        <v>41</v>
      </c>
      <c r="B33" s="6"/>
      <c r="C33" s="6"/>
      <c r="D33" s="6">
        <f t="shared" si="0"/>
        <v>0</v>
      </c>
    </row>
    <row r="34" spans="1:4" ht="18" hidden="1">
      <c r="A34" s="11" t="s">
        <v>42</v>
      </c>
      <c r="B34" s="6"/>
      <c r="C34" s="6"/>
      <c r="D34" s="6">
        <f t="shared" si="0"/>
        <v>0</v>
      </c>
    </row>
    <row r="35" spans="1:4" ht="18" hidden="1">
      <c r="A35" s="10" t="s">
        <v>43</v>
      </c>
      <c r="B35" s="6"/>
      <c r="C35" s="6"/>
      <c r="D35" s="6">
        <f t="shared" si="0"/>
        <v>0</v>
      </c>
    </row>
    <row r="36" spans="1:4" ht="18" hidden="1">
      <c r="A36" s="10" t="s">
        <v>44</v>
      </c>
      <c r="B36" s="6"/>
      <c r="C36" s="6"/>
      <c r="D36" s="6">
        <f t="shared" si="0"/>
        <v>0</v>
      </c>
    </row>
    <row r="37" spans="1:4" ht="18" hidden="1">
      <c r="A37" s="10" t="s">
        <v>45</v>
      </c>
      <c r="B37" s="6"/>
      <c r="C37" s="6"/>
      <c r="D37" s="6">
        <f t="shared" si="0"/>
        <v>0</v>
      </c>
    </row>
    <row r="38" spans="1:4" ht="18">
      <c r="A38" s="11" t="s">
        <v>46</v>
      </c>
      <c r="B38" s="6">
        <v>25</v>
      </c>
      <c r="C38" s="6">
        <v>10000</v>
      </c>
      <c r="D38" s="6">
        <f t="shared" si="0"/>
        <v>250000</v>
      </c>
    </row>
    <row r="39" spans="1:4" ht="18" hidden="1">
      <c r="A39" s="8" t="s">
        <v>47</v>
      </c>
      <c r="B39" s="6"/>
      <c r="C39" s="6"/>
      <c r="D39" s="6">
        <f t="shared" si="0"/>
        <v>0</v>
      </c>
    </row>
    <row r="40" spans="1:4" ht="18" hidden="1">
      <c r="A40" s="8" t="s">
        <v>48</v>
      </c>
      <c r="B40" s="6"/>
      <c r="C40" s="6"/>
      <c r="D40" s="6">
        <f t="shared" si="0"/>
        <v>0</v>
      </c>
    </row>
    <row r="41" spans="1:4" ht="18" hidden="1">
      <c r="A41" s="10" t="s">
        <v>50</v>
      </c>
      <c r="B41" s="14"/>
      <c r="C41" s="14"/>
      <c r="D41" s="6">
        <f t="shared" si="0"/>
        <v>0</v>
      </c>
    </row>
    <row r="42" spans="1:4" ht="18" hidden="1">
      <c r="A42" s="8" t="s">
        <v>51</v>
      </c>
      <c r="B42" s="6"/>
      <c r="C42" s="6"/>
      <c r="D42" s="6">
        <f t="shared" si="0"/>
        <v>0</v>
      </c>
    </row>
    <row r="43" spans="1:4" ht="18" hidden="1">
      <c r="A43" s="8" t="s">
        <v>52</v>
      </c>
      <c r="B43" s="6"/>
      <c r="C43" s="6"/>
      <c r="D43" s="6">
        <f t="shared" si="0"/>
        <v>0</v>
      </c>
    </row>
    <row r="44" spans="1:4" ht="18" hidden="1">
      <c r="A44" s="15" t="s">
        <v>53</v>
      </c>
      <c r="B44" s="6"/>
      <c r="C44" s="6"/>
      <c r="D44" s="6">
        <f t="shared" si="0"/>
        <v>0</v>
      </c>
    </row>
    <row r="45" spans="1:4" ht="18" hidden="1">
      <c r="A45" s="8" t="s">
        <v>55</v>
      </c>
      <c r="B45" s="6"/>
      <c r="C45" s="6"/>
      <c r="D45" s="6">
        <f t="shared" si="0"/>
        <v>0</v>
      </c>
    </row>
    <row r="46" spans="1:4" ht="18" hidden="1">
      <c r="A46" s="8" t="s">
        <v>56</v>
      </c>
      <c r="B46" s="6"/>
      <c r="C46" s="6"/>
      <c r="D46" s="6">
        <f t="shared" si="0"/>
        <v>0</v>
      </c>
    </row>
    <row r="47" spans="1:4" ht="18" hidden="1">
      <c r="A47" s="8" t="s">
        <v>58</v>
      </c>
      <c r="B47" s="6"/>
      <c r="C47" s="6"/>
      <c r="D47" s="6">
        <f t="shared" si="0"/>
        <v>0</v>
      </c>
    </row>
    <row r="48" spans="1:4" ht="18" hidden="1">
      <c r="A48" s="16" t="s">
        <v>59</v>
      </c>
      <c r="B48" s="6"/>
      <c r="C48" s="6"/>
      <c r="D48" s="6">
        <f t="shared" si="0"/>
        <v>0</v>
      </c>
    </row>
    <row r="49" spans="1:4" ht="18" hidden="1">
      <c r="A49" s="12" t="s">
        <v>60</v>
      </c>
      <c r="B49" s="6"/>
      <c r="C49" s="6"/>
      <c r="D49" s="6">
        <f t="shared" si="0"/>
        <v>0</v>
      </c>
    </row>
    <row r="50" spans="1:4" ht="18" hidden="1">
      <c r="A50" s="10" t="s">
        <v>61</v>
      </c>
      <c r="B50" s="6"/>
      <c r="C50" s="6"/>
      <c r="D50" s="6">
        <f t="shared" si="0"/>
        <v>0</v>
      </c>
    </row>
    <row r="51" spans="1:4" ht="18" hidden="1">
      <c r="A51" s="12" t="s">
        <v>62</v>
      </c>
      <c r="B51" s="6"/>
      <c r="C51" s="6"/>
      <c r="D51" s="6">
        <f t="shared" si="0"/>
        <v>0</v>
      </c>
    </row>
    <row r="52" spans="1:4" ht="18" hidden="1">
      <c r="A52" s="8" t="s">
        <v>63</v>
      </c>
      <c r="B52" s="6"/>
      <c r="C52" s="6"/>
      <c r="D52" s="6">
        <f t="shared" si="0"/>
        <v>0</v>
      </c>
    </row>
    <row r="53" spans="1:4" ht="18" hidden="1">
      <c r="A53" s="8" t="s">
        <v>64</v>
      </c>
      <c r="B53" s="6"/>
      <c r="C53" s="6"/>
      <c r="D53" s="6">
        <f t="shared" si="0"/>
        <v>0</v>
      </c>
    </row>
    <row r="54" spans="1:4" ht="18" hidden="1">
      <c r="A54" s="11" t="s">
        <v>65</v>
      </c>
      <c r="B54" s="6"/>
      <c r="C54" s="6"/>
      <c r="D54" s="6">
        <f t="shared" si="0"/>
        <v>0</v>
      </c>
    </row>
    <row r="55" spans="1:4" ht="18" hidden="1">
      <c r="A55" s="8" t="s">
        <v>66</v>
      </c>
      <c r="B55" s="6"/>
      <c r="C55" s="6"/>
      <c r="D55" s="6">
        <f t="shared" si="0"/>
        <v>0</v>
      </c>
    </row>
    <row r="56" spans="1:4" ht="18" hidden="1">
      <c r="A56" s="15" t="s">
        <v>67</v>
      </c>
      <c r="B56" s="6"/>
      <c r="C56" s="6"/>
      <c r="D56" s="6">
        <f t="shared" si="0"/>
        <v>0</v>
      </c>
    </row>
    <row r="57" spans="1:4" ht="18" hidden="1">
      <c r="A57" s="15" t="s">
        <v>69</v>
      </c>
      <c r="B57" s="6"/>
      <c r="C57" s="6"/>
      <c r="D57" s="6">
        <f t="shared" si="0"/>
        <v>0</v>
      </c>
    </row>
    <row r="58" spans="1:4" ht="18" hidden="1">
      <c r="A58" s="15" t="s">
        <v>70</v>
      </c>
      <c r="B58" s="6"/>
      <c r="C58" s="6"/>
      <c r="D58" s="6">
        <f t="shared" si="0"/>
        <v>0</v>
      </c>
    </row>
    <row r="59" spans="1:4" ht="18" hidden="1">
      <c r="A59" s="8" t="s">
        <v>71</v>
      </c>
      <c r="B59" s="6"/>
      <c r="C59" s="6"/>
      <c r="D59" s="6">
        <f t="shared" si="0"/>
        <v>0</v>
      </c>
    </row>
    <row r="60" spans="1:4" ht="18" hidden="1">
      <c r="A60" s="10" t="s">
        <v>72</v>
      </c>
      <c r="B60" s="6"/>
      <c r="C60" s="6"/>
      <c r="D60" s="6">
        <f t="shared" si="0"/>
        <v>0</v>
      </c>
    </row>
    <row r="61" spans="1:4" ht="18" hidden="1">
      <c r="A61" s="8" t="s">
        <v>73</v>
      </c>
      <c r="B61" s="6"/>
      <c r="C61" s="6"/>
      <c r="D61" s="6">
        <f t="shared" si="0"/>
        <v>0</v>
      </c>
    </row>
    <row r="62" spans="1:4" ht="18" hidden="1">
      <c r="A62" s="16" t="s">
        <v>74</v>
      </c>
      <c r="B62" s="6"/>
      <c r="C62" s="6"/>
      <c r="D62" s="6">
        <f t="shared" si="0"/>
        <v>0</v>
      </c>
    </row>
    <row r="63" spans="1:4" ht="18" hidden="1">
      <c r="A63" s="15" t="s">
        <v>75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v>300</v>
      </c>
      <c r="C64" s="6">
        <v>14000</v>
      </c>
      <c r="D64" s="6">
        <f t="shared" si="0"/>
        <v>4200000</v>
      </c>
    </row>
    <row r="65" spans="1:4" ht="18" hidden="1">
      <c r="A65" s="17" t="s">
        <v>77</v>
      </c>
      <c r="B65" s="6"/>
      <c r="C65" s="6"/>
      <c r="D65" s="6">
        <f t="shared" si="0"/>
        <v>0</v>
      </c>
    </row>
    <row r="66" spans="1:4" ht="18" hidden="1">
      <c r="A66" s="8" t="s">
        <v>78</v>
      </c>
      <c r="B66" s="6"/>
      <c r="C66" s="6"/>
      <c r="D66" s="6">
        <f t="shared" si="0"/>
        <v>0</v>
      </c>
    </row>
    <row r="67" spans="1:4" ht="18" hidden="1">
      <c r="A67" s="8" t="s">
        <v>79</v>
      </c>
      <c r="B67" s="6"/>
      <c r="C67" s="6"/>
      <c r="D67" s="6">
        <f t="shared" si="0"/>
        <v>0</v>
      </c>
    </row>
    <row r="68" spans="1:4" ht="18" hidden="1">
      <c r="A68" s="18" t="s">
        <v>80</v>
      </c>
      <c r="B68" s="6"/>
      <c r="C68" s="6"/>
      <c r="D68" s="6">
        <f t="shared" ref="D68:D131" si="1">B68*C68</f>
        <v>0</v>
      </c>
    </row>
    <row r="69" spans="1:4" ht="18" hidden="1">
      <c r="A69" s="11" t="s">
        <v>81</v>
      </c>
      <c r="B69" s="6"/>
      <c r="C69" s="6"/>
      <c r="D69" s="6">
        <f t="shared" si="1"/>
        <v>0</v>
      </c>
    </row>
    <row r="70" spans="1:4" ht="18">
      <c r="A70" s="11" t="s">
        <v>82</v>
      </c>
      <c r="B70" s="6">
        <f>32+39</f>
        <v>71</v>
      </c>
      <c r="C70" s="6">
        <v>10000</v>
      </c>
      <c r="D70" s="6">
        <f t="shared" si="1"/>
        <v>710000</v>
      </c>
    </row>
    <row r="71" spans="1:4" ht="18" hidden="1">
      <c r="A71" s="10" t="s">
        <v>83</v>
      </c>
      <c r="B71" s="6"/>
      <c r="C71" s="6"/>
      <c r="D71" s="6">
        <f t="shared" si="1"/>
        <v>0</v>
      </c>
    </row>
    <row r="72" spans="1:4" ht="18" hidden="1">
      <c r="A72" s="11" t="s">
        <v>84</v>
      </c>
      <c r="B72" s="6"/>
      <c r="C72" s="6"/>
      <c r="D72" s="6">
        <f t="shared" si="1"/>
        <v>0</v>
      </c>
    </row>
    <row r="73" spans="1:4" ht="18" hidden="1">
      <c r="A73" s="11" t="s">
        <v>85</v>
      </c>
      <c r="B73" s="6"/>
      <c r="C73" s="6"/>
      <c r="D73" s="6">
        <f t="shared" si="1"/>
        <v>0</v>
      </c>
    </row>
    <row r="74" spans="1:4" ht="18" hidden="1">
      <c r="A74" s="11" t="s">
        <v>86</v>
      </c>
      <c r="B74" s="6"/>
      <c r="C74" s="6"/>
      <c r="D74" s="6">
        <f t="shared" si="1"/>
        <v>0</v>
      </c>
    </row>
    <row r="75" spans="1:4" ht="18" hidden="1">
      <c r="A75" s="18" t="s">
        <v>87</v>
      </c>
      <c r="B75" s="6"/>
      <c r="C75" s="6"/>
      <c r="D75" s="6">
        <f t="shared" si="1"/>
        <v>0</v>
      </c>
    </row>
    <row r="76" spans="1:4" ht="18" hidden="1">
      <c r="A76" s="8" t="s">
        <v>88</v>
      </c>
      <c r="B76" s="6"/>
      <c r="C76" s="6"/>
      <c r="D76" s="6">
        <f t="shared" si="1"/>
        <v>0</v>
      </c>
    </row>
    <row r="77" spans="1:4" ht="18" hidden="1">
      <c r="A77" s="8" t="s">
        <v>89</v>
      </c>
      <c r="B77" s="6"/>
      <c r="C77" s="6"/>
      <c r="D77" s="6">
        <f t="shared" si="1"/>
        <v>0</v>
      </c>
    </row>
    <row r="78" spans="1:4" ht="18" hidden="1">
      <c r="A78" s="8" t="s">
        <v>90</v>
      </c>
      <c r="B78" s="6"/>
      <c r="C78" s="6"/>
      <c r="D78" s="6">
        <f t="shared" si="1"/>
        <v>0</v>
      </c>
    </row>
    <row r="79" spans="1:4" ht="18" hidden="1">
      <c r="A79" s="12" t="s">
        <v>91</v>
      </c>
      <c r="B79" s="6"/>
      <c r="C79" s="6"/>
      <c r="D79" s="6">
        <f t="shared" si="1"/>
        <v>0</v>
      </c>
    </row>
    <row r="80" spans="1:4" ht="18" hidden="1">
      <c r="A80" s="8" t="s">
        <v>92</v>
      </c>
      <c r="B80" s="6"/>
      <c r="C80" s="6"/>
      <c r="D80" s="6">
        <f t="shared" si="1"/>
        <v>0</v>
      </c>
    </row>
    <row r="81" spans="1:4" ht="18" hidden="1">
      <c r="A81" s="8" t="s">
        <v>94</v>
      </c>
      <c r="B81" s="6"/>
      <c r="C81" s="6"/>
      <c r="D81" s="6">
        <f t="shared" si="1"/>
        <v>0</v>
      </c>
    </row>
    <row r="82" spans="1:4" ht="18" hidden="1">
      <c r="A82" s="8" t="s">
        <v>95</v>
      </c>
      <c r="B82" s="6"/>
      <c r="C82" s="6"/>
      <c r="D82" s="6">
        <f t="shared" si="1"/>
        <v>0</v>
      </c>
    </row>
    <row r="83" spans="1:4" ht="18" hidden="1">
      <c r="A83" s="11" t="s">
        <v>96</v>
      </c>
      <c r="B83" s="14"/>
      <c r="C83" s="14"/>
      <c r="D83" s="6">
        <f t="shared" si="1"/>
        <v>0</v>
      </c>
    </row>
    <row r="84" spans="1:4" ht="18" hidden="1">
      <c r="A84" s="11" t="s">
        <v>97</v>
      </c>
      <c r="B84" s="14"/>
      <c r="C84" s="14"/>
      <c r="D84" s="6">
        <f t="shared" si="1"/>
        <v>0</v>
      </c>
    </row>
    <row r="85" spans="1:4" ht="18" hidden="1">
      <c r="A85" s="11" t="s">
        <v>98</v>
      </c>
      <c r="B85" s="14"/>
      <c r="C85" s="14"/>
      <c r="D85" s="6">
        <f t="shared" si="1"/>
        <v>0</v>
      </c>
    </row>
    <row r="86" spans="1:4" ht="18" hidden="1">
      <c r="A86" s="8" t="s">
        <v>99</v>
      </c>
      <c r="B86" s="6"/>
      <c r="C86" s="6"/>
      <c r="D86" s="6">
        <f t="shared" si="1"/>
        <v>0</v>
      </c>
    </row>
    <row r="87" spans="1:4" ht="18">
      <c r="A87" s="8" t="s">
        <v>100</v>
      </c>
      <c r="B87" s="6">
        <v>80</v>
      </c>
      <c r="C87" s="6">
        <v>20000</v>
      </c>
      <c r="D87" s="6">
        <f t="shared" si="1"/>
        <v>1600000</v>
      </c>
    </row>
    <row r="88" spans="1:4" ht="18" hidden="1">
      <c r="A88" s="8" t="s">
        <v>101</v>
      </c>
      <c r="B88" s="6"/>
      <c r="C88" s="6"/>
      <c r="D88" s="6">
        <f t="shared" si="1"/>
        <v>0</v>
      </c>
    </row>
    <row r="89" spans="1:4" ht="18" hidden="1">
      <c r="A89" s="8" t="s">
        <v>102</v>
      </c>
      <c r="B89" s="6"/>
      <c r="C89" s="6"/>
      <c r="D89" s="6">
        <f t="shared" si="1"/>
        <v>0</v>
      </c>
    </row>
    <row r="90" spans="1:4" ht="18" hidden="1">
      <c r="A90" s="8" t="s">
        <v>103</v>
      </c>
      <c r="B90" s="6"/>
      <c r="C90" s="6"/>
      <c r="D90" s="6">
        <f t="shared" si="1"/>
        <v>0</v>
      </c>
    </row>
    <row r="91" spans="1:4" ht="18" hidden="1">
      <c r="A91" s="8" t="s">
        <v>104</v>
      </c>
      <c r="B91" s="6"/>
      <c r="C91" s="6"/>
      <c r="D91" s="6">
        <f t="shared" si="1"/>
        <v>0</v>
      </c>
    </row>
    <row r="92" spans="1:4" ht="18" hidden="1">
      <c r="A92" s="19" t="s">
        <v>105</v>
      </c>
      <c r="B92" s="6"/>
      <c r="C92" s="6"/>
      <c r="D92" s="6">
        <f t="shared" si="1"/>
        <v>0</v>
      </c>
    </row>
    <row r="93" spans="1:4" ht="18" hidden="1">
      <c r="A93" s="19" t="s">
        <v>106</v>
      </c>
      <c r="B93" s="6"/>
      <c r="C93" s="6"/>
      <c r="D93" s="6">
        <f t="shared" si="1"/>
        <v>0</v>
      </c>
    </row>
    <row r="94" spans="1:4" ht="18" hidden="1">
      <c r="A94" s="19" t="s">
        <v>107</v>
      </c>
      <c r="B94" s="6"/>
      <c r="C94" s="6"/>
      <c r="D94" s="6">
        <f t="shared" si="1"/>
        <v>0</v>
      </c>
    </row>
    <row r="95" spans="1:4" ht="18" hidden="1">
      <c r="A95" s="10" t="s">
        <v>108</v>
      </c>
      <c r="B95" s="6"/>
      <c r="C95" s="6"/>
      <c r="D95" s="6">
        <f t="shared" si="1"/>
        <v>0</v>
      </c>
    </row>
    <row r="96" spans="1:4" ht="18" hidden="1">
      <c r="A96" s="12" t="s">
        <v>109</v>
      </c>
      <c r="B96" s="6"/>
      <c r="C96" s="6"/>
      <c r="D96" s="6">
        <f t="shared" si="1"/>
        <v>0</v>
      </c>
    </row>
    <row r="97" spans="1:4" ht="18" hidden="1">
      <c r="A97" s="8" t="s">
        <v>110</v>
      </c>
      <c r="B97" s="6"/>
      <c r="C97" s="6"/>
      <c r="D97" s="6">
        <f t="shared" si="1"/>
        <v>0</v>
      </c>
    </row>
    <row r="98" spans="1:4" ht="18" hidden="1">
      <c r="A98" s="8" t="s">
        <v>111</v>
      </c>
      <c r="B98" s="6"/>
      <c r="C98" s="6"/>
      <c r="D98" s="6">
        <f t="shared" si="1"/>
        <v>0</v>
      </c>
    </row>
    <row r="99" spans="1:4" ht="18" hidden="1">
      <c r="A99" s="10" t="s">
        <v>112</v>
      </c>
      <c r="B99" s="6"/>
      <c r="C99" s="6"/>
      <c r="D99" s="6">
        <f t="shared" si="1"/>
        <v>0</v>
      </c>
    </row>
    <row r="100" spans="1:4" ht="18" hidden="1">
      <c r="A100" s="8" t="s">
        <v>113</v>
      </c>
      <c r="B100" s="14"/>
      <c r="C100" s="14"/>
      <c r="D100" s="6">
        <f t="shared" si="1"/>
        <v>0</v>
      </c>
    </row>
    <row r="101" spans="1:4" ht="18" hidden="1">
      <c r="A101" s="10" t="s">
        <v>114</v>
      </c>
      <c r="B101" s="6"/>
      <c r="C101" s="6"/>
      <c r="D101" s="6">
        <f t="shared" si="1"/>
        <v>0</v>
      </c>
    </row>
    <row r="102" spans="1:4" ht="18" hidden="1">
      <c r="A102" s="20" t="s">
        <v>115</v>
      </c>
      <c r="B102" s="6"/>
      <c r="C102" s="6"/>
      <c r="D102" s="6">
        <f t="shared" si="1"/>
        <v>0</v>
      </c>
    </row>
    <row r="103" spans="1:4" ht="18" hidden="1">
      <c r="A103" s="21" t="s">
        <v>116</v>
      </c>
      <c r="B103" s="6"/>
      <c r="C103" s="6"/>
      <c r="D103" s="6">
        <f t="shared" si="1"/>
        <v>0</v>
      </c>
    </row>
    <row r="104" spans="1:4" ht="18" hidden="1">
      <c r="A104" s="22" t="s">
        <v>117</v>
      </c>
      <c r="B104" s="6"/>
      <c r="C104" s="6"/>
      <c r="D104" s="6">
        <f t="shared" si="1"/>
        <v>0</v>
      </c>
    </row>
    <row r="105" spans="1:4" ht="18" hidden="1">
      <c r="A105" s="15" t="s">
        <v>118</v>
      </c>
      <c r="B105" s="6"/>
      <c r="C105" s="6"/>
      <c r="D105" s="6">
        <f t="shared" si="1"/>
        <v>0</v>
      </c>
    </row>
    <row r="106" spans="1:4" ht="18" hidden="1">
      <c r="A106" s="8" t="s">
        <v>119</v>
      </c>
      <c r="B106" s="6"/>
      <c r="C106" s="6"/>
      <c r="D106" s="6">
        <f t="shared" si="1"/>
        <v>0</v>
      </c>
    </row>
    <row r="107" spans="1:4" ht="18" hidden="1">
      <c r="A107" s="8" t="s">
        <v>120</v>
      </c>
      <c r="B107" s="6"/>
      <c r="C107" s="6"/>
      <c r="D107" s="6">
        <f t="shared" si="1"/>
        <v>0</v>
      </c>
    </row>
    <row r="108" spans="1:4" ht="18" hidden="1">
      <c r="A108" s="10" t="s">
        <v>121</v>
      </c>
      <c r="B108" s="6"/>
      <c r="C108" s="6"/>
      <c r="D108" s="6">
        <f t="shared" si="1"/>
        <v>0</v>
      </c>
    </row>
    <row r="109" spans="1:4" ht="18" hidden="1">
      <c r="A109" s="23" t="s">
        <v>122</v>
      </c>
      <c r="B109" s="6"/>
      <c r="C109" s="6"/>
      <c r="D109" s="6">
        <f t="shared" si="1"/>
        <v>0</v>
      </c>
    </row>
    <row r="110" spans="1:4" ht="18" hidden="1">
      <c r="A110" s="8" t="s">
        <v>123</v>
      </c>
      <c r="B110" s="6"/>
      <c r="C110" s="6"/>
      <c r="D110" s="6">
        <f t="shared" si="1"/>
        <v>0</v>
      </c>
    </row>
    <row r="111" spans="1:4" ht="18" hidden="1">
      <c r="A111" s="8" t="s">
        <v>124</v>
      </c>
      <c r="B111" s="6"/>
      <c r="C111" s="6"/>
      <c r="D111" s="6">
        <f t="shared" si="1"/>
        <v>0</v>
      </c>
    </row>
    <row r="112" spans="1:4" ht="18" hidden="1">
      <c r="A112" s="8" t="s">
        <v>125</v>
      </c>
      <c r="B112" s="6"/>
      <c r="C112" s="6"/>
      <c r="D112" s="6">
        <f t="shared" si="1"/>
        <v>0</v>
      </c>
    </row>
    <row r="113" spans="1:4" ht="18" hidden="1">
      <c r="A113" s="8" t="s">
        <v>126</v>
      </c>
      <c r="B113" s="6"/>
      <c r="C113" s="6"/>
      <c r="D113" s="6">
        <f t="shared" si="1"/>
        <v>0</v>
      </c>
    </row>
    <row r="114" spans="1:4" ht="18" hidden="1">
      <c r="A114" s="8" t="s">
        <v>127</v>
      </c>
      <c r="B114" s="6"/>
      <c r="C114" s="6"/>
      <c r="D114" s="6">
        <f t="shared" si="1"/>
        <v>0</v>
      </c>
    </row>
    <row r="115" spans="1:4" ht="18" hidden="1">
      <c r="A115" s="8" t="s">
        <v>128</v>
      </c>
      <c r="B115" s="6"/>
      <c r="C115" s="6"/>
      <c r="D115" s="6">
        <f t="shared" si="1"/>
        <v>0</v>
      </c>
    </row>
    <row r="116" spans="1:4" ht="18" hidden="1">
      <c r="A116" s="8" t="s">
        <v>129</v>
      </c>
      <c r="B116" s="6"/>
      <c r="C116" s="6"/>
      <c r="D116" s="6">
        <f t="shared" si="1"/>
        <v>0</v>
      </c>
    </row>
    <row r="117" spans="1:4" ht="18" hidden="1">
      <c r="A117" s="8" t="s">
        <v>130</v>
      </c>
      <c r="B117" s="6"/>
      <c r="C117" s="6"/>
      <c r="D117" s="6">
        <f t="shared" si="1"/>
        <v>0</v>
      </c>
    </row>
    <row r="118" spans="1:4" ht="18" hidden="1">
      <c r="A118" s="10" t="s">
        <v>131</v>
      </c>
      <c r="B118" s="6"/>
      <c r="C118" s="6"/>
      <c r="D118" s="6">
        <f t="shared" si="1"/>
        <v>0</v>
      </c>
    </row>
    <row r="119" spans="1:4" ht="18" hidden="1">
      <c r="A119" s="19" t="s">
        <v>132</v>
      </c>
      <c r="B119" s="6"/>
      <c r="C119" s="6"/>
      <c r="D119" s="6">
        <f t="shared" si="1"/>
        <v>0</v>
      </c>
    </row>
    <row r="120" spans="1:4" ht="18" hidden="1">
      <c r="A120" s="8" t="s">
        <v>133</v>
      </c>
      <c r="B120" s="6"/>
      <c r="C120" s="6"/>
      <c r="D120" s="6">
        <f t="shared" si="1"/>
        <v>0</v>
      </c>
    </row>
    <row r="121" spans="1:4" ht="18" hidden="1">
      <c r="A121" s="10" t="s">
        <v>135</v>
      </c>
      <c r="B121" s="6"/>
      <c r="C121" s="6"/>
      <c r="D121" s="6">
        <f t="shared" si="1"/>
        <v>0</v>
      </c>
    </row>
    <row r="122" spans="1:4" ht="18" hidden="1">
      <c r="A122" s="10" t="s">
        <v>136</v>
      </c>
      <c r="B122" s="6"/>
      <c r="C122" s="6"/>
      <c r="D122" s="6">
        <f t="shared" si="1"/>
        <v>0</v>
      </c>
    </row>
    <row r="123" spans="1:4" ht="18" hidden="1">
      <c r="A123" s="8" t="s">
        <v>137</v>
      </c>
      <c r="B123" s="6"/>
      <c r="C123" s="6"/>
      <c r="D123" s="6">
        <f t="shared" si="1"/>
        <v>0</v>
      </c>
    </row>
    <row r="124" spans="1:4" ht="18" hidden="1">
      <c r="A124" s="8" t="s">
        <v>138</v>
      </c>
      <c r="B124" s="6"/>
      <c r="C124" s="6"/>
      <c r="D124" s="6">
        <f t="shared" si="1"/>
        <v>0</v>
      </c>
    </row>
    <row r="125" spans="1:4" ht="18" hidden="1">
      <c r="A125" s="9" t="s">
        <v>139</v>
      </c>
      <c r="B125" s="6"/>
      <c r="C125" s="6"/>
      <c r="D125" s="6">
        <f t="shared" si="1"/>
        <v>0</v>
      </c>
    </row>
    <row r="126" spans="1:4" ht="18" hidden="1">
      <c r="A126" s="12" t="s">
        <v>140</v>
      </c>
      <c r="B126" s="6"/>
      <c r="C126" s="6"/>
      <c r="D126" s="6">
        <f t="shared" si="1"/>
        <v>0</v>
      </c>
    </row>
    <row r="127" spans="1:4" ht="18" hidden="1">
      <c r="A127" s="11" t="s">
        <v>141</v>
      </c>
      <c r="B127" s="14"/>
      <c r="C127" s="14"/>
      <c r="D127" s="6">
        <f t="shared" si="1"/>
        <v>0</v>
      </c>
    </row>
    <row r="128" spans="1:4" ht="18" hidden="1">
      <c r="A128" s="11" t="s">
        <v>142</v>
      </c>
      <c r="B128" s="14"/>
      <c r="C128" s="14"/>
      <c r="D128" s="6">
        <f t="shared" si="1"/>
        <v>0</v>
      </c>
    </row>
    <row r="129" spans="1:4" ht="18" hidden="1">
      <c r="A129" s="11" t="s">
        <v>143</v>
      </c>
      <c r="B129" s="14"/>
      <c r="C129" s="14"/>
      <c r="D129" s="6">
        <f t="shared" si="1"/>
        <v>0</v>
      </c>
    </row>
    <row r="130" spans="1:4" ht="18" hidden="1">
      <c r="A130" s="11" t="s">
        <v>144</v>
      </c>
      <c r="B130" s="24"/>
      <c r="C130" s="24"/>
      <c r="D130" s="6">
        <f t="shared" si="1"/>
        <v>0</v>
      </c>
    </row>
    <row r="131" spans="1:4" ht="18" hidden="1">
      <c r="A131" s="25" t="s">
        <v>145</v>
      </c>
      <c r="B131" s="6"/>
      <c r="C131" s="6"/>
      <c r="D131" s="6">
        <f t="shared" si="1"/>
        <v>0</v>
      </c>
    </row>
    <row r="132" spans="1:4" ht="18" hidden="1">
      <c r="A132" s="11" t="s">
        <v>146</v>
      </c>
      <c r="B132" s="14"/>
      <c r="C132" s="14"/>
      <c r="D132" s="6">
        <f t="shared" ref="D132:D195" si="2">B132*C132</f>
        <v>0</v>
      </c>
    </row>
    <row r="133" spans="1:4" ht="18" hidden="1">
      <c r="A133" s="8" t="s">
        <v>147</v>
      </c>
      <c r="B133" s="6"/>
      <c r="C133" s="6"/>
      <c r="D133" s="6">
        <f t="shared" si="2"/>
        <v>0</v>
      </c>
    </row>
    <row r="134" spans="1:4" ht="18" hidden="1">
      <c r="A134" s="8" t="s">
        <v>148</v>
      </c>
      <c r="B134" s="6"/>
      <c r="C134" s="6"/>
      <c r="D134" s="6">
        <f t="shared" si="2"/>
        <v>0</v>
      </c>
    </row>
    <row r="135" spans="1:4" ht="18" hidden="1">
      <c r="A135" s="8" t="s">
        <v>149</v>
      </c>
      <c r="B135" s="6"/>
      <c r="C135" s="6"/>
      <c r="D135" s="6">
        <f t="shared" si="2"/>
        <v>0</v>
      </c>
    </row>
    <row r="136" spans="1:4" ht="18" hidden="1">
      <c r="A136" s="8" t="s">
        <v>150</v>
      </c>
      <c r="B136" s="6"/>
      <c r="C136" s="6"/>
      <c r="D136" s="6">
        <f t="shared" si="2"/>
        <v>0</v>
      </c>
    </row>
    <row r="137" spans="1:4" ht="18" hidden="1">
      <c r="A137" s="15" t="s">
        <v>151</v>
      </c>
      <c r="B137" s="6"/>
      <c r="C137" s="6"/>
      <c r="D137" s="6">
        <f t="shared" si="2"/>
        <v>0</v>
      </c>
    </row>
    <row r="138" spans="1:4" ht="18" hidden="1">
      <c r="A138" s="11" t="s">
        <v>152</v>
      </c>
      <c r="B138" s="6"/>
      <c r="C138" s="6"/>
      <c r="D138" s="6">
        <f t="shared" si="2"/>
        <v>0</v>
      </c>
    </row>
    <row r="139" spans="1:4" ht="18" hidden="1">
      <c r="A139" s="11" t="s">
        <v>153</v>
      </c>
      <c r="B139" s="6"/>
      <c r="C139" s="6"/>
      <c r="D139" s="6">
        <f t="shared" si="2"/>
        <v>0</v>
      </c>
    </row>
    <row r="140" spans="1:4" ht="18" hidden="1">
      <c r="A140" s="8" t="s">
        <v>154</v>
      </c>
      <c r="B140" s="6"/>
      <c r="C140" s="6"/>
      <c r="D140" s="6">
        <f t="shared" si="2"/>
        <v>0</v>
      </c>
    </row>
    <row r="141" spans="1:4" ht="18" hidden="1">
      <c r="A141" s="8" t="s">
        <v>155</v>
      </c>
      <c r="B141" s="6"/>
      <c r="C141" s="6"/>
      <c r="D141" s="6">
        <f t="shared" si="2"/>
        <v>0</v>
      </c>
    </row>
    <row r="142" spans="1:4" ht="18" hidden="1">
      <c r="A142" s="8" t="s">
        <v>156</v>
      </c>
      <c r="B142" s="14"/>
      <c r="C142" s="14"/>
      <c r="D142" s="6">
        <f t="shared" si="2"/>
        <v>0</v>
      </c>
    </row>
    <row r="143" spans="1:4" ht="18" hidden="1">
      <c r="A143" s="8" t="s">
        <v>157</v>
      </c>
      <c r="B143" s="14"/>
      <c r="C143" s="14"/>
      <c r="D143" s="6">
        <f t="shared" si="2"/>
        <v>0</v>
      </c>
    </row>
    <row r="144" spans="1:4" ht="18" hidden="1">
      <c r="A144" s="8" t="s">
        <v>158</v>
      </c>
      <c r="B144" s="6"/>
      <c r="C144" s="6"/>
      <c r="D144" s="6">
        <f t="shared" si="2"/>
        <v>0</v>
      </c>
    </row>
    <row r="145" spans="1:4" ht="18" hidden="1">
      <c r="A145" s="8" t="s">
        <v>159</v>
      </c>
      <c r="B145" s="14"/>
      <c r="C145" s="14"/>
      <c r="D145" s="6">
        <f t="shared" si="2"/>
        <v>0</v>
      </c>
    </row>
    <row r="146" spans="1:4" ht="18" hidden="1">
      <c r="A146" s="8" t="s">
        <v>160</v>
      </c>
      <c r="B146" s="14"/>
      <c r="C146" s="14"/>
      <c r="D146" s="6">
        <f t="shared" si="2"/>
        <v>0</v>
      </c>
    </row>
    <row r="147" spans="1:4" ht="18" hidden="1">
      <c r="A147" s="8" t="s">
        <v>161</v>
      </c>
      <c r="B147" s="14"/>
      <c r="C147" s="14"/>
      <c r="D147" s="6">
        <f t="shared" si="2"/>
        <v>0</v>
      </c>
    </row>
    <row r="148" spans="1:4" ht="18" hidden="1">
      <c r="A148" s="8" t="s">
        <v>162</v>
      </c>
      <c r="B148" s="14"/>
      <c r="C148" s="14"/>
      <c r="D148" s="6">
        <f t="shared" si="2"/>
        <v>0</v>
      </c>
    </row>
    <row r="149" spans="1:4" ht="18" hidden="1">
      <c r="A149" s="8" t="s">
        <v>163</v>
      </c>
      <c r="B149" s="14"/>
      <c r="C149" s="14"/>
      <c r="D149" s="6">
        <f t="shared" si="2"/>
        <v>0</v>
      </c>
    </row>
    <row r="150" spans="1:4" ht="18" hidden="1">
      <c r="A150" s="8" t="s">
        <v>164</v>
      </c>
      <c r="B150" s="14"/>
      <c r="C150" s="14"/>
      <c r="D150" s="6">
        <f t="shared" si="2"/>
        <v>0</v>
      </c>
    </row>
    <row r="151" spans="1:4" ht="18" hidden="1">
      <c r="A151" s="8" t="s">
        <v>165</v>
      </c>
      <c r="B151" s="14"/>
      <c r="C151" s="14"/>
      <c r="D151" s="6">
        <f t="shared" si="2"/>
        <v>0</v>
      </c>
    </row>
    <row r="152" spans="1:4" ht="18" hidden="1">
      <c r="A152" s="8" t="s">
        <v>166</v>
      </c>
      <c r="B152" s="14"/>
      <c r="C152" s="14"/>
      <c r="D152" s="6">
        <f t="shared" si="2"/>
        <v>0</v>
      </c>
    </row>
    <row r="153" spans="1:4" ht="18" hidden="1">
      <c r="A153" s="8" t="s">
        <v>167</v>
      </c>
      <c r="B153" s="6"/>
      <c r="C153" s="6"/>
      <c r="D153" s="6">
        <f t="shared" si="2"/>
        <v>0</v>
      </c>
    </row>
    <row r="154" spans="1:4" ht="18" hidden="1">
      <c r="A154" s="8" t="s">
        <v>168</v>
      </c>
      <c r="B154" s="6"/>
      <c r="C154" s="6"/>
      <c r="D154" s="6">
        <f t="shared" si="2"/>
        <v>0</v>
      </c>
    </row>
    <row r="155" spans="1:4" ht="18" hidden="1">
      <c r="A155" s="8" t="s">
        <v>169</v>
      </c>
      <c r="B155" s="6"/>
      <c r="C155" s="6"/>
      <c r="D155" s="6">
        <f t="shared" si="2"/>
        <v>0</v>
      </c>
    </row>
    <row r="156" spans="1:4" ht="18" hidden="1">
      <c r="A156" s="8" t="s">
        <v>170</v>
      </c>
      <c r="B156" s="6"/>
      <c r="C156" s="6"/>
      <c r="D156" s="6">
        <f t="shared" si="2"/>
        <v>0</v>
      </c>
    </row>
    <row r="157" spans="1:4" ht="18" hidden="1">
      <c r="A157" s="15" t="s">
        <v>171</v>
      </c>
      <c r="B157" s="6"/>
      <c r="C157" s="6"/>
      <c r="D157" s="6">
        <f t="shared" si="2"/>
        <v>0</v>
      </c>
    </row>
    <row r="158" spans="1:4" ht="18" hidden="1">
      <c r="A158" s="16" t="s">
        <v>172</v>
      </c>
      <c r="B158" s="6"/>
      <c r="C158" s="6"/>
      <c r="D158" s="6">
        <f t="shared" si="2"/>
        <v>0</v>
      </c>
    </row>
    <row r="159" spans="1:4" ht="18" hidden="1">
      <c r="A159" s="8" t="s">
        <v>173</v>
      </c>
      <c r="B159" s="6"/>
      <c r="C159" s="6"/>
      <c r="D159" s="6">
        <f t="shared" si="2"/>
        <v>0</v>
      </c>
    </row>
    <row r="160" spans="1:4" ht="18" hidden="1">
      <c r="A160" s="8" t="s">
        <v>174</v>
      </c>
      <c r="B160" s="6"/>
      <c r="C160" s="6"/>
      <c r="D160" s="6">
        <f t="shared" si="2"/>
        <v>0</v>
      </c>
    </row>
    <row r="161" spans="1:4" ht="18" hidden="1">
      <c r="A161" s="8" t="s">
        <v>175</v>
      </c>
      <c r="B161" s="6"/>
      <c r="C161" s="6"/>
      <c r="D161" s="6">
        <f t="shared" si="2"/>
        <v>0</v>
      </c>
    </row>
    <row r="162" spans="1:4" ht="18" hidden="1">
      <c r="A162" s="8" t="s">
        <v>176</v>
      </c>
      <c r="B162" s="14"/>
      <c r="C162" s="14"/>
      <c r="D162" s="6">
        <f t="shared" si="2"/>
        <v>0</v>
      </c>
    </row>
    <row r="163" spans="1:4" ht="18" hidden="1">
      <c r="A163" s="8" t="s">
        <v>177</v>
      </c>
      <c r="B163" s="14"/>
      <c r="C163" s="14"/>
      <c r="D163" s="6">
        <f t="shared" si="2"/>
        <v>0</v>
      </c>
    </row>
    <row r="164" spans="1:4" ht="18" hidden="1">
      <c r="A164" s="8" t="s">
        <v>178</v>
      </c>
      <c r="B164" s="14"/>
      <c r="C164" s="14"/>
      <c r="D164" s="6">
        <f t="shared" si="2"/>
        <v>0</v>
      </c>
    </row>
    <row r="165" spans="1:4" ht="18" hidden="1">
      <c r="A165" s="8" t="s">
        <v>179</v>
      </c>
      <c r="B165" s="6"/>
      <c r="C165" s="6"/>
      <c r="D165" s="6">
        <f t="shared" si="2"/>
        <v>0</v>
      </c>
    </row>
    <row r="166" spans="1:4" ht="18" hidden="1">
      <c r="A166" s="8" t="s">
        <v>180</v>
      </c>
      <c r="B166" s="6"/>
      <c r="C166" s="6"/>
      <c r="D166" s="6">
        <f t="shared" si="2"/>
        <v>0</v>
      </c>
    </row>
    <row r="167" spans="1:4" ht="18" hidden="1">
      <c r="A167" s="15" t="s">
        <v>181</v>
      </c>
      <c r="B167" s="6"/>
      <c r="C167" s="6"/>
      <c r="D167" s="6">
        <f t="shared" si="2"/>
        <v>0</v>
      </c>
    </row>
    <row r="168" spans="1:4" ht="18" hidden="1">
      <c r="A168" s="11" t="s">
        <v>182</v>
      </c>
      <c r="B168" s="6"/>
      <c r="C168" s="6"/>
      <c r="D168" s="6">
        <f t="shared" si="2"/>
        <v>0</v>
      </c>
    </row>
    <row r="169" spans="1:4" ht="18" hidden="1">
      <c r="A169" s="8" t="s">
        <v>183</v>
      </c>
      <c r="B169" s="6"/>
      <c r="C169" s="26"/>
      <c r="D169" s="6">
        <f t="shared" si="2"/>
        <v>0</v>
      </c>
    </row>
    <row r="170" spans="1:4" ht="18" hidden="1">
      <c r="A170" s="27" t="s">
        <v>184</v>
      </c>
      <c r="B170" s="6"/>
      <c r="C170" s="6"/>
      <c r="D170" s="6">
        <f t="shared" si="2"/>
        <v>0</v>
      </c>
    </row>
    <row r="171" spans="1:4" ht="18" hidden="1">
      <c r="A171" s="8" t="s">
        <v>185</v>
      </c>
      <c r="B171" s="6"/>
      <c r="C171" s="6"/>
      <c r="D171" s="6">
        <f t="shared" si="2"/>
        <v>0</v>
      </c>
    </row>
    <row r="172" spans="1:4" ht="18" hidden="1">
      <c r="A172" s="8" t="s">
        <v>186</v>
      </c>
      <c r="B172" s="6"/>
      <c r="C172" s="6"/>
      <c r="D172" s="6">
        <f t="shared" si="2"/>
        <v>0</v>
      </c>
    </row>
    <row r="173" spans="1:4" ht="18" hidden="1">
      <c r="A173" s="18" t="s">
        <v>187</v>
      </c>
      <c r="B173" s="6"/>
      <c r="C173" s="6"/>
      <c r="D173" s="6">
        <f t="shared" si="2"/>
        <v>0</v>
      </c>
    </row>
    <row r="174" spans="1:4" ht="18" hidden="1">
      <c r="A174" s="8" t="s">
        <v>188</v>
      </c>
      <c r="B174" s="6"/>
      <c r="C174" s="6"/>
      <c r="D174" s="6">
        <f t="shared" si="2"/>
        <v>0</v>
      </c>
    </row>
    <row r="175" spans="1:4" ht="18" hidden="1">
      <c r="A175" s="28" t="s">
        <v>189</v>
      </c>
      <c r="B175" s="29"/>
      <c r="C175" s="29"/>
      <c r="D175" s="6">
        <f t="shared" si="2"/>
        <v>0</v>
      </c>
    </row>
    <row r="176" spans="1:4" ht="18" hidden="1">
      <c r="A176" s="10" t="s">
        <v>190</v>
      </c>
      <c r="B176" s="6"/>
      <c r="C176" s="6"/>
      <c r="D176" s="6">
        <f t="shared" si="2"/>
        <v>0</v>
      </c>
    </row>
    <row r="177" spans="1:4" ht="18" hidden="1">
      <c r="A177" s="8" t="s">
        <v>191</v>
      </c>
      <c r="B177" s="6"/>
      <c r="C177" s="6"/>
      <c r="D177" s="6">
        <f t="shared" si="2"/>
        <v>0</v>
      </c>
    </row>
    <row r="178" spans="1:4" ht="18" hidden="1">
      <c r="A178" s="8" t="s">
        <v>192</v>
      </c>
      <c r="B178" s="6"/>
      <c r="C178" s="6"/>
      <c r="D178" s="6">
        <f t="shared" si="2"/>
        <v>0</v>
      </c>
    </row>
    <row r="179" spans="1:4" ht="18" hidden="1">
      <c r="A179" s="11" t="s">
        <v>193</v>
      </c>
      <c r="B179" s="6"/>
      <c r="C179" s="6"/>
      <c r="D179" s="6">
        <f t="shared" si="2"/>
        <v>0</v>
      </c>
    </row>
    <row r="180" spans="1:4" ht="18" hidden="1">
      <c r="A180" s="8" t="s">
        <v>194</v>
      </c>
      <c r="B180" s="6"/>
      <c r="C180" s="6"/>
      <c r="D180" s="6">
        <f t="shared" si="2"/>
        <v>0</v>
      </c>
    </row>
    <row r="181" spans="1:4" ht="18" hidden="1">
      <c r="A181" s="8" t="s">
        <v>195</v>
      </c>
      <c r="B181" s="6"/>
      <c r="C181" s="6"/>
      <c r="D181" s="6">
        <f t="shared" si="2"/>
        <v>0</v>
      </c>
    </row>
    <row r="182" spans="1:4" ht="18" hidden="1">
      <c r="A182" s="11" t="s">
        <v>196</v>
      </c>
      <c r="B182" s="6"/>
      <c r="C182" s="6"/>
      <c r="D182" s="6">
        <f t="shared" si="2"/>
        <v>0</v>
      </c>
    </row>
    <row r="183" spans="1:4" ht="18" hidden="1">
      <c r="A183" s="11" t="s">
        <v>197</v>
      </c>
      <c r="B183" s="6"/>
      <c r="C183" s="6"/>
      <c r="D183" s="6">
        <f t="shared" si="2"/>
        <v>0</v>
      </c>
    </row>
    <row r="184" spans="1:4" ht="18">
      <c r="A184" s="11" t="s">
        <v>198</v>
      </c>
      <c r="B184" s="6">
        <v>120</v>
      </c>
      <c r="C184" s="6">
        <v>6800</v>
      </c>
      <c r="D184" s="6">
        <f t="shared" si="2"/>
        <v>816000</v>
      </c>
    </row>
    <row r="185" spans="1:4" ht="18">
      <c r="A185" s="8" t="s">
        <v>199</v>
      </c>
      <c r="B185" s="6">
        <v>140</v>
      </c>
      <c r="C185" s="6">
        <v>3000</v>
      </c>
      <c r="D185" s="6">
        <f t="shared" si="2"/>
        <v>420000</v>
      </c>
    </row>
    <row r="186" spans="1:4" ht="18" hidden="1">
      <c r="A186" s="11" t="s">
        <v>200</v>
      </c>
      <c r="B186" s="6"/>
      <c r="C186" s="6"/>
      <c r="D186" s="6">
        <f t="shared" si="2"/>
        <v>0</v>
      </c>
    </row>
    <row r="187" spans="1:4" ht="18">
      <c r="A187" s="11" t="s">
        <v>201</v>
      </c>
      <c r="B187" s="6">
        <v>5</v>
      </c>
      <c r="C187" s="6">
        <v>20000</v>
      </c>
      <c r="D187" s="6">
        <f t="shared" si="2"/>
        <v>100000</v>
      </c>
    </row>
    <row r="188" spans="1:4" ht="18" hidden="1">
      <c r="A188" s="11" t="s">
        <v>202</v>
      </c>
      <c r="B188" s="6"/>
      <c r="C188" s="6"/>
      <c r="D188" s="6">
        <f t="shared" si="2"/>
        <v>0</v>
      </c>
    </row>
    <row r="189" spans="1:4" ht="18" hidden="1">
      <c r="A189" s="8" t="s">
        <v>203</v>
      </c>
      <c r="B189" s="6"/>
      <c r="C189" s="6"/>
      <c r="D189" s="6">
        <f t="shared" si="2"/>
        <v>0</v>
      </c>
    </row>
    <row r="190" spans="1:4" ht="18" hidden="1">
      <c r="A190" s="15" t="s">
        <v>204</v>
      </c>
      <c r="B190" s="6"/>
      <c r="C190" s="6"/>
      <c r="D190" s="6">
        <f t="shared" si="2"/>
        <v>0</v>
      </c>
    </row>
    <row r="191" spans="1:4" ht="18" hidden="1">
      <c r="A191" s="15" t="s">
        <v>205</v>
      </c>
      <c r="B191" s="6"/>
      <c r="C191" s="6"/>
      <c r="D191" s="6">
        <f t="shared" si="2"/>
        <v>0</v>
      </c>
    </row>
    <row r="192" spans="1:4" ht="18" hidden="1">
      <c r="A192" s="15" t="s">
        <v>206</v>
      </c>
      <c r="B192" s="6"/>
      <c r="C192" s="6"/>
      <c r="D192" s="6">
        <f t="shared" si="2"/>
        <v>0</v>
      </c>
    </row>
    <row r="193" spans="1:4" ht="18" hidden="1">
      <c r="A193" s="15" t="s">
        <v>207</v>
      </c>
      <c r="B193" s="6"/>
      <c r="C193" s="6"/>
      <c r="D193" s="6">
        <f t="shared" si="2"/>
        <v>0</v>
      </c>
    </row>
    <row r="194" spans="1:4" ht="18" hidden="1">
      <c r="A194" s="11" t="s">
        <v>208</v>
      </c>
      <c r="B194" s="6"/>
      <c r="C194" s="6"/>
      <c r="D194" s="6">
        <f t="shared" si="2"/>
        <v>0</v>
      </c>
    </row>
    <row r="195" spans="1:4" ht="18" hidden="1">
      <c r="A195" s="8" t="s">
        <v>209</v>
      </c>
      <c r="B195" s="6"/>
      <c r="C195" s="6"/>
      <c r="D195" s="6">
        <f t="shared" si="2"/>
        <v>0</v>
      </c>
    </row>
    <row r="196" spans="1:4" ht="18" hidden="1">
      <c r="A196" s="30" t="s">
        <v>210</v>
      </c>
      <c r="B196" s="6"/>
      <c r="C196" s="6"/>
      <c r="D196" s="6">
        <f t="shared" ref="D196:D259" si="3">B196*C196</f>
        <v>0</v>
      </c>
    </row>
    <row r="197" spans="1:4" ht="18" hidden="1">
      <c r="A197" s="30" t="s">
        <v>211</v>
      </c>
      <c r="B197" s="6"/>
      <c r="C197" s="6"/>
      <c r="D197" s="6">
        <f t="shared" si="3"/>
        <v>0</v>
      </c>
    </row>
    <row r="198" spans="1:4" ht="18" hidden="1">
      <c r="A198" s="30" t="s">
        <v>212</v>
      </c>
      <c r="B198" s="6"/>
      <c r="C198" s="6"/>
      <c r="D198" s="6">
        <f t="shared" si="3"/>
        <v>0</v>
      </c>
    </row>
    <row r="199" spans="1:4" ht="18" hidden="1">
      <c r="A199" s="30" t="s">
        <v>213</v>
      </c>
      <c r="B199" s="6"/>
      <c r="C199" s="6"/>
      <c r="D199" s="6">
        <f t="shared" si="3"/>
        <v>0</v>
      </c>
    </row>
    <row r="200" spans="1:4" ht="18" hidden="1">
      <c r="A200" s="8" t="s">
        <v>214</v>
      </c>
      <c r="B200" s="6"/>
      <c r="C200" s="6"/>
      <c r="D200" s="6">
        <f t="shared" si="3"/>
        <v>0</v>
      </c>
    </row>
    <row r="201" spans="1:4" ht="18" hidden="1">
      <c r="A201" s="31" t="s">
        <v>384</v>
      </c>
      <c r="B201" s="6"/>
      <c r="C201" s="6"/>
      <c r="D201" s="6">
        <f t="shared" si="3"/>
        <v>0</v>
      </c>
    </row>
    <row r="202" spans="1:4" ht="18">
      <c r="A202" s="8" t="s">
        <v>216</v>
      </c>
      <c r="B202" s="6">
        <f>18+160</f>
        <v>178</v>
      </c>
      <c r="C202" s="6">
        <v>19000</v>
      </c>
      <c r="D202" s="6">
        <f t="shared" si="3"/>
        <v>3382000</v>
      </c>
    </row>
    <row r="203" spans="1:4" ht="18">
      <c r="A203" s="11" t="s">
        <v>217</v>
      </c>
      <c r="B203" s="6">
        <v>285</v>
      </c>
      <c r="C203" s="6">
        <v>19000</v>
      </c>
      <c r="D203" s="6">
        <f t="shared" si="3"/>
        <v>5415000</v>
      </c>
    </row>
    <row r="204" spans="1:4" ht="18" hidden="1">
      <c r="A204" s="8" t="s">
        <v>218</v>
      </c>
      <c r="B204" s="6"/>
      <c r="C204" s="6"/>
      <c r="D204" s="6">
        <f t="shared" si="3"/>
        <v>0</v>
      </c>
    </row>
    <row r="205" spans="1:4" ht="18">
      <c r="A205" s="8" t="s">
        <v>219</v>
      </c>
      <c r="B205" s="6">
        <v>120</v>
      </c>
      <c r="C205" s="6">
        <v>14000</v>
      </c>
      <c r="D205" s="6">
        <f t="shared" si="3"/>
        <v>1680000</v>
      </c>
    </row>
    <row r="206" spans="1:4" ht="18" hidden="1">
      <c r="A206" s="32" t="s">
        <v>220</v>
      </c>
      <c r="B206" s="6"/>
      <c r="C206" s="6"/>
      <c r="D206" s="6">
        <f t="shared" si="3"/>
        <v>0</v>
      </c>
    </row>
    <row r="207" spans="1:4" ht="18" hidden="1">
      <c r="A207" s="32" t="s">
        <v>221</v>
      </c>
      <c r="B207" s="6"/>
      <c r="C207" s="6"/>
      <c r="D207" s="6">
        <f t="shared" si="3"/>
        <v>0</v>
      </c>
    </row>
    <row r="208" spans="1:4" ht="18" hidden="1">
      <c r="A208" s="8" t="s">
        <v>222</v>
      </c>
      <c r="B208" s="6"/>
      <c r="C208" s="6"/>
      <c r="D208" s="6">
        <f t="shared" si="3"/>
        <v>0</v>
      </c>
    </row>
    <row r="209" spans="1:4" ht="18">
      <c r="A209" s="10" t="s">
        <v>223</v>
      </c>
      <c r="B209" s="6">
        <v>5</v>
      </c>
      <c r="C209" s="6">
        <v>35000</v>
      </c>
      <c r="D209" s="6">
        <f t="shared" si="3"/>
        <v>175000</v>
      </c>
    </row>
    <row r="210" spans="1:4" ht="18" hidden="1">
      <c r="A210" s="8" t="s">
        <v>224</v>
      </c>
      <c r="B210" s="6"/>
      <c r="C210" s="6"/>
      <c r="D210" s="6">
        <f t="shared" si="3"/>
        <v>0</v>
      </c>
    </row>
    <row r="211" spans="1:4" ht="18">
      <c r="A211" s="8" t="s">
        <v>225</v>
      </c>
      <c r="B211" s="6">
        <v>3</v>
      </c>
      <c r="C211" s="6">
        <v>12000</v>
      </c>
      <c r="D211" s="6">
        <f t="shared" si="3"/>
        <v>36000</v>
      </c>
    </row>
    <row r="212" spans="1:4" ht="18" hidden="1">
      <c r="A212" s="8" t="s">
        <v>226</v>
      </c>
      <c r="B212" s="6"/>
      <c r="C212" s="6"/>
      <c r="D212" s="6">
        <f t="shared" si="3"/>
        <v>0</v>
      </c>
    </row>
    <row r="213" spans="1:4" ht="18" hidden="1">
      <c r="A213" s="8" t="s">
        <v>227</v>
      </c>
      <c r="B213" s="6"/>
      <c r="C213" s="6"/>
      <c r="D213" s="6">
        <f t="shared" si="3"/>
        <v>0</v>
      </c>
    </row>
    <row r="214" spans="1:4" ht="18" hidden="1">
      <c r="A214" s="33" t="s">
        <v>228</v>
      </c>
      <c r="B214" s="6"/>
      <c r="C214" s="6"/>
      <c r="D214" s="6">
        <f t="shared" si="3"/>
        <v>0</v>
      </c>
    </row>
    <row r="215" spans="1:4" ht="18" hidden="1">
      <c r="A215" s="8" t="s">
        <v>229</v>
      </c>
      <c r="B215" s="6"/>
      <c r="C215" s="6"/>
      <c r="D215" s="6">
        <f t="shared" si="3"/>
        <v>0</v>
      </c>
    </row>
    <row r="216" spans="1:4" ht="18">
      <c r="A216" s="8" t="s">
        <v>230</v>
      </c>
      <c r="B216" s="6">
        <v>150</v>
      </c>
      <c r="C216" s="6">
        <v>15500</v>
      </c>
      <c r="D216" s="6">
        <f t="shared" si="3"/>
        <v>2325000</v>
      </c>
    </row>
    <row r="217" spans="1:4" ht="18" hidden="1">
      <c r="A217" s="8" t="s">
        <v>231</v>
      </c>
      <c r="B217" s="6"/>
      <c r="C217" s="6"/>
      <c r="D217" s="6">
        <f t="shared" si="3"/>
        <v>0</v>
      </c>
    </row>
    <row r="218" spans="1:4" ht="18" hidden="1">
      <c r="A218" s="8" t="s">
        <v>232</v>
      </c>
      <c r="B218" s="6"/>
      <c r="C218" s="6"/>
      <c r="D218" s="6">
        <f t="shared" si="3"/>
        <v>0</v>
      </c>
    </row>
    <row r="219" spans="1:4" ht="18" hidden="1">
      <c r="A219" s="15" t="s">
        <v>233</v>
      </c>
      <c r="B219" s="6"/>
      <c r="C219" s="6"/>
      <c r="D219" s="6">
        <f t="shared" si="3"/>
        <v>0</v>
      </c>
    </row>
    <row r="220" spans="1:4" ht="18" hidden="1">
      <c r="A220" s="15" t="s">
        <v>234</v>
      </c>
      <c r="B220" s="6"/>
      <c r="C220" s="6"/>
      <c r="D220" s="6">
        <f t="shared" si="3"/>
        <v>0</v>
      </c>
    </row>
    <row r="221" spans="1:4" ht="18" hidden="1">
      <c r="A221" s="15" t="s">
        <v>235</v>
      </c>
      <c r="B221" s="6"/>
      <c r="C221" s="6"/>
      <c r="D221" s="6">
        <f t="shared" si="3"/>
        <v>0</v>
      </c>
    </row>
    <row r="222" spans="1:4" ht="18" hidden="1">
      <c r="A222" s="15" t="s">
        <v>236</v>
      </c>
      <c r="B222" s="6"/>
      <c r="C222" s="6"/>
      <c r="D222" s="6">
        <f t="shared" si="3"/>
        <v>0</v>
      </c>
    </row>
    <row r="223" spans="1:4" ht="18" hidden="1">
      <c r="A223" s="8" t="s">
        <v>237</v>
      </c>
      <c r="B223" s="6"/>
      <c r="C223" s="6"/>
      <c r="D223" s="6">
        <f t="shared" si="3"/>
        <v>0</v>
      </c>
    </row>
    <row r="224" spans="1:4" ht="18" hidden="1">
      <c r="A224" s="8" t="s">
        <v>238</v>
      </c>
      <c r="B224" s="6"/>
      <c r="C224" s="6"/>
      <c r="D224" s="6">
        <f t="shared" si="3"/>
        <v>0</v>
      </c>
    </row>
    <row r="225" spans="1:4" ht="18" hidden="1">
      <c r="A225" s="15" t="s">
        <v>239</v>
      </c>
      <c r="B225" s="6"/>
      <c r="C225" s="6"/>
      <c r="D225" s="6">
        <f t="shared" si="3"/>
        <v>0</v>
      </c>
    </row>
    <row r="226" spans="1:4" ht="18" hidden="1">
      <c r="A226" s="15" t="s">
        <v>240</v>
      </c>
      <c r="B226" s="6"/>
      <c r="C226" s="6"/>
      <c r="D226" s="6">
        <f t="shared" si="3"/>
        <v>0</v>
      </c>
    </row>
    <row r="227" spans="1:4" ht="18">
      <c r="A227" s="10" t="s">
        <v>241</v>
      </c>
      <c r="B227" s="6">
        <v>160</v>
      </c>
      <c r="C227" s="6">
        <v>37000</v>
      </c>
      <c r="D227" s="6">
        <f t="shared" si="3"/>
        <v>5920000</v>
      </c>
    </row>
    <row r="228" spans="1:4" ht="18" hidden="1">
      <c r="A228" s="11" t="s">
        <v>242</v>
      </c>
      <c r="B228" s="6"/>
      <c r="C228" s="6"/>
      <c r="D228" s="6">
        <f t="shared" si="3"/>
        <v>0</v>
      </c>
    </row>
    <row r="229" spans="1:4" ht="18" hidden="1">
      <c r="A229" s="10" t="s">
        <v>243</v>
      </c>
      <c r="B229" s="6"/>
      <c r="C229" s="6"/>
      <c r="D229" s="6">
        <f t="shared" si="3"/>
        <v>0</v>
      </c>
    </row>
    <row r="230" spans="1:4" ht="18" hidden="1">
      <c r="A230" s="15" t="s">
        <v>244</v>
      </c>
      <c r="B230" s="6"/>
      <c r="C230" s="6"/>
      <c r="D230" s="6">
        <f t="shared" si="3"/>
        <v>0</v>
      </c>
    </row>
    <row r="231" spans="1:4" ht="18" hidden="1">
      <c r="A231" s="10" t="s">
        <v>245</v>
      </c>
      <c r="B231" s="6"/>
      <c r="C231" s="6"/>
      <c r="D231" s="6">
        <f t="shared" si="3"/>
        <v>0</v>
      </c>
    </row>
    <row r="232" spans="1:4" ht="18" hidden="1">
      <c r="A232" s="10" t="s">
        <v>246</v>
      </c>
      <c r="B232" s="6"/>
      <c r="C232" s="6"/>
      <c r="D232" s="6">
        <f t="shared" si="3"/>
        <v>0</v>
      </c>
    </row>
    <row r="233" spans="1:4" ht="18" hidden="1">
      <c r="A233" s="10" t="s">
        <v>247</v>
      </c>
      <c r="B233" s="6"/>
      <c r="C233" s="6"/>
      <c r="D233" s="6">
        <f t="shared" si="3"/>
        <v>0</v>
      </c>
    </row>
    <row r="234" spans="1:4" ht="18" hidden="1">
      <c r="A234" s="8" t="s">
        <v>248</v>
      </c>
      <c r="B234" s="6"/>
      <c r="C234" s="6"/>
      <c r="D234" s="6">
        <f t="shared" si="3"/>
        <v>0</v>
      </c>
    </row>
    <row r="235" spans="1:4" ht="18" hidden="1">
      <c r="A235" s="8" t="s">
        <v>249</v>
      </c>
      <c r="B235" s="6"/>
      <c r="C235" s="6"/>
      <c r="D235" s="6">
        <f t="shared" si="3"/>
        <v>0</v>
      </c>
    </row>
    <row r="236" spans="1:4" ht="18" hidden="1">
      <c r="A236" s="10" t="s">
        <v>250</v>
      </c>
      <c r="B236" s="6"/>
      <c r="C236" s="6"/>
      <c r="D236" s="6">
        <f t="shared" si="3"/>
        <v>0</v>
      </c>
    </row>
    <row r="237" spans="1:4" ht="18" hidden="1">
      <c r="A237" s="32" t="s">
        <v>251</v>
      </c>
      <c r="B237" s="6"/>
      <c r="C237" s="6"/>
      <c r="D237" s="6">
        <f t="shared" si="3"/>
        <v>0</v>
      </c>
    </row>
    <row r="238" spans="1:4" ht="18" hidden="1">
      <c r="A238" s="8" t="s">
        <v>252</v>
      </c>
      <c r="B238" s="6"/>
      <c r="C238" s="6"/>
      <c r="D238" s="6">
        <f t="shared" si="3"/>
        <v>0</v>
      </c>
    </row>
    <row r="239" spans="1:4" ht="18" hidden="1">
      <c r="A239" s="8" t="s">
        <v>253</v>
      </c>
      <c r="B239" s="6"/>
      <c r="C239" s="6"/>
      <c r="D239" s="6">
        <f t="shared" si="3"/>
        <v>0</v>
      </c>
    </row>
    <row r="240" spans="1:4" ht="18" hidden="1">
      <c r="A240" s="12" t="s">
        <v>254</v>
      </c>
      <c r="B240" s="6"/>
      <c r="C240" s="6"/>
      <c r="D240" s="6">
        <f t="shared" si="3"/>
        <v>0</v>
      </c>
    </row>
    <row r="241" spans="1:4" ht="18" hidden="1">
      <c r="A241" s="12" t="s">
        <v>255</v>
      </c>
      <c r="B241" s="6"/>
      <c r="C241" s="6"/>
      <c r="D241" s="6">
        <f t="shared" si="3"/>
        <v>0</v>
      </c>
    </row>
    <row r="242" spans="1:4" ht="18" hidden="1">
      <c r="A242" s="30" t="s">
        <v>256</v>
      </c>
      <c r="B242" s="6"/>
      <c r="C242" s="6"/>
      <c r="D242" s="6">
        <f t="shared" si="3"/>
        <v>0</v>
      </c>
    </row>
    <row r="243" spans="1:4" ht="18" hidden="1">
      <c r="A243" s="8" t="s">
        <v>257</v>
      </c>
      <c r="B243" s="6"/>
      <c r="C243" s="6"/>
      <c r="D243" s="6">
        <f t="shared" si="3"/>
        <v>0</v>
      </c>
    </row>
    <row r="244" spans="1:4" ht="18" hidden="1">
      <c r="A244" s="8" t="s">
        <v>258</v>
      </c>
      <c r="B244" s="6"/>
      <c r="C244" s="6"/>
      <c r="D244" s="6">
        <f t="shared" si="3"/>
        <v>0</v>
      </c>
    </row>
    <row r="245" spans="1:4" ht="18" hidden="1">
      <c r="A245" s="8" t="s">
        <v>259</v>
      </c>
      <c r="B245" s="14"/>
      <c r="C245" s="14"/>
      <c r="D245" s="6">
        <f t="shared" si="3"/>
        <v>0</v>
      </c>
    </row>
    <row r="246" spans="1:4" ht="18" hidden="1">
      <c r="A246" s="30" t="s">
        <v>260</v>
      </c>
      <c r="B246" s="6"/>
      <c r="C246" s="6"/>
      <c r="D246" s="6">
        <f t="shared" si="3"/>
        <v>0</v>
      </c>
    </row>
    <row r="247" spans="1:4" ht="18" hidden="1">
      <c r="A247" s="8" t="s">
        <v>261</v>
      </c>
      <c r="B247" s="14"/>
      <c r="C247" s="14"/>
      <c r="D247" s="6">
        <f t="shared" si="3"/>
        <v>0</v>
      </c>
    </row>
    <row r="248" spans="1:4" ht="18">
      <c r="A248" s="8" t="s">
        <v>262</v>
      </c>
      <c r="B248" s="6">
        <v>10</v>
      </c>
      <c r="C248" s="6">
        <v>14000</v>
      </c>
      <c r="D248" s="6">
        <f t="shared" si="3"/>
        <v>140000</v>
      </c>
    </row>
    <row r="249" spans="1:4" ht="18" hidden="1">
      <c r="A249" s="10" t="s">
        <v>263</v>
      </c>
      <c r="B249" s="6"/>
      <c r="C249" s="6"/>
      <c r="D249" s="6">
        <f t="shared" si="3"/>
        <v>0</v>
      </c>
    </row>
    <row r="250" spans="1:4" ht="18" hidden="1">
      <c r="A250" s="10" t="s">
        <v>264</v>
      </c>
      <c r="B250" s="6"/>
      <c r="C250" s="6"/>
      <c r="D250" s="6">
        <f t="shared" si="3"/>
        <v>0</v>
      </c>
    </row>
    <row r="251" spans="1:4" ht="18">
      <c r="A251" s="8" t="s">
        <v>265</v>
      </c>
      <c r="B251" s="6">
        <v>80</v>
      </c>
      <c r="C251" s="6">
        <v>21000</v>
      </c>
      <c r="D251" s="6">
        <f t="shared" si="3"/>
        <v>1680000</v>
      </c>
    </row>
    <row r="252" spans="1:4" ht="18" hidden="1">
      <c r="A252" s="8" t="s">
        <v>266</v>
      </c>
      <c r="B252" s="6"/>
      <c r="C252" s="6"/>
      <c r="D252" s="6">
        <f t="shared" si="3"/>
        <v>0</v>
      </c>
    </row>
    <row r="253" spans="1:4" ht="18" hidden="1">
      <c r="A253" s="8" t="s">
        <v>267</v>
      </c>
      <c r="B253" s="6"/>
      <c r="C253" s="6"/>
      <c r="D253" s="6">
        <f t="shared" si="3"/>
        <v>0</v>
      </c>
    </row>
    <row r="254" spans="1:4" ht="18" hidden="1">
      <c r="A254" s="8" t="s">
        <v>268</v>
      </c>
      <c r="B254" s="6"/>
      <c r="C254" s="6"/>
      <c r="D254" s="6">
        <f t="shared" si="3"/>
        <v>0</v>
      </c>
    </row>
    <row r="255" spans="1:4" ht="18" hidden="1">
      <c r="A255" s="8" t="s">
        <v>269</v>
      </c>
      <c r="B255" s="6"/>
      <c r="C255" s="6"/>
      <c r="D255" s="6">
        <f t="shared" si="3"/>
        <v>0</v>
      </c>
    </row>
    <row r="256" spans="1:4" ht="18" hidden="1">
      <c r="A256" s="15" t="s">
        <v>270</v>
      </c>
      <c r="B256" s="6"/>
      <c r="C256" s="6"/>
      <c r="D256" s="6">
        <f t="shared" si="3"/>
        <v>0</v>
      </c>
    </row>
    <row r="257" spans="1:4" ht="18" hidden="1">
      <c r="A257" s="19" t="s">
        <v>271</v>
      </c>
      <c r="B257" s="6"/>
      <c r="C257" s="6"/>
      <c r="D257" s="6">
        <f t="shared" si="3"/>
        <v>0</v>
      </c>
    </row>
    <row r="258" spans="1:4" ht="18" hidden="1">
      <c r="A258" s="19" t="s">
        <v>272</v>
      </c>
      <c r="B258" s="6"/>
      <c r="C258" s="6"/>
      <c r="D258" s="6">
        <f t="shared" si="3"/>
        <v>0</v>
      </c>
    </row>
    <row r="259" spans="1:4" ht="18">
      <c r="A259" s="8" t="s">
        <v>273</v>
      </c>
      <c r="B259" s="6">
        <v>70</v>
      </c>
      <c r="C259" s="6">
        <v>28000</v>
      </c>
      <c r="D259" s="6">
        <f t="shared" si="3"/>
        <v>1960000</v>
      </c>
    </row>
    <row r="260" spans="1:4" ht="18" hidden="1">
      <c r="A260" s="8" t="s">
        <v>274</v>
      </c>
      <c r="B260" s="6"/>
      <c r="C260" s="6"/>
      <c r="D260" s="6">
        <f t="shared" ref="D260:D323" si="4">B260*C260</f>
        <v>0</v>
      </c>
    </row>
    <row r="261" spans="1:4" ht="18" hidden="1">
      <c r="A261" s="8" t="s">
        <v>275</v>
      </c>
      <c r="B261" s="6"/>
      <c r="C261" s="6"/>
      <c r="D261" s="6">
        <f t="shared" si="4"/>
        <v>0</v>
      </c>
    </row>
    <row r="262" spans="1:4" ht="18" hidden="1">
      <c r="A262" s="8" t="s">
        <v>276</v>
      </c>
      <c r="B262" s="6"/>
      <c r="C262" s="6"/>
      <c r="D262" s="6">
        <f t="shared" si="4"/>
        <v>0</v>
      </c>
    </row>
    <row r="263" spans="1:4" ht="18">
      <c r="A263" s="8" t="s">
        <v>277</v>
      </c>
      <c r="B263" s="6">
        <v>30</v>
      </c>
      <c r="C263" s="6">
        <v>18000</v>
      </c>
      <c r="D263" s="6">
        <f t="shared" si="4"/>
        <v>540000</v>
      </c>
    </row>
    <row r="264" spans="1:4" ht="18" hidden="1">
      <c r="A264" s="8" t="s">
        <v>278</v>
      </c>
      <c r="B264" s="6"/>
      <c r="C264" s="6"/>
      <c r="D264" s="6">
        <f t="shared" si="4"/>
        <v>0</v>
      </c>
    </row>
    <row r="265" spans="1:4" ht="18" hidden="1">
      <c r="A265" s="8" t="s">
        <v>279</v>
      </c>
      <c r="B265" s="6"/>
      <c r="C265" s="6"/>
      <c r="D265" s="6">
        <f t="shared" si="4"/>
        <v>0</v>
      </c>
    </row>
    <row r="266" spans="1:4" ht="18" hidden="1">
      <c r="A266" s="8" t="s">
        <v>280</v>
      </c>
      <c r="B266" s="14"/>
      <c r="C266" s="14"/>
      <c r="D266" s="6">
        <f t="shared" si="4"/>
        <v>0</v>
      </c>
    </row>
    <row r="267" spans="1:4" ht="18" hidden="1">
      <c r="A267" s="12" t="s">
        <v>281</v>
      </c>
      <c r="B267" s="6"/>
      <c r="C267" s="6"/>
      <c r="D267" s="6">
        <f t="shared" si="4"/>
        <v>0</v>
      </c>
    </row>
    <row r="268" spans="1:4" ht="18" hidden="1">
      <c r="A268" s="8" t="s">
        <v>282</v>
      </c>
      <c r="B268" s="6"/>
      <c r="C268" s="6"/>
      <c r="D268" s="6">
        <f t="shared" si="4"/>
        <v>0</v>
      </c>
    </row>
    <row r="269" spans="1:4" ht="18" hidden="1">
      <c r="A269" s="10" t="s">
        <v>283</v>
      </c>
      <c r="B269" s="6"/>
      <c r="C269" s="6"/>
      <c r="D269" s="6">
        <f t="shared" si="4"/>
        <v>0</v>
      </c>
    </row>
    <row r="270" spans="1:4" ht="18" hidden="1">
      <c r="A270" s="8" t="s">
        <v>284</v>
      </c>
      <c r="B270" s="6"/>
      <c r="C270" s="6"/>
      <c r="D270" s="6">
        <f t="shared" si="4"/>
        <v>0</v>
      </c>
    </row>
    <row r="271" spans="1:4" ht="18" hidden="1">
      <c r="A271" s="8" t="s">
        <v>285</v>
      </c>
      <c r="B271" s="6"/>
      <c r="C271" s="6"/>
      <c r="D271" s="6">
        <f t="shared" si="4"/>
        <v>0</v>
      </c>
    </row>
    <row r="272" spans="1:4" ht="18" hidden="1">
      <c r="A272" s="8" t="s">
        <v>286</v>
      </c>
      <c r="B272" s="6"/>
      <c r="C272" s="6"/>
      <c r="D272" s="6">
        <f t="shared" si="4"/>
        <v>0</v>
      </c>
    </row>
    <row r="273" spans="1:4" ht="18" hidden="1">
      <c r="A273" s="8" t="s">
        <v>287</v>
      </c>
      <c r="B273" s="6"/>
      <c r="C273" s="6"/>
      <c r="D273" s="6">
        <f t="shared" si="4"/>
        <v>0</v>
      </c>
    </row>
    <row r="274" spans="1:4" ht="18">
      <c r="A274" s="8" t="s">
        <v>288</v>
      </c>
      <c r="B274" s="6">
        <v>15</v>
      </c>
      <c r="C274" s="6">
        <v>14000</v>
      </c>
      <c r="D274" s="6">
        <f t="shared" si="4"/>
        <v>210000</v>
      </c>
    </row>
    <row r="275" spans="1:4" ht="18" hidden="1">
      <c r="A275" s="8" t="s">
        <v>289</v>
      </c>
      <c r="B275" s="6"/>
      <c r="C275" s="6"/>
      <c r="D275" s="6">
        <f t="shared" si="4"/>
        <v>0</v>
      </c>
    </row>
    <row r="276" spans="1:4" ht="18" hidden="1">
      <c r="A276" s="8" t="s">
        <v>290</v>
      </c>
      <c r="B276" s="6"/>
      <c r="C276" s="6"/>
      <c r="D276" s="6">
        <f t="shared" si="4"/>
        <v>0</v>
      </c>
    </row>
    <row r="277" spans="1:4" ht="18" hidden="1">
      <c r="A277" s="30" t="s">
        <v>291</v>
      </c>
      <c r="B277" s="6"/>
      <c r="C277" s="6"/>
      <c r="D277" s="6">
        <f t="shared" si="4"/>
        <v>0</v>
      </c>
    </row>
    <row r="278" spans="1:4" ht="18" hidden="1">
      <c r="A278" s="8" t="s">
        <v>292</v>
      </c>
      <c r="B278" s="6"/>
      <c r="C278" s="6"/>
      <c r="D278" s="6">
        <f t="shared" si="4"/>
        <v>0</v>
      </c>
    </row>
    <row r="279" spans="1:4" ht="18" hidden="1">
      <c r="A279" s="30" t="s">
        <v>293</v>
      </c>
      <c r="B279" s="6"/>
      <c r="C279" s="6"/>
      <c r="D279" s="6">
        <f t="shared" si="4"/>
        <v>0</v>
      </c>
    </row>
    <row r="280" spans="1:4" ht="18" hidden="1">
      <c r="A280" s="30" t="s">
        <v>294</v>
      </c>
      <c r="B280" s="6"/>
      <c r="C280" s="6"/>
      <c r="D280" s="6">
        <f t="shared" si="4"/>
        <v>0</v>
      </c>
    </row>
    <row r="281" spans="1:4" ht="18" hidden="1">
      <c r="A281" s="11" t="s">
        <v>295</v>
      </c>
      <c r="B281" s="14"/>
      <c r="C281" s="14"/>
      <c r="D281" s="6">
        <f t="shared" si="4"/>
        <v>0</v>
      </c>
    </row>
    <row r="282" spans="1:4" ht="18" hidden="1">
      <c r="A282" s="11" t="s">
        <v>296</v>
      </c>
      <c r="B282" s="6"/>
      <c r="C282" s="6"/>
      <c r="D282" s="6">
        <f t="shared" si="4"/>
        <v>0</v>
      </c>
    </row>
    <row r="283" spans="1:4" ht="18" hidden="1">
      <c r="A283" s="10" t="s">
        <v>297</v>
      </c>
      <c r="B283" s="6"/>
      <c r="C283" s="6"/>
      <c r="D283" s="6">
        <f t="shared" si="4"/>
        <v>0</v>
      </c>
    </row>
    <row r="284" spans="1:4" ht="18" hidden="1">
      <c r="A284" s="10" t="s">
        <v>298</v>
      </c>
      <c r="B284" s="6"/>
      <c r="C284" s="6"/>
      <c r="D284" s="6">
        <f t="shared" si="4"/>
        <v>0</v>
      </c>
    </row>
    <row r="285" spans="1:4" ht="18" hidden="1">
      <c r="A285" s="15" t="s">
        <v>299</v>
      </c>
      <c r="B285" s="6"/>
      <c r="C285" s="6"/>
      <c r="D285" s="6">
        <f t="shared" si="4"/>
        <v>0</v>
      </c>
    </row>
    <row r="286" spans="1:4" ht="18" hidden="1">
      <c r="A286" s="15" t="s">
        <v>300</v>
      </c>
      <c r="B286" s="6"/>
      <c r="C286" s="6"/>
      <c r="D286" s="6">
        <f t="shared" si="4"/>
        <v>0</v>
      </c>
    </row>
    <row r="287" spans="1:4" ht="18" hidden="1">
      <c r="A287" s="15" t="s">
        <v>301</v>
      </c>
      <c r="B287" s="6"/>
      <c r="C287" s="6"/>
      <c r="D287" s="6">
        <f t="shared" si="4"/>
        <v>0</v>
      </c>
    </row>
    <row r="288" spans="1:4" ht="18">
      <c r="A288" s="8" t="s">
        <v>302</v>
      </c>
      <c r="B288" s="6">
        <v>30</v>
      </c>
      <c r="C288" s="6">
        <v>9500</v>
      </c>
      <c r="D288" s="6">
        <f t="shared" si="4"/>
        <v>285000</v>
      </c>
    </row>
    <row r="289" spans="1:4" ht="18" hidden="1">
      <c r="A289" s="15" t="s">
        <v>303</v>
      </c>
      <c r="B289" s="6"/>
      <c r="C289" s="6"/>
      <c r="D289" s="6">
        <f t="shared" si="4"/>
        <v>0</v>
      </c>
    </row>
    <row r="290" spans="1:4" ht="18" hidden="1">
      <c r="A290" s="8" t="s">
        <v>304</v>
      </c>
      <c r="B290" s="6"/>
      <c r="C290" s="6"/>
      <c r="D290" s="6">
        <f t="shared" si="4"/>
        <v>0</v>
      </c>
    </row>
    <row r="291" spans="1:4" ht="18" hidden="1">
      <c r="A291" s="8" t="s">
        <v>305</v>
      </c>
      <c r="B291" s="6"/>
      <c r="C291" s="6"/>
      <c r="D291" s="6">
        <f t="shared" si="4"/>
        <v>0</v>
      </c>
    </row>
    <row r="292" spans="1:4" ht="18" hidden="1">
      <c r="A292" s="15" t="s">
        <v>306</v>
      </c>
      <c r="B292" s="6"/>
      <c r="C292" s="6"/>
      <c r="D292" s="6">
        <f t="shared" si="4"/>
        <v>0</v>
      </c>
    </row>
    <row r="293" spans="1:4" ht="18" hidden="1">
      <c r="A293" s="23" t="s">
        <v>307</v>
      </c>
      <c r="B293" s="6"/>
      <c r="C293" s="6"/>
      <c r="D293" s="6">
        <f t="shared" si="4"/>
        <v>0</v>
      </c>
    </row>
    <row r="294" spans="1:4" ht="18">
      <c r="A294" s="8" t="s">
        <v>308</v>
      </c>
      <c r="B294" s="6">
        <v>40</v>
      </c>
      <c r="C294" s="6">
        <v>10000</v>
      </c>
      <c r="D294" s="6">
        <f t="shared" si="4"/>
        <v>400000</v>
      </c>
    </row>
    <row r="295" spans="1:4" ht="18" hidden="1">
      <c r="A295" s="12" t="s">
        <v>309</v>
      </c>
      <c r="B295" s="6"/>
      <c r="C295" s="6"/>
      <c r="D295" s="6">
        <f t="shared" si="4"/>
        <v>0</v>
      </c>
    </row>
    <row r="296" spans="1:4" ht="18" hidden="1">
      <c r="A296" s="12" t="s">
        <v>310</v>
      </c>
      <c r="B296" s="6"/>
      <c r="C296" s="6"/>
      <c r="D296" s="6">
        <f t="shared" si="4"/>
        <v>0</v>
      </c>
    </row>
    <row r="297" spans="1:4" ht="18" hidden="1">
      <c r="A297" s="11" t="s">
        <v>311</v>
      </c>
      <c r="B297" s="6"/>
      <c r="C297" s="6"/>
      <c r="D297" s="6">
        <f t="shared" si="4"/>
        <v>0</v>
      </c>
    </row>
    <row r="298" spans="1:4" ht="18" hidden="1">
      <c r="A298" s="15" t="s">
        <v>312</v>
      </c>
      <c r="B298" s="6"/>
      <c r="C298" s="6"/>
      <c r="D298" s="6">
        <f t="shared" si="4"/>
        <v>0</v>
      </c>
    </row>
    <row r="299" spans="1:4" ht="18" hidden="1">
      <c r="A299" s="12" t="s">
        <v>313</v>
      </c>
      <c r="B299" s="6"/>
      <c r="C299" s="6"/>
      <c r="D299" s="6">
        <f t="shared" si="4"/>
        <v>0</v>
      </c>
    </row>
    <row r="300" spans="1:4" ht="18" hidden="1">
      <c r="A300" s="8" t="s">
        <v>314</v>
      </c>
      <c r="B300" s="6"/>
      <c r="C300" s="6"/>
      <c r="D300" s="6">
        <f t="shared" si="4"/>
        <v>0</v>
      </c>
    </row>
    <row r="301" spans="1:4" ht="18" hidden="1">
      <c r="A301" s="15" t="s">
        <v>315</v>
      </c>
      <c r="B301" s="6"/>
      <c r="C301" s="6"/>
      <c r="D301" s="6">
        <f t="shared" si="4"/>
        <v>0</v>
      </c>
    </row>
    <row r="302" spans="1:4" ht="18" hidden="1">
      <c r="A302" s="8" t="s">
        <v>316</v>
      </c>
      <c r="B302" s="6"/>
      <c r="C302" s="6"/>
      <c r="D302" s="6">
        <f t="shared" si="4"/>
        <v>0</v>
      </c>
    </row>
    <row r="303" spans="1:4" ht="18" hidden="1">
      <c r="A303" s="8" t="s">
        <v>317</v>
      </c>
      <c r="B303" s="6"/>
      <c r="C303" s="6"/>
      <c r="D303" s="6">
        <f t="shared" si="4"/>
        <v>0</v>
      </c>
    </row>
    <row r="304" spans="1:4" ht="18" hidden="1">
      <c r="A304" s="10" t="s">
        <v>318</v>
      </c>
      <c r="B304" s="6"/>
      <c r="C304" s="6"/>
      <c r="D304" s="6">
        <f t="shared" si="4"/>
        <v>0</v>
      </c>
    </row>
    <row r="305" spans="1:4" ht="18" hidden="1">
      <c r="A305" s="11" t="s">
        <v>319</v>
      </c>
      <c r="B305" s="6"/>
      <c r="C305" s="6"/>
      <c r="D305" s="6">
        <f t="shared" si="4"/>
        <v>0</v>
      </c>
    </row>
    <row r="306" spans="1:4" ht="18" hidden="1">
      <c r="A306" s="11" t="s">
        <v>320</v>
      </c>
      <c r="B306" s="6"/>
      <c r="C306" s="6"/>
      <c r="D306" s="6">
        <f t="shared" si="4"/>
        <v>0</v>
      </c>
    </row>
    <row r="307" spans="1:4" ht="18" hidden="1">
      <c r="A307" s="8" t="s">
        <v>321</v>
      </c>
      <c r="B307" s="6"/>
      <c r="C307" s="6"/>
      <c r="D307" s="6">
        <f t="shared" si="4"/>
        <v>0</v>
      </c>
    </row>
    <row r="308" spans="1:4" ht="18" hidden="1">
      <c r="A308" s="8" t="s">
        <v>322</v>
      </c>
      <c r="B308" s="6"/>
      <c r="C308" s="6"/>
      <c r="D308" s="6">
        <f t="shared" si="4"/>
        <v>0</v>
      </c>
    </row>
    <row r="309" spans="1:4" ht="18" hidden="1">
      <c r="A309" s="8" t="s">
        <v>323</v>
      </c>
      <c r="B309" s="6"/>
      <c r="C309" s="6"/>
      <c r="D309" s="6">
        <f t="shared" si="4"/>
        <v>0</v>
      </c>
    </row>
    <row r="310" spans="1:4" ht="18" hidden="1">
      <c r="A310" s="12" t="s">
        <v>324</v>
      </c>
      <c r="B310" s="6"/>
      <c r="C310" s="6"/>
      <c r="D310" s="6">
        <f t="shared" si="4"/>
        <v>0</v>
      </c>
    </row>
    <row r="311" spans="1:4" ht="18" hidden="1">
      <c r="A311" s="12" t="s">
        <v>325</v>
      </c>
      <c r="B311" s="6"/>
      <c r="C311" s="6"/>
      <c r="D311" s="6">
        <f t="shared" si="4"/>
        <v>0</v>
      </c>
    </row>
    <row r="312" spans="1:4" ht="18" hidden="1">
      <c r="A312" s="19" t="s">
        <v>326</v>
      </c>
      <c r="B312" s="6"/>
      <c r="C312" s="6"/>
      <c r="D312" s="6">
        <f t="shared" si="4"/>
        <v>0</v>
      </c>
    </row>
    <row r="313" spans="1:4" ht="18" hidden="1">
      <c r="A313" s="12" t="s">
        <v>327</v>
      </c>
      <c r="B313" s="6"/>
      <c r="C313" s="6"/>
      <c r="D313" s="6">
        <f t="shared" si="4"/>
        <v>0</v>
      </c>
    </row>
    <row r="314" spans="1:4" ht="18" hidden="1">
      <c r="A314" s="8" t="s">
        <v>328</v>
      </c>
      <c r="B314" s="6"/>
      <c r="C314" s="6"/>
      <c r="D314" s="6">
        <f t="shared" si="4"/>
        <v>0</v>
      </c>
    </row>
    <row r="315" spans="1:4" ht="18" hidden="1">
      <c r="A315" s="8" t="s">
        <v>329</v>
      </c>
      <c r="B315" s="6"/>
      <c r="C315" s="6"/>
      <c r="D315" s="6">
        <f t="shared" si="4"/>
        <v>0</v>
      </c>
    </row>
    <row r="316" spans="1:4" ht="18" hidden="1">
      <c r="A316" s="8" t="s">
        <v>330</v>
      </c>
      <c r="B316" s="6"/>
      <c r="C316" s="6"/>
      <c r="D316" s="6">
        <f t="shared" si="4"/>
        <v>0</v>
      </c>
    </row>
    <row r="317" spans="1:4" ht="18" hidden="1">
      <c r="A317" s="8" t="s">
        <v>331</v>
      </c>
      <c r="B317" s="6"/>
      <c r="C317" s="6"/>
      <c r="D317" s="6">
        <f t="shared" si="4"/>
        <v>0</v>
      </c>
    </row>
    <row r="318" spans="1:4" ht="18" hidden="1">
      <c r="A318" s="19" t="s">
        <v>332</v>
      </c>
      <c r="B318" s="6"/>
      <c r="C318" s="6"/>
      <c r="D318" s="6">
        <f t="shared" si="4"/>
        <v>0</v>
      </c>
    </row>
    <row r="319" spans="1:4" ht="18" hidden="1">
      <c r="A319" s="8" t="s">
        <v>333</v>
      </c>
      <c r="B319" s="6"/>
      <c r="C319" s="6"/>
      <c r="D319" s="6">
        <f t="shared" si="4"/>
        <v>0</v>
      </c>
    </row>
    <row r="320" spans="1:4" ht="18" hidden="1">
      <c r="A320" s="8" t="s">
        <v>334</v>
      </c>
      <c r="B320" s="6"/>
      <c r="C320" s="6"/>
      <c r="D320" s="6">
        <f t="shared" si="4"/>
        <v>0</v>
      </c>
    </row>
    <row r="321" spans="1:4" ht="18" hidden="1">
      <c r="A321" s="11" t="s">
        <v>335</v>
      </c>
      <c r="B321" s="6"/>
      <c r="C321" s="6"/>
      <c r="D321" s="6">
        <f t="shared" si="4"/>
        <v>0</v>
      </c>
    </row>
    <row r="322" spans="1:4" ht="18" hidden="1">
      <c r="A322" s="8" t="s">
        <v>336</v>
      </c>
      <c r="B322" s="34"/>
      <c r="C322" s="34"/>
      <c r="D322" s="6">
        <f t="shared" si="4"/>
        <v>0</v>
      </c>
    </row>
    <row r="323" spans="1:4" ht="18" hidden="1">
      <c r="A323" s="8" t="s">
        <v>337</v>
      </c>
      <c r="B323" s="6"/>
      <c r="C323" s="6"/>
      <c r="D323" s="6">
        <f t="shared" si="4"/>
        <v>0</v>
      </c>
    </row>
    <row r="324" spans="1:4" ht="18" hidden="1">
      <c r="A324" s="8" t="s">
        <v>338</v>
      </c>
      <c r="B324" s="6"/>
      <c r="C324" s="6"/>
      <c r="D324" s="6">
        <f t="shared" ref="D324:D387" si="5">B324*C324</f>
        <v>0</v>
      </c>
    </row>
    <row r="325" spans="1:4" ht="18" hidden="1">
      <c r="A325" s="19" t="s">
        <v>339</v>
      </c>
      <c r="B325" s="6"/>
      <c r="C325" s="6"/>
      <c r="D325" s="6">
        <f t="shared" si="5"/>
        <v>0</v>
      </c>
    </row>
    <row r="326" spans="1:4" ht="18" hidden="1">
      <c r="A326" s="19" t="s">
        <v>340</v>
      </c>
      <c r="B326" s="6"/>
      <c r="C326" s="6"/>
      <c r="D326" s="6">
        <f t="shared" si="5"/>
        <v>0</v>
      </c>
    </row>
    <row r="327" spans="1:4" ht="18" hidden="1">
      <c r="A327" s="8" t="s">
        <v>341</v>
      </c>
      <c r="B327" s="6"/>
      <c r="C327" s="6"/>
      <c r="D327" s="6">
        <f t="shared" si="5"/>
        <v>0</v>
      </c>
    </row>
    <row r="328" spans="1:4" ht="18" hidden="1">
      <c r="A328" s="8" t="s">
        <v>342</v>
      </c>
      <c r="B328" s="6"/>
      <c r="C328" s="6"/>
      <c r="D328" s="6">
        <f t="shared" si="5"/>
        <v>0</v>
      </c>
    </row>
    <row r="329" spans="1:4" ht="18" hidden="1">
      <c r="A329" s="19" t="s">
        <v>343</v>
      </c>
      <c r="B329" s="6"/>
      <c r="C329" s="6"/>
      <c r="D329" s="6">
        <f t="shared" si="5"/>
        <v>0</v>
      </c>
    </row>
    <row r="330" spans="1:4" ht="18" hidden="1">
      <c r="A330" s="8" t="s">
        <v>344</v>
      </c>
      <c r="B330" s="6"/>
      <c r="C330" s="6"/>
      <c r="D330" s="6">
        <f t="shared" si="5"/>
        <v>0</v>
      </c>
    </row>
    <row r="331" spans="1:4" ht="18">
      <c r="A331" s="8" t="s">
        <v>345</v>
      </c>
      <c r="B331" s="6">
        <v>5</v>
      </c>
      <c r="C331" s="6">
        <v>6800</v>
      </c>
      <c r="D331" s="6">
        <f t="shared" si="5"/>
        <v>34000</v>
      </c>
    </row>
    <row r="332" spans="1:4" ht="18" hidden="1">
      <c r="A332" s="8" t="s">
        <v>346</v>
      </c>
      <c r="B332" s="6"/>
      <c r="C332" s="6"/>
      <c r="D332" s="6">
        <f t="shared" si="5"/>
        <v>0</v>
      </c>
    </row>
    <row r="333" spans="1:4" ht="18" hidden="1">
      <c r="A333" s="8" t="s">
        <v>347</v>
      </c>
      <c r="B333" s="6"/>
      <c r="C333" s="6"/>
      <c r="D333" s="6">
        <f t="shared" si="5"/>
        <v>0</v>
      </c>
    </row>
    <row r="334" spans="1:4" ht="18" hidden="1">
      <c r="A334" s="8" t="s">
        <v>348</v>
      </c>
      <c r="B334" s="6"/>
      <c r="C334" s="6"/>
      <c r="D334" s="6">
        <f t="shared" si="5"/>
        <v>0</v>
      </c>
    </row>
    <row r="335" spans="1:4" ht="18" hidden="1">
      <c r="A335" s="8" t="s">
        <v>349</v>
      </c>
      <c r="B335" s="6"/>
      <c r="C335" s="6"/>
      <c r="D335" s="6">
        <f t="shared" si="5"/>
        <v>0</v>
      </c>
    </row>
    <row r="336" spans="1:4" ht="18" hidden="1">
      <c r="A336" s="8" t="s">
        <v>350</v>
      </c>
      <c r="B336" s="6"/>
      <c r="C336" s="6"/>
      <c r="D336" s="6">
        <f t="shared" si="5"/>
        <v>0</v>
      </c>
    </row>
    <row r="337" spans="1:4" ht="18" hidden="1">
      <c r="A337" s="8" t="s">
        <v>351</v>
      </c>
      <c r="B337" s="6"/>
      <c r="C337" s="6"/>
      <c r="D337" s="6">
        <f t="shared" si="5"/>
        <v>0</v>
      </c>
    </row>
    <row r="338" spans="1:4" ht="18" hidden="1">
      <c r="A338" s="10" t="s">
        <v>352</v>
      </c>
      <c r="B338" s="6"/>
      <c r="C338" s="6"/>
      <c r="D338" s="6">
        <f t="shared" si="5"/>
        <v>0</v>
      </c>
    </row>
    <row r="339" spans="1:4" ht="18" hidden="1">
      <c r="A339" s="10" t="s">
        <v>353</v>
      </c>
      <c r="B339" s="6"/>
      <c r="C339" s="6"/>
      <c r="D339" s="6">
        <f t="shared" si="5"/>
        <v>0</v>
      </c>
    </row>
    <row r="340" spans="1:4" ht="18">
      <c r="A340" s="35"/>
      <c r="B340" s="36">
        <f>SUM(B3:B339)</f>
        <v>2173</v>
      </c>
      <c r="C340" s="36"/>
      <c r="D340" s="6">
        <f>SUM(D15:D331)</f>
        <v>35286000</v>
      </c>
    </row>
    <row r="341" spans="1:4" ht="18" hidden="1">
      <c r="D341" s="6">
        <f t="shared" si="5"/>
        <v>0</v>
      </c>
    </row>
    <row r="342" spans="1:4" ht="18">
      <c r="A342" s="1" t="s">
        <v>388</v>
      </c>
      <c r="B342" s="2"/>
      <c r="C342" s="2"/>
      <c r="D342" s="6"/>
    </row>
    <row r="343" spans="1:4" ht="26.4">
      <c r="A343" s="207" t="s">
        <v>381</v>
      </c>
      <c r="B343" s="4" t="s">
        <v>3</v>
      </c>
      <c r="C343" s="4" t="s">
        <v>4</v>
      </c>
      <c r="D343" s="6" t="s">
        <v>5</v>
      </c>
    </row>
    <row r="344" spans="1:4" ht="18" hidden="1">
      <c r="A344" s="206"/>
      <c r="B344" s="37"/>
      <c r="C344" s="37"/>
      <c r="D344" s="6">
        <f t="shared" si="5"/>
        <v>0</v>
      </c>
    </row>
    <row r="345" spans="1:4" ht="18" hidden="1">
      <c r="A345" s="5" t="s">
        <v>6</v>
      </c>
      <c r="B345" s="6"/>
      <c r="C345" s="6"/>
      <c r="D345" s="6">
        <f t="shared" si="5"/>
        <v>0</v>
      </c>
    </row>
    <row r="346" spans="1:4" ht="18" hidden="1">
      <c r="A346" s="7" t="s">
        <v>8</v>
      </c>
      <c r="B346" s="6"/>
      <c r="C346" s="6"/>
      <c r="D346" s="6">
        <f t="shared" si="5"/>
        <v>0</v>
      </c>
    </row>
    <row r="347" spans="1:4" ht="18" hidden="1">
      <c r="A347" s="5" t="s">
        <v>10</v>
      </c>
      <c r="B347" s="6"/>
      <c r="C347" s="6"/>
      <c r="D347" s="6">
        <f t="shared" si="5"/>
        <v>0</v>
      </c>
    </row>
    <row r="348" spans="1:4" ht="18">
      <c r="A348" s="5" t="s">
        <v>11</v>
      </c>
      <c r="B348" s="6">
        <v>240</v>
      </c>
      <c r="C348" s="6">
        <v>6500</v>
      </c>
      <c r="D348" s="6">
        <f t="shared" si="5"/>
        <v>1560000</v>
      </c>
    </row>
    <row r="349" spans="1:4" ht="18" hidden="1">
      <c r="A349" s="8" t="s">
        <v>12</v>
      </c>
      <c r="B349" s="6"/>
      <c r="C349" s="6"/>
      <c r="D349" s="6">
        <f t="shared" si="5"/>
        <v>0</v>
      </c>
    </row>
    <row r="350" spans="1:4" ht="18" hidden="1">
      <c r="A350" s="9" t="s">
        <v>13</v>
      </c>
      <c r="B350" s="6"/>
      <c r="C350" s="6"/>
      <c r="D350" s="6">
        <f t="shared" si="5"/>
        <v>0</v>
      </c>
    </row>
    <row r="351" spans="1:4" ht="18" hidden="1">
      <c r="A351" s="5" t="s">
        <v>14</v>
      </c>
      <c r="B351" s="6"/>
      <c r="C351" s="6"/>
      <c r="D351" s="6">
        <f t="shared" si="5"/>
        <v>0</v>
      </c>
    </row>
    <row r="352" spans="1:4" ht="18" hidden="1">
      <c r="A352" s="5" t="s">
        <v>15</v>
      </c>
      <c r="B352" s="6"/>
      <c r="C352" s="6"/>
      <c r="D352" s="6">
        <f t="shared" si="5"/>
        <v>0</v>
      </c>
    </row>
    <row r="353" spans="1:4" ht="18" hidden="1">
      <c r="A353" s="10" t="s">
        <v>355</v>
      </c>
      <c r="B353" s="6"/>
      <c r="C353" s="6"/>
      <c r="D353" s="6">
        <f t="shared" si="5"/>
        <v>0</v>
      </c>
    </row>
    <row r="354" spans="1:4" ht="18" hidden="1">
      <c r="A354" s="8" t="s">
        <v>18</v>
      </c>
      <c r="B354" s="6"/>
      <c r="C354" s="6"/>
      <c r="D354" s="6">
        <f t="shared" si="5"/>
        <v>0</v>
      </c>
    </row>
    <row r="355" spans="1:4" ht="18" hidden="1">
      <c r="A355" s="8" t="s">
        <v>19</v>
      </c>
      <c r="B355" s="6"/>
      <c r="C355" s="6"/>
      <c r="D355" s="6">
        <f t="shared" si="5"/>
        <v>0</v>
      </c>
    </row>
    <row r="356" spans="1:4" ht="18" hidden="1">
      <c r="A356" s="11" t="s">
        <v>20</v>
      </c>
      <c r="B356" s="6"/>
      <c r="C356" s="6"/>
      <c r="D356" s="6">
        <f t="shared" si="5"/>
        <v>0</v>
      </c>
    </row>
    <row r="357" spans="1:4" ht="18" hidden="1">
      <c r="A357" s="11" t="s">
        <v>22</v>
      </c>
      <c r="B357" s="6"/>
      <c r="C357" s="6"/>
      <c r="D357" s="6">
        <f t="shared" si="5"/>
        <v>0</v>
      </c>
    </row>
    <row r="358" spans="1:4" ht="18" hidden="1">
      <c r="A358" s="8" t="s">
        <v>23</v>
      </c>
      <c r="B358" s="6"/>
      <c r="C358" s="6"/>
      <c r="D358" s="6">
        <f t="shared" si="5"/>
        <v>0</v>
      </c>
    </row>
    <row r="359" spans="1:4" ht="18" hidden="1">
      <c r="A359" s="8" t="s">
        <v>24</v>
      </c>
      <c r="B359" s="6"/>
      <c r="C359" s="6"/>
      <c r="D359" s="6">
        <f t="shared" si="5"/>
        <v>0</v>
      </c>
    </row>
    <row r="360" spans="1:4" ht="18" hidden="1">
      <c r="A360" s="12" t="s">
        <v>25</v>
      </c>
      <c r="B360" s="6"/>
      <c r="C360" s="6"/>
      <c r="D360" s="6">
        <f t="shared" si="5"/>
        <v>0</v>
      </c>
    </row>
    <row r="361" spans="1:4" ht="18" hidden="1">
      <c r="A361" s="10" t="s">
        <v>26</v>
      </c>
      <c r="B361" s="6"/>
      <c r="C361" s="6"/>
      <c r="D361" s="6">
        <f t="shared" si="5"/>
        <v>0</v>
      </c>
    </row>
    <row r="362" spans="1:4" ht="18">
      <c r="A362" s="8" t="s">
        <v>27</v>
      </c>
      <c r="B362" s="6">
        <f>1725+670+330+30+80-100</f>
        <v>2735</v>
      </c>
      <c r="C362" s="6">
        <v>13000</v>
      </c>
      <c r="D362" s="6">
        <f t="shared" si="5"/>
        <v>35555000</v>
      </c>
    </row>
    <row r="363" spans="1:4" ht="18" hidden="1">
      <c r="A363" s="11" t="s">
        <v>28</v>
      </c>
      <c r="B363" s="6"/>
      <c r="C363" s="6"/>
      <c r="D363" s="6">
        <f t="shared" si="5"/>
        <v>0</v>
      </c>
    </row>
    <row r="364" spans="1:4" ht="18" hidden="1">
      <c r="A364" s="11" t="s">
        <v>29</v>
      </c>
      <c r="B364" s="6"/>
      <c r="C364" s="6"/>
      <c r="D364" s="6">
        <f t="shared" si="5"/>
        <v>0</v>
      </c>
    </row>
    <row r="365" spans="1:4" ht="18" hidden="1">
      <c r="A365" s="8" t="s">
        <v>30</v>
      </c>
      <c r="B365" s="6"/>
      <c r="C365" s="6"/>
      <c r="D365" s="6">
        <f t="shared" si="5"/>
        <v>0</v>
      </c>
    </row>
    <row r="366" spans="1:4" ht="18" hidden="1">
      <c r="A366" s="8" t="s">
        <v>31</v>
      </c>
      <c r="B366" s="6"/>
      <c r="C366" s="6"/>
      <c r="D366" s="6">
        <f t="shared" si="5"/>
        <v>0</v>
      </c>
    </row>
    <row r="367" spans="1:4" ht="18" hidden="1">
      <c r="A367" s="8" t="s">
        <v>32</v>
      </c>
      <c r="B367" s="6"/>
      <c r="C367" s="6"/>
      <c r="D367" s="6">
        <f t="shared" si="5"/>
        <v>0</v>
      </c>
    </row>
    <row r="368" spans="1:4" ht="18" hidden="1">
      <c r="A368" s="8" t="s">
        <v>33</v>
      </c>
      <c r="B368" s="6"/>
      <c r="C368" s="6"/>
      <c r="D368" s="6">
        <f t="shared" si="5"/>
        <v>0</v>
      </c>
    </row>
    <row r="369" spans="1:4" ht="18" hidden="1">
      <c r="A369" s="8" t="s">
        <v>34</v>
      </c>
      <c r="B369" s="6"/>
      <c r="C369" s="6"/>
      <c r="D369" s="6">
        <f t="shared" si="5"/>
        <v>0</v>
      </c>
    </row>
    <row r="370" spans="1:4" ht="18" hidden="1">
      <c r="A370" s="8" t="s">
        <v>35</v>
      </c>
      <c r="B370" s="6"/>
      <c r="C370" s="6"/>
      <c r="D370" s="6">
        <f t="shared" si="5"/>
        <v>0</v>
      </c>
    </row>
    <row r="371" spans="1:4" ht="18" hidden="1">
      <c r="A371" s="11" t="s">
        <v>37</v>
      </c>
      <c r="B371" s="6"/>
      <c r="C371" s="6"/>
      <c r="D371" s="6">
        <f t="shared" si="5"/>
        <v>0</v>
      </c>
    </row>
    <row r="372" spans="1:4" ht="18" hidden="1">
      <c r="A372" s="11" t="s">
        <v>46</v>
      </c>
      <c r="B372" s="6"/>
      <c r="C372" s="6"/>
      <c r="D372" s="6">
        <f t="shared" si="5"/>
        <v>0</v>
      </c>
    </row>
    <row r="373" spans="1:4" ht="18" hidden="1">
      <c r="A373" s="8" t="s">
        <v>47</v>
      </c>
      <c r="B373" s="6"/>
      <c r="C373" s="6"/>
      <c r="D373" s="6">
        <f t="shared" si="5"/>
        <v>0</v>
      </c>
    </row>
    <row r="374" spans="1:4" ht="18" hidden="1">
      <c r="A374" s="8" t="s">
        <v>48</v>
      </c>
      <c r="B374" s="6"/>
      <c r="C374" s="6"/>
      <c r="D374" s="6">
        <f t="shared" si="5"/>
        <v>0</v>
      </c>
    </row>
    <row r="375" spans="1:4" ht="18" hidden="1">
      <c r="A375" s="10" t="s">
        <v>356</v>
      </c>
      <c r="B375" s="14"/>
      <c r="C375" s="14"/>
      <c r="D375" s="6">
        <f t="shared" si="5"/>
        <v>0</v>
      </c>
    </row>
    <row r="376" spans="1:4" ht="18" hidden="1">
      <c r="A376" s="10" t="s">
        <v>50</v>
      </c>
      <c r="B376" s="14"/>
      <c r="C376" s="14"/>
      <c r="D376" s="6">
        <f t="shared" si="5"/>
        <v>0</v>
      </c>
    </row>
    <row r="377" spans="1:4" ht="18" hidden="1">
      <c r="A377" s="8" t="s">
        <v>51</v>
      </c>
      <c r="B377" s="6"/>
      <c r="C377" s="6"/>
      <c r="D377" s="6">
        <f t="shared" si="5"/>
        <v>0</v>
      </c>
    </row>
    <row r="378" spans="1:4" ht="18" hidden="1">
      <c r="A378" s="8" t="s">
        <v>52</v>
      </c>
      <c r="B378" s="6"/>
      <c r="C378" s="6"/>
      <c r="D378" s="6">
        <f t="shared" si="5"/>
        <v>0</v>
      </c>
    </row>
    <row r="379" spans="1:4" ht="18" hidden="1">
      <c r="A379" s="15" t="s">
        <v>53</v>
      </c>
      <c r="B379" s="6"/>
      <c r="C379" s="6"/>
      <c r="D379" s="6">
        <f t="shared" si="5"/>
        <v>0</v>
      </c>
    </row>
    <row r="380" spans="1:4" ht="18" hidden="1">
      <c r="A380" s="8" t="s">
        <v>55</v>
      </c>
      <c r="B380" s="6"/>
      <c r="C380" s="6"/>
      <c r="D380" s="6">
        <f t="shared" si="5"/>
        <v>0</v>
      </c>
    </row>
    <row r="381" spans="1:4" ht="18" hidden="1">
      <c r="A381" s="8" t="s">
        <v>56</v>
      </c>
      <c r="B381" s="6"/>
      <c r="C381" s="6"/>
      <c r="D381" s="6">
        <f t="shared" si="5"/>
        <v>0</v>
      </c>
    </row>
    <row r="382" spans="1:4" ht="18" hidden="1">
      <c r="A382" s="8" t="s">
        <v>58</v>
      </c>
      <c r="B382" s="6"/>
      <c r="C382" s="6"/>
      <c r="D382" s="6">
        <f t="shared" si="5"/>
        <v>0</v>
      </c>
    </row>
    <row r="383" spans="1:4" ht="18" hidden="1">
      <c r="A383" s="8" t="s">
        <v>59</v>
      </c>
      <c r="B383" s="6"/>
      <c r="C383" s="6"/>
      <c r="D383" s="6">
        <f t="shared" si="5"/>
        <v>0</v>
      </c>
    </row>
    <row r="384" spans="1:4" ht="18" hidden="1">
      <c r="A384" s="12" t="s">
        <v>60</v>
      </c>
      <c r="B384" s="6"/>
      <c r="C384" s="6"/>
      <c r="D384" s="6">
        <f t="shared" si="5"/>
        <v>0</v>
      </c>
    </row>
    <row r="385" spans="1:4" ht="18" hidden="1">
      <c r="A385" s="10" t="s">
        <v>61</v>
      </c>
      <c r="B385" s="6"/>
      <c r="C385" s="6"/>
      <c r="D385" s="6">
        <f t="shared" si="5"/>
        <v>0</v>
      </c>
    </row>
    <row r="386" spans="1:4" ht="18" hidden="1">
      <c r="A386" s="12" t="s">
        <v>62</v>
      </c>
      <c r="B386" s="6"/>
      <c r="C386" s="6"/>
      <c r="D386" s="6">
        <f t="shared" si="5"/>
        <v>0</v>
      </c>
    </row>
    <row r="387" spans="1:4" ht="18" hidden="1">
      <c r="A387" s="8" t="s">
        <v>63</v>
      </c>
      <c r="B387" s="6"/>
      <c r="C387" s="6"/>
      <c r="D387" s="6">
        <f t="shared" si="5"/>
        <v>0</v>
      </c>
    </row>
    <row r="388" spans="1:4" ht="18" hidden="1">
      <c r="A388" s="8" t="s">
        <v>64</v>
      </c>
      <c r="B388" s="6"/>
      <c r="C388" s="6"/>
      <c r="D388" s="6">
        <f t="shared" ref="D388:D451" si="6">B388*C388</f>
        <v>0</v>
      </c>
    </row>
    <row r="389" spans="1:4" ht="18">
      <c r="A389" s="11" t="s">
        <v>65</v>
      </c>
      <c r="B389" s="6">
        <f>320+460+20+130</f>
        <v>930</v>
      </c>
      <c r="C389" s="6">
        <v>17000</v>
      </c>
      <c r="D389" s="6">
        <f t="shared" si="6"/>
        <v>15810000</v>
      </c>
    </row>
    <row r="390" spans="1:4" ht="18" hidden="1">
      <c r="A390" s="16" t="s">
        <v>66</v>
      </c>
      <c r="B390" s="6"/>
      <c r="C390" s="6"/>
      <c r="D390" s="6">
        <f t="shared" si="6"/>
        <v>0</v>
      </c>
    </row>
    <row r="391" spans="1:4" ht="18" hidden="1">
      <c r="A391" s="15" t="s">
        <v>67</v>
      </c>
      <c r="B391" s="6"/>
      <c r="C391" s="6"/>
      <c r="D391" s="6">
        <f t="shared" si="6"/>
        <v>0</v>
      </c>
    </row>
    <row r="392" spans="1:4" ht="18" hidden="1">
      <c r="A392" s="15" t="s">
        <v>69</v>
      </c>
      <c r="B392" s="6"/>
      <c r="C392" s="6"/>
      <c r="D392" s="6">
        <f t="shared" si="6"/>
        <v>0</v>
      </c>
    </row>
    <row r="393" spans="1:4" ht="18" hidden="1">
      <c r="A393" s="15" t="s">
        <v>70</v>
      </c>
      <c r="B393" s="6"/>
      <c r="C393" s="6"/>
      <c r="D393" s="6">
        <f t="shared" si="6"/>
        <v>0</v>
      </c>
    </row>
    <row r="394" spans="1:4" ht="18" hidden="1">
      <c r="A394" s="8" t="s">
        <v>71</v>
      </c>
      <c r="B394" s="6"/>
      <c r="C394" s="6"/>
      <c r="D394" s="6">
        <f t="shared" si="6"/>
        <v>0</v>
      </c>
    </row>
    <row r="395" spans="1:4" ht="18" hidden="1">
      <c r="A395" s="10" t="s">
        <v>72</v>
      </c>
      <c r="B395" s="6"/>
      <c r="C395" s="6"/>
      <c r="D395" s="6">
        <f t="shared" si="6"/>
        <v>0</v>
      </c>
    </row>
    <row r="396" spans="1:4" ht="18" hidden="1">
      <c r="A396" s="8" t="s">
        <v>73</v>
      </c>
      <c r="B396" s="6"/>
      <c r="C396" s="6"/>
      <c r="D396" s="6">
        <f t="shared" si="6"/>
        <v>0</v>
      </c>
    </row>
    <row r="397" spans="1:4" ht="18" hidden="1">
      <c r="A397" s="8" t="s">
        <v>74</v>
      </c>
      <c r="B397" s="6"/>
      <c r="C397" s="6"/>
      <c r="D397" s="6">
        <f t="shared" si="6"/>
        <v>0</v>
      </c>
    </row>
    <row r="398" spans="1:4" ht="18" hidden="1">
      <c r="A398" s="15" t="s">
        <v>75</v>
      </c>
      <c r="B398" s="6"/>
      <c r="C398" s="6"/>
      <c r="D398" s="6">
        <f t="shared" si="6"/>
        <v>0</v>
      </c>
    </row>
    <row r="399" spans="1:4" ht="18" hidden="1">
      <c r="A399" s="8" t="s">
        <v>76</v>
      </c>
      <c r="B399" s="6"/>
      <c r="C399" s="6"/>
      <c r="D399" s="6">
        <f t="shared" si="6"/>
        <v>0</v>
      </c>
    </row>
    <row r="400" spans="1:4" ht="18" hidden="1">
      <c r="A400" s="17" t="s">
        <v>77</v>
      </c>
      <c r="B400" s="6"/>
      <c r="C400" s="6"/>
      <c r="D400" s="6">
        <f t="shared" si="6"/>
        <v>0</v>
      </c>
    </row>
    <row r="401" spans="1:4" ht="18" hidden="1">
      <c r="A401" s="8" t="s">
        <v>78</v>
      </c>
      <c r="B401" s="6"/>
      <c r="C401" s="6"/>
      <c r="D401" s="6">
        <f t="shared" si="6"/>
        <v>0</v>
      </c>
    </row>
    <row r="402" spans="1:4" ht="18" hidden="1">
      <c r="A402" s="8" t="s">
        <v>79</v>
      </c>
      <c r="B402" s="6"/>
      <c r="C402" s="6"/>
      <c r="D402" s="6">
        <f t="shared" si="6"/>
        <v>0</v>
      </c>
    </row>
    <row r="403" spans="1:4" ht="18" hidden="1">
      <c r="A403" s="18" t="s">
        <v>80</v>
      </c>
      <c r="B403" s="6"/>
      <c r="C403" s="6"/>
      <c r="D403" s="6">
        <f t="shared" si="6"/>
        <v>0</v>
      </c>
    </row>
    <row r="404" spans="1:4" ht="18" hidden="1">
      <c r="A404" s="38" t="s">
        <v>81</v>
      </c>
      <c r="B404" s="6"/>
      <c r="C404" s="6"/>
      <c r="D404" s="6">
        <f t="shared" si="6"/>
        <v>0</v>
      </c>
    </row>
    <row r="405" spans="1:4" ht="18" hidden="1">
      <c r="A405" s="11" t="s">
        <v>82</v>
      </c>
      <c r="B405" s="6"/>
      <c r="C405" s="6"/>
      <c r="D405" s="6">
        <f t="shared" si="6"/>
        <v>0</v>
      </c>
    </row>
    <row r="406" spans="1:4" ht="18" hidden="1">
      <c r="A406" s="10" t="s">
        <v>83</v>
      </c>
      <c r="B406" s="6"/>
      <c r="C406" s="6"/>
      <c r="D406" s="6">
        <f t="shared" si="6"/>
        <v>0</v>
      </c>
    </row>
    <row r="407" spans="1:4" ht="18" hidden="1">
      <c r="A407" s="11" t="s">
        <v>84</v>
      </c>
      <c r="B407" s="6"/>
      <c r="C407" s="6"/>
      <c r="D407" s="6">
        <f t="shared" si="6"/>
        <v>0</v>
      </c>
    </row>
    <row r="408" spans="1:4" ht="18" hidden="1">
      <c r="A408" s="11" t="s">
        <v>85</v>
      </c>
      <c r="B408" s="6"/>
      <c r="C408" s="6"/>
      <c r="D408" s="6">
        <f t="shared" si="6"/>
        <v>0</v>
      </c>
    </row>
    <row r="409" spans="1:4" ht="18" hidden="1">
      <c r="A409" s="11" t="s">
        <v>86</v>
      </c>
      <c r="B409" s="6"/>
      <c r="C409" s="6"/>
      <c r="D409" s="6">
        <f t="shared" si="6"/>
        <v>0</v>
      </c>
    </row>
    <row r="410" spans="1:4" ht="18" hidden="1">
      <c r="A410" s="18" t="s">
        <v>87</v>
      </c>
      <c r="B410" s="6"/>
      <c r="C410" s="6"/>
      <c r="D410" s="6">
        <f t="shared" si="6"/>
        <v>0</v>
      </c>
    </row>
    <row r="411" spans="1:4" ht="18" hidden="1">
      <c r="A411" s="8" t="s">
        <v>88</v>
      </c>
      <c r="B411" s="6"/>
      <c r="C411" s="6"/>
      <c r="D411" s="6">
        <f t="shared" si="6"/>
        <v>0</v>
      </c>
    </row>
    <row r="412" spans="1:4" ht="18" hidden="1">
      <c r="A412" s="8" t="s">
        <v>89</v>
      </c>
      <c r="B412" s="6"/>
      <c r="C412" s="6"/>
      <c r="D412" s="6">
        <f t="shared" si="6"/>
        <v>0</v>
      </c>
    </row>
    <row r="413" spans="1:4" ht="18" hidden="1">
      <c r="A413" s="11" t="s">
        <v>357</v>
      </c>
      <c r="B413" s="6"/>
      <c r="C413" s="6"/>
      <c r="D413" s="6">
        <f t="shared" si="6"/>
        <v>0</v>
      </c>
    </row>
    <row r="414" spans="1:4" ht="18" hidden="1">
      <c r="A414" s="8" t="s">
        <v>90</v>
      </c>
      <c r="B414" s="6"/>
      <c r="C414" s="6"/>
      <c r="D414" s="6">
        <f t="shared" si="6"/>
        <v>0</v>
      </c>
    </row>
    <row r="415" spans="1:4" ht="18" hidden="1">
      <c r="A415" s="12" t="s">
        <v>91</v>
      </c>
      <c r="B415" s="6"/>
      <c r="C415" s="6"/>
      <c r="D415" s="6">
        <f t="shared" si="6"/>
        <v>0</v>
      </c>
    </row>
    <row r="416" spans="1:4" ht="18" hidden="1">
      <c r="A416" s="8" t="s">
        <v>92</v>
      </c>
      <c r="B416" s="6"/>
      <c r="C416" s="6"/>
      <c r="D416" s="6">
        <f t="shared" si="6"/>
        <v>0</v>
      </c>
    </row>
    <row r="417" spans="1:4" ht="18" hidden="1">
      <c r="A417" s="8" t="s">
        <v>94</v>
      </c>
      <c r="B417" s="6"/>
      <c r="C417" s="6"/>
      <c r="D417" s="6">
        <f t="shared" si="6"/>
        <v>0</v>
      </c>
    </row>
    <row r="418" spans="1:4" ht="18" hidden="1">
      <c r="A418" s="8" t="s">
        <v>95</v>
      </c>
      <c r="B418" s="6"/>
      <c r="C418" s="6"/>
      <c r="D418" s="6">
        <f t="shared" si="6"/>
        <v>0</v>
      </c>
    </row>
    <row r="419" spans="1:4" ht="18" hidden="1">
      <c r="A419" s="11" t="s">
        <v>96</v>
      </c>
      <c r="B419" s="14"/>
      <c r="C419" s="14"/>
      <c r="D419" s="6">
        <f t="shared" si="6"/>
        <v>0</v>
      </c>
    </row>
    <row r="420" spans="1:4" ht="18" hidden="1">
      <c r="A420" s="11" t="s">
        <v>97</v>
      </c>
      <c r="B420" s="14"/>
      <c r="C420" s="14"/>
      <c r="D420" s="6">
        <f t="shared" si="6"/>
        <v>0</v>
      </c>
    </row>
    <row r="421" spans="1:4" ht="18" hidden="1">
      <c r="A421" s="11" t="s">
        <v>98</v>
      </c>
      <c r="B421" s="14"/>
      <c r="C421" s="14"/>
      <c r="D421" s="6">
        <f t="shared" si="6"/>
        <v>0</v>
      </c>
    </row>
    <row r="422" spans="1:4" ht="18" hidden="1">
      <c r="A422" s="8" t="s">
        <v>99</v>
      </c>
      <c r="B422" s="6"/>
      <c r="C422" s="6"/>
      <c r="D422" s="6">
        <f t="shared" si="6"/>
        <v>0</v>
      </c>
    </row>
    <row r="423" spans="1:4" ht="18" hidden="1">
      <c r="A423" s="8" t="s">
        <v>100</v>
      </c>
      <c r="B423" s="6"/>
      <c r="C423" s="6"/>
      <c r="D423" s="6">
        <f t="shared" si="6"/>
        <v>0</v>
      </c>
    </row>
    <row r="424" spans="1:4" ht="18" hidden="1">
      <c r="A424" s="8" t="s">
        <v>101</v>
      </c>
      <c r="B424" s="6"/>
      <c r="C424" s="6"/>
      <c r="D424" s="6">
        <f t="shared" si="6"/>
        <v>0</v>
      </c>
    </row>
    <row r="425" spans="1:4" ht="18" hidden="1">
      <c r="A425" s="8" t="s">
        <v>102</v>
      </c>
      <c r="B425" s="6"/>
      <c r="C425" s="6"/>
      <c r="D425" s="6">
        <f t="shared" si="6"/>
        <v>0</v>
      </c>
    </row>
    <row r="426" spans="1:4" ht="18" hidden="1">
      <c r="A426" s="8" t="s">
        <v>103</v>
      </c>
      <c r="B426" s="6"/>
      <c r="C426" s="6"/>
      <c r="D426" s="6">
        <f t="shared" si="6"/>
        <v>0</v>
      </c>
    </row>
    <row r="427" spans="1:4" ht="18">
      <c r="A427" s="8" t="s">
        <v>104</v>
      </c>
      <c r="B427" s="6">
        <v>13</v>
      </c>
      <c r="C427" s="6">
        <v>7000</v>
      </c>
      <c r="D427" s="6">
        <f t="shared" si="6"/>
        <v>91000</v>
      </c>
    </row>
    <row r="428" spans="1:4" ht="18" hidden="1">
      <c r="A428" s="19" t="s">
        <v>105</v>
      </c>
      <c r="B428" s="6"/>
      <c r="C428" s="6"/>
      <c r="D428" s="6">
        <f t="shared" si="6"/>
        <v>0</v>
      </c>
    </row>
    <row r="429" spans="1:4" ht="18" hidden="1">
      <c r="A429" s="19" t="s">
        <v>106</v>
      </c>
      <c r="B429" s="6"/>
      <c r="C429" s="6"/>
      <c r="D429" s="6">
        <f t="shared" si="6"/>
        <v>0</v>
      </c>
    </row>
    <row r="430" spans="1:4" ht="18" hidden="1">
      <c r="A430" s="19" t="s">
        <v>107</v>
      </c>
      <c r="B430" s="6"/>
      <c r="C430" s="6"/>
      <c r="D430" s="6">
        <f t="shared" si="6"/>
        <v>0</v>
      </c>
    </row>
    <row r="431" spans="1:4" ht="18" hidden="1">
      <c r="A431" s="10" t="s">
        <v>108</v>
      </c>
      <c r="B431" s="6"/>
      <c r="C431" s="6"/>
      <c r="D431" s="6">
        <f t="shared" si="6"/>
        <v>0</v>
      </c>
    </row>
    <row r="432" spans="1:4" ht="18" hidden="1">
      <c r="A432" s="12" t="s">
        <v>109</v>
      </c>
      <c r="B432" s="6"/>
      <c r="C432" s="6"/>
      <c r="D432" s="6">
        <f t="shared" si="6"/>
        <v>0</v>
      </c>
    </row>
    <row r="433" spans="1:4" ht="18" hidden="1">
      <c r="A433" s="10" t="s">
        <v>358</v>
      </c>
      <c r="B433" s="6"/>
      <c r="C433" s="6"/>
      <c r="D433" s="6">
        <f t="shared" si="6"/>
        <v>0</v>
      </c>
    </row>
    <row r="434" spans="1:4" ht="18" hidden="1">
      <c r="A434" s="8" t="s">
        <v>110</v>
      </c>
      <c r="B434" s="6"/>
      <c r="C434" s="6"/>
      <c r="D434" s="6">
        <f t="shared" si="6"/>
        <v>0</v>
      </c>
    </row>
    <row r="435" spans="1:4" ht="18" hidden="1">
      <c r="A435" s="8" t="s">
        <v>111</v>
      </c>
      <c r="B435" s="6"/>
      <c r="C435" s="6"/>
      <c r="D435" s="6">
        <f t="shared" si="6"/>
        <v>0</v>
      </c>
    </row>
    <row r="436" spans="1:4" ht="18" hidden="1">
      <c r="A436" s="10" t="s">
        <v>359</v>
      </c>
      <c r="B436" s="6"/>
      <c r="C436" s="6"/>
      <c r="D436" s="6">
        <f t="shared" si="6"/>
        <v>0</v>
      </c>
    </row>
    <row r="437" spans="1:4" ht="18" hidden="1">
      <c r="A437" s="10" t="s">
        <v>360</v>
      </c>
      <c r="B437" s="6"/>
      <c r="C437" s="6"/>
      <c r="D437" s="6">
        <f t="shared" si="6"/>
        <v>0</v>
      </c>
    </row>
    <row r="438" spans="1:4" ht="18" hidden="1">
      <c r="A438" s="8" t="s">
        <v>113</v>
      </c>
      <c r="B438" s="14"/>
      <c r="C438" s="14"/>
      <c r="D438" s="6">
        <f t="shared" si="6"/>
        <v>0</v>
      </c>
    </row>
    <row r="439" spans="1:4" ht="18" hidden="1">
      <c r="A439" s="19" t="s">
        <v>115</v>
      </c>
      <c r="B439" s="6"/>
      <c r="C439" s="6"/>
      <c r="D439" s="6">
        <f t="shared" si="6"/>
        <v>0</v>
      </c>
    </row>
    <row r="440" spans="1:4" ht="18" hidden="1">
      <c r="A440" s="10" t="s">
        <v>116</v>
      </c>
      <c r="B440" s="6"/>
      <c r="C440" s="6"/>
      <c r="D440" s="6">
        <f t="shared" si="6"/>
        <v>0</v>
      </c>
    </row>
    <row r="441" spans="1:4" ht="18" hidden="1">
      <c r="A441" s="10" t="s">
        <v>361</v>
      </c>
      <c r="B441" s="6"/>
      <c r="C441" s="6"/>
      <c r="D441" s="6">
        <f t="shared" si="6"/>
        <v>0</v>
      </c>
    </row>
    <row r="442" spans="1:4" ht="18" hidden="1">
      <c r="A442" s="8" t="s">
        <v>117</v>
      </c>
      <c r="B442" s="6"/>
      <c r="C442" s="6"/>
      <c r="D442" s="6">
        <f t="shared" si="6"/>
        <v>0</v>
      </c>
    </row>
    <row r="443" spans="1:4" ht="18" hidden="1">
      <c r="A443" s="15" t="s">
        <v>118</v>
      </c>
      <c r="B443" s="6"/>
      <c r="C443" s="6"/>
      <c r="D443" s="6">
        <f t="shared" si="6"/>
        <v>0</v>
      </c>
    </row>
    <row r="444" spans="1:4" ht="18" hidden="1">
      <c r="A444" s="22" t="s">
        <v>119</v>
      </c>
      <c r="B444" s="6"/>
      <c r="C444" s="6"/>
      <c r="D444" s="6">
        <f t="shared" si="6"/>
        <v>0</v>
      </c>
    </row>
    <row r="445" spans="1:4" ht="18" hidden="1">
      <c r="A445" s="22" t="s">
        <v>120</v>
      </c>
      <c r="B445" s="6"/>
      <c r="C445" s="6"/>
      <c r="D445" s="6">
        <f t="shared" si="6"/>
        <v>0</v>
      </c>
    </row>
    <row r="446" spans="1:4" ht="18" hidden="1">
      <c r="A446" s="21" t="s">
        <v>121</v>
      </c>
      <c r="B446" s="6"/>
      <c r="C446" s="6"/>
      <c r="D446" s="6">
        <f t="shared" si="6"/>
        <v>0</v>
      </c>
    </row>
    <row r="447" spans="1:4" ht="18" hidden="1">
      <c r="A447" s="23" t="s">
        <v>122</v>
      </c>
      <c r="B447" s="6"/>
      <c r="C447" s="6"/>
      <c r="D447" s="6">
        <f t="shared" si="6"/>
        <v>0</v>
      </c>
    </row>
    <row r="448" spans="1:4" ht="18" hidden="1">
      <c r="A448" s="8" t="s">
        <v>123</v>
      </c>
      <c r="B448" s="6"/>
      <c r="C448" s="6"/>
      <c r="D448" s="6">
        <f t="shared" si="6"/>
        <v>0</v>
      </c>
    </row>
    <row r="449" spans="1:4" ht="18" hidden="1">
      <c r="A449" s="8" t="s">
        <v>124</v>
      </c>
      <c r="B449" s="6"/>
      <c r="C449" s="6"/>
      <c r="D449" s="6">
        <f t="shared" si="6"/>
        <v>0</v>
      </c>
    </row>
    <row r="450" spans="1:4" ht="18" hidden="1">
      <c r="A450" s="8" t="s">
        <v>125</v>
      </c>
      <c r="B450" s="6"/>
      <c r="C450" s="6"/>
      <c r="D450" s="6">
        <f t="shared" si="6"/>
        <v>0</v>
      </c>
    </row>
    <row r="451" spans="1:4" ht="18" hidden="1">
      <c r="A451" s="8" t="s">
        <v>126</v>
      </c>
      <c r="B451" s="6"/>
      <c r="C451" s="6"/>
      <c r="D451" s="6">
        <f t="shared" si="6"/>
        <v>0</v>
      </c>
    </row>
    <row r="452" spans="1:4" ht="18" hidden="1">
      <c r="A452" s="8" t="s">
        <v>128</v>
      </c>
      <c r="B452" s="6"/>
      <c r="C452" s="6"/>
      <c r="D452" s="6">
        <f t="shared" ref="D452:D515" si="7">B452*C452</f>
        <v>0</v>
      </c>
    </row>
    <row r="453" spans="1:4" ht="18" hidden="1">
      <c r="A453" s="8" t="s">
        <v>129</v>
      </c>
      <c r="B453" s="6"/>
      <c r="C453" s="6"/>
      <c r="D453" s="6">
        <f t="shared" si="7"/>
        <v>0</v>
      </c>
    </row>
    <row r="454" spans="1:4" ht="18" hidden="1">
      <c r="A454" s="8" t="s">
        <v>362</v>
      </c>
      <c r="B454" s="6"/>
      <c r="C454" s="6"/>
      <c r="D454" s="6">
        <f t="shared" si="7"/>
        <v>0</v>
      </c>
    </row>
    <row r="455" spans="1:4" ht="18" hidden="1">
      <c r="A455" s="8" t="s">
        <v>130</v>
      </c>
      <c r="B455" s="6"/>
      <c r="C455" s="6"/>
      <c r="D455" s="6">
        <f t="shared" si="7"/>
        <v>0</v>
      </c>
    </row>
    <row r="456" spans="1:4" ht="18" hidden="1">
      <c r="A456" s="10" t="s">
        <v>131</v>
      </c>
      <c r="B456" s="6"/>
      <c r="C456" s="6"/>
      <c r="D456" s="6">
        <f t="shared" si="7"/>
        <v>0</v>
      </c>
    </row>
    <row r="457" spans="1:4" ht="18" hidden="1">
      <c r="A457" s="19" t="s">
        <v>132</v>
      </c>
      <c r="B457" s="6"/>
      <c r="C457" s="6"/>
      <c r="D457" s="6">
        <f t="shared" si="7"/>
        <v>0</v>
      </c>
    </row>
    <row r="458" spans="1:4" ht="18" hidden="1">
      <c r="A458" s="8" t="s">
        <v>133</v>
      </c>
      <c r="B458" s="6"/>
      <c r="C458" s="6"/>
      <c r="D458" s="6">
        <f t="shared" si="7"/>
        <v>0</v>
      </c>
    </row>
    <row r="459" spans="1:4" ht="18" hidden="1">
      <c r="A459" s="10" t="s">
        <v>135</v>
      </c>
      <c r="B459" s="6"/>
      <c r="C459" s="6"/>
      <c r="D459" s="6">
        <f t="shared" si="7"/>
        <v>0</v>
      </c>
    </row>
    <row r="460" spans="1:4" ht="18" hidden="1">
      <c r="A460" s="10" t="s">
        <v>136</v>
      </c>
      <c r="B460" s="6"/>
      <c r="C460" s="6"/>
      <c r="D460" s="6">
        <f t="shared" si="7"/>
        <v>0</v>
      </c>
    </row>
    <row r="461" spans="1:4" ht="18" hidden="1">
      <c r="A461" s="8" t="s">
        <v>137</v>
      </c>
      <c r="B461" s="6"/>
      <c r="C461" s="6"/>
      <c r="D461" s="6">
        <f t="shared" si="7"/>
        <v>0</v>
      </c>
    </row>
    <row r="462" spans="1:4" ht="18" hidden="1">
      <c r="A462" s="9" t="s">
        <v>139</v>
      </c>
      <c r="B462" s="6"/>
      <c r="C462" s="6"/>
      <c r="D462" s="6">
        <f t="shared" si="7"/>
        <v>0</v>
      </c>
    </row>
    <row r="463" spans="1:4" ht="18" hidden="1">
      <c r="A463" s="12" t="s">
        <v>140</v>
      </c>
      <c r="B463" s="6"/>
      <c r="C463" s="6"/>
      <c r="D463" s="6">
        <f t="shared" si="7"/>
        <v>0</v>
      </c>
    </row>
    <row r="464" spans="1:4" ht="18" hidden="1">
      <c r="A464" s="11" t="s">
        <v>141</v>
      </c>
      <c r="B464" s="14"/>
      <c r="C464" s="14"/>
      <c r="D464" s="6">
        <f t="shared" si="7"/>
        <v>0</v>
      </c>
    </row>
    <row r="465" spans="1:4" ht="18" hidden="1">
      <c r="A465" s="11" t="s">
        <v>142</v>
      </c>
      <c r="B465" s="14"/>
      <c r="C465" s="14"/>
      <c r="D465" s="6">
        <f t="shared" si="7"/>
        <v>0</v>
      </c>
    </row>
    <row r="466" spans="1:4" ht="18" hidden="1">
      <c r="A466" s="11" t="s">
        <v>143</v>
      </c>
      <c r="B466" s="14"/>
      <c r="C466" s="14"/>
      <c r="D466" s="6">
        <f t="shared" si="7"/>
        <v>0</v>
      </c>
    </row>
    <row r="467" spans="1:4" ht="18" hidden="1">
      <c r="A467" s="11" t="s">
        <v>144</v>
      </c>
      <c r="B467" s="24"/>
      <c r="C467" s="24"/>
      <c r="D467" s="6">
        <f t="shared" si="7"/>
        <v>0</v>
      </c>
    </row>
    <row r="468" spans="1:4" ht="18" hidden="1">
      <c r="A468" s="25" t="s">
        <v>145</v>
      </c>
      <c r="B468" s="6"/>
      <c r="C468" s="6"/>
      <c r="D468" s="6">
        <f t="shared" si="7"/>
        <v>0</v>
      </c>
    </row>
    <row r="469" spans="1:4" ht="18" hidden="1">
      <c r="A469" s="11" t="s">
        <v>146</v>
      </c>
      <c r="B469" s="14"/>
      <c r="C469" s="14"/>
      <c r="D469" s="6">
        <f t="shared" si="7"/>
        <v>0</v>
      </c>
    </row>
    <row r="470" spans="1:4" ht="18" hidden="1">
      <c r="A470" s="8" t="s">
        <v>147</v>
      </c>
      <c r="B470" s="6"/>
      <c r="C470" s="6"/>
      <c r="D470" s="6">
        <f t="shared" si="7"/>
        <v>0</v>
      </c>
    </row>
    <row r="471" spans="1:4" ht="18" hidden="1">
      <c r="A471" s="8" t="s">
        <v>148</v>
      </c>
      <c r="B471" s="6"/>
      <c r="C471" s="6"/>
      <c r="D471" s="6">
        <f t="shared" si="7"/>
        <v>0</v>
      </c>
    </row>
    <row r="472" spans="1:4" ht="18">
      <c r="A472" s="8" t="s">
        <v>150</v>
      </c>
      <c r="B472" s="6">
        <f>38+85</f>
        <v>123</v>
      </c>
      <c r="C472" s="6">
        <v>13000</v>
      </c>
      <c r="D472" s="6">
        <f t="shared" si="7"/>
        <v>1599000</v>
      </c>
    </row>
    <row r="473" spans="1:4" ht="18" hidden="1">
      <c r="A473" s="15" t="s">
        <v>151</v>
      </c>
      <c r="B473" s="6"/>
      <c r="C473" s="6"/>
      <c r="D473" s="6">
        <f t="shared" si="7"/>
        <v>0</v>
      </c>
    </row>
    <row r="474" spans="1:4" ht="18" hidden="1">
      <c r="A474" s="11" t="s">
        <v>152</v>
      </c>
      <c r="B474" s="6"/>
      <c r="C474" s="6"/>
      <c r="D474" s="6">
        <f t="shared" si="7"/>
        <v>0</v>
      </c>
    </row>
    <row r="475" spans="1:4" ht="18" hidden="1">
      <c r="A475" s="11" t="s">
        <v>153</v>
      </c>
      <c r="B475" s="6"/>
      <c r="C475" s="6"/>
      <c r="D475" s="6">
        <f t="shared" si="7"/>
        <v>0</v>
      </c>
    </row>
    <row r="476" spans="1:4" ht="18" hidden="1">
      <c r="A476" s="8" t="s">
        <v>154</v>
      </c>
      <c r="B476" s="6"/>
      <c r="C476" s="6"/>
      <c r="D476" s="6">
        <f t="shared" si="7"/>
        <v>0</v>
      </c>
    </row>
    <row r="477" spans="1:4" ht="18" hidden="1">
      <c r="A477" s="8" t="s">
        <v>363</v>
      </c>
      <c r="B477" s="6"/>
      <c r="C477" s="6"/>
      <c r="D477" s="6">
        <f t="shared" si="7"/>
        <v>0</v>
      </c>
    </row>
    <row r="478" spans="1:4" ht="18" hidden="1">
      <c r="A478" s="8" t="s">
        <v>156</v>
      </c>
      <c r="B478" s="14"/>
      <c r="C478" s="14"/>
      <c r="D478" s="6">
        <f t="shared" si="7"/>
        <v>0</v>
      </c>
    </row>
    <row r="479" spans="1:4" ht="18" hidden="1">
      <c r="A479" s="8" t="s">
        <v>157</v>
      </c>
      <c r="B479" s="14"/>
      <c r="C479" s="14"/>
      <c r="D479" s="6">
        <f t="shared" si="7"/>
        <v>0</v>
      </c>
    </row>
    <row r="480" spans="1:4" ht="18" hidden="1">
      <c r="A480" s="8" t="s">
        <v>158</v>
      </c>
      <c r="B480" s="6"/>
      <c r="C480" s="6"/>
      <c r="D480" s="6">
        <f t="shared" si="7"/>
        <v>0</v>
      </c>
    </row>
    <row r="481" spans="1:4" ht="18" hidden="1">
      <c r="A481" s="8" t="s">
        <v>159</v>
      </c>
      <c r="B481" s="14"/>
      <c r="C481" s="14"/>
      <c r="D481" s="6">
        <f t="shared" si="7"/>
        <v>0</v>
      </c>
    </row>
    <row r="482" spans="1:4" ht="18" hidden="1">
      <c r="A482" s="8" t="s">
        <v>160</v>
      </c>
      <c r="B482" s="14"/>
      <c r="C482" s="14"/>
      <c r="D482" s="6">
        <f t="shared" si="7"/>
        <v>0</v>
      </c>
    </row>
    <row r="483" spans="1:4" ht="18" hidden="1">
      <c r="A483" s="8" t="s">
        <v>161</v>
      </c>
      <c r="B483" s="14"/>
      <c r="C483" s="14"/>
      <c r="D483" s="6">
        <f t="shared" si="7"/>
        <v>0</v>
      </c>
    </row>
    <row r="484" spans="1:4" ht="18" hidden="1">
      <c r="A484" s="8" t="s">
        <v>162</v>
      </c>
      <c r="B484" s="14"/>
      <c r="C484" s="14"/>
      <c r="D484" s="6">
        <f t="shared" si="7"/>
        <v>0</v>
      </c>
    </row>
    <row r="485" spans="1:4" ht="18" hidden="1">
      <c r="A485" s="8" t="s">
        <v>163</v>
      </c>
      <c r="B485" s="14"/>
      <c r="C485" s="14"/>
      <c r="D485" s="6">
        <f t="shared" si="7"/>
        <v>0</v>
      </c>
    </row>
    <row r="486" spans="1:4" ht="18" hidden="1">
      <c r="A486" s="8" t="s">
        <v>164</v>
      </c>
      <c r="B486" s="14"/>
      <c r="C486" s="14"/>
      <c r="D486" s="6">
        <f t="shared" si="7"/>
        <v>0</v>
      </c>
    </row>
    <row r="487" spans="1:4" ht="18" hidden="1">
      <c r="A487" s="8" t="s">
        <v>165</v>
      </c>
      <c r="B487" s="14"/>
      <c r="C487" s="14"/>
      <c r="D487" s="6">
        <f t="shared" si="7"/>
        <v>0</v>
      </c>
    </row>
    <row r="488" spans="1:4" ht="18" hidden="1">
      <c r="A488" s="8" t="s">
        <v>166</v>
      </c>
      <c r="B488" s="14"/>
      <c r="C488" s="14"/>
      <c r="D488" s="6">
        <f t="shared" si="7"/>
        <v>0</v>
      </c>
    </row>
    <row r="489" spans="1:4" ht="18" hidden="1">
      <c r="A489" s="8" t="s">
        <v>167</v>
      </c>
      <c r="B489" s="6"/>
      <c r="C489" s="6"/>
      <c r="D489" s="6">
        <f t="shared" si="7"/>
        <v>0</v>
      </c>
    </row>
    <row r="490" spans="1:4" ht="18" hidden="1">
      <c r="A490" s="8" t="s">
        <v>364</v>
      </c>
      <c r="B490" s="6"/>
      <c r="C490" s="6"/>
      <c r="D490" s="6">
        <f t="shared" si="7"/>
        <v>0</v>
      </c>
    </row>
    <row r="491" spans="1:4" ht="18" hidden="1">
      <c r="A491" s="8" t="s">
        <v>168</v>
      </c>
      <c r="B491" s="6"/>
      <c r="C491" s="6"/>
      <c r="D491" s="6">
        <f t="shared" si="7"/>
        <v>0</v>
      </c>
    </row>
    <row r="492" spans="1:4" ht="18" hidden="1">
      <c r="A492" s="8" t="s">
        <v>169</v>
      </c>
      <c r="B492" s="6"/>
      <c r="C492" s="6"/>
      <c r="D492" s="6">
        <f t="shared" si="7"/>
        <v>0</v>
      </c>
    </row>
    <row r="493" spans="1:4" ht="18" hidden="1">
      <c r="A493" s="8" t="s">
        <v>170</v>
      </c>
      <c r="B493" s="6"/>
      <c r="C493" s="6"/>
      <c r="D493" s="6">
        <f t="shared" si="7"/>
        <v>0</v>
      </c>
    </row>
    <row r="494" spans="1:4" ht="18" hidden="1">
      <c r="A494" s="15" t="s">
        <v>171</v>
      </c>
      <c r="B494" s="6"/>
      <c r="C494" s="6"/>
      <c r="D494" s="6">
        <f t="shared" si="7"/>
        <v>0</v>
      </c>
    </row>
    <row r="495" spans="1:4" ht="18" hidden="1">
      <c r="A495" s="8" t="s">
        <v>172</v>
      </c>
      <c r="B495" s="6"/>
      <c r="C495" s="6"/>
      <c r="D495" s="6">
        <f t="shared" si="7"/>
        <v>0</v>
      </c>
    </row>
    <row r="496" spans="1:4" ht="18" hidden="1">
      <c r="A496" s="8" t="s">
        <v>173</v>
      </c>
      <c r="B496" s="6"/>
      <c r="C496" s="6"/>
      <c r="D496" s="6">
        <f t="shared" si="7"/>
        <v>0</v>
      </c>
    </row>
    <row r="497" spans="1:4" ht="18" hidden="1">
      <c r="A497" s="8" t="s">
        <v>174</v>
      </c>
      <c r="B497" s="6"/>
      <c r="C497" s="6"/>
      <c r="D497" s="6">
        <f t="shared" si="7"/>
        <v>0</v>
      </c>
    </row>
    <row r="498" spans="1:4" ht="18" hidden="1">
      <c r="A498" s="8" t="s">
        <v>175</v>
      </c>
      <c r="B498" s="6"/>
      <c r="C498" s="6"/>
      <c r="D498" s="6">
        <f t="shared" si="7"/>
        <v>0</v>
      </c>
    </row>
    <row r="499" spans="1:4" ht="18" hidden="1">
      <c r="A499" s="8" t="s">
        <v>176</v>
      </c>
      <c r="B499" s="14"/>
      <c r="C499" s="14"/>
      <c r="D499" s="6">
        <f t="shared" si="7"/>
        <v>0</v>
      </c>
    </row>
    <row r="500" spans="1:4" ht="18" hidden="1">
      <c r="A500" s="16" t="s">
        <v>177</v>
      </c>
      <c r="B500" s="14"/>
      <c r="C500" s="14"/>
      <c r="D500" s="6">
        <f t="shared" si="7"/>
        <v>0</v>
      </c>
    </row>
    <row r="501" spans="1:4" ht="18" hidden="1">
      <c r="A501" s="8" t="s">
        <v>178</v>
      </c>
      <c r="B501" s="14"/>
      <c r="C501" s="14"/>
      <c r="D501" s="6">
        <f t="shared" si="7"/>
        <v>0</v>
      </c>
    </row>
    <row r="502" spans="1:4" ht="18" hidden="1">
      <c r="A502" s="8" t="s">
        <v>180</v>
      </c>
      <c r="B502" s="6"/>
      <c r="C502" s="6"/>
      <c r="D502" s="6">
        <f t="shared" si="7"/>
        <v>0</v>
      </c>
    </row>
    <row r="503" spans="1:4" ht="18" hidden="1">
      <c r="A503" s="15" t="s">
        <v>181</v>
      </c>
      <c r="B503" s="6"/>
      <c r="C503" s="6"/>
      <c r="D503" s="6">
        <f t="shared" si="7"/>
        <v>0</v>
      </c>
    </row>
    <row r="504" spans="1:4" ht="18" hidden="1">
      <c r="A504" s="8" t="s">
        <v>365</v>
      </c>
      <c r="B504" s="6"/>
      <c r="C504" s="6"/>
      <c r="D504" s="6">
        <f t="shared" si="7"/>
        <v>0</v>
      </c>
    </row>
    <row r="505" spans="1:4" ht="18" hidden="1">
      <c r="A505" s="11" t="s">
        <v>182</v>
      </c>
      <c r="B505" s="6"/>
      <c r="C505" s="6"/>
      <c r="D505" s="6">
        <f t="shared" si="7"/>
        <v>0</v>
      </c>
    </row>
    <row r="506" spans="1:4" ht="18" hidden="1">
      <c r="A506" s="8" t="s">
        <v>183</v>
      </c>
      <c r="B506" s="6"/>
      <c r="C506" s="6"/>
      <c r="D506" s="6">
        <f t="shared" si="7"/>
        <v>0</v>
      </c>
    </row>
    <row r="507" spans="1:4" ht="18" hidden="1">
      <c r="A507" s="8" t="s">
        <v>185</v>
      </c>
      <c r="B507" s="6"/>
      <c r="C507" s="6"/>
      <c r="D507" s="6">
        <f t="shared" si="7"/>
        <v>0</v>
      </c>
    </row>
    <row r="508" spans="1:4" ht="18" hidden="1">
      <c r="A508" s="8" t="s">
        <v>186</v>
      </c>
      <c r="B508" s="6"/>
      <c r="C508" s="6"/>
      <c r="D508" s="6">
        <f t="shared" si="7"/>
        <v>0</v>
      </c>
    </row>
    <row r="509" spans="1:4" ht="18" hidden="1">
      <c r="A509" s="18" t="s">
        <v>187</v>
      </c>
      <c r="B509" s="6"/>
      <c r="C509" s="6"/>
      <c r="D509" s="6">
        <f t="shared" si="7"/>
        <v>0</v>
      </c>
    </row>
    <row r="510" spans="1:4" ht="18" hidden="1">
      <c r="A510" s="8" t="s">
        <v>188</v>
      </c>
      <c r="B510" s="6"/>
      <c r="C510" s="6"/>
      <c r="D510" s="6">
        <f t="shared" si="7"/>
        <v>0</v>
      </c>
    </row>
    <row r="511" spans="1:4" ht="18" hidden="1">
      <c r="A511" s="28" t="s">
        <v>189</v>
      </c>
      <c r="B511" s="29"/>
      <c r="C511" s="29"/>
      <c r="D511" s="6">
        <f t="shared" si="7"/>
        <v>0</v>
      </c>
    </row>
    <row r="512" spans="1:4" ht="18" hidden="1">
      <c r="A512" s="10" t="s">
        <v>190</v>
      </c>
      <c r="B512" s="6"/>
      <c r="C512" s="6"/>
      <c r="D512" s="6">
        <f t="shared" si="7"/>
        <v>0</v>
      </c>
    </row>
    <row r="513" spans="1:4" ht="18" hidden="1">
      <c r="A513" s="8" t="s">
        <v>191</v>
      </c>
      <c r="B513" s="6"/>
      <c r="C513" s="6"/>
      <c r="D513" s="6">
        <f t="shared" si="7"/>
        <v>0</v>
      </c>
    </row>
    <row r="514" spans="1:4" ht="18" hidden="1">
      <c r="A514" s="8" t="s">
        <v>192</v>
      </c>
      <c r="B514" s="6"/>
      <c r="C514" s="6"/>
      <c r="D514" s="6">
        <f t="shared" si="7"/>
        <v>0</v>
      </c>
    </row>
    <row r="515" spans="1:4" ht="18" hidden="1">
      <c r="A515" s="11" t="s">
        <v>193</v>
      </c>
      <c r="B515" s="6"/>
      <c r="C515" s="6"/>
      <c r="D515" s="6">
        <f t="shared" si="7"/>
        <v>0</v>
      </c>
    </row>
    <row r="516" spans="1:4" ht="18" hidden="1">
      <c r="A516" s="8" t="s">
        <v>194</v>
      </c>
      <c r="B516" s="6"/>
      <c r="C516" s="6"/>
      <c r="D516" s="6">
        <f t="shared" ref="D516:D579" si="8">B516*C516</f>
        <v>0</v>
      </c>
    </row>
    <row r="517" spans="1:4" ht="18" hidden="1">
      <c r="A517" s="8" t="s">
        <v>195</v>
      </c>
      <c r="B517" s="6"/>
      <c r="C517" s="6"/>
      <c r="D517" s="6">
        <f t="shared" si="8"/>
        <v>0</v>
      </c>
    </row>
    <row r="518" spans="1:4" ht="18" hidden="1">
      <c r="A518" s="11" t="s">
        <v>196</v>
      </c>
      <c r="B518" s="6"/>
      <c r="C518" s="6"/>
      <c r="D518" s="6">
        <f t="shared" si="8"/>
        <v>0</v>
      </c>
    </row>
    <row r="519" spans="1:4" ht="18" hidden="1">
      <c r="A519" s="11" t="s">
        <v>197</v>
      </c>
      <c r="B519" s="6"/>
      <c r="C519" s="6"/>
      <c r="D519" s="6">
        <f t="shared" si="8"/>
        <v>0</v>
      </c>
    </row>
    <row r="520" spans="1:4" ht="18">
      <c r="A520" s="11" t="s">
        <v>198</v>
      </c>
      <c r="B520" s="6">
        <f>690+200-120</f>
        <v>770</v>
      </c>
      <c r="C520" s="6">
        <v>6800</v>
      </c>
      <c r="D520" s="6">
        <f t="shared" si="8"/>
        <v>5236000</v>
      </c>
    </row>
    <row r="521" spans="1:4" ht="18" hidden="1">
      <c r="A521" s="8" t="s">
        <v>199</v>
      </c>
      <c r="B521" s="6"/>
      <c r="C521" s="6"/>
      <c r="D521" s="6">
        <f t="shared" si="8"/>
        <v>0</v>
      </c>
    </row>
    <row r="522" spans="1:4" ht="18" hidden="1">
      <c r="A522" s="11" t="s">
        <v>200</v>
      </c>
      <c r="B522" s="6"/>
      <c r="C522" s="6"/>
      <c r="D522" s="6">
        <f t="shared" si="8"/>
        <v>0</v>
      </c>
    </row>
    <row r="523" spans="1:4" ht="18" hidden="1">
      <c r="A523" s="11" t="s">
        <v>201</v>
      </c>
      <c r="B523" s="6"/>
      <c r="C523" s="6"/>
      <c r="D523" s="6">
        <f t="shared" si="8"/>
        <v>0</v>
      </c>
    </row>
    <row r="524" spans="1:4" ht="18" hidden="1">
      <c r="A524" s="11" t="s">
        <v>202</v>
      </c>
      <c r="B524" s="6"/>
      <c r="C524" s="6"/>
      <c r="D524" s="6">
        <f t="shared" si="8"/>
        <v>0</v>
      </c>
    </row>
    <row r="525" spans="1:4" ht="18" hidden="1">
      <c r="A525" s="8" t="s">
        <v>203</v>
      </c>
      <c r="B525" s="6"/>
      <c r="C525" s="6"/>
      <c r="D525" s="6">
        <f t="shared" si="8"/>
        <v>0</v>
      </c>
    </row>
    <row r="526" spans="1:4" ht="18" hidden="1">
      <c r="A526" s="15" t="s">
        <v>204</v>
      </c>
      <c r="B526" s="6"/>
      <c r="C526" s="6"/>
      <c r="D526" s="6">
        <f t="shared" si="8"/>
        <v>0</v>
      </c>
    </row>
    <row r="527" spans="1:4" ht="18" hidden="1">
      <c r="A527" s="15" t="s">
        <v>205</v>
      </c>
      <c r="B527" s="6"/>
      <c r="C527" s="6"/>
      <c r="D527" s="6">
        <f t="shared" si="8"/>
        <v>0</v>
      </c>
    </row>
    <row r="528" spans="1:4" ht="18" hidden="1">
      <c r="A528" s="15" t="s">
        <v>206</v>
      </c>
      <c r="B528" s="6"/>
      <c r="C528" s="6"/>
      <c r="D528" s="6">
        <f t="shared" si="8"/>
        <v>0</v>
      </c>
    </row>
    <row r="529" spans="1:4" ht="18" hidden="1">
      <c r="A529" s="15" t="s">
        <v>207</v>
      </c>
      <c r="B529" s="6"/>
      <c r="C529" s="6"/>
      <c r="D529" s="6">
        <f t="shared" si="8"/>
        <v>0</v>
      </c>
    </row>
    <row r="530" spans="1:4" ht="18" hidden="1">
      <c r="A530" s="11" t="s">
        <v>208</v>
      </c>
      <c r="B530" s="6"/>
      <c r="C530" s="6"/>
      <c r="D530" s="6">
        <f t="shared" si="8"/>
        <v>0</v>
      </c>
    </row>
    <row r="531" spans="1:4" ht="18" hidden="1">
      <c r="A531" s="8" t="s">
        <v>209</v>
      </c>
      <c r="B531" s="6"/>
      <c r="C531" s="6"/>
      <c r="D531" s="6">
        <f t="shared" si="8"/>
        <v>0</v>
      </c>
    </row>
    <row r="532" spans="1:4" ht="18" hidden="1">
      <c r="A532" s="30" t="s">
        <v>210</v>
      </c>
      <c r="B532" s="6"/>
      <c r="C532" s="6"/>
      <c r="D532" s="6">
        <f t="shared" si="8"/>
        <v>0</v>
      </c>
    </row>
    <row r="533" spans="1:4" ht="18" hidden="1">
      <c r="A533" s="30" t="s">
        <v>211</v>
      </c>
      <c r="B533" s="6"/>
      <c r="C533" s="6"/>
      <c r="D533" s="6">
        <f t="shared" si="8"/>
        <v>0</v>
      </c>
    </row>
    <row r="534" spans="1:4" ht="18" hidden="1">
      <c r="A534" s="30" t="s">
        <v>212</v>
      </c>
      <c r="B534" s="6"/>
      <c r="C534" s="6"/>
      <c r="D534" s="6">
        <f t="shared" si="8"/>
        <v>0</v>
      </c>
    </row>
    <row r="535" spans="1:4" ht="18" hidden="1">
      <c r="A535" s="30" t="s">
        <v>213</v>
      </c>
      <c r="B535" s="6"/>
      <c r="C535" s="6"/>
      <c r="D535" s="6">
        <f t="shared" si="8"/>
        <v>0</v>
      </c>
    </row>
    <row r="536" spans="1:4" ht="18" hidden="1">
      <c r="A536" s="8" t="s">
        <v>214</v>
      </c>
      <c r="B536" s="6"/>
      <c r="C536" s="6"/>
      <c r="D536" s="6">
        <f t="shared" si="8"/>
        <v>0</v>
      </c>
    </row>
    <row r="537" spans="1:4" ht="18" hidden="1">
      <c r="A537" s="31" t="s">
        <v>215</v>
      </c>
      <c r="B537" s="6"/>
      <c r="C537" s="6"/>
      <c r="D537" s="6">
        <f t="shared" si="8"/>
        <v>0</v>
      </c>
    </row>
    <row r="538" spans="1:4" ht="18" hidden="1">
      <c r="A538" s="8" t="s">
        <v>216</v>
      </c>
      <c r="B538" s="6"/>
      <c r="C538" s="6"/>
      <c r="D538" s="6">
        <f t="shared" si="8"/>
        <v>0</v>
      </c>
    </row>
    <row r="539" spans="1:4" ht="18" hidden="1">
      <c r="A539" s="11" t="s">
        <v>217</v>
      </c>
      <c r="B539" s="6"/>
      <c r="C539" s="6"/>
      <c r="D539" s="6">
        <f t="shared" si="8"/>
        <v>0</v>
      </c>
    </row>
    <row r="540" spans="1:4" ht="18" hidden="1">
      <c r="A540" s="8" t="s">
        <v>366</v>
      </c>
      <c r="B540" s="6"/>
      <c r="C540" s="6"/>
      <c r="D540" s="6">
        <f t="shared" si="8"/>
        <v>0</v>
      </c>
    </row>
    <row r="541" spans="1:4" ht="18" hidden="1">
      <c r="A541" s="8" t="s">
        <v>218</v>
      </c>
      <c r="B541" s="6"/>
      <c r="C541" s="6"/>
      <c r="D541" s="6">
        <f t="shared" si="8"/>
        <v>0</v>
      </c>
    </row>
    <row r="542" spans="1:4" ht="18">
      <c r="A542" s="8" t="s">
        <v>219</v>
      </c>
      <c r="B542" s="6">
        <f>890-120</f>
        <v>770</v>
      </c>
      <c r="C542" s="6">
        <v>14000</v>
      </c>
      <c r="D542" s="6">
        <f t="shared" si="8"/>
        <v>10780000</v>
      </c>
    </row>
    <row r="543" spans="1:4" ht="18" hidden="1">
      <c r="A543" s="32" t="s">
        <v>220</v>
      </c>
      <c r="B543" s="6"/>
      <c r="C543" s="6"/>
      <c r="D543" s="6">
        <f t="shared" si="8"/>
        <v>0</v>
      </c>
    </row>
    <row r="544" spans="1:4" ht="18" hidden="1">
      <c r="A544" s="32" t="s">
        <v>221</v>
      </c>
      <c r="B544" s="6"/>
      <c r="C544" s="6"/>
      <c r="D544" s="6">
        <f t="shared" si="8"/>
        <v>0</v>
      </c>
    </row>
    <row r="545" spans="1:4" ht="18" hidden="1">
      <c r="A545" s="8" t="s">
        <v>222</v>
      </c>
      <c r="B545" s="6"/>
      <c r="C545" s="6"/>
      <c r="D545" s="6">
        <f t="shared" si="8"/>
        <v>0</v>
      </c>
    </row>
    <row r="546" spans="1:4" ht="18" hidden="1">
      <c r="A546" s="10" t="s">
        <v>223</v>
      </c>
      <c r="B546" s="6"/>
      <c r="C546" s="6"/>
      <c r="D546" s="6">
        <f t="shared" si="8"/>
        <v>0</v>
      </c>
    </row>
    <row r="547" spans="1:4" ht="18" hidden="1">
      <c r="A547" s="8" t="s">
        <v>224</v>
      </c>
      <c r="B547" s="6"/>
      <c r="C547" s="6"/>
      <c r="D547" s="6">
        <f t="shared" si="8"/>
        <v>0</v>
      </c>
    </row>
    <row r="548" spans="1:4" ht="18" hidden="1">
      <c r="A548" s="10" t="s">
        <v>367</v>
      </c>
      <c r="B548" s="6"/>
      <c r="C548" s="6"/>
      <c r="D548" s="6">
        <f t="shared" si="8"/>
        <v>0</v>
      </c>
    </row>
    <row r="549" spans="1:4" ht="18" hidden="1">
      <c r="A549" s="8" t="s">
        <v>225</v>
      </c>
      <c r="B549" s="6"/>
      <c r="C549" s="6"/>
      <c r="D549" s="6">
        <f t="shared" si="8"/>
        <v>0</v>
      </c>
    </row>
    <row r="550" spans="1:4" ht="18" hidden="1">
      <c r="A550" s="8" t="s">
        <v>226</v>
      </c>
      <c r="B550" s="6"/>
      <c r="C550" s="6"/>
      <c r="D550" s="6">
        <f t="shared" si="8"/>
        <v>0</v>
      </c>
    </row>
    <row r="551" spans="1:4" ht="18" hidden="1">
      <c r="A551" s="8" t="s">
        <v>368</v>
      </c>
      <c r="B551" s="6"/>
      <c r="C551" s="6"/>
      <c r="D551" s="6">
        <f t="shared" si="8"/>
        <v>0</v>
      </c>
    </row>
    <row r="552" spans="1:4" ht="18" hidden="1">
      <c r="A552" s="8" t="s">
        <v>369</v>
      </c>
      <c r="B552" s="6"/>
      <c r="C552" s="6"/>
      <c r="D552" s="6">
        <f t="shared" si="8"/>
        <v>0</v>
      </c>
    </row>
    <row r="553" spans="1:4" ht="18" hidden="1">
      <c r="A553" s="8" t="s">
        <v>227</v>
      </c>
      <c r="B553" s="6"/>
      <c r="C553" s="6"/>
      <c r="D553" s="6">
        <f t="shared" si="8"/>
        <v>0</v>
      </c>
    </row>
    <row r="554" spans="1:4" ht="18" hidden="1">
      <c r="A554" s="33" t="s">
        <v>228</v>
      </c>
      <c r="B554" s="6"/>
      <c r="C554" s="6"/>
      <c r="D554" s="6">
        <f t="shared" si="8"/>
        <v>0</v>
      </c>
    </row>
    <row r="555" spans="1:4" ht="18" hidden="1">
      <c r="A555" s="8" t="s">
        <v>229</v>
      </c>
      <c r="B555" s="6"/>
      <c r="C555" s="6"/>
      <c r="D555" s="6">
        <f t="shared" si="8"/>
        <v>0</v>
      </c>
    </row>
    <row r="556" spans="1:4" ht="18">
      <c r="A556" s="8" t="s">
        <v>230</v>
      </c>
      <c r="B556" s="6">
        <f>430-150+70</f>
        <v>350</v>
      </c>
      <c r="C556" s="6">
        <v>15000</v>
      </c>
      <c r="D556" s="6">
        <f t="shared" si="8"/>
        <v>5250000</v>
      </c>
    </row>
    <row r="557" spans="1:4" ht="18" hidden="1">
      <c r="A557" s="8" t="s">
        <v>231</v>
      </c>
      <c r="B557" s="6"/>
      <c r="C557" s="6"/>
      <c r="D557" s="6">
        <f t="shared" si="8"/>
        <v>0</v>
      </c>
    </row>
    <row r="558" spans="1:4" ht="18" hidden="1">
      <c r="A558" s="8" t="s">
        <v>370</v>
      </c>
      <c r="B558" s="6"/>
      <c r="C558" s="6"/>
      <c r="D558" s="6">
        <f t="shared" si="8"/>
        <v>0</v>
      </c>
    </row>
    <row r="559" spans="1:4" ht="18" hidden="1">
      <c r="A559" s="8" t="s">
        <v>232</v>
      </c>
      <c r="B559" s="6"/>
      <c r="C559" s="6"/>
      <c r="D559" s="6">
        <f t="shared" si="8"/>
        <v>0</v>
      </c>
    </row>
    <row r="560" spans="1:4" ht="18" hidden="1">
      <c r="A560" s="15" t="s">
        <v>233</v>
      </c>
      <c r="B560" s="6"/>
      <c r="C560" s="6"/>
      <c r="D560" s="6">
        <f t="shared" si="8"/>
        <v>0</v>
      </c>
    </row>
    <row r="561" spans="1:4" ht="18" hidden="1">
      <c r="A561" s="15" t="s">
        <v>234</v>
      </c>
      <c r="B561" s="6"/>
      <c r="C561" s="6"/>
      <c r="D561" s="6">
        <f t="shared" si="8"/>
        <v>0</v>
      </c>
    </row>
    <row r="562" spans="1:4" ht="18" hidden="1">
      <c r="A562" s="15" t="s">
        <v>235</v>
      </c>
      <c r="B562" s="6"/>
      <c r="C562" s="6"/>
      <c r="D562" s="6">
        <f t="shared" si="8"/>
        <v>0</v>
      </c>
    </row>
    <row r="563" spans="1:4" ht="18" hidden="1">
      <c r="A563" s="15" t="s">
        <v>236</v>
      </c>
      <c r="B563" s="6"/>
      <c r="C563" s="6"/>
      <c r="D563" s="6">
        <f t="shared" si="8"/>
        <v>0</v>
      </c>
    </row>
    <row r="564" spans="1:4" ht="18" hidden="1">
      <c r="A564" s="8" t="s">
        <v>237</v>
      </c>
      <c r="B564" s="6"/>
      <c r="C564" s="6"/>
      <c r="D564" s="6">
        <f t="shared" si="8"/>
        <v>0</v>
      </c>
    </row>
    <row r="565" spans="1:4" ht="18" hidden="1">
      <c r="A565" s="8" t="s">
        <v>238</v>
      </c>
      <c r="B565" s="6"/>
      <c r="C565" s="6"/>
      <c r="D565" s="6">
        <f t="shared" si="8"/>
        <v>0</v>
      </c>
    </row>
    <row r="566" spans="1:4" ht="18" hidden="1">
      <c r="A566" s="15" t="s">
        <v>239</v>
      </c>
      <c r="B566" s="6"/>
      <c r="C566" s="6"/>
      <c r="D566" s="6">
        <f t="shared" si="8"/>
        <v>0</v>
      </c>
    </row>
    <row r="567" spans="1:4" ht="18" hidden="1">
      <c r="A567" s="15" t="s">
        <v>240</v>
      </c>
      <c r="B567" s="6"/>
      <c r="C567" s="6"/>
      <c r="D567" s="6">
        <f t="shared" si="8"/>
        <v>0</v>
      </c>
    </row>
    <row r="568" spans="1:4" ht="18" hidden="1">
      <c r="A568" s="10" t="s">
        <v>241</v>
      </c>
      <c r="B568" s="6"/>
      <c r="C568" s="6"/>
      <c r="D568" s="6">
        <f t="shared" si="8"/>
        <v>0</v>
      </c>
    </row>
    <row r="569" spans="1:4" ht="18" hidden="1">
      <c r="A569" s="11" t="s">
        <v>242</v>
      </c>
      <c r="B569" s="6"/>
      <c r="C569" s="6"/>
      <c r="D569" s="6">
        <f t="shared" si="8"/>
        <v>0</v>
      </c>
    </row>
    <row r="570" spans="1:4" ht="18" hidden="1">
      <c r="A570" s="19" t="s">
        <v>371</v>
      </c>
      <c r="B570" s="6"/>
      <c r="C570" s="6"/>
      <c r="D570" s="6">
        <f t="shared" si="8"/>
        <v>0</v>
      </c>
    </row>
    <row r="571" spans="1:4" ht="18" hidden="1">
      <c r="A571" s="19" t="s">
        <v>372</v>
      </c>
      <c r="B571" s="6"/>
      <c r="C571" s="6"/>
      <c r="D571" s="6">
        <f t="shared" si="8"/>
        <v>0</v>
      </c>
    </row>
    <row r="572" spans="1:4" ht="18" hidden="1">
      <c r="A572" s="10" t="s">
        <v>247</v>
      </c>
      <c r="B572" s="6"/>
      <c r="C572" s="6"/>
      <c r="D572" s="6">
        <f t="shared" si="8"/>
        <v>0</v>
      </c>
    </row>
    <row r="573" spans="1:4" ht="18" hidden="1">
      <c r="A573" s="8" t="s">
        <v>252</v>
      </c>
      <c r="B573" s="6"/>
      <c r="C573" s="6"/>
      <c r="D573" s="6">
        <f t="shared" si="8"/>
        <v>0</v>
      </c>
    </row>
    <row r="574" spans="1:4" ht="18" hidden="1">
      <c r="A574" s="8" t="s">
        <v>253</v>
      </c>
      <c r="B574" s="6"/>
      <c r="C574" s="6"/>
      <c r="D574" s="6">
        <f t="shared" si="8"/>
        <v>0</v>
      </c>
    </row>
    <row r="575" spans="1:4" ht="18" hidden="1">
      <c r="A575" s="12" t="s">
        <v>254</v>
      </c>
      <c r="B575" s="6"/>
      <c r="C575" s="6"/>
      <c r="D575" s="6">
        <f t="shared" si="8"/>
        <v>0</v>
      </c>
    </row>
    <row r="576" spans="1:4" ht="18" hidden="1">
      <c r="A576" s="12" t="s">
        <v>255</v>
      </c>
      <c r="B576" s="6"/>
      <c r="C576" s="6"/>
      <c r="D576" s="6">
        <f t="shared" si="8"/>
        <v>0</v>
      </c>
    </row>
    <row r="577" spans="1:4" ht="18" hidden="1">
      <c r="A577" s="30" t="s">
        <v>256</v>
      </c>
      <c r="B577" s="6"/>
      <c r="C577" s="6"/>
      <c r="D577" s="6">
        <f t="shared" si="8"/>
        <v>0</v>
      </c>
    </row>
    <row r="578" spans="1:4" ht="18" hidden="1">
      <c r="A578" s="8" t="s">
        <v>257</v>
      </c>
      <c r="B578" s="6"/>
      <c r="C578" s="6"/>
      <c r="D578" s="6">
        <f t="shared" si="8"/>
        <v>0</v>
      </c>
    </row>
    <row r="579" spans="1:4" ht="18" hidden="1">
      <c r="A579" s="8" t="s">
        <v>258</v>
      </c>
      <c r="B579" s="6"/>
      <c r="C579" s="6"/>
      <c r="D579" s="6">
        <f t="shared" si="8"/>
        <v>0</v>
      </c>
    </row>
    <row r="580" spans="1:4" ht="18" hidden="1">
      <c r="A580" s="8" t="s">
        <v>259</v>
      </c>
      <c r="B580" s="14"/>
      <c r="C580" s="14"/>
      <c r="D580" s="6">
        <f t="shared" ref="D580:D643" si="9">B580*C580</f>
        <v>0</v>
      </c>
    </row>
    <row r="581" spans="1:4" ht="18" hidden="1">
      <c r="A581" s="30" t="s">
        <v>260</v>
      </c>
      <c r="B581" s="6"/>
      <c r="C581" s="6"/>
      <c r="D581" s="6">
        <f t="shared" si="9"/>
        <v>0</v>
      </c>
    </row>
    <row r="582" spans="1:4" ht="18" hidden="1">
      <c r="A582" s="8" t="s">
        <v>261</v>
      </c>
      <c r="B582" s="14"/>
      <c r="C582" s="14"/>
      <c r="D582" s="6">
        <f t="shared" si="9"/>
        <v>0</v>
      </c>
    </row>
    <row r="583" spans="1:4" ht="18" hidden="1">
      <c r="A583" s="8" t="s">
        <v>262</v>
      </c>
      <c r="B583" s="6"/>
      <c r="C583" s="6"/>
      <c r="D583" s="6">
        <f t="shared" si="9"/>
        <v>0</v>
      </c>
    </row>
    <row r="584" spans="1:4" ht="18" hidden="1">
      <c r="A584" s="10" t="s">
        <v>264</v>
      </c>
      <c r="B584" s="6"/>
      <c r="C584" s="6"/>
      <c r="D584" s="6">
        <f t="shared" si="9"/>
        <v>0</v>
      </c>
    </row>
    <row r="585" spans="1:4" ht="18" hidden="1">
      <c r="A585" s="8" t="s">
        <v>265</v>
      </c>
      <c r="B585" s="6"/>
      <c r="C585" s="6"/>
      <c r="D585" s="6">
        <f t="shared" si="9"/>
        <v>0</v>
      </c>
    </row>
    <row r="586" spans="1:4" ht="18" hidden="1">
      <c r="A586" s="8" t="s">
        <v>266</v>
      </c>
      <c r="B586" s="6"/>
      <c r="C586" s="6"/>
      <c r="D586" s="6">
        <f t="shared" si="9"/>
        <v>0</v>
      </c>
    </row>
    <row r="587" spans="1:4" ht="18" hidden="1">
      <c r="A587" s="8" t="s">
        <v>267</v>
      </c>
      <c r="B587" s="6"/>
      <c r="C587" s="6"/>
      <c r="D587" s="6">
        <f t="shared" si="9"/>
        <v>0</v>
      </c>
    </row>
    <row r="588" spans="1:4" ht="18" hidden="1">
      <c r="A588" s="8" t="s">
        <v>268</v>
      </c>
      <c r="B588" s="6"/>
      <c r="C588" s="6"/>
      <c r="D588" s="6">
        <f t="shared" si="9"/>
        <v>0</v>
      </c>
    </row>
    <row r="589" spans="1:4" ht="18" hidden="1">
      <c r="A589" s="8" t="s">
        <v>269</v>
      </c>
      <c r="B589" s="6"/>
      <c r="C589" s="6"/>
      <c r="D589" s="6">
        <f t="shared" si="9"/>
        <v>0</v>
      </c>
    </row>
    <row r="590" spans="1:4" ht="18" hidden="1">
      <c r="A590" s="15" t="s">
        <v>270</v>
      </c>
      <c r="B590" s="6"/>
      <c r="C590" s="6"/>
      <c r="D590" s="6">
        <f t="shared" si="9"/>
        <v>0</v>
      </c>
    </row>
    <row r="591" spans="1:4" ht="18" hidden="1">
      <c r="A591" s="19" t="s">
        <v>271</v>
      </c>
      <c r="B591" s="6"/>
      <c r="C591" s="6"/>
      <c r="D591" s="6">
        <f t="shared" si="9"/>
        <v>0</v>
      </c>
    </row>
    <row r="592" spans="1:4" ht="18" hidden="1">
      <c r="A592" s="19" t="s">
        <v>272</v>
      </c>
      <c r="B592" s="6"/>
      <c r="C592" s="6"/>
      <c r="D592" s="6">
        <f t="shared" si="9"/>
        <v>0</v>
      </c>
    </row>
    <row r="593" spans="1:4" ht="18" hidden="1">
      <c r="A593" s="8" t="s">
        <v>273</v>
      </c>
      <c r="B593" s="6"/>
      <c r="C593" s="6"/>
      <c r="D593" s="6">
        <f t="shared" si="9"/>
        <v>0</v>
      </c>
    </row>
    <row r="594" spans="1:4" ht="18" hidden="1">
      <c r="A594" s="8" t="s">
        <v>274</v>
      </c>
      <c r="B594" s="6"/>
      <c r="C594" s="6"/>
      <c r="D594" s="6">
        <f t="shared" si="9"/>
        <v>0</v>
      </c>
    </row>
    <row r="595" spans="1:4" ht="18" hidden="1">
      <c r="A595" s="8" t="s">
        <v>275</v>
      </c>
      <c r="B595" s="6"/>
      <c r="C595" s="6"/>
      <c r="D595" s="6">
        <f t="shared" si="9"/>
        <v>0</v>
      </c>
    </row>
    <row r="596" spans="1:4" ht="18" hidden="1">
      <c r="A596" s="8" t="s">
        <v>276</v>
      </c>
      <c r="B596" s="6"/>
      <c r="C596" s="6"/>
      <c r="D596" s="6">
        <f t="shared" si="9"/>
        <v>0</v>
      </c>
    </row>
    <row r="597" spans="1:4" ht="18" hidden="1">
      <c r="A597" s="8" t="s">
        <v>277</v>
      </c>
      <c r="B597" s="6"/>
      <c r="C597" s="6"/>
      <c r="D597" s="6">
        <f t="shared" si="9"/>
        <v>0</v>
      </c>
    </row>
    <row r="598" spans="1:4" ht="18" hidden="1">
      <c r="A598" s="8" t="s">
        <v>278</v>
      </c>
      <c r="B598" s="6"/>
      <c r="C598" s="6"/>
      <c r="D598" s="6">
        <f t="shared" si="9"/>
        <v>0</v>
      </c>
    </row>
    <row r="599" spans="1:4" ht="18" hidden="1">
      <c r="A599" s="8" t="s">
        <v>279</v>
      </c>
      <c r="B599" s="6"/>
      <c r="C599" s="6"/>
      <c r="D599" s="6">
        <f t="shared" si="9"/>
        <v>0</v>
      </c>
    </row>
    <row r="600" spans="1:4" ht="18" hidden="1">
      <c r="A600" s="8" t="s">
        <v>280</v>
      </c>
      <c r="B600" s="14"/>
      <c r="C600" s="14"/>
      <c r="D600" s="6">
        <f t="shared" si="9"/>
        <v>0</v>
      </c>
    </row>
    <row r="601" spans="1:4" ht="18" hidden="1">
      <c r="A601" s="12" t="s">
        <v>281</v>
      </c>
      <c r="B601" s="6"/>
      <c r="C601" s="6"/>
      <c r="D601" s="6">
        <f t="shared" si="9"/>
        <v>0</v>
      </c>
    </row>
    <row r="602" spans="1:4" ht="18" hidden="1">
      <c r="A602" s="8" t="s">
        <v>282</v>
      </c>
      <c r="B602" s="6"/>
      <c r="C602" s="6"/>
      <c r="D602" s="6">
        <f t="shared" si="9"/>
        <v>0</v>
      </c>
    </row>
    <row r="603" spans="1:4" ht="18" hidden="1">
      <c r="A603" s="10" t="s">
        <v>373</v>
      </c>
      <c r="B603" s="6"/>
      <c r="C603" s="6"/>
      <c r="D603" s="6">
        <f t="shared" si="9"/>
        <v>0</v>
      </c>
    </row>
    <row r="604" spans="1:4" ht="18" hidden="1">
      <c r="A604" s="10" t="s">
        <v>283</v>
      </c>
      <c r="B604" s="6"/>
      <c r="C604" s="6"/>
      <c r="D604" s="6">
        <f t="shared" si="9"/>
        <v>0</v>
      </c>
    </row>
    <row r="605" spans="1:4" ht="18" hidden="1">
      <c r="A605" s="8" t="s">
        <v>284</v>
      </c>
      <c r="B605" s="6"/>
      <c r="C605" s="6"/>
      <c r="D605" s="6">
        <f t="shared" si="9"/>
        <v>0</v>
      </c>
    </row>
    <row r="606" spans="1:4" ht="18" hidden="1">
      <c r="A606" s="8" t="s">
        <v>374</v>
      </c>
      <c r="B606" s="6"/>
      <c r="C606" s="6"/>
      <c r="D606" s="6">
        <f t="shared" si="9"/>
        <v>0</v>
      </c>
    </row>
    <row r="607" spans="1:4" ht="18" hidden="1">
      <c r="A607" s="8" t="s">
        <v>285</v>
      </c>
      <c r="B607" s="6"/>
      <c r="C607" s="6"/>
      <c r="D607" s="6">
        <f t="shared" si="9"/>
        <v>0</v>
      </c>
    </row>
    <row r="608" spans="1:4" ht="18" hidden="1">
      <c r="A608" s="8" t="s">
        <v>375</v>
      </c>
      <c r="B608" s="6"/>
      <c r="C608" s="6"/>
      <c r="D608" s="6">
        <f t="shared" si="9"/>
        <v>0</v>
      </c>
    </row>
    <row r="609" spans="1:4" ht="18" hidden="1">
      <c r="A609" s="8" t="s">
        <v>287</v>
      </c>
      <c r="B609" s="6"/>
      <c r="C609" s="6"/>
      <c r="D609" s="6">
        <f t="shared" si="9"/>
        <v>0</v>
      </c>
    </row>
    <row r="610" spans="1:4" ht="18" hidden="1">
      <c r="A610" s="8" t="s">
        <v>288</v>
      </c>
      <c r="B610" s="6"/>
      <c r="C610" s="6"/>
      <c r="D610" s="6">
        <f t="shared" si="9"/>
        <v>0</v>
      </c>
    </row>
    <row r="611" spans="1:4" ht="18" hidden="1">
      <c r="A611" s="8" t="s">
        <v>289</v>
      </c>
      <c r="B611" s="6"/>
      <c r="C611" s="6"/>
      <c r="D611" s="6">
        <f t="shared" si="9"/>
        <v>0</v>
      </c>
    </row>
    <row r="612" spans="1:4" ht="18" hidden="1">
      <c r="A612" s="30" t="s">
        <v>291</v>
      </c>
      <c r="B612" s="6"/>
      <c r="C612" s="6"/>
      <c r="D612" s="6">
        <f t="shared" si="9"/>
        <v>0</v>
      </c>
    </row>
    <row r="613" spans="1:4" ht="18" hidden="1">
      <c r="A613" s="8" t="s">
        <v>292</v>
      </c>
      <c r="B613" s="6"/>
      <c r="C613" s="6"/>
      <c r="D613" s="6">
        <f t="shared" si="9"/>
        <v>0</v>
      </c>
    </row>
    <row r="614" spans="1:4" ht="18" hidden="1">
      <c r="A614" s="30" t="s">
        <v>293</v>
      </c>
      <c r="B614" s="6"/>
      <c r="C614" s="6"/>
      <c r="D614" s="6">
        <f t="shared" si="9"/>
        <v>0</v>
      </c>
    </row>
    <row r="615" spans="1:4" ht="18" hidden="1">
      <c r="A615" s="10" t="s">
        <v>376</v>
      </c>
      <c r="B615" s="6"/>
      <c r="C615" s="6"/>
      <c r="D615" s="6">
        <f t="shared" si="9"/>
        <v>0</v>
      </c>
    </row>
    <row r="616" spans="1:4" ht="18" hidden="1">
      <c r="A616" s="30" t="s">
        <v>294</v>
      </c>
      <c r="B616" s="6"/>
      <c r="C616" s="6"/>
      <c r="D616" s="6">
        <f t="shared" si="9"/>
        <v>0</v>
      </c>
    </row>
    <row r="617" spans="1:4" ht="18" hidden="1">
      <c r="A617" s="11" t="s">
        <v>295</v>
      </c>
      <c r="B617" s="14"/>
      <c r="C617" s="14"/>
      <c r="D617" s="6">
        <f t="shared" si="9"/>
        <v>0</v>
      </c>
    </row>
    <row r="618" spans="1:4" ht="18" hidden="1">
      <c r="A618" s="15" t="s">
        <v>299</v>
      </c>
      <c r="B618" s="6"/>
      <c r="C618" s="6"/>
      <c r="D618" s="6">
        <f t="shared" si="9"/>
        <v>0</v>
      </c>
    </row>
    <row r="619" spans="1:4" ht="18" hidden="1">
      <c r="A619" s="15" t="s">
        <v>300</v>
      </c>
      <c r="B619" s="6"/>
      <c r="C619" s="6"/>
      <c r="D619" s="6">
        <f t="shared" si="9"/>
        <v>0</v>
      </c>
    </row>
    <row r="620" spans="1:4" ht="18" hidden="1">
      <c r="A620" s="15" t="s">
        <v>301</v>
      </c>
      <c r="B620" s="6"/>
      <c r="C620" s="6"/>
      <c r="D620" s="6">
        <f t="shared" si="9"/>
        <v>0</v>
      </c>
    </row>
    <row r="621" spans="1:4" ht="18" hidden="1">
      <c r="A621" s="8" t="s">
        <v>302</v>
      </c>
      <c r="B621" s="6"/>
      <c r="C621" s="6"/>
      <c r="D621" s="6">
        <f t="shared" si="9"/>
        <v>0</v>
      </c>
    </row>
    <row r="622" spans="1:4" ht="18" hidden="1">
      <c r="A622" s="15" t="s">
        <v>303</v>
      </c>
      <c r="B622" s="6"/>
      <c r="C622" s="6"/>
      <c r="D622" s="6">
        <f t="shared" si="9"/>
        <v>0</v>
      </c>
    </row>
    <row r="623" spans="1:4" ht="18" hidden="1">
      <c r="A623" s="8" t="s">
        <v>304</v>
      </c>
      <c r="B623" s="6"/>
      <c r="C623" s="6"/>
      <c r="D623" s="6">
        <f t="shared" si="9"/>
        <v>0</v>
      </c>
    </row>
    <row r="624" spans="1:4" ht="18" hidden="1">
      <c r="A624" s="8" t="s">
        <v>305</v>
      </c>
      <c r="B624" s="6"/>
      <c r="C624" s="6"/>
      <c r="D624" s="6">
        <f t="shared" si="9"/>
        <v>0</v>
      </c>
    </row>
    <row r="625" spans="1:4" ht="18" hidden="1">
      <c r="A625" s="15" t="s">
        <v>306</v>
      </c>
      <c r="B625" s="6"/>
      <c r="C625" s="6"/>
      <c r="D625" s="6">
        <f t="shared" si="9"/>
        <v>0</v>
      </c>
    </row>
    <row r="626" spans="1:4" ht="18" hidden="1">
      <c r="A626" s="23" t="s">
        <v>307</v>
      </c>
      <c r="B626" s="6"/>
      <c r="C626" s="6"/>
      <c r="D626" s="6">
        <f t="shared" si="9"/>
        <v>0</v>
      </c>
    </row>
    <row r="627" spans="1:4" ht="18" hidden="1">
      <c r="A627" s="8" t="s">
        <v>308</v>
      </c>
      <c r="B627" s="6"/>
      <c r="C627" s="6"/>
      <c r="D627" s="6">
        <f t="shared" si="9"/>
        <v>0</v>
      </c>
    </row>
    <row r="628" spans="1:4" ht="18" hidden="1">
      <c r="A628" s="12" t="s">
        <v>309</v>
      </c>
      <c r="B628" s="6"/>
      <c r="C628" s="6"/>
      <c r="D628" s="6">
        <f t="shared" si="9"/>
        <v>0</v>
      </c>
    </row>
    <row r="629" spans="1:4" ht="18" hidden="1">
      <c r="A629" s="11" t="s">
        <v>311</v>
      </c>
      <c r="B629" s="6"/>
      <c r="C629" s="6"/>
      <c r="D629" s="6">
        <f t="shared" si="9"/>
        <v>0</v>
      </c>
    </row>
    <row r="630" spans="1:4" ht="18" hidden="1">
      <c r="A630" s="15" t="s">
        <v>312</v>
      </c>
      <c r="B630" s="6"/>
      <c r="C630" s="6"/>
      <c r="D630" s="6">
        <f t="shared" si="9"/>
        <v>0</v>
      </c>
    </row>
    <row r="631" spans="1:4" ht="18" hidden="1">
      <c r="A631" s="12" t="s">
        <v>313</v>
      </c>
      <c r="B631" s="6"/>
      <c r="C631" s="6"/>
      <c r="D631" s="6">
        <f t="shared" si="9"/>
        <v>0</v>
      </c>
    </row>
    <row r="632" spans="1:4" ht="18" hidden="1">
      <c r="A632" s="8" t="s">
        <v>314</v>
      </c>
      <c r="B632" s="6"/>
      <c r="C632" s="6"/>
      <c r="D632" s="6">
        <f t="shared" si="9"/>
        <v>0</v>
      </c>
    </row>
    <row r="633" spans="1:4" ht="18" hidden="1">
      <c r="A633" s="15" t="s">
        <v>315</v>
      </c>
      <c r="B633" s="6"/>
      <c r="C633" s="6"/>
      <c r="D633" s="6">
        <f t="shared" si="9"/>
        <v>0</v>
      </c>
    </row>
    <row r="634" spans="1:4" ht="18" hidden="1">
      <c r="A634" s="11" t="s">
        <v>377</v>
      </c>
      <c r="B634" s="6"/>
      <c r="C634" s="6"/>
      <c r="D634" s="6">
        <f t="shared" si="9"/>
        <v>0</v>
      </c>
    </row>
    <row r="635" spans="1:4" ht="18" hidden="1">
      <c r="A635" s="8" t="s">
        <v>378</v>
      </c>
      <c r="B635" s="6"/>
      <c r="C635" s="6"/>
      <c r="D635" s="6">
        <f t="shared" si="9"/>
        <v>0</v>
      </c>
    </row>
    <row r="636" spans="1:4" ht="18" hidden="1">
      <c r="A636" s="10" t="s">
        <v>318</v>
      </c>
      <c r="B636" s="6"/>
      <c r="C636" s="6"/>
      <c r="D636" s="6">
        <f t="shared" si="9"/>
        <v>0</v>
      </c>
    </row>
    <row r="637" spans="1:4" ht="18" hidden="1">
      <c r="A637" s="8" t="s">
        <v>379</v>
      </c>
      <c r="B637" s="6"/>
      <c r="C637" s="6"/>
      <c r="D637" s="6">
        <f t="shared" si="9"/>
        <v>0</v>
      </c>
    </row>
    <row r="638" spans="1:4" ht="18" hidden="1">
      <c r="A638" s="11" t="s">
        <v>319</v>
      </c>
      <c r="B638" s="6"/>
      <c r="C638" s="6"/>
      <c r="D638" s="6">
        <f t="shared" si="9"/>
        <v>0</v>
      </c>
    </row>
    <row r="639" spans="1:4" ht="18" hidden="1">
      <c r="A639" s="11" t="s">
        <v>320</v>
      </c>
      <c r="B639" s="6"/>
      <c r="C639" s="6"/>
      <c r="D639" s="6">
        <f t="shared" si="9"/>
        <v>0</v>
      </c>
    </row>
    <row r="640" spans="1:4" ht="18" hidden="1">
      <c r="A640" s="8" t="s">
        <v>321</v>
      </c>
      <c r="B640" s="6"/>
      <c r="C640" s="6"/>
      <c r="D640" s="6">
        <f t="shared" si="9"/>
        <v>0</v>
      </c>
    </row>
    <row r="641" spans="1:4" ht="18" hidden="1">
      <c r="A641" s="8" t="s">
        <v>322</v>
      </c>
      <c r="B641" s="6"/>
      <c r="C641" s="6"/>
      <c r="D641" s="6">
        <f t="shared" si="9"/>
        <v>0</v>
      </c>
    </row>
    <row r="642" spans="1:4" ht="18" hidden="1">
      <c r="A642" s="8" t="s">
        <v>323</v>
      </c>
      <c r="B642" s="6"/>
      <c r="C642" s="6"/>
      <c r="D642" s="6">
        <f t="shared" si="9"/>
        <v>0</v>
      </c>
    </row>
    <row r="643" spans="1:4" ht="18" hidden="1">
      <c r="A643" s="12" t="s">
        <v>324</v>
      </c>
      <c r="B643" s="6"/>
      <c r="C643" s="6"/>
      <c r="D643" s="6">
        <f t="shared" si="9"/>
        <v>0</v>
      </c>
    </row>
    <row r="644" spans="1:4" ht="18" hidden="1">
      <c r="A644" s="12" t="s">
        <v>325</v>
      </c>
      <c r="B644" s="6"/>
      <c r="C644" s="6"/>
      <c r="D644" s="6">
        <f t="shared" ref="D644:D671" si="10">B644*C644</f>
        <v>0</v>
      </c>
    </row>
    <row r="645" spans="1:4" ht="18" hidden="1">
      <c r="A645" s="19" t="s">
        <v>326</v>
      </c>
      <c r="B645" s="6"/>
      <c r="C645" s="6"/>
      <c r="D645" s="6">
        <f t="shared" si="10"/>
        <v>0</v>
      </c>
    </row>
    <row r="646" spans="1:4" ht="18" hidden="1">
      <c r="A646" s="12" t="s">
        <v>327</v>
      </c>
      <c r="B646" s="6"/>
      <c r="C646" s="6"/>
      <c r="D646" s="6">
        <f t="shared" si="10"/>
        <v>0</v>
      </c>
    </row>
    <row r="647" spans="1:4" ht="18" hidden="1">
      <c r="A647" s="8" t="s">
        <v>328</v>
      </c>
      <c r="B647" s="6"/>
      <c r="C647" s="6"/>
      <c r="D647" s="6">
        <f t="shared" si="10"/>
        <v>0</v>
      </c>
    </row>
    <row r="648" spans="1:4" ht="18" hidden="1">
      <c r="A648" s="8" t="s">
        <v>329</v>
      </c>
      <c r="B648" s="6"/>
      <c r="C648" s="6"/>
      <c r="D648" s="6">
        <f t="shared" si="10"/>
        <v>0</v>
      </c>
    </row>
    <row r="649" spans="1:4" ht="18" hidden="1">
      <c r="A649" s="8" t="s">
        <v>330</v>
      </c>
      <c r="B649" s="6"/>
      <c r="C649" s="6"/>
      <c r="D649" s="6">
        <f t="shared" si="10"/>
        <v>0</v>
      </c>
    </row>
    <row r="650" spans="1:4" ht="18" hidden="1">
      <c r="A650" s="8" t="s">
        <v>331</v>
      </c>
      <c r="B650" s="6"/>
      <c r="C650" s="6"/>
      <c r="D650" s="6">
        <f t="shared" si="10"/>
        <v>0</v>
      </c>
    </row>
    <row r="651" spans="1:4" ht="18" hidden="1">
      <c r="A651" s="19" t="s">
        <v>332</v>
      </c>
      <c r="B651" s="6"/>
      <c r="C651" s="6"/>
      <c r="D651" s="6">
        <f t="shared" si="10"/>
        <v>0</v>
      </c>
    </row>
    <row r="652" spans="1:4" ht="18" hidden="1">
      <c r="A652" s="8" t="s">
        <v>333</v>
      </c>
      <c r="B652" s="6"/>
      <c r="C652" s="6"/>
      <c r="D652" s="6">
        <f t="shared" si="10"/>
        <v>0</v>
      </c>
    </row>
    <row r="653" spans="1:4" ht="18" hidden="1">
      <c r="A653" s="8" t="s">
        <v>334</v>
      </c>
      <c r="B653" s="6"/>
      <c r="C653" s="6"/>
      <c r="D653" s="6">
        <f t="shared" si="10"/>
        <v>0</v>
      </c>
    </row>
    <row r="654" spans="1:4" ht="18" hidden="1">
      <c r="A654" s="11" t="s">
        <v>335</v>
      </c>
      <c r="B654" s="6"/>
      <c r="C654" s="6"/>
      <c r="D654" s="6">
        <f t="shared" si="10"/>
        <v>0</v>
      </c>
    </row>
    <row r="655" spans="1:4" ht="18" hidden="1">
      <c r="A655" s="8" t="s">
        <v>336</v>
      </c>
      <c r="B655" s="34"/>
      <c r="C655" s="34"/>
      <c r="D655" s="6">
        <f t="shared" si="10"/>
        <v>0</v>
      </c>
    </row>
    <row r="656" spans="1:4" ht="18" hidden="1">
      <c r="A656" s="8" t="s">
        <v>337</v>
      </c>
      <c r="B656" s="6"/>
      <c r="C656" s="6"/>
      <c r="D656" s="6">
        <f t="shared" si="10"/>
        <v>0</v>
      </c>
    </row>
    <row r="657" spans="1:4" ht="18" hidden="1">
      <c r="A657" s="8" t="s">
        <v>338</v>
      </c>
      <c r="B657" s="6"/>
      <c r="C657" s="6"/>
      <c r="D657" s="6">
        <f t="shared" si="10"/>
        <v>0</v>
      </c>
    </row>
    <row r="658" spans="1:4" ht="18" hidden="1">
      <c r="A658" s="19" t="s">
        <v>339</v>
      </c>
      <c r="B658" s="6"/>
      <c r="C658" s="6"/>
      <c r="D658" s="6">
        <f t="shared" si="10"/>
        <v>0</v>
      </c>
    </row>
    <row r="659" spans="1:4" ht="18" hidden="1">
      <c r="A659" s="19" t="s">
        <v>340</v>
      </c>
      <c r="B659" s="6"/>
      <c r="C659" s="6"/>
      <c r="D659" s="6">
        <f t="shared" si="10"/>
        <v>0</v>
      </c>
    </row>
    <row r="660" spans="1:4" ht="18" hidden="1">
      <c r="A660" s="8" t="s">
        <v>341</v>
      </c>
      <c r="B660" s="6"/>
      <c r="C660" s="6"/>
      <c r="D660" s="6">
        <f t="shared" si="10"/>
        <v>0</v>
      </c>
    </row>
    <row r="661" spans="1:4" ht="18" hidden="1">
      <c r="A661" s="8" t="s">
        <v>342</v>
      </c>
      <c r="B661" s="6"/>
      <c r="C661" s="6"/>
      <c r="D661" s="6">
        <f t="shared" si="10"/>
        <v>0</v>
      </c>
    </row>
    <row r="662" spans="1:4" ht="18" hidden="1">
      <c r="A662" s="19" t="s">
        <v>343</v>
      </c>
      <c r="B662" s="6"/>
      <c r="C662" s="6"/>
      <c r="D662" s="6">
        <f t="shared" si="10"/>
        <v>0</v>
      </c>
    </row>
    <row r="663" spans="1:4" ht="18" hidden="1">
      <c r="A663" s="8" t="s">
        <v>344</v>
      </c>
      <c r="B663" s="6"/>
      <c r="C663" s="6"/>
      <c r="D663" s="6">
        <f t="shared" si="10"/>
        <v>0</v>
      </c>
    </row>
    <row r="664" spans="1:4" ht="18" hidden="1">
      <c r="A664" s="8" t="s">
        <v>345</v>
      </c>
      <c r="B664" s="6"/>
      <c r="C664" s="6"/>
      <c r="D664" s="6">
        <f t="shared" si="10"/>
        <v>0</v>
      </c>
    </row>
    <row r="665" spans="1:4" ht="18" hidden="1">
      <c r="A665" s="8" t="s">
        <v>346</v>
      </c>
      <c r="B665" s="6"/>
      <c r="C665" s="6"/>
      <c r="D665" s="6">
        <f t="shared" si="10"/>
        <v>0</v>
      </c>
    </row>
    <row r="666" spans="1:4" ht="18" hidden="1">
      <c r="A666" s="8" t="s">
        <v>347</v>
      </c>
      <c r="B666" s="6"/>
      <c r="C666" s="6"/>
      <c r="D666" s="6">
        <f t="shared" si="10"/>
        <v>0</v>
      </c>
    </row>
    <row r="667" spans="1:4" ht="18" hidden="1">
      <c r="A667" s="8" t="s">
        <v>348</v>
      </c>
      <c r="B667" s="6"/>
      <c r="C667" s="6"/>
      <c r="D667" s="6">
        <f t="shared" si="10"/>
        <v>0</v>
      </c>
    </row>
    <row r="668" spans="1:4" ht="18" hidden="1">
      <c r="A668" s="8" t="s">
        <v>349</v>
      </c>
      <c r="B668" s="6"/>
      <c r="C668" s="6"/>
      <c r="D668" s="6">
        <f t="shared" si="10"/>
        <v>0</v>
      </c>
    </row>
    <row r="669" spans="1:4" ht="18" hidden="1">
      <c r="A669" s="8" t="s">
        <v>350</v>
      </c>
      <c r="B669" s="6"/>
      <c r="C669" s="6"/>
      <c r="D669" s="6">
        <f t="shared" si="10"/>
        <v>0</v>
      </c>
    </row>
    <row r="670" spans="1:4" ht="18" hidden="1">
      <c r="A670" s="8" t="s">
        <v>351</v>
      </c>
      <c r="B670" s="6"/>
      <c r="C670" s="6"/>
      <c r="D670" s="6">
        <f t="shared" si="10"/>
        <v>0</v>
      </c>
    </row>
    <row r="671" spans="1:4" ht="18" hidden="1">
      <c r="A671" s="10" t="s">
        <v>353</v>
      </c>
      <c r="B671" s="6"/>
      <c r="C671" s="6"/>
      <c r="D671" s="6">
        <f t="shared" si="10"/>
        <v>0</v>
      </c>
    </row>
    <row r="672" spans="1:4" ht="17.399999999999999">
      <c r="A672" s="35"/>
      <c r="B672" s="36">
        <f>SUM(B345:B671)</f>
        <v>5931</v>
      </c>
      <c r="C672" s="36"/>
      <c r="D672" s="36">
        <f t="shared" ref="D672" si="11">SUM(D345:D671)</f>
        <v>75881000</v>
      </c>
    </row>
    <row r="674" spans="4:4">
      <c r="D674" s="190">
        <f>D672+D340</f>
        <v>111167000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6000000}">
    <filterColumn colId="1">
      <customFilters>
        <customFilter operator="notEqual" val="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674"/>
  <sheetViews>
    <sheetView topLeftCell="A315" workbookViewId="0">
      <selection activeCell="D674" sqref="D674"/>
    </sheetView>
  </sheetViews>
  <sheetFormatPr defaultColWidth="9" defaultRowHeight="14.4"/>
  <cols>
    <col min="1" max="1" width="37.44140625" customWidth="1"/>
    <col min="3" max="3" width="12.44140625" customWidth="1"/>
    <col min="4" max="4" width="17.88671875" customWidth="1"/>
  </cols>
  <sheetData>
    <row r="1" spans="1:4">
      <c r="A1" s="1" t="s">
        <v>389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4</v>
      </c>
      <c r="D2" s="4" t="s">
        <v>5</v>
      </c>
    </row>
    <row r="3" spans="1:4" ht="18" hidden="1">
      <c r="A3" s="5" t="s">
        <v>6</v>
      </c>
      <c r="B3" s="6"/>
      <c r="C3" s="6"/>
      <c r="D3" s="6">
        <f>B3*C3</f>
        <v>0</v>
      </c>
    </row>
    <row r="4" spans="1:4" ht="18" hidden="1">
      <c r="A4" s="7" t="s">
        <v>8</v>
      </c>
      <c r="B4" s="6"/>
      <c r="C4" s="6"/>
      <c r="D4" s="6">
        <f t="shared" ref="D4:D67" si="0">B4*C4</f>
        <v>0</v>
      </c>
    </row>
    <row r="5" spans="1:4" ht="18" hidden="1">
      <c r="A5" s="5" t="s">
        <v>10</v>
      </c>
      <c r="B5" s="6"/>
      <c r="C5" s="6"/>
      <c r="D5" s="6">
        <f t="shared" si="0"/>
        <v>0</v>
      </c>
    </row>
    <row r="6" spans="1:4" ht="18" hidden="1">
      <c r="A6" s="5" t="s">
        <v>11</v>
      </c>
      <c r="B6" s="6"/>
      <c r="C6" s="6"/>
      <c r="D6" s="6">
        <f t="shared" si="0"/>
        <v>0</v>
      </c>
    </row>
    <row r="7" spans="1:4" ht="18" hidden="1">
      <c r="A7" s="8" t="s">
        <v>12</v>
      </c>
      <c r="B7" s="6"/>
      <c r="C7" s="6"/>
      <c r="D7" s="6">
        <f t="shared" si="0"/>
        <v>0</v>
      </c>
    </row>
    <row r="8" spans="1:4" ht="18" hidden="1">
      <c r="A8" s="9" t="s">
        <v>13</v>
      </c>
      <c r="B8" s="6"/>
      <c r="C8" s="6"/>
      <c r="D8" s="6">
        <f t="shared" si="0"/>
        <v>0</v>
      </c>
    </row>
    <row r="9" spans="1:4" ht="18" hidden="1">
      <c r="A9" s="5" t="s">
        <v>14</v>
      </c>
      <c r="B9" s="6"/>
      <c r="C9" s="6"/>
      <c r="D9" s="6">
        <f t="shared" si="0"/>
        <v>0</v>
      </c>
    </row>
    <row r="10" spans="1:4" ht="18" hidden="1">
      <c r="A10" s="5" t="s">
        <v>15</v>
      </c>
      <c r="B10" s="6"/>
      <c r="C10" s="6"/>
      <c r="D10" s="6">
        <f t="shared" si="0"/>
        <v>0</v>
      </c>
    </row>
    <row r="11" spans="1:4" ht="18" hidden="1">
      <c r="A11" s="10" t="s">
        <v>16</v>
      </c>
      <c r="B11" s="6"/>
      <c r="C11" s="6"/>
      <c r="D11" s="6">
        <f t="shared" si="0"/>
        <v>0</v>
      </c>
    </row>
    <row r="12" spans="1:4" ht="18">
      <c r="A12" s="8" t="s">
        <v>18</v>
      </c>
      <c r="B12" s="6">
        <v>1</v>
      </c>
      <c r="C12" s="6">
        <v>10000</v>
      </c>
      <c r="D12" s="6">
        <f t="shared" si="0"/>
        <v>10000</v>
      </c>
    </row>
    <row r="13" spans="1:4" ht="18" hidden="1">
      <c r="A13" s="8" t="s">
        <v>19</v>
      </c>
      <c r="B13" s="6"/>
      <c r="C13" s="6"/>
      <c r="D13" s="6">
        <f t="shared" si="0"/>
        <v>0</v>
      </c>
    </row>
    <row r="14" spans="1:4" ht="18" hidden="1">
      <c r="A14" s="11" t="s">
        <v>20</v>
      </c>
      <c r="B14" s="6"/>
      <c r="C14" s="6"/>
      <c r="D14" s="6">
        <f t="shared" si="0"/>
        <v>0</v>
      </c>
    </row>
    <row r="15" spans="1:4" ht="18">
      <c r="A15" s="11" t="s">
        <v>22</v>
      </c>
      <c r="B15" s="6">
        <v>9</v>
      </c>
      <c r="C15" s="6">
        <v>18000</v>
      </c>
      <c r="D15" s="6">
        <f t="shared" si="0"/>
        <v>162000</v>
      </c>
    </row>
    <row r="16" spans="1:4" ht="18" hidden="1">
      <c r="A16" s="8" t="s">
        <v>23</v>
      </c>
      <c r="B16" s="6"/>
      <c r="C16" s="6"/>
      <c r="D16" s="6">
        <f t="shared" si="0"/>
        <v>0</v>
      </c>
    </row>
    <row r="17" spans="1:4" ht="18" hidden="1">
      <c r="A17" s="8" t="s">
        <v>24</v>
      </c>
      <c r="B17" s="6"/>
      <c r="C17" s="6"/>
      <c r="D17" s="6">
        <f t="shared" si="0"/>
        <v>0</v>
      </c>
    </row>
    <row r="18" spans="1:4" ht="18">
      <c r="A18" s="12" t="s">
        <v>25</v>
      </c>
      <c r="B18" s="6">
        <v>38</v>
      </c>
      <c r="C18" s="6">
        <v>4000</v>
      </c>
      <c r="D18" s="6">
        <f t="shared" si="0"/>
        <v>152000</v>
      </c>
    </row>
    <row r="19" spans="1:4" ht="18">
      <c r="A19" s="10" t="s">
        <v>26</v>
      </c>
      <c r="B19" s="6">
        <v>50</v>
      </c>
      <c r="C19" s="13">
        <v>14000</v>
      </c>
      <c r="D19" s="6">
        <f t="shared" si="0"/>
        <v>700000</v>
      </c>
    </row>
    <row r="20" spans="1:4" ht="18">
      <c r="A20" s="8" t="s">
        <v>27</v>
      </c>
      <c r="B20" s="6">
        <v>120</v>
      </c>
      <c r="C20" s="6">
        <v>13000</v>
      </c>
      <c r="D20" s="6">
        <f t="shared" si="0"/>
        <v>1560000</v>
      </c>
    </row>
    <row r="21" spans="1:4" ht="18" hidden="1">
      <c r="A21" s="11" t="s">
        <v>28</v>
      </c>
      <c r="B21" s="6"/>
      <c r="C21" s="6"/>
      <c r="D21" s="6">
        <f t="shared" si="0"/>
        <v>0</v>
      </c>
    </row>
    <row r="22" spans="1:4" ht="18" hidden="1">
      <c r="A22" s="11" t="s">
        <v>29</v>
      </c>
      <c r="B22" s="6"/>
      <c r="C22" s="6"/>
      <c r="D22" s="6">
        <f t="shared" si="0"/>
        <v>0</v>
      </c>
    </row>
    <row r="23" spans="1:4" ht="18" hidden="1">
      <c r="A23" s="8" t="s">
        <v>30</v>
      </c>
      <c r="B23" s="6"/>
      <c r="C23" s="6"/>
      <c r="D23" s="6">
        <f t="shared" si="0"/>
        <v>0</v>
      </c>
    </row>
    <row r="24" spans="1:4" ht="18" hidden="1">
      <c r="A24" s="8" t="s">
        <v>31</v>
      </c>
      <c r="B24" s="6"/>
      <c r="C24" s="6"/>
      <c r="D24" s="6">
        <f t="shared" si="0"/>
        <v>0</v>
      </c>
    </row>
    <row r="25" spans="1:4" ht="18">
      <c r="A25" s="8" t="s">
        <v>32</v>
      </c>
      <c r="B25" s="6">
        <f>18+135</f>
        <v>153</v>
      </c>
      <c r="C25" s="6">
        <v>13000</v>
      </c>
      <c r="D25" s="6">
        <f t="shared" si="0"/>
        <v>1989000</v>
      </c>
    </row>
    <row r="26" spans="1:4" ht="18" hidden="1">
      <c r="A26" s="8" t="s">
        <v>33</v>
      </c>
      <c r="B26" s="6"/>
      <c r="C26" s="6"/>
      <c r="D26" s="6">
        <f t="shared" si="0"/>
        <v>0</v>
      </c>
    </row>
    <row r="27" spans="1:4" ht="18" hidden="1">
      <c r="A27" s="8" t="s">
        <v>34</v>
      </c>
      <c r="B27" s="6"/>
      <c r="C27" s="6"/>
      <c r="D27" s="6">
        <f t="shared" si="0"/>
        <v>0</v>
      </c>
    </row>
    <row r="28" spans="1:4" ht="18">
      <c r="A28" s="8" t="s">
        <v>35</v>
      </c>
      <c r="B28" s="6">
        <v>57</v>
      </c>
      <c r="C28" s="6">
        <v>12000</v>
      </c>
      <c r="D28" s="6">
        <f t="shared" si="0"/>
        <v>684000</v>
      </c>
    </row>
    <row r="29" spans="1:4" ht="18" hidden="1">
      <c r="A29" s="10" t="s">
        <v>36</v>
      </c>
      <c r="B29" s="14"/>
      <c r="C29" s="14"/>
      <c r="D29" s="6">
        <f t="shared" si="0"/>
        <v>0</v>
      </c>
    </row>
    <row r="30" spans="1:4" ht="18" hidden="1">
      <c r="A30" s="11" t="s">
        <v>37</v>
      </c>
      <c r="B30" s="6"/>
      <c r="C30" s="6"/>
      <c r="D30" s="6">
        <f t="shared" si="0"/>
        <v>0</v>
      </c>
    </row>
    <row r="31" spans="1:4" ht="18" hidden="1">
      <c r="A31" s="10" t="s">
        <v>38</v>
      </c>
      <c r="B31" s="6"/>
      <c r="C31" s="6"/>
      <c r="D31" s="6">
        <f t="shared" si="0"/>
        <v>0</v>
      </c>
    </row>
    <row r="32" spans="1:4" ht="18" hidden="1">
      <c r="A32" s="10" t="s">
        <v>40</v>
      </c>
      <c r="B32" s="6"/>
      <c r="C32" s="6"/>
      <c r="D32" s="6">
        <f t="shared" si="0"/>
        <v>0</v>
      </c>
    </row>
    <row r="33" spans="1:4" ht="18" hidden="1">
      <c r="A33" s="10" t="s">
        <v>41</v>
      </c>
      <c r="B33" s="6"/>
      <c r="C33" s="6"/>
      <c r="D33" s="6">
        <f t="shared" si="0"/>
        <v>0</v>
      </c>
    </row>
    <row r="34" spans="1:4" ht="18" hidden="1">
      <c r="A34" s="11" t="s">
        <v>42</v>
      </c>
      <c r="B34" s="6"/>
      <c r="C34" s="6"/>
      <c r="D34" s="6">
        <f t="shared" si="0"/>
        <v>0</v>
      </c>
    </row>
    <row r="35" spans="1:4" ht="18" hidden="1">
      <c r="A35" s="10" t="s">
        <v>43</v>
      </c>
      <c r="B35" s="6"/>
      <c r="C35" s="6"/>
      <c r="D35" s="6">
        <f t="shared" si="0"/>
        <v>0</v>
      </c>
    </row>
    <row r="36" spans="1:4" ht="18" hidden="1">
      <c r="A36" s="10" t="s">
        <v>44</v>
      </c>
      <c r="B36" s="6"/>
      <c r="C36" s="6"/>
      <c r="D36" s="6">
        <f t="shared" si="0"/>
        <v>0</v>
      </c>
    </row>
    <row r="37" spans="1:4" ht="18" hidden="1">
      <c r="A37" s="10" t="s">
        <v>45</v>
      </c>
      <c r="B37" s="6"/>
      <c r="C37" s="6"/>
      <c r="D37" s="6">
        <f t="shared" si="0"/>
        <v>0</v>
      </c>
    </row>
    <row r="38" spans="1:4" ht="18">
      <c r="A38" s="11" t="s">
        <v>46</v>
      </c>
      <c r="B38" s="6">
        <v>17</v>
      </c>
      <c r="C38" s="6">
        <v>10000</v>
      </c>
      <c r="D38" s="6">
        <f t="shared" si="0"/>
        <v>170000</v>
      </c>
    </row>
    <row r="39" spans="1:4" ht="18" hidden="1">
      <c r="A39" s="8" t="s">
        <v>47</v>
      </c>
      <c r="B39" s="6"/>
      <c r="C39" s="6"/>
      <c r="D39" s="6">
        <f t="shared" si="0"/>
        <v>0</v>
      </c>
    </row>
    <row r="40" spans="1:4" ht="18" hidden="1">
      <c r="A40" s="8" t="s">
        <v>48</v>
      </c>
      <c r="B40" s="6"/>
      <c r="C40" s="6"/>
      <c r="D40" s="6">
        <f t="shared" si="0"/>
        <v>0</v>
      </c>
    </row>
    <row r="41" spans="1:4" ht="18" hidden="1">
      <c r="A41" s="10" t="s">
        <v>50</v>
      </c>
      <c r="B41" s="14"/>
      <c r="C41" s="14"/>
      <c r="D41" s="6">
        <f t="shared" si="0"/>
        <v>0</v>
      </c>
    </row>
    <row r="42" spans="1:4" ht="18" hidden="1">
      <c r="A42" s="8" t="s">
        <v>51</v>
      </c>
      <c r="B42" s="6"/>
      <c r="C42" s="6"/>
      <c r="D42" s="6">
        <f t="shared" si="0"/>
        <v>0</v>
      </c>
    </row>
    <row r="43" spans="1:4" ht="18" hidden="1">
      <c r="A43" s="8" t="s">
        <v>52</v>
      </c>
      <c r="B43" s="6"/>
      <c r="C43" s="6"/>
      <c r="D43" s="6">
        <f t="shared" si="0"/>
        <v>0</v>
      </c>
    </row>
    <row r="44" spans="1:4" ht="18" hidden="1">
      <c r="A44" s="15" t="s">
        <v>53</v>
      </c>
      <c r="B44" s="6"/>
      <c r="C44" s="6"/>
      <c r="D44" s="6">
        <f t="shared" si="0"/>
        <v>0</v>
      </c>
    </row>
    <row r="45" spans="1:4" ht="18" hidden="1">
      <c r="A45" s="8" t="s">
        <v>55</v>
      </c>
      <c r="B45" s="6"/>
      <c r="C45" s="6"/>
      <c r="D45" s="6">
        <f t="shared" si="0"/>
        <v>0</v>
      </c>
    </row>
    <row r="46" spans="1:4" ht="18" hidden="1">
      <c r="A46" s="8" t="s">
        <v>56</v>
      </c>
      <c r="B46" s="6"/>
      <c r="C46" s="6"/>
      <c r="D46" s="6">
        <f t="shared" si="0"/>
        <v>0</v>
      </c>
    </row>
    <row r="47" spans="1:4" ht="18">
      <c r="A47" s="8" t="s">
        <v>58</v>
      </c>
      <c r="B47" s="6">
        <f>28+15</f>
        <v>43</v>
      </c>
      <c r="C47" s="6">
        <v>27000</v>
      </c>
      <c r="D47" s="6">
        <f t="shared" si="0"/>
        <v>1161000</v>
      </c>
    </row>
    <row r="48" spans="1:4" ht="18" hidden="1">
      <c r="A48" s="16" t="s">
        <v>59</v>
      </c>
      <c r="B48" s="6"/>
      <c r="C48" s="6"/>
      <c r="D48" s="6">
        <f t="shared" si="0"/>
        <v>0</v>
      </c>
    </row>
    <row r="49" spans="1:4" ht="18" hidden="1">
      <c r="A49" s="12" t="s">
        <v>60</v>
      </c>
      <c r="B49" s="6"/>
      <c r="C49" s="6"/>
      <c r="D49" s="6">
        <f t="shared" si="0"/>
        <v>0</v>
      </c>
    </row>
    <row r="50" spans="1:4" ht="18" hidden="1">
      <c r="A50" s="10" t="s">
        <v>61</v>
      </c>
      <c r="B50" s="6"/>
      <c r="C50" s="6"/>
      <c r="D50" s="6">
        <f t="shared" si="0"/>
        <v>0</v>
      </c>
    </row>
    <row r="51" spans="1:4" ht="18" hidden="1">
      <c r="A51" s="12" t="s">
        <v>62</v>
      </c>
      <c r="B51" s="6"/>
      <c r="C51" s="6"/>
      <c r="D51" s="6">
        <f t="shared" si="0"/>
        <v>0</v>
      </c>
    </row>
    <row r="52" spans="1:4" ht="18" hidden="1">
      <c r="A52" s="8" t="s">
        <v>63</v>
      </c>
      <c r="B52" s="6"/>
      <c r="C52" s="6"/>
      <c r="D52" s="6">
        <f t="shared" si="0"/>
        <v>0</v>
      </c>
    </row>
    <row r="53" spans="1:4" ht="18" hidden="1">
      <c r="A53" s="8" t="s">
        <v>64</v>
      </c>
      <c r="B53" s="6"/>
      <c r="C53" s="6"/>
      <c r="D53" s="6">
        <f t="shared" si="0"/>
        <v>0</v>
      </c>
    </row>
    <row r="54" spans="1:4" ht="18" hidden="1">
      <c r="A54" s="11" t="s">
        <v>65</v>
      </c>
      <c r="B54" s="6"/>
      <c r="C54" s="6"/>
      <c r="D54" s="6">
        <f t="shared" si="0"/>
        <v>0</v>
      </c>
    </row>
    <row r="55" spans="1:4" ht="18">
      <c r="A55" s="8" t="s">
        <v>66</v>
      </c>
      <c r="B55" s="6">
        <v>3</v>
      </c>
      <c r="C55" s="6">
        <v>14000</v>
      </c>
      <c r="D55" s="6">
        <f t="shared" si="0"/>
        <v>42000</v>
      </c>
    </row>
    <row r="56" spans="1:4" ht="18" hidden="1">
      <c r="A56" s="15" t="s">
        <v>67</v>
      </c>
      <c r="B56" s="6"/>
      <c r="C56" s="6"/>
      <c r="D56" s="6">
        <f t="shared" si="0"/>
        <v>0</v>
      </c>
    </row>
    <row r="57" spans="1:4" ht="18">
      <c r="A57" s="15" t="s">
        <v>69</v>
      </c>
      <c r="B57" s="6">
        <v>1</v>
      </c>
      <c r="C57" s="6">
        <v>8400</v>
      </c>
      <c r="D57" s="6">
        <f t="shared" si="0"/>
        <v>8400</v>
      </c>
    </row>
    <row r="58" spans="1:4" ht="18" hidden="1">
      <c r="A58" s="15" t="s">
        <v>70</v>
      </c>
      <c r="B58" s="6"/>
      <c r="C58" s="6"/>
      <c r="D58" s="6">
        <f t="shared" si="0"/>
        <v>0</v>
      </c>
    </row>
    <row r="59" spans="1:4" ht="18" hidden="1">
      <c r="A59" s="8" t="s">
        <v>71</v>
      </c>
      <c r="B59" s="6"/>
      <c r="C59" s="6"/>
      <c r="D59" s="6">
        <f t="shared" si="0"/>
        <v>0</v>
      </c>
    </row>
    <row r="60" spans="1:4" ht="18" hidden="1">
      <c r="A60" s="10" t="s">
        <v>72</v>
      </c>
      <c r="B60" s="6"/>
      <c r="C60" s="6"/>
      <c r="D60" s="6">
        <f t="shared" si="0"/>
        <v>0</v>
      </c>
    </row>
    <row r="61" spans="1:4" ht="18" hidden="1">
      <c r="A61" s="8" t="s">
        <v>73</v>
      </c>
      <c r="B61" s="6"/>
      <c r="C61" s="6"/>
      <c r="D61" s="6">
        <f t="shared" si="0"/>
        <v>0</v>
      </c>
    </row>
    <row r="62" spans="1:4" ht="18" hidden="1">
      <c r="A62" s="16" t="s">
        <v>74</v>
      </c>
      <c r="B62" s="6"/>
      <c r="C62" s="6"/>
      <c r="D62" s="6">
        <f t="shared" si="0"/>
        <v>0</v>
      </c>
    </row>
    <row r="63" spans="1:4" ht="18" hidden="1">
      <c r="A63" s="15" t="s">
        <v>75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v>220</v>
      </c>
      <c r="C64" s="6">
        <v>17000</v>
      </c>
      <c r="D64" s="6">
        <f t="shared" si="0"/>
        <v>3740000</v>
      </c>
    </row>
    <row r="65" spans="1:4" ht="18" hidden="1">
      <c r="A65" s="17" t="s">
        <v>77</v>
      </c>
      <c r="B65" s="6"/>
      <c r="C65" s="6"/>
      <c r="D65" s="6">
        <f t="shared" si="0"/>
        <v>0</v>
      </c>
    </row>
    <row r="66" spans="1:4" ht="18" hidden="1">
      <c r="A66" s="8" t="s">
        <v>78</v>
      </c>
      <c r="B66" s="6"/>
      <c r="C66" s="6"/>
      <c r="D66" s="6">
        <f t="shared" si="0"/>
        <v>0</v>
      </c>
    </row>
    <row r="67" spans="1:4" ht="18" hidden="1">
      <c r="A67" s="8" t="s">
        <v>79</v>
      </c>
      <c r="B67" s="6"/>
      <c r="C67" s="6"/>
      <c r="D67" s="6">
        <f t="shared" si="0"/>
        <v>0</v>
      </c>
    </row>
    <row r="68" spans="1:4" ht="18" hidden="1">
      <c r="A68" s="18" t="s">
        <v>80</v>
      </c>
      <c r="B68" s="6"/>
      <c r="C68" s="6"/>
      <c r="D68" s="6">
        <f t="shared" ref="D68:D131" si="1">B68*C68</f>
        <v>0</v>
      </c>
    </row>
    <row r="69" spans="1:4" ht="18" hidden="1">
      <c r="A69" s="11" t="s">
        <v>81</v>
      </c>
      <c r="B69" s="6"/>
      <c r="C69" s="6"/>
      <c r="D69" s="6">
        <f t="shared" si="1"/>
        <v>0</v>
      </c>
    </row>
    <row r="70" spans="1:4" ht="18" hidden="1">
      <c r="A70" s="11" t="s">
        <v>82</v>
      </c>
      <c r="B70" s="6"/>
      <c r="C70" s="6"/>
      <c r="D70" s="6">
        <f t="shared" si="1"/>
        <v>0</v>
      </c>
    </row>
    <row r="71" spans="1:4" ht="18" hidden="1">
      <c r="A71" s="10" t="s">
        <v>83</v>
      </c>
      <c r="B71" s="6"/>
      <c r="C71" s="6"/>
      <c r="D71" s="6">
        <f t="shared" si="1"/>
        <v>0</v>
      </c>
    </row>
    <row r="72" spans="1:4" ht="18" hidden="1">
      <c r="A72" s="11" t="s">
        <v>84</v>
      </c>
      <c r="B72" s="6"/>
      <c r="C72" s="6"/>
      <c r="D72" s="6">
        <f t="shared" si="1"/>
        <v>0</v>
      </c>
    </row>
    <row r="73" spans="1:4" ht="18" hidden="1">
      <c r="A73" s="11" t="s">
        <v>85</v>
      </c>
      <c r="B73" s="6"/>
      <c r="C73" s="6"/>
      <c r="D73" s="6">
        <f t="shared" si="1"/>
        <v>0</v>
      </c>
    </row>
    <row r="74" spans="1:4" ht="18" hidden="1">
      <c r="A74" s="11" t="s">
        <v>86</v>
      </c>
      <c r="B74" s="6"/>
      <c r="C74" s="6"/>
      <c r="D74" s="6">
        <f t="shared" si="1"/>
        <v>0</v>
      </c>
    </row>
    <row r="75" spans="1:4" ht="18" hidden="1">
      <c r="A75" s="18" t="s">
        <v>87</v>
      </c>
      <c r="B75" s="6"/>
      <c r="C75" s="6"/>
      <c r="D75" s="6">
        <f t="shared" si="1"/>
        <v>0</v>
      </c>
    </row>
    <row r="76" spans="1:4" ht="18" hidden="1">
      <c r="A76" s="8" t="s">
        <v>88</v>
      </c>
      <c r="B76" s="6"/>
      <c r="C76" s="6"/>
      <c r="D76" s="6">
        <f t="shared" si="1"/>
        <v>0</v>
      </c>
    </row>
    <row r="77" spans="1:4" ht="18" hidden="1">
      <c r="A77" s="8" t="s">
        <v>89</v>
      </c>
      <c r="B77" s="6"/>
      <c r="C77" s="6"/>
      <c r="D77" s="6">
        <f t="shared" si="1"/>
        <v>0</v>
      </c>
    </row>
    <row r="78" spans="1:4" ht="18" hidden="1">
      <c r="A78" s="8" t="s">
        <v>90</v>
      </c>
      <c r="B78" s="6"/>
      <c r="C78" s="6"/>
      <c r="D78" s="6">
        <f t="shared" si="1"/>
        <v>0</v>
      </c>
    </row>
    <row r="79" spans="1:4" ht="18" hidden="1">
      <c r="A79" s="12" t="s">
        <v>91</v>
      </c>
      <c r="B79" s="6"/>
      <c r="C79" s="6"/>
      <c r="D79" s="6">
        <f t="shared" si="1"/>
        <v>0</v>
      </c>
    </row>
    <row r="80" spans="1:4" ht="18" hidden="1">
      <c r="A80" s="8" t="s">
        <v>92</v>
      </c>
      <c r="B80" s="6"/>
      <c r="C80" s="6"/>
      <c r="D80" s="6">
        <f t="shared" si="1"/>
        <v>0</v>
      </c>
    </row>
    <row r="81" spans="1:4" ht="18" hidden="1">
      <c r="A81" s="8" t="s">
        <v>94</v>
      </c>
      <c r="B81" s="6"/>
      <c r="C81" s="6"/>
      <c r="D81" s="6">
        <f t="shared" si="1"/>
        <v>0</v>
      </c>
    </row>
    <row r="82" spans="1:4" ht="18" hidden="1">
      <c r="A82" s="8" t="s">
        <v>95</v>
      </c>
      <c r="B82" s="6"/>
      <c r="C82" s="6"/>
      <c r="D82" s="6">
        <f t="shared" si="1"/>
        <v>0</v>
      </c>
    </row>
    <row r="83" spans="1:4" ht="18" hidden="1">
      <c r="A83" s="11" t="s">
        <v>96</v>
      </c>
      <c r="B83" s="14"/>
      <c r="C83" s="14"/>
      <c r="D83" s="6">
        <f t="shared" si="1"/>
        <v>0</v>
      </c>
    </row>
    <row r="84" spans="1:4" ht="18" hidden="1">
      <c r="A84" s="11" t="s">
        <v>97</v>
      </c>
      <c r="B84" s="14"/>
      <c r="C84" s="14"/>
      <c r="D84" s="6">
        <f t="shared" si="1"/>
        <v>0</v>
      </c>
    </row>
    <row r="85" spans="1:4" ht="18" hidden="1">
      <c r="A85" s="11" t="s">
        <v>98</v>
      </c>
      <c r="B85" s="14"/>
      <c r="C85" s="14"/>
      <c r="D85" s="6">
        <f t="shared" si="1"/>
        <v>0</v>
      </c>
    </row>
    <row r="86" spans="1:4" ht="18" hidden="1">
      <c r="A86" s="8" t="s">
        <v>99</v>
      </c>
      <c r="B86" s="6"/>
      <c r="C86" s="6"/>
      <c r="D86" s="6">
        <f t="shared" si="1"/>
        <v>0</v>
      </c>
    </row>
    <row r="87" spans="1:4" ht="18">
      <c r="A87" s="8" t="s">
        <v>100</v>
      </c>
      <c r="B87" s="6">
        <v>30</v>
      </c>
      <c r="C87" s="6">
        <v>20000</v>
      </c>
      <c r="D87" s="6">
        <f t="shared" si="1"/>
        <v>600000</v>
      </c>
    </row>
    <row r="88" spans="1:4" ht="18" hidden="1">
      <c r="A88" s="8" t="s">
        <v>101</v>
      </c>
      <c r="B88" s="6"/>
      <c r="C88" s="6"/>
      <c r="D88" s="6">
        <f t="shared" si="1"/>
        <v>0</v>
      </c>
    </row>
    <row r="89" spans="1:4" ht="18" hidden="1">
      <c r="A89" s="8" t="s">
        <v>102</v>
      </c>
      <c r="B89" s="6"/>
      <c r="C89" s="6"/>
      <c r="D89" s="6">
        <f t="shared" si="1"/>
        <v>0</v>
      </c>
    </row>
    <row r="90" spans="1:4" ht="18" hidden="1">
      <c r="A90" s="8" t="s">
        <v>103</v>
      </c>
      <c r="B90" s="6"/>
      <c r="C90" s="6"/>
      <c r="D90" s="6">
        <f t="shared" si="1"/>
        <v>0</v>
      </c>
    </row>
    <row r="91" spans="1:4" ht="18" hidden="1">
      <c r="A91" s="8" t="s">
        <v>104</v>
      </c>
      <c r="B91" s="6"/>
      <c r="C91" s="6"/>
      <c r="D91" s="6">
        <f t="shared" si="1"/>
        <v>0</v>
      </c>
    </row>
    <row r="92" spans="1:4" ht="18" hidden="1">
      <c r="A92" s="19" t="s">
        <v>105</v>
      </c>
      <c r="B92" s="6"/>
      <c r="C92" s="6"/>
      <c r="D92" s="6">
        <f t="shared" si="1"/>
        <v>0</v>
      </c>
    </row>
    <row r="93" spans="1:4" ht="18" hidden="1">
      <c r="A93" s="19" t="s">
        <v>106</v>
      </c>
      <c r="B93" s="6"/>
      <c r="C93" s="6"/>
      <c r="D93" s="6">
        <f t="shared" si="1"/>
        <v>0</v>
      </c>
    </row>
    <row r="94" spans="1:4" ht="18" hidden="1">
      <c r="A94" s="19" t="s">
        <v>107</v>
      </c>
      <c r="B94" s="6"/>
      <c r="C94" s="6"/>
      <c r="D94" s="6">
        <f t="shared" si="1"/>
        <v>0</v>
      </c>
    </row>
    <row r="95" spans="1:4" ht="18" hidden="1">
      <c r="A95" s="10" t="s">
        <v>108</v>
      </c>
      <c r="B95" s="6"/>
      <c r="C95" s="6"/>
      <c r="D95" s="6">
        <f t="shared" si="1"/>
        <v>0</v>
      </c>
    </row>
    <row r="96" spans="1:4" ht="18" hidden="1">
      <c r="A96" s="12" t="s">
        <v>109</v>
      </c>
      <c r="B96" s="6"/>
      <c r="C96" s="6"/>
      <c r="D96" s="6">
        <f t="shared" si="1"/>
        <v>0</v>
      </c>
    </row>
    <row r="97" spans="1:4" ht="18" hidden="1">
      <c r="A97" s="8" t="s">
        <v>110</v>
      </c>
      <c r="B97" s="6"/>
      <c r="C97" s="6"/>
      <c r="D97" s="6">
        <f t="shared" si="1"/>
        <v>0</v>
      </c>
    </row>
    <row r="98" spans="1:4" ht="18" hidden="1">
      <c r="A98" s="8" t="s">
        <v>111</v>
      </c>
      <c r="B98" s="6"/>
      <c r="C98" s="6"/>
      <c r="D98" s="6">
        <f t="shared" si="1"/>
        <v>0</v>
      </c>
    </row>
    <row r="99" spans="1:4" ht="18" hidden="1">
      <c r="A99" s="10" t="s">
        <v>112</v>
      </c>
      <c r="B99" s="6"/>
      <c r="C99" s="6"/>
      <c r="D99" s="6">
        <f t="shared" si="1"/>
        <v>0</v>
      </c>
    </row>
    <row r="100" spans="1:4" ht="18" hidden="1">
      <c r="A100" s="8" t="s">
        <v>113</v>
      </c>
      <c r="B100" s="14"/>
      <c r="C100" s="14"/>
      <c r="D100" s="6">
        <f t="shared" si="1"/>
        <v>0</v>
      </c>
    </row>
    <row r="101" spans="1:4" ht="18" hidden="1">
      <c r="A101" s="10" t="s">
        <v>114</v>
      </c>
      <c r="B101" s="6"/>
      <c r="C101" s="6"/>
      <c r="D101" s="6">
        <f t="shared" si="1"/>
        <v>0</v>
      </c>
    </row>
    <row r="102" spans="1:4" ht="18" hidden="1">
      <c r="A102" s="20" t="s">
        <v>115</v>
      </c>
      <c r="B102" s="6"/>
      <c r="C102" s="6"/>
      <c r="D102" s="6">
        <f t="shared" si="1"/>
        <v>0</v>
      </c>
    </row>
    <row r="103" spans="1:4" ht="18" hidden="1">
      <c r="A103" s="21" t="s">
        <v>116</v>
      </c>
      <c r="B103" s="6"/>
      <c r="C103" s="6"/>
      <c r="D103" s="6">
        <f t="shared" si="1"/>
        <v>0</v>
      </c>
    </row>
    <row r="104" spans="1:4" ht="18" hidden="1">
      <c r="A104" s="22" t="s">
        <v>117</v>
      </c>
      <c r="B104" s="6"/>
      <c r="C104" s="6"/>
      <c r="D104" s="6">
        <f t="shared" si="1"/>
        <v>0</v>
      </c>
    </row>
    <row r="105" spans="1:4" ht="18" hidden="1">
      <c r="A105" s="15" t="s">
        <v>118</v>
      </c>
      <c r="B105" s="6"/>
      <c r="C105" s="6"/>
      <c r="D105" s="6">
        <f t="shared" si="1"/>
        <v>0</v>
      </c>
    </row>
    <row r="106" spans="1:4" ht="18" hidden="1">
      <c r="A106" s="8" t="s">
        <v>119</v>
      </c>
      <c r="B106" s="6"/>
      <c r="C106" s="6"/>
      <c r="D106" s="6">
        <f t="shared" si="1"/>
        <v>0</v>
      </c>
    </row>
    <row r="107" spans="1:4" ht="18" hidden="1">
      <c r="A107" s="8" t="s">
        <v>120</v>
      </c>
      <c r="B107" s="6"/>
      <c r="C107" s="6"/>
      <c r="D107" s="6">
        <f t="shared" si="1"/>
        <v>0</v>
      </c>
    </row>
    <row r="108" spans="1:4" ht="18" hidden="1">
      <c r="A108" s="10" t="s">
        <v>121</v>
      </c>
      <c r="B108" s="6"/>
      <c r="C108" s="6"/>
      <c r="D108" s="6">
        <f t="shared" si="1"/>
        <v>0</v>
      </c>
    </row>
    <row r="109" spans="1:4" ht="18" hidden="1">
      <c r="A109" s="23" t="s">
        <v>122</v>
      </c>
      <c r="B109" s="6"/>
      <c r="C109" s="6"/>
      <c r="D109" s="6">
        <f t="shared" si="1"/>
        <v>0</v>
      </c>
    </row>
    <row r="110" spans="1:4" ht="18" hidden="1">
      <c r="A110" s="8" t="s">
        <v>123</v>
      </c>
      <c r="B110" s="6"/>
      <c r="C110" s="6"/>
      <c r="D110" s="6">
        <f t="shared" si="1"/>
        <v>0</v>
      </c>
    </row>
    <row r="111" spans="1:4" ht="18">
      <c r="A111" s="8" t="s">
        <v>124</v>
      </c>
      <c r="B111" s="6">
        <v>20</v>
      </c>
      <c r="C111" s="6">
        <v>15000</v>
      </c>
      <c r="D111" s="6">
        <f t="shared" si="1"/>
        <v>300000</v>
      </c>
    </row>
    <row r="112" spans="1:4" ht="18" hidden="1">
      <c r="A112" s="8" t="s">
        <v>125</v>
      </c>
      <c r="B112" s="6"/>
      <c r="C112" s="6"/>
      <c r="D112" s="6">
        <f t="shared" si="1"/>
        <v>0</v>
      </c>
    </row>
    <row r="113" spans="1:4" ht="18" hidden="1">
      <c r="A113" s="8" t="s">
        <v>126</v>
      </c>
      <c r="B113" s="6"/>
      <c r="C113" s="6"/>
      <c r="D113" s="6">
        <f t="shared" si="1"/>
        <v>0</v>
      </c>
    </row>
    <row r="114" spans="1:4" ht="18" hidden="1">
      <c r="A114" s="8" t="s">
        <v>127</v>
      </c>
      <c r="B114" s="6"/>
      <c r="C114" s="6"/>
      <c r="D114" s="6">
        <f t="shared" si="1"/>
        <v>0</v>
      </c>
    </row>
    <row r="115" spans="1:4" ht="18" hidden="1">
      <c r="A115" s="8" t="s">
        <v>128</v>
      </c>
      <c r="B115" s="6"/>
      <c r="C115" s="6"/>
      <c r="D115" s="6">
        <f t="shared" si="1"/>
        <v>0</v>
      </c>
    </row>
    <row r="116" spans="1:4" ht="18" hidden="1">
      <c r="A116" s="8" t="s">
        <v>129</v>
      </c>
      <c r="B116" s="6"/>
      <c r="C116" s="6"/>
      <c r="D116" s="6">
        <f t="shared" si="1"/>
        <v>0</v>
      </c>
    </row>
    <row r="117" spans="1:4" ht="18" hidden="1">
      <c r="A117" s="8" t="s">
        <v>130</v>
      </c>
      <c r="B117" s="6"/>
      <c r="C117" s="6"/>
      <c r="D117" s="6">
        <f t="shared" si="1"/>
        <v>0</v>
      </c>
    </row>
    <row r="118" spans="1:4" ht="18" hidden="1">
      <c r="A118" s="10" t="s">
        <v>131</v>
      </c>
      <c r="B118" s="6"/>
      <c r="C118" s="6"/>
      <c r="D118" s="6">
        <f t="shared" si="1"/>
        <v>0</v>
      </c>
    </row>
    <row r="119" spans="1:4" ht="18" hidden="1">
      <c r="A119" s="19" t="s">
        <v>132</v>
      </c>
      <c r="B119" s="6"/>
      <c r="C119" s="6"/>
      <c r="D119" s="6">
        <f t="shared" si="1"/>
        <v>0</v>
      </c>
    </row>
    <row r="120" spans="1:4" ht="18" hidden="1">
      <c r="A120" s="8" t="s">
        <v>133</v>
      </c>
      <c r="B120" s="6"/>
      <c r="C120" s="6"/>
      <c r="D120" s="6">
        <f t="shared" si="1"/>
        <v>0</v>
      </c>
    </row>
    <row r="121" spans="1:4" ht="18" hidden="1">
      <c r="A121" s="10" t="s">
        <v>135</v>
      </c>
      <c r="B121" s="6"/>
      <c r="C121" s="6"/>
      <c r="D121" s="6">
        <f t="shared" si="1"/>
        <v>0</v>
      </c>
    </row>
    <row r="122" spans="1:4" ht="18" hidden="1">
      <c r="A122" s="10" t="s">
        <v>136</v>
      </c>
      <c r="B122" s="6"/>
      <c r="C122" s="6"/>
      <c r="D122" s="6">
        <f t="shared" si="1"/>
        <v>0</v>
      </c>
    </row>
    <row r="123" spans="1:4" ht="18" hidden="1">
      <c r="A123" s="8" t="s">
        <v>137</v>
      </c>
      <c r="B123" s="6"/>
      <c r="C123" s="6"/>
      <c r="D123" s="6">
        <f t="shared" si="1"/>
        <v>0</v>
      </c>
    </row>
    <row r="124" spans="1:4" ht="18" hidden="1">
      <c r="A124" s="8" t="s">
        <v>138</v>
      </c>
      <c r="B124" s="6"/>
      <c r="C124" s="6"/>
      <c r="D124" s="6">
        <f t="shared" si="1"/>
        <v>0</v>
      </c>
    </row>
    <row r="125" spans="1:4" ht="18" hidden="1">
      <c r="A125" s="9" t="s">
        <v>139</v>
      </c>
      <c r="B125" s="6"/>
      <c r="C125" s="6"/>
      <c r="D125" s="6">
        <f t="shared" si="1"/>
        <v>0</v>
      </c>
    </row>
    <row r="126" spans="1:4" ht="18" hidden="1">
      <c r="A126" s="12" t="s">
        <v>140</v>
      </c>
      <c r="B126" s="6"/>
      <c r="C126" s="6"/>
      <c r="D126" s="6">
        <f t="shared" si="1"/>
        <v>0</v>
      </c>
    </row>
    <row r="127" spans="1:4" ht="18" hidden="1">
      <c r="A127" s="11" t="s">
        <v>141</v>
      </c>
      <c r="B127" s="14"/>
      <c r="C127" s="14"/>
      <c r="D127" s="6">
        <f t="shared" si="1"/>
        <v>0</v>
      </c>
    </row>
    <row r="128" spans="1:4" ht="18" hidden="1">
      <c r="A128" s="11" t="s">
        <v>142</v>
      </c>
      <c r="B128" s="14"/>
      <c r="C128" s="14"/>
      <c r="D128" s="6">
        <f t="shared" si="1"/>
        <v>0</v>
      </c>
    </row>
    <row r="129" spans="1:4" ht="18" hidden="1">
      <c r="A129" s="11" t="s">
        <v>143</v>
      </c>
      <c r="B129" s="14"/>
      <c r="C129" s="14"/>
      <c r="D129" s="6">
        <f t="shared" si="1"/>
        <v>0</v>
      </c>
    </row>
    <row r="130" spans="1:4" ht="18" hidden="1">
      <c r="A130" s="11" t="s">
        <v>144</v>
      </c>
      <c r="B130" s="24"/>
      <c r="C130" s="24"/>
      <c r="D130" s="6">
        <f t="shared" si="1"/>
        <v>0</v>
      </c>
    </row>
    <row r="131" spans="1:4" ht="18" hidden="1">
      <c r="A131" s="25" t="s">
        <v>145</v>
      </c>
      <c r="B131" s="6"/>
      <c r="C131" s="6"/>
      <c r="D131" s="6">
        <f t="shared" si="1"/>
        <v>0</v>
      </c>
    </row>
    <row r="132" spans="1:4" ht="18">
      <c r="A132" s="11" t="s">
        <v>146</v>
      </c>
      <c r="B132" s="14">
        <v>1</v>
      </c>
      <c r="C132" s="14">
        <v>16000</v>
      </c>
      <c r="D132" s="6">
        <f t="shared" ref="D132:D195" si="2">B132*C132</f>
        <v>16000</v>
      </c>
    </row>
    <row r="133" spans="1:4" ht="18">
      <c r="A133" s="8" t="s">
        <v>147</v>
      </c>
      <c r="B133" s="6">
        <v>20</v>
      </c>
      <c r="C133" s="6">
        <v>10000</v>
      </c>
      <c r="D133" s="6">
        <f t="shared" si="2"/>
        <v>200000</v>
      </c>
    </row>
    <row r="134" spans="1:4" ht="18" hidden="1">
      <c r="A134" s="8" t="s">
        <v>148</v>
      </c>
      <c r="B134" s="6"/>
      <c r="C134" s="6"/>
      <c r="D134" s="6">
        <f t="shared" si="2"/>
        <v>0</v>
      </c>
    </row>
    <row r="135" spans="1:4" ht="18" hidden="1">
      <c r="A135" s="8" t="s">
        <v>149</v>
      </c>
      <c r="B135" s="6"/>
      <c r="C135" s="6"/>
      <c r="D135" s="6">
        <f t="shared" si="2"/>
        <v>0</v>
      </c>
    </row>
    <row r="136" spans="1:4" ht="18" hidden="1">
      <c r="A136" s="8" t="s">
        <v>150</v>
      </c>
      <c r="B136" s="6"/>
      <c r="C136" s="6"/>
      <c r="D136" s="6">
        <f t="shared" si="2"/>
        <v>0</v>
      </c>
    </row>
    <row r="137" spans="1:4" ht="18" hidden="1">
      <c r="A137" s="15" t="s">
        <v>151</v>
      </c>
      <c r="B137" s="6"/>
      <c r="C137" s="6"/>
      <c r="D137" s="6">
        <f t="shared" si="2"/>
        <v>0</v>
      </c>
    </row>
    <row r="138" spans="1:4" ht="18" hidden="1">
      <c r="A138" s="11" t="s">
        <v>152</v>
      </c>
      <c r="B138" s="6"/>
      <c r="C138" s="6"/>
      <c r="D138" s="6">
        <f t="shared" si="2"/>
        <v>0</v>
      </c>
    </row>
    <row r="139" spans="1:4" ht="18" hidden="1">
      <c r="A139" s="11" t="s">
        <v>153</v>
      </c>
      <c r="B139" s="6"/>
      <c r="C139" s="6"/>
      <c r="D139" s="6">
        <f t="shared" si="2"/>
        <v>0</v>
      </c>
    </row>
    <row r="140" spans="1:4" ht="18" hidden="1">
      <c r="A140" s="8" t="s">
        <v>154</v>
      </c>
      <c r="B140" s="6"/>
      <c r="C140" s="6"/>
      <c r="D140" s="6">
        <f t="shared" si="2"/>
        <v>0</v>
      </c>
    </row>
    <row r="141" spans="1:4" ht="18" hidden="1">
      <c r="A141" s="8" t="s">
        <v>155</v>
      </c>
      <c r="B141" s="6"/>
      <c r="C141" s="6"/>
      <c r="D141" s="6">
        <f t="shared" si="2"/>
        <v>0</v>
      </c>
    </row>
    <row r="142" spans="1:4" ht="18" hidden="1">
      <c r="A142" s="8" t="s">
        <v>156</v>
      </c>
      <c r="B142" s="14"/>
      <c r="C142" s="14"/>
      <c r="D142" s="6">
        <f t="shared" si="2"/>
        <v>0</v>
      </c>
    </row>
    <row r="143" spans="1:4" ht="18" hidden="1">
      <c r="A143" s="8" t="s">
        <v>157</v>
      </c>
      <c r="B143" s="14"/>
      <c r="C143" s="14"/>
      <c r="D143" s="6">
        <f t="shared" si="2"/>
        <v>0</v>
      </c>
    </row>
    <row r="144" spans="1:4" ht="18" hidden="1">
      <c r="A144" s="8" t="s">
        <v>158</v>
      </c>
      <c r="B144" s="6"/>
      <c r="C144" s="6"/>
      <c r="D144" s="6">
        <f t="shared" si="2"/>
        <v>0</v>
      </c>
    </row>
    <row r="145" spans="1:4" ht="18" hidden="1">
      <c r="A145" s="8" t="s">
        <v>159</v>
      </c>
      <c r="B145" s="14"/>
      <c r="C145" s="14"/>
      <c r="D145" s="6">
        <f t="shared" si="2"/>
        <v>0</v>
      </c>
    </row>
    <row r="146" spans="1:4" ht="18" hidden="1">
      <c r="A146" s="8" t="s">
        <v>160</v>
      </c>
      <c r="B146" s="14"/>
      <c r="C146" s="14"/>
      <c r="D146" s="6">
        <f t="shared" si="2"/>
        <v>0</v>
      </c>
    </row>
    <row r="147" spans="1:4" ht="18" hidden="1">
      <c r="A147" s="8" t="s">
        <v>161</v>
      </c>
      <c r="B147" s="14"/>
      <c r="C147" s="14"/>
      <c r="D147" s="6">
        <f t="shared" si="2"/>
        <v>0</v>
      </c>
    </row>
    <row r="148" spans="1:4" ht="18" hidden="1">
      <c r="A148" s="8" t="s">
        <v>162</v>
      </c>
      <c r="B148" s="14"/>
      <c r="C148" s="14"/>
      <c r="D148" s="6">
        <f t="shared" si="2"/>
        <v>0</v>
      </c>
    </row>
    <row r="149" spans="1:4" ht="18" hidden="1">
      <c r="A149" s="8" t="s">
        <v>163</v>
      </c>
      <c r="B149" s="14"/>
      <c r="C149" s="14"/>
      <c r="D149" s="6">
        <f t="shared" si="2"/>
        <v>0</v>
      </c>
    </row>
    <row r="150" spans="1:4" ht="18" hidden="1">
      <c r="A150" s="8" t="s">
        <v>164</v>
      </c>
      <c r="B150" s="14"/>
      <c r="C150" s="14"/>
      <c r="D150" s="6">
        <f t="shared" si="2"/>
        <v>0</v>
      </c>
    </row>
    <row r="151" spans="1:4" ht="18" hidden="1">
      <c r="A151" s="8" t="s">
        <v>165</v>
      </c>
      <c r="B151" s="14"/>
      <c r="C151" s="14"/>
      <c r="D151" s="6">
        <f t="shared" si="2"/>
        <v>0</v>
      </c>
    </row>
    <row r="152" spans="1:4" ht="18" hidden="1">
      <c r="A152" s="8" t="s">
        <v>166</v>
      </c>
      <c r="B152" s="14"/>
      <c r="C152" s="14"/>
      <c r="D152" s="6">
        <f t="shared" si="2"/>
        <v>0</v>
      </c>
    </row>
    <row r="153" spans="1:4" ht="18" hidden="1">
      <c r="A153" s="8" t="s">
        <v>167</v>
      </c>
      <c r="B153" s="6"/>
      <c r="C153" s="6"/>
      <c r="D153" s="6">
        <f t="shared" si="2"/>
        <v>0</v>
      </c>
    </row>
    <row r="154" spans="1:4" ht="18" hidden="1">
      <c r="A154" s="8" t="s">
        <v>168</v>
      </c>
      <c r="B154" s="6"/>
      <c r="C154" s="6"/>
      <c r="D154" s="6">
        <f t="shared" si="2"/>
        <v>0</v>
      </c>
    </row>
    <row r="155" spans="1:4" ht="18" hidden="1">
      <c r="A155" s="8" t="s">
        <v>169</v>
      </c>
      <c r="B155" s="6"/>
      <c r="C155" s="6"/>
      <c r="D155" s="6">
        <f t="shared" si="2"/>
        <v>0</v>
      </c>
    </row>
    <row r="156" spans="1:4" ht="18" hidden="1">
      <c r="A156" s="8" t="s">
        <v>170</v>
      </c>
      <c r="B156" s="6"/>
      <c r="C156" s="6"/>
      <c r="D156" s="6">
        <f t="shared" si="2"/>
        <v>0</v>
      </c>
    </row>
    <row r="157" spans="1:4" ht="18" hidden="1">
      <c r="A157" s="15" t="s">
        <v>171</v>
      </c>
      <c r="B157" s="6"/>
      <c r="C157" s="6"/>
      <c r="D157" s="6">
        <f t="shared" si="2"/>
        <v>0</v>
      </c>
    </row>
    <row r="158" spans="1:4" ht="18" hidden="1">
      <c r="A158" s="16" t="s">
        <v>172</v>
      </c>
      <c r="B158" s="6"/>
      <c r="C158" s="6"/>
      <c r="D158" s="6">
        <f t="shared" si="2"/>
        <v>0</v>
      </c>
    </row>
    <row r="159" spans="1:4" ht="18" hidden="1">
      <c r="A159" s="8" t="s">
        <v>173</v>
      </c>
      <c r="B159" s="6"/>
      <c r="C159" s="6"/>
      <c r="D159" s="6">
        <f t="shared" si="2"/>
        <v>0</v>
      </c>
    </row>
    <row r="160" spans="1:4" ht="18" hidden="1">
      <c r="A160" s="8" t="s">
        <v>174</v>
      </c>
      <c r="B160" s="6"/>
      <c r="C160" s="6"/>
      <c r="D160" s="6">
        <f t="shared" si="2"/>
        <v>0</v>
      </c>
    </row>
    <row r="161" spans="1:4" ht="18" hidden="1">
      <c r="A161" s="8" t="s">
        <v>175</v>
      </c>
      <c r="B161" s="6"/>
      <c r="C161" s="6"/>
      <c r="D161" s="6">
        <f t="shared" si="2"/>
        <v>0</v>
      </c>
    </row>
    <row r="162" spans="1:4" ht="18" hidden="1">
      <c r="A162" s="8" t="s">
        <v>176</v>
      </c>
      <c r="B162" s="14"/>
      <c r="C162" s="14"/>
      <c r="D162" s="6">
        <f t="shared" si="2"/>
        <v>0</v>
      </c>
    </row>
    <row r="163" spans="1:4" ht="18">
      <c r="A163" s="8" t="s">
        <v>177</v>
      </c>
      <c r="B163" s="14">
        <v>0.5</v>
      </c>
      <c r="C163" s="14">
        <v>70000</v>
      </c>
      <c r="D163" s="6">
        <f t="shared" si="2"/>
        <v>35000</v>
      </c>
    </row>
    <row r="164" spans="1:4" ht="18" hidden="1">
      <c r="A164" s="8" t="s">
        <v>178</v>
      </c>
      <c r="B164" s="14"/>
      <c r="C164" s="14"/>
      <c r="D164" s="6">
        <f t="shared" si="2"/>
        <v>0</v>
      </c>
    </row>
    <row r="165" spans="1:4" ht="18" hidden="1">
      <c r="A165" s="8" t="s">
        <v>179</v>
      </c>
      <c r="B165" s="6"/>
      <c r="C165" s="6"/>
      <c r="D165" s="6">
        <f t="shared" si="2"/>
        <v>0</v>
      </c>
    </row>
    <row r="166" spans="1:4" ht="18" hidden="1">
      <c r="A166" s="8" t="s">
        <v>180</v>
      </c>
      <c r="B166" s="6"/>
      <c r="C166" s="6"/>
      <c r="D166" s="6">
        <f t="shared" si="2"/>
        <v>0</v>
      </c>
    </row>
    <row r="167" spans="1:4" ht="18" hidden="1">
      <c r="A167" s="15" t="s">
        <v>181</v>
      </c>
      <c r="B167" s="6"/>
      <c r="C167" s="6"/>
      <c r="D167" s="6">
        <f t="shared" si="2"/>
        <v>0</v>
      </c>
    </row>
    <row r="168" spans="1:4" ht="18" hidden="1">
      <c r="A168" s="11" t="s">
        <v>182</v>
      </c>
      <c r="B168" s="6"/>
      <c r="C168" s="6"/>
      <c r="D168" s="6">
        <f t="shared" si="2"/>
        <v>0</v>
      </c>
    </row>
    <row r="169" spans="1:4" ht="18">
      <c r="A169" s="8" t="s">
        <v>183</v>
      </c>
      <c r="B169" s="6">
        <f>59+270</f>
        <v>329</v>
      </c>
      <c r="C169" s="26">
        <v>7500</v>
      </c>
      <c r="D169" s="6">
        <f t="shared" si="2"/>
        <v>2467500</v>
      </c>
    </row>
    <row r="170" spans="1:4" ht="18" hidden="1">
      <c r="A170" s="27" t="s">
        <v>184</v>
      </c>
      <c r="B170" s="6"/>
      <c r="C170" s="6"/>
      <c r="D170" s="6">
        <f t="shared" si="2"/>
        <v>0</v>
      </c>
    </row>
    <row r="171" spans="1:4" ht="18">
      <c r="A171" s="8" t="s">
        <v>185</v>
      </c>
      <c r="B171" s="6">
        <v>33</v>
      </c>
      <c r="C171" s="6">
        <v>14000</v>
      </c>
      <c r="D171" s="6">
        <f t="shared" si="2"/>
        <v>462000</v>
      </c>
    </row>
    <row r="172" spans="1:4" ht="18" hidden="1">
      <c r="A172" s="8" t="s">
        <v>186</v>
      </c>
      <c r="B172" s="6"/>
      <c r="C172" s="6"/>
      <c r="D172" s="6">
        <f t="shared" si="2"/>
        <v>0</v>
      </c>
    </row>
    <row r="173" spans="1:4" ht="18" hidden="1">
      <c r="A173" s="18" t="s">
        <v>187</v>
      </c>
      <c r="B173" s="6"/>
      <c r="C173" s="6"/>
      <c r="D173" s="6">
        <f t="shared" si="2"/>
        <v>0</v>
      </c>
    </row>
    <row r="174" spans="1:4" ht="18" hidden="1">
      <c r="A174" s="8" t="s">
        <v>188</v>
      </c>
      <c r="B174" s="6"/>
      <c r="C174" s="6"/>
      <c r="D174" s="6">
        <f t="shared" si="2"/>
        <v>0</v>
      </c>
    </row>
    <row r="175" spans="1:4" ht="18">
      <c r="A175" s="28" t="s">
        <v>189</v>
      </c>
      <c r="B175" s="29">
        <v>13</v>
      </c>
      <c r="C175" s="29">
        <v>18000</v>
      </c>
      <c r="D175" s="6">
        <f t="shared" si="2"/>
        <v>234000</v>
      </c>
    </row>
    <row r="176" spans="1:4" ht="18" hidden="1">
      <c r="A176" s="10" t="s">
        <v>190</v>
      </c>
      <c r="B176" s="6"/>
      <c r="C176" s="6"/>
      <c r="D176" s="6">
        <f t="shared" si="2"/>
        <v>0</v>
      </c>
    </row>
    <row r="177" spans="1:4" ht="18">
      <c r="A177" s="8" t="s">
        <v>191</v>
      </c>
      <c r="B177" s="6">
        <v>2</v>
      </c>
      <c r="C177" s="6">
        <v>45000</v>
      </c>
      <c r="D177" s="6">
        <f t="shared" si="2"/>
        <v>90000</v>
      </c>
    </row>
    <row r="178" spans="1:4" ht="18" hidden="1">
      <c r="A178" s="8" t="s">
        <v>192</v>
      </c>
      <c r="B178" s="6"/>
      <c r="C178" s="6"/>
      <c r="D178" s="6">
        <f t="shared" si="2"/>
        <v>0</v>
      </c>
    </row>
    <row r="179" spans="1:4" ht="18" hidden="1">
      <c r="A179" s="11" t="s">
        <v>193</v>
      </c>
      <c r="B179" s="6"/>
      <c r="C179" s="6"/>
      <c r="D179" s="6">
        <f t="shared" si="2"/>
        <v>0</v>
      </c>
    </row>
    <row r="180" spans="1:4" ht="18" hidden="1">
      <c r="A180" s="8" t="s">
        <v>194</v>
      </c>
      <c r="B180" s="6"/>
      <c r="C180" s="6"/>
      <c r="D180" s="6">
        <f t="shared" si="2"/>
        <v>0</v>
      </c>
    </row>
    <row r="181" spans="1:4" ht="18" hidden="1">
      <c r="A181" s="8" t="s">
        <v>195</v>
      </c>
      <c r="B181" s="6"/>
      <c r="C181" s="6"/>
      <c r="D181" s="6">
        <f t="shared" si="2"/>
        <v>0</v>
      </c>
    </row>
    <row r="182" spans="1:4" ht="18" hidden="1">
      <c r="A182" s="11" t="s">
        <v>196</v>
      </c>
      <c r="B182" s="6"/>
      <c r="C182" s="6"/>
      <c r="D182" s="6">
        <f t="shared" si="2"/>
        <v>0</v>
      </c>
    </row>
    <row r="183" spans="1:4" ht="18" hidden="1">
      <c r="A183" s="11" t="s">
        <v>197</v>
      </c>
      <c r="B183" s="6"/>
      <c r="C183" s="6"/>
      <c r="D183" s="6">
        <f t="shared" si="2"/>
        <v>0</v>
      </c>
    </row>
    <row r="184" spans="1:4" ht="18">
      <c r="A184" s="11" t="s">
        <v>198</v>
      </c>
      <c r="B184" s="6">
        <v>120</v>
      </c>
      <c r="C184" s="6">
        <v>6800</v>
      </c>
      <c r="D184" s="6">
        <f t="shared" si="2"/>
        <v>816000</v>
      </c>
    </row>
    <row r="185" spans="1:4" ht="18" hidden="1">
      <c r="A185" s="8" t="s">
        <v>199</v>
      </c>
      <c r="B185" s="6"/>
      <c r="C185" s="6"/>
      <c r="D185" s="6">
        <f t="shared" si="2"/>
        <v>0</v>
      </c>
    </row>
    <row r="186" spans="1:4" ht="18" hidden="1">
      <c r="A186" s="11" t="s">
        <v>200</v>
      </c>
      <c r="B186" s="6"/>
      <c r="C186" s="6"/>
      <c r="D186" s="6">
        <f t="shared" si="2"/>
        <v>0</v>
      </c>
    </row>
    <row r="187" spans="1:4" ht="18">
      <c r="A187" s="11" t="s">
        <v>201</v>
      </c>
      <c r="B187" s="6">
        <v>20</v>
      </c>
      <c r="C187" s="6">
        <v>20000</v>
      </c>
      <c r="D187" s="6">
        <f t="shared" si="2"/>
        <v>400000</v>
      </c>
    </row>
    <row r="188" spans="1:4" ht="18" hidden="1">
      <c r="A188" s="11" t="s">
        <v>202</v>
      </c>
      <c r="B188" s="6"/>
      <c r="C188" s="6"/>
      <c r="D188" s="6">
        <f t="shared" si="2"/>
        <v>0</v>
      </c>
    </row>
    <row r="189" spans="1:4" ht="18" hidden="1">
      <c r="A189" s="8" t="s">
        <v>203</v>
      </c>
      <c r="B189" s="6"/>
      <c r="C189" s="6"/>
      <c r="D189" s="6">
        <f t="shared" si="2"/>
        <v>0</v>
      </c>
    </row>
    <row r="190" spans="1:4" ht="18" hidden="1">
      <c r="A190" s="15" t="s">
        <v>204</v>
      </c>
      <c r="B190" s="6"/>
      <c r="C190" s="6"/>
      <c r="D190" s="6">
        <f t="shared" si="2"/>
        <v>0</v>
      </c>
    </row>
    <row r="191" spans="1:4" ht="18" hidden="1">
      <c r="A191" s="15" t="s">
        <v>205</v>
      </c>
      <c r="B191" s="6"/>
      <c r="C191" s="6"/>
      <c r="D191" s="6">
        <f t="shared" si="2"/>
        <v>0</v>
      </c>
    </row>
    <row r="192" spans="1:4" ht="18" hidden="1">
      <c r="A192" s="15" t="s">
        <v>206</v>
      </c>
      <c r="B192" s="6"/>
      <c r="C192" s="6"/>
      <c r="D192" s="6">
        <f t="shared" si="2"/>
        <v>0</v>
      </c>
    </row>
    <row r="193" spans="1:4" ht="18" hidden="1">
      <c r="A193" s="15" t="s">
        <v>207</v>
      </c>
      <c r="B193" s="6"/>
      <c r="C193" s="6"/>
      <c r="D193" s="6">
        <f t="shared" si="2"/>
        <v>0</v>
      </c>
    </row>
    <row r="194" spans="1:4" ht="18" hidden="1">
      <c r="A194" s="11" t="s">
        <v>208</v>
      </c>
      <c r="B194" s="6"/>
      <c r="C194" s="6"/>
      <c r="D194" s="6">
        <f t="shared" si="2"/>
        <v>0</v>
      </c>
    </row>
    <row r="195" spans="1:4" ht="18" hidden="1">
      <c r="A195" s="8" t="s">
        <v>209</v>
      </c>
      <c r="B195" s="6"/>
      <c r="C195" s="6"/>
      <c r="D195" s="6">
        <f t="shared" si="2"/>
        <v>0</v>
      </c>
    </row>
    <row r="196" spans="1:4" ht="18" hidden="1">
      <c r="A196" s="30" t="s">
        <v>210</v>
      </c>
      <c r="B196" s="6"/>
      <c r="C196" s="6"/>
      <c r="D196" s="6">
        <f t="shared" ref="D196:D259" si="3">B196*C196</f>
        <v>0</v>
      </c>
    </row>
    <row r="197" spans="1:4" ht="18" hidden="1">
      <c r="A197" s="30" t="s">
        <v>211</v>
      </c>
      <c r="B197" s="6"/>
      <c r="C197" s="6"/>
      <c r="D197" s="6">
        <f t="shared" si="3"/>
        <v>0</v>
      </c>
    </row>
    <row r="198" spans="1:4" ht="18" hidden="1">
      <c r="A198" s="30" t="s">
        <v>212</v>
      </c>
      <c r="B198" s="6"/>
      <c r="C198" s="6"/>
      <c r="D198" s="6">
        <f t="shared" si="3"/>
        <v>0</v>
      </c>
    </row>
    <row r="199" spans="1:4" ht="18" hidden="1">
      <c r="A199" s="30" t="s">
        <v>213</v>
      </c>
      <c r="B199" s="6"/>
      <c r="C199" s="6"/>
      <c r="D199" s="6">
        <f t="shared" si="3"/>
        <v>0</v>
      </c>
    </row>
    <row r="200" spans="1:4" ht="18" hidden="1">
      <c r="A200" s="8" t="s">
        <v>214</v>
      </c>
      <c r="B200" s="6"/>
      <c r="C200" s="6"/>
      <c r="D200" s="6">
        <f t="shared" si="3"/>
        <v>0</v>
      </c>
    </row>
    <row r="201" spans="1:4" ht="18" hidden="1">
      <c r="A201" s="31" t="s">
        <v>384</v>
      </c>
      <c r="B201" s="6"/>
      <c r="C201" s="6"/>
      <c r="D201" s="6">
        <f t="shared" si="3"/>
        <v>0</v>
      </c>
    </row>
    <row r="202" spans="1:4" ht="18">
      <c r="A202" s="8" t="s">
        <v>216</v>
      </c>
      <c r="B202" s="6">
        <f>320+110</f>
        <v>430</v>
      </c>
      <c r="C202" s="6">
        <v>19000</v>
      </c>
      <c r="D202" s="6">
        <f t="shared" si="3"/>
        <v>8170000</v>
      </c>
    </row>
    <row r="203" spans="1:4" ht="18">
      <c r="A203" s="11" t="s">
        <v>217</v>
      </c>
      <c r="B203" s="6">
        <f>210+170</f>
        <v>380</v>
      </c>
      <c r="C203" s="6">
        <v>19000</v>
      </c>
      <c r="D203" s="6">
        <f t="shared" si="3"/>
        <v>7220000</v>
      </c>
    </row>
    <row r="204" spans="1:4" ht="18" hidden="1">
      <c r="A204" s="8" t="s">
        <v>218</v>
      </c>
      <c r="B204" s="6"/>
      <c r="C204" s="6"/>
      <c r="D204" s="6">
        <f t="shared" si="3"/>
        <v>0</v>
      </c>
    </row>
    <row r="205" spans="1:4" ht="18">
      <c r="A205" s="8" t="s">
        <v>219</v>
      </c>
      <c r="B205" s="6">
        <v>150</v>
      </c>
      <c r="C205" s="6">
        <v>14000</v>
      </c>
      <c r="D205" s="6">
        <f t="shared" si="3"/>
        <v>2100000</v>
      </c>
    </row>
    <row r="206" spans="1:4" ht="18" hidden="1">
      <c r="A206" s="32" t="s">
        <v>220</v>
      </c>
      <c r="B206" s="6"/>
      <c r="C206" s="6"/>
      <c r="D206" s="6">
        <f t="shared" si="3"/>
        <v>0</v>
      </c>
    </row>
    <row r="207" spans="1:4" ht="18" hidden="1">
      <c r="A207" s="32" t="s">
        <v>221</v>
      </c>
      <c r="B207" s="6"/>
      <c r="C207" s="6"/>
      <c r="D207" s="6">
        <f t="shared" si="3"/>
        <v>0</v>
      </c>
    </row>
    <row r="208" spans="1:4" ht="18" hidden="1">
      <c r="A208" s="8" t="s">
        <v>222</v>
      </c>
      <c r="B208" s="6"/>
      <c r="C208" s="6"/>
      <c r="D208" s="6">
        <f t="shared" si="3"/>
        <v>0</v>
      </c>
    </row>
    <row r="209" spans="1:4" ht="18">
      <c r="A209" s="10" t="s">
        <v>223</v>
      </c>
      <c r="B209" s="6">
        <v>5</v>
      </c>
      <c r="C209" s="6">
        <v>35000</v>
      </c>
      <c r="D209" s="6">
        <f t="shared" si="3"/>
        <v>175000</v>
      </c>
    </row>
    <row r="210" spans="1:4" ht="18" hidden="1">
      <c r="A210" s="8" t="s">
        <v>224</v>
      </c>
      <c r="B210" s="6"/>
      <c r="C210" s="6"/>
      <c r="D210" s="6">
        <f t="shared" si="3"/>
        <v>0</v>
      </c>
    </row>
    <row r="211" spans="1:4" ht="18">
      <c r="A211" s="8" t="s">
        <v>225</v>
      </c>
      <c r="B211" s="6">
        <v>5</v>
      </c>
      <c r="C211" s="6">
        <v>12000</v>
      </c>
      <c r="D211" s="6">
        <f t="shared" si="3"/>
        <v>60000</v>
      </c>
    </row>
    <row r="212" spans="1:4" ht="18" hidden="1">
      <c r="A212" s="8" t="s">
        <v>226</v>
      </c>
      <c r="B212" s="6"/>
      <c r="C212" s="6"/>
      <c r="D212" s="6">
        <f t="shared" si="3"/>
        <v>0</v>
      </c>
    </row>
    <row r="213" spans="1:4" ht="18" hidden="1">
      <c r="A213" s="8" t="s">
        <v>227</v>
      </c>
      <c r="B213" s="6"/>
      <c r="C213" s="6"/>
      <c r="D213" s="6">
        <f t="shared" si="3"/>
        <v>0</v>
      </c>
    </row>
    <row r="214" spans="1:4" ht="18" hidden="1">
      <c r="A214" s="33" t="s">
        <v>228</v>
      </c>
      <c r="B214" s="6"/>
      <c r="C214" s="6"/>
      <c r="D214" s="6">
        <f t="shared" si="3"/>
        <v>0</v>
      </c>
    </row>
    <row r="215" spans="1:4" ht="18" hidden="1">
      <c r="A215" s="8" t="s">
        <v>229</v>
      </c>
      <c r="B215" s="6"/>
      <c r="C215" s="6"/>
      <c r="D215" s="6">
        <f t="shared" si="3"/>
        <v>0</v>
      </c>
    </row>
    <row r="216" spans="1:4" ht="18">
      <c r="A216" s="8" t="s">
        <v>230</v>
      </c>
      <c r="B216" s="6">
        <v>150</v>
      </c>
      <c r="C216" s="6">
        <v>16000</v>
      </c>
      <c r="D216" s="6">
        <f t="shared" si="3"/>
        <v>2400000</v>
      </c>
    </row>
    <row r="217" spans="1:4" ht="18" hidden="1">
      <c r="A217" s="8" t="s">
        <v>231</v>
      </c>
      <c r="B217" s="6"/>
      <c r="C217" s="6"/>
      <c r="D217" s="6">
        <f t="shared" si="3"/>
        <v>0</v>
      </c>
    </row>
    <row r="218" spans="1:4" ht="18" hidden="1">
      <c r="A218" s="8" t="s">
        <v>232</v>
      </c>
      <c r="B218" s="6"/>
      <c r="C218" s="6"/>
      <c r="D218" s="6">
        <f t="shared" si="3"/>
        <v>0</v>
      </c>
    </row>
    <row r="219" spans="1:4" ht="18" hidden="1">
      <c r="A219" s="15" t="s">
        <v>233</v>
      </c>
      <c r="B219" s="6"/>
      <c r="C219" s="6"/>
      <c r="D219" s="6">
        <f t="shared" si="3"/>
        <v>0</v>
      </c>
    </row>
    <row r="220" spans="1:4" ht="18" hidden="1">
      <c r="A220" s="15" t="s">
        <v>234</v>
      </c>
      <c r="B220" s="6"/>
      <c r="C220" s="6"/>
      <c r="D220" s="6">
        <f t="shared" si="3"/>
        <v>0</v>
      </c>
    </row>
    <row r="221" spans="1:4" ht="18">
      <c r="A221" s="15" t="s">
        <v>235</v>
      </c>
      <c r="B221" s="6">
        <v>0.5</v>
      </c>
      <c r="C221" s="6">
        <v>45000</v>
      </c>
      <c r="D221" s="6">
        <f t="shared" si="3"/>
        <v>22500</v>
      </c>
    </row>
    <row r="222" spans="1:4" ht="18" hidden="1">
      <c r="A222" s="15" t="s">
        <v>236</v>
      </c>
      <c r="B222" s="6"/>
      <c r="C222" s="6"/>
      <c r="D222" s="6">
        <f t="shared" si="3"/>
        <v>0</v>
      </c>
    </row>
    <row r="223" spans="1:4" ht="18" hidden="1">
      <c r="A223" s="8" t="s">
        <v>237</v>
      </c>
      <c r="B223" s="6"/>
      <c r="C223" s="6"/>
      <c r="D223" s="6">
        <f t="shared" si="3"/>
        <v>0</v>
      </c>
    </row>
    <row r="224" spans="1:4" ht="18" hidden="1">
      <c r="A224" s="8" t="s">
        <v>238</v>
      </c>
      <c r="B224" s="6"/>
      <c r="C224" s="6"/>
      <c r="D224" s="6">
        <f t="shared" si="3"/>
        <v>0</v>
      </c>
    </row>
    <row r="225" spans="1:4" ht="18" hidden="1">
      <c r="A225" s="15" t="s">
        <v>239</v>
      </c>
      <c r="B225" s="6"/>
      <c r="C225" s="6"/>
      <c r="D225" s="6">
        <f t="shared" si="3"/>
        <v>0</v>
      </c>
    </row>
    <row r="226" spans="1:4" ht="18" hidden="1">
      <c r="A226" s="15" t="s">
        <v>240</v>
      </c>
      <c r="B226" s="6"/>
      <c r="C226" s="6"/>
      <c r="D226" s="6">
        <f t="shared" si="3"/>
        <v>0</v>
      </c>
    </row>
    <row r="227" spans="1:4" ht="18" hidden="1">
      <c r="A227" s="10" t="s">
        <v>241</v>
      </c>
      <c r="B227" s="6"/>
      <c r="C227" s="6"/>
      <c r="D227" s="6">
        <f t="shared" si="3"/>
        <v>0</v>
      </c>
    </row>
    <row r="228" spans="1:4" ht="18" hidden="1">
      <c r="A228" s="11" t="s">
        <v>242</v>
      </c>
      <c r="B228" s="6"/>
      <c r="C228" s="6"/>
      <c r="D228" s="6">
        <f t="shared" si="3"/>
        <v>0</v>
      </c>
    </row>
    <row r="229" spans="1:4" ht="18" hidden="1">
      <c r="A229" s="10" t="s">
        <v>243</v>
      </c>
      <c r="B229" s="6"/>
      <c r="C229" s="6"/>
      <c r="D229" s="6">
        <f t="shared" si="3"/>
        <v>0</v>
      </c>
    </row>
    <row r="230" spans="1:4" ht="18" hidden="1">
      <c r="A230" s="15" t="s">
        <v>244</v>
      </c>
      <c r="B230" s="6"/>
      <c r="C230" s="6"/>
      <c r="D230" s="6">
        <f t="shared" si="3"/>
        <v>0</v>
      </c>
    </row>
    <row r="231" spans="1:4" ht="18" hidden="1">
      <c r="A231" s="10" t="s">
        <v>245</v>
      </c>
      <c r="B231" s="6"/>
      <c r="C231" s="6"/>
      <c r="D231" s="6">
        <f t="shared" si="3"/>
        <v>0</v>
      </c>
    </row>
    <row r="232" spans="1:4" ht="18" hidden="1">
      <c r="A232" s="10" t="s">
        <v>246</v>
      </c>
      <c r="B232" s="6"/>
      <c r="C232" s="6"/>
      <c r="D232" s="6">
        <f t="shared" si="3"/>
        <v>0</v>
      </c>
    </row>
    <row r="233" spans="1:4" ht="18" hidden="1">
      <c r="A233" s="10" t="s">
        <v>247</v>
      </c>
      <c r="B233" s="6"/>
      <c r="C233" s="6"/>
      <c r="D233" s="6">
        <f t="shared" si="3"/>
        <v>0</v>
      </c>
    </row>
    <row r="234" spans="1:4" ht="18" hidden="1">
      <c r="A234" s="8" t="s">
        <v>248</v>
      </c>
      <c r="B234" s="6"/>
      <c r="C234" s="6"/>
      <c r="D234" s="6">
        <f t="shared" si="3"/>
        <v>0</v>
      </c>
    </row>
    <row r="235" spans="1:4" ht="18" hidden="1">
      <c r="A235" s="8" t="s">
        <v>249</v>
      </c>
      <c r="B235" s="6"/>
      <c r="C235" s="6"/>
      <c r="D235" s="6">
        <f t="shared" si="3"/>
        <v>0</v>
      </c>
    </row>
    <row r="236" spans="1:4" ht="18" hidden="1">
      <c r="A236" s="10" t="s">
        <v>250</v>
      </c>
      <c r="B236" s="6"/>
      <c r="C236" s="6"/>
      <c r="D236" s="6">
        <f t="shared" si="3"/>
        <v>0</v>
      </c>
    </row>
    <row r="237" spans="1:4" ht="18" hidden="1">
      <c r="A237" s="32" t="s">
        <v>251</v>
      </c>
      <c r="B237" s="6"/>
      <c r="C237" s="6"/>
      <c r="D237" s="6">
        <f t="shared" si="3"/>
        <v>0</v>
      </c>
    </row>
    <row r="238" spans="1:4" ht="18" hidden="1">
      <c r="A238" s="8" t="s">
        <v>252</v>
      </c>
      <c r="B238" s="6"/>
      <c r="C238" s="6"/>
      <c r="D238" s="6">
        <f t="shared" si="3"/>
        <v>0</v>
      </c>
    </row>
    <row r="239" spans="1:4" ht="18" hidden="1">
      <c r="A239" s="8" t="s">
        <v>253</v>
      </c>
      <c r="B239" s="6"/>
      <c r="C239" s="6"/>
      <c r="D239" s="6">
        <f t="shared" si="3"/>
        <v>0</v>
      </c>
    </row>
    <row r="240" spans="1:4" ht="18" hidden="1">
      <c r="A240" s="12" t="s">
        <v>254</v>
      </c>
      <c r="B240" s="6"/>
      <c r="C240" s="6"/>
      <c r="D240" s="6">
        <f t="shared" si="3"/>
        <v>0</v>
      </c>
    </row>
    <row r="241" spans="1:4" ht="18" hidden="1">
      <c r="A241" s="12" t="s">
        <v>255</v>
      </c>
      <c r="B241" s="6"/>
      <c r="C241" s="6"/>
      <c r="D241" s="6">
        <f t="shared" si="3"/>
        <v>0</v>
      </c>
    </row>
    <row r="242" spans="1:4" ht="18" hidden="1">
      <c r="A242" s="30" t="s">
        <v>256</v>
      </c>
      <c r="B242" s="6"/>
      <c r="C242" s="6"/>
      <c r="D242" s="6">
        <f t="shared" si="3"/>
        <v>0</v>
      </c>
    </row>
    <row r="243" spans="1:4" ht="18" hidden="1">
      <c r="A243" s="8" t="s">
        <v>257</v>
      </c>
      <c r="B243" s="6"/>
      <c r="C243" s="6"/>
      <c r="D243" s="6">
        <f t="shared" si="3"/>
        <v>0</v>
      </c>
    </row>
    <row r="244" spans="1:4" ht="18" hidden="1">
      <c r="A244" s="8" t="s">
        <v>258</v>
      </c>
      <c r="B244" s="6"/>
      <c r="C244" s="6"/>
      <c r="D244" s="6">
        <f t="shared" si="3"/>
        <v>0</v>
      </c>
    </row>
    <row r="245" spans="1:4" ht="18" hidden="1">
      <c r="A245" s="8" t="s">
        <v>259</v>
      </c>
      <c r="B245" s="14"/>
      <c r="C245" s="14"/>
      <c r="D245" s="6">
        <f t="shared" si="3"/>
        <v>0</v>
      </c>
    </row>
    <row r="246" spans="1:4" ht="18" hidden="1">
      <c r="A246" s="30" t="s">
        <v>260</v>
      </c>
      <c r="B246" s="6"/>
      <c r="C246" s="6"/>
      <c r="D246" s="6">
        <f t="shared" si="3"/>
        <v>0</v>
      </c>
    </row>
    <row r="247" spans="1:4" ht="18" hidden="1">
      <c r="A247" s="8" t="s">
        <v>261</v>
      </c>
      <c r="B247" s="14"/>
      <c r="C247" s="14"/>
      <c r="D247" s="6">
        <f t="shared" si="3"/>
        <v>0</v>
      </c>
    </row>
    <row r="248" spans="1:4" ht="18">
      <c r="A248" s="8" t="s">
        <v>262</v>
      </c>
      <c r="B248" s="6">
        <v>3</v>
      </c>
      <c r="C248" s="6">
        <v>14000</v>
      </c>
      <c r="D248" s="6">
        <f t="shared" si="3"/>
        <v>42000</v>
      </c>
    </row>
    <row r="249" spans="1:4" ht="18" hidden="1">
      <c r="A249" s="10" t="s">
        <v>263</v>
      </c>
      <c r="B249" s="6"/>
      <c r="C249" s="6"/>
      <c r="D249" s="6">
        <f t="shared" si="3"/>
        <v>0</v>
      </c>
    </row>
    <row r="250" spans="1:4" ht="18" hidden="1">
      <c r="A250" s="10" t="s">
        <v>264</v>
      </c>
      <c r="B250" s="6"/>
      <c r="C250" s="6"/>
      <c r="D250" s="6">
        <f t="shared" si="3"/>
        <v>0</v>
      </c>
    </row>
    <row r="251" spans="1:4" ht="18">
      <c r="A251" s="8" t="s">
        <v>265</v>
      </c>
      <c r="B251" s="6">
        <v>160</v>
      </c>
      <c r="C251" s="6">
        <v>21000</v>
      </c>
      <c r="D251" s="6">
        <f t="shared" si="3"/>
        <v>3360000</v>
      </c>
    </row>
    <row r="252" spans="1:4" ht="18" hidden="1">
      <c r="A252" s="8" t="s">
        <v>266</v>
      </c>
      <c r="B252" s="6"/>
      <c r="C252" s="6"/>
      <c r="D252" s="6">
        <f t="shared" si="3"/>
        <v>0</v>
      </c>
    </row>
    <row r="253" spans="1:4" ht="18" hidden="1">
      <c r="A253" s="8" t="s">
        <v>267</v>
      </c>
      <c r="B253" s="6"/>
      <c r="C253" s="6"/>
      <c r="D253" s="6">
        <f t="shared" si="3"/>
        <v>0</v>
      </c>
    </row>
    <row r="254" spans="1:4" ht="18">
      <c r="A254" s="8" t="s">
        <v>268</v>
      </c>
      <c r="B254" s="6">
        <v>15</v>
      </c>
      <c r="C254" s="6">
        <v>8000</v>
      </c>
      <c r="D254" s="6">
        <f t="shared" si="3"/>
        <v>120000</v>
      </c>
    </row>
    <row r="255" spans="1:4" ht="18" hidden="1">
      <c r="A255" s="8" t="s">
        <v>269</v>
      </c>
      <c r="B255" s="6"/>
      <c r="C255" s="6"/>
      <c r="D255" s="6">
        <f t="shared" si="3"/>
        <v>0</v>
      </c>
    </row>
    <row r="256" spans="1:4" ht="18" hidden="1">
      <c r="A256" s="15" t="s">
        <v>270</v>
      </c>
      <c r="B256" s="6"/>
      <c r="C256" s="6"/>
      <c r="D256" s="6">
        <f t="shared" si="3"/>
        <v>0</v>
      </c>
    </row>
    <row r="257" spans="1:4" ht="18" hidden="1">
      <c r="A257" s="19" t="s">
        <v>271</v>
      </c>
      <c r="B257" s="6"/>
      <c r="C257" s="6"/>
      <c r="D257" s="6">
        <f t="shared" si="3"/>
        <v>0</v>
      </c>
    </row>
    <row r="258" spans="1:4" ht="18" hidden="1">
      <c r="A258" s="19" t="s">
        <v>272</v>
      </c>
      <c r="B258" s="6"/>
      <c r="C258" s="6"/>
      <c r="D258" s="6">
        <f t="shared" si="3"/>
        <v>0</v>
      </c>
    </row>
    <row r="259" spans="1:4" ht="18">
      <c r="A259" s="8" t="s">
        <v>273</v>
      </c>
      <c r="B259" s="6">
        <v>165</v>
      </c>
      <c r="C259" s="6">
        <v>27000</v>
      </c>
      <c r="D259" s="6">
        <f t="shared" si="3"/>
        <v>4455000</v>
      </c>
    </row>
    <row r="260" spans="1:4" ht="18" hidden="1">
      <c r="A260" s="8" t="s">
        <v>274</v>
      </c>
      <c r="B260" s="6"/>
      <c r="C260" s="6"/>
      <c r="D260" s="6">
        <f t="shared" ref="D260:D323" si="4">B260*C260</f>
        <v>0</v>
      </c>
    </row>
    <row r="261" spans="1:4" ht="18" hidden="1">
      <c r="A261" s="8" t="s">
        <v>275</v>
      </c>
      <c r="B261" s="6"/>
      <c r="C261" s="6"/>
      <c r="D261" s="6">
        <f t="shared" si="4"/>
        <v>0</v>
      </c>
    </row>
    <row r="262" spans="1:4" ht="18" hidden="1">
      <c r="A262" s="8" t="s">
        <v>276</v>
      </c>
      <c r="B262" s="6"/>
      <c r="C262" s="6"/>
      <c r="D262" s="6">
        <f t="shared" si="4"/>
        <v>0</v>
      </c>
    </row>
    <row r="263" spans="1:4" ht="18">
      <c r="A263" s="8" t="s">
        <v>277</v>
      </c>
      <c r="B263" s="6">
        <v>95</v>
      </c>
      <c r="C263" s="6">
        <v>18000</v>
      </c>
      <c r="D263" s="6">
        <f t="shared" si="4"/>
        <v>1710000</v>
      </c>
    </row>
    <row r="264" spans="1:4" ht="18" hidden="1">
      <c r="A264" s="8" t="s">
        <v>278</v>
      </c>
      <c r="B264" s="6"/>
      <c r="C264" s="6"/>
      <c r="D264" s="6">
        <f t="shared" si="4"/>
        <v>0</v>
      </c>
    </row>
    <row r="265" spans="1:4" ht="18" hidden="1">
      <c r="A265" s="8" t="s">
        <v>279</v>
      </c>
      <c r="B265" s="6"/>
      <c r="C265" s="6"/>
      <c r="D265" s="6">
        <f t="shared" si="4"/>
        <v>0</v>
      </c>
    </row>
    <row r="266" spans="1:4" ht="18" hidden="1">
      <c r="A266" s="8" t="s">
        <v>280</v>
      </c>
      <c r="B266" s="14"/>
      <c r="C266" s="14"/>
      <c r="D266" s="6">
        <f t="shared" si="4"/>
        <v>0</v>
      </c>
    </row>
    <row r="267" spans="1:4" ht="18" hidden="1">
      <c r="A267" s="12" t="s">
        <v>281</v>
      </c>
      <c r="B267" s="6"/>
      <c r="C267" s="6"/>
      <c r="D267" s="6">
        <f t="shared" si="4"/>
        <v>0</v>
      </c>
    </row>
    <row r="268" spans="1:4" ht="18" hidden="1">
      <c r="A268" s="8" t="s">
        <v>282</v>
      </c>
      <c r="B268" s="6"/>
      <c r="C268" s="6"/>
      <c r="D268" s="6">
        <f t="shared" si="4"/>
        <v>0</v>
      </c>
    </row>
    <row r="269" spans="1:4" ht="18" hidden="1">
      <c r="A269" s="10" t="s">
        <v>283</v>
      </c>
      <c r="B269" s="6"/>
      <c r="C269" s="6"/>
      <c r="D269" s="6">
        <f t="shared" si="4"/>
        <v>0</v>
      </c>
    </row>
    <row r="270" spans="1:4" ht="18" hidden="1">
      <c r="A270" s="8" t="s">
        <v>284</v>
      </c>
      <c r="B270" s="6"/>
      <c r="C270" s="6"/>
      <c r="D270" s="6">
        <f t="shared" si="4"/>
        <v>0</v>
      </c>
    </row>
    <row r="271" spans="1:4" ht="18" hidden="1">
      <c r="A271" s="8" t="s">
        <v>285</v>
      </c>
      <c r="B271" s="6"/>
      <c r="C271" s="6"/>
      <c r="D271" s="6">
        <f t="shared" si="4"/>
        <v>0</v>
      </c>
    </row>
    <row r="272" spans="1:4" ht="18" hidden="1">
      <c r="A272" s="8" t="s">
        <v>286</v>
      </c>
      <c r="B272" s="6"/>
      <c r="C272" s="6"/>
      <c r="D272" s="6">
        <f t="shared" si="4"/>
        <v>0</v>
      </c>
    </row>
    <row r="273" spans="1:4" ht="18" hidden="1">
      <c r="A273" s="8" t="s">
        <v>287</v>
      </c>
      <c r="B273" s="6"/>
      <c r="C273" s="6"/>
      <c r="D273" s="6">
        <f t="shared" si="4"/>
        <v>0</v>
      </c>
    </row>
    <row r="274" spans="1:4" ht="18">
      <c r="A274" s="8" t="s">
        <v>288</v>
      </c>
      <c r="B274" s="6">
        <v>6</v>
      </c>
      <c r="C274" s="6">
        <v>14000</v>
      </c>
      <c r="D274" s="6">
        <f t="shared" si="4"/>
        <v>84000</v>
      </c>
    </row>
    <row r="275" spans="1:4" ht="18" hidden="1">
      <c r="A275" s="8" t="s">
        <v>289</v>
      </c>
      <c r="B275" s="6"/>
      <c r="C275" s="6"/>
      <c r="D275" s="6">
        <f t="shared" si="4"/>
        <v>0</v>
      </c>
    </row>
    <row r="276" spans="1:4" ht="18" hidden="1">
      <c r="A276" s="8" t="s">
        <v>290</v>
      </c>
      <c r="B276" s="6"/>
      <c r="C276" s="6"/>
      <c r="D276" s="6">
        <f t="shared" si="4"/>
        <v>0</v>
      </c>
    </row>
    <row r="277" spans="1:4" ht="18" hidden="1">
      <c r="A277" s="30" t="s">
        <v>291</v>
      </c>
      <c r="B277" s="6"/>
      <c r="C277" s="6"/>
      <c r="D277" s="6">
        <f t="shared" si="4"/>
        <v>0</v>
      </c>
    </row>
    <row r="278" spans="1:4" ht="18" hidden="1">
      <c r="A278" s="8" t="s">
        <v>292</v>
      </c>
      <c r="B278" s="6"/>
      <c r="C278" s="6"/>
      <c r="D278" s="6">
        <f t="shared" si="4"/>
        <v>0</v>
      </c>
    </row>
    <row r="279" spans="1:4" ht="18" hidden="1">
      <c r="A279" s="30" t="s">
        <v>293</v>
      </c>
      <c r="B279" s="6"/>
      <c r="C279" s="6"/>
      <c r="D279" s="6">
        <f t="shared" si="4"/>
        <v>0</v>
      </c>
    </row>
    <row r="280" spans="1:4" ht="18" hidden="1">
      <c r="A280" s="30" t="s">
        <v>294</v>
      </c>
      <c r="B280" s="6"/>
      <c r="C280" s="6"/>
      <c r="D280" s="6">
        <f t="shared" si="4"/>
        <v>0</v>
      </c>
    </row>
    <row r="281" spans="1:4" ht="18" hidden="1">
      <c r="A281" s="11" t="s">
        <v>295</v>
      </c>
      <c r="B281" s="14"/>
      <c r="C281" s="14"/>
      <c r="D281" s="6">
        <f t="shared" si="4"/>
        <v>0</v>
      </c>
    </row>
    <row r="282" spans="1:4" ht="18" hidden="1">
      <c r="A282" s="11" t="s">
        <v>296</v>
      </c>
      <c r="B282" s="6"/>
      <c r="C282" s="6"/>
      <c r="D282" s="6">
        <f t="shared" si="4"/>
        <v>0</v>
      </c>
    </row>
    <row r="283" spans="1:4" ht="18" hidden="1">
      <c r="A283" s="10" t="s">
        <v>297</v>
      </c>
      <c r="B283" s="6"/>
      <c r="C283" s="6"/>
      <c r="D283" s="6">
        <f t="shared" si="4"/>
        <v>0</v>
      </c>
    </row>
    <row r="284" spans="1:4" ht="18" hidden="1">
      <c r="A284" s="10" t="s">
        <v>298</v>
      </c>
      <c r="B284" s="6"/>
      <c r="C284" s="6"/>
      <c r="D284" s="6">
        <f t="shared" si="4"/>
        <v>0</v>
      </c>
    </row>
    <row r="285" spans="1:4" ht="18" hidden="1">
      <c r="A285" s="15" t="s">
        <v>299</v>
      </c>
      <c r="B285" s="6"/>
      <c r="C285" s="6"/>
      <c r="D285" s="6">
        <f t="shared" si="4"/>
        <v>0</v>
      </c>
    </row>
    <row r="286" spans="1:4" ht="18" hidden="1">
      <c r="A286" s="15" t="s">
        <v>300</v>
      </c>
      <c r="B286" s="6"/>
      <c r="C286" s="6"/>
      <c r="D286" s="6">
        <f t="shared" si="4"/>
        <v>0</v>
      </c>
    </row>
    <row r="287" spans="1:4" ht="18" hidden="1">
      <c r="A287" s="15" t="s">
        <v>301</v>
      </c>
      <c r="B287" s="6"/>
      <c r="C287" s="6"/>
      <c r="D287" s="6">
        <f t="shared" si="4"/>
        <v>0</v>
      </c>
    </row>
    <row r="288" spans="1:4" ht="18">
      <c r="A288" s="8" t="s">
        <v>302</v>
      </c>
      <c r="B288" s="6">
        <v>45</v>
      </c>
      <c r="C288" s="6">
        <v>10000</v>
      </c>
      <c r="D288" s="6">
        <f t="shared" si="4"/>
        <v>450000</v>
      </c>
    </row>
    <row r="289" spans="1:4" ht="18" hidden="1">
      <c r="A289" s="15" t="s">
        <v>303</v>
      </c>
      <c r="B289" s="6"/>
      <c r="C289" s="6"/>
      <c r="D289" s="6">
        <f t="shared" si="4"/>
        <v>0</v>
      </c>
    </row>
    <row r="290" spans="1:4" ht="18" hidden="1">
      <c r="A290" s="8" t="s">
        <v>304</v>
      </c>
      <c r="B290" s="6"/>
      <c r="C290" s="6"/>
      <c r="D290" s="6">
        <f t="shared" si="4"/>
        <v>0</v>
      </c>
    </row>
    <row r="291" spans="1:4" ht="18">
      <c r="A291" s="8" t="s">
        <v>305</v>
      </c>
      <c r="B291" s="6">
        <v>30</v>
      </c>
      <c r="C291" s="6">
        <v>7000</v>
      </c>
      <c r="D291" s="6">
        <f t="shared" si="4"/>
        <v>210000</v>
      </c>
    </row>
    <row r="292" spans="1:4" ht="18" hidden="1">
      <c r="A292" s="15" t="s">
        <v>306</v>
      </c>
      <c r="B292" s="6"/>
      <c r="C292" s="6"/>
      <c r="D292" s="6">
        <f t="shared" si="4"/>
        <v>0</v>
      </c>
    </row>
    <row r="293" spans="1:4" ht="18" hidden="1">
      <c r="A293" s="23" t="s">
        <v>307</v>
      </c>
      <c r="B293" s="6"/>
      <c r="C293" s="6"/>
      <c r="D293" s="6">
        <f t="shared" si="4"/>
        <v>0</v>
      </c>
    </row>
    <row r="294" spans="1:4" ht="18">
      <c r="A294" s="8" t="s">
        <v>308</v>
      </c>
      <c r="B294" s="6">
        <v>20</v>
      </c>
      <c r="C294" s="6">
        <v>10000</v>
      </c>
      <c r="D294" s="6">
        <f t="shared" si="4"/>
        <v>200000</v>
      </c>
    </row>
    <row r="295" spans="1:4" ht="18" hidden="1">
      <c r="A295" s="12" t="s">
        <v>309</v>
      </c>
      <c r="B295" s="6"/>
      <c r="C295" s="6"/>
      <c r="D295" s="6">
        <f t="shared" si="4"/>
        <v>0</v>
      </c>
    </row>
    <row r="296" spans="1:4" ht="18" hidden="1">
      <c r="A296" s="12" t="s">
        <v>310</v>
      </c>
      <c r="B296" s="6"/>
      <c r="C296" s="6"/>
      <c r="D296" s="6">
        <f t="shared" si="4"/>
        <v>0</v>
      </c>
    </row>
    <row r="297" spans="1:4" ht="18" hidden="1">
      <c r="A297" s="11" t="s">
        <v>311</v>
      </c>
      <c r="B297" s="6"/>
      <c r="C297" s="6"/>
      <c r="D297" s="6">
        <f t="shared" si="4"/>
        <v>0</v>
      </c>
    </row>
    <row r="298" spans="1:4" ht="18" hidden="1">
      <c r="A298" s="15" t="s">
        <v>312</v>
      </c>
      <c r="B298" s="6"/>
      <c r="C298" s="6"/>
      <c r="D298" s="6">
        <f t="shared" si="4"/>
        <v>0</v>
      </c>
    </row>
    <row r="299" spans="1:4" ht="18" hidden="1">
      <c r="A299" s="12" t="s">
        <v>313</v>
      </c>
      <c r="B299" s="6"/>
      <c r="C299" s="6"/>
      <c r="D299" s="6">
        <f t="shared" si="4"/>
        <v>0</v>
      </c>
    </row>
    <row r="300" spans="1:4" ht="18" hidden="1">
      <c r="A300" s="8" t="s">
        <v>314</v>
      </c>
      <c r="B300" s="6"/>
      <c r="C300" s="6"/>
      <c r="D300" s="6">
        <f t="shared" si="4"/>
        <v>0</v>
      </c>
    </row>
    <row r="301" spans="1:4" ht="18" hidden="1">
      <c r="A301" s="15" t="s">
        <v>315</v>
      </c>
      <c r="B301" s="6"/>
      <c r="C301" s="6"/>
      <c r="D301" s="6">
        <f t="shared" si="4"/>
        <v>0</v>
      </c>
    </row>
    <row r="302" spans="1:4" ht="18" hidden="1">
      <c r="A302" s="8" t="s">
        <v>316</v>
      </c>
      <c r="B302" s="6"/>
      <c r="C302" s="6"/>
      <c r="D302" s="6">
        <f t="shared" si="4"/>
        <v>0</v>
      </c>
    </row>
    <row r="303" spans="1:4" ht="18" hidden="1">
      <c r="A303" s="8" t="s">
        <v>317</v>
      </c>
      <c r="B303" s="6"/>
      <c r="C303" s="6"/>
      <c r="D303" s="6">
        <f t="shared" si="4"/>
        <v>0</v>
      </c>
    </row>
    <row r="304" spans="1:4" ht="18" hidden="1">
      <c r="A304" s="10" t="s">
        <v>318</v>
      </c>
      <c r="B304" s="6"/>
      <c r="C304" s="6"/>
      <c r="D304" s="6">
        <f t="shared" si="4"/>
        <v>0</v>
      </c>
    </row>
    <row r="305" spans="1:4" ht="18" hidden="1">
      <c r="A305" s="11" t="s">
        <v>319</v>
      </c>
      <c r="B305" s="6"/>
      <c r="C305" s="6"/>
      <c r="D305" s="6">
        <f t="shared" si="4"/>
        <v>0</v>
      </c>
    </row>
    <row r="306" spans="1:4" ht="18" hidden="1">
      <c r="A306" s="11" t="s">
        <v>320</v>
      </c>
      <c r="B306" s="6"/>
      <c r="C306" s="6"/>
      <c r="D306" s="6">
        <f t="shared" si="4"/>
        <v>0</v>
      </c>
    </row>
    <row r="307" spans="1:4" ht="18" hidden="1">
      <c r="A307" s="8" t="s">
        <v>321</v>
      </c>
      <c r="B307" s="6"/>
      <c r="C307" s="6"/>
      <c r="D307" s="6">
        <f t="shared" si="4"/>
        <v>0</v>
      </c>
    </row>
    <row r="308" spans="1:4" ht="18" hidden="1">
      <c r="A308" s="8" t="s">
        <v>322</v>
      </c>
      <c r="B308" s="6"/>
      <c r="C308" s="6"/>
      <c r="D308" s="6">
        <f t="shared" si="4"/>
        <v>0</v>
      </c>
    </row>
    <row r="309" spans="1:4" ht="18" hidden="1">
      <c r="A309" s="8" t="s">
        <v>323</v>
      </c>
      <c r="B309" s="6"/>
      <c r="C309" s="6"/>
      <c r="D309" s="6">
        <f t="shared" si="4"/>
        <v>0</v>
      </c>
    </row>
    <row r="310" spans="1:4" ht="18" hidden="1">
      <c r="A310" s="12" t="s">
        <v>324</v>
      </c>
      <c r="B310" s="6"/>
      <c r="C310" s="6"/>
      <c r="D310" s="6">
        <f t="shared" si="4"/>
        <v>0</v>
      </c>
    </row>
    <row r="311" spans="1:4" ht="18" hidden="1">
      <c r="A311" s="12" t="s">
        <v>325</v>
      </c>
      <c r="B311" s="6"/>
      <c r="C311" s="6"/>
      <c r="D311" s="6">
        <f t="shared" si="4"/>
        <v>0</v>
      </c>
    </row>
    <row r="312" spans="1:4" ht="18" hidden="1">
      <c r="A312" s="19" t="s">
        <v>326</v>
      </c>
      <c r="B312" s="6"/>
      <c r="C312" s="6"/>
      <c r="D312" s="6">
        <f t="shared" si="4"/>
        <v>0</v>
      </c>
    </row>
    <row r="313" spans="1:4" ht="18" hidden="1">
      <c r="A313" s="12" t="s">
        <v>327</v>
      </c>
      <c r="B313" s="6"/>
      <c r="C313" s="6"/>
      <c r="D313" s="6">
        <f t="shared" si="4"/>
        <v>0</v>
      </c>
    </row>
    <row r="314" spans="1:4" ht="18" hidden="1">
      <c r="A314" s="8" t="s">
        <v>328</v>
      </c>
      <c r="B314" s="6"/>
      <c r="C314" s="6"/>
      <c r="D314" s="6">
        <f t="shared" si="4"/>
        <v>0</v>
      </c>
    </row>
    <row r="315" spans="1:4" ht="18">
      <c r="A315" s="8" t="s">
        <v>329</v>
      </c>
      <c r="B315" s="6">
        <v>12</v>
      </c>
      <c r="C315" s="6">
        <v>6800</v>
      </c>
      <c r="D315" s="6">
        <f t="shared" si="4"/>
        <v>81600</v>
      </c>
    </row>
    <row r="316" spans="1:4" ht="18" hidden="1">
      <c r="A316" s="8" t="s">
        <v>330</v>
      </c>
      <c r="B316" s="6"/>
      <c r="C316" s="6"/>
      <c r="D316" s="6">
        <f t="shared" si="4"/>
        <v>0</v>
      </c>
    </row>
    <row r="317" spans="1:4" ht="18" hidden="1">
      <c r="A317" s="8" t="s">
        <v>331</v>
      </c>
      <c r="B317" s="6"/>
      <c r="C317" s="6"/>
      <c r="D317" s="6">
        <f t="shared" si="4"/>
        <v>0</v>
      </c>
    </row>
    <row r="318" spans="1:4" ht="18" hidden="1">
      <c r="A318" s="19" t="s">
        <v>332</v>
      </c>
      <c r="B318" s="6"/>
      <c r="C318" s="6"/>
      <c r="D318" s="6">
        <f t="shared" si="4"/>
        <v>0</v>
      </c>
    </row>
    <row r="319" spans="1:4" ht="18" hidden="1">
      <c r="A319" s="8" t="s">
        <v>333</v>
      </c>
      <c r="B319" s="6"/>
      <c r="C319" s="6"/>
      <c r="D319" s="6">
        <f t="shared" si="4"/>
        <v>0</v>
      </c>
    </row>
    <row r="320" spans="1:4" ht="18" hidden="1">
      <c r="A320" s="8" t="s">
        <v>334</v>
      </c>
      <c r="B320" s="6"/>
      <c r="C320" s="6"/>
      <c r="D320" s="6">
        <f t="shared" si="4"/>
        <v>0</v>
      </c>
    </row>
    <row r="321" spans="1:4" ht="18" hidden="1">
      <c r="A321" s="11" t="s">
        <v>335</v>
      </c>
      <c r="B321" s="6"/>
      <c r="C321" s="6"/>
      <c r="D321" s="6">
        <f t="shared" si="4"/>
        <v>0</v>
      </c>
    </row>
    <row r="322" spans="1:4" ht="18" hidden="1">
      <c r="A322" s="8" t="s">
        <v>336</v>
      </c>
      <c r="B322" s="34"/>
      <c r="C322" s="34"/>
      <c r="D322" s="6">
        <f t="shared" si="4"/>
        <v>0</v>
      </c>
    </row>
    <row r="323" spans="1:4" ht="18" hidden="1">
      <c r="A323" s="8" t="s">
        <v>337</v>
      </c>
      <c r="B323" s="6"/>
      <c r="C323" s="6"/>
      <c r="D323" s="6">
        <f t="shared" si="4"/>
        <v>0</v>
      </c>
    </row>
    <row r="324" spans="1:4" ht="18" hidden="1">
      <c r="A324" s="8" t="s">
        <v>338</v>
      </c>
      <c r="B324" s="6"/>
      <c r="C324" s="6"/>
      <c r="D324" s="6">
        <f t="shared" ref="D324:D387" si="5">B324*C324</f>
        <v>0</v>
      </c>
    </row>
    <row r="325" spans="1:4" ht="18" hidden="1">
      <c r="A325" s="19" t="s">
        <v>339</v>
      </c>
      <c r="B325" s="6"/>
      <c r="C325" s="6"/>
      <c r="D325" s="6">
        <f t="shared" si="5"/>
        <v>0</v>
      </c>
    </row>
    <row r="326" spans="1:4" ht="18" hidden="1">
      <c r="A326" s="19" t="s">
        <v>340</v>
      </c>
      <c r="B326" s="6"/>
      <c r="C326" s="6"/>
      <c r="D326" s="6">
        <f t="shared" si="5"/>
        <v>0</v>
      </c>
    </row>
    <row r="327" spans="1:4" ht="18" hidden="1">
      <c r="A327" s="8" t="s">
        <v>341</v>
      </c>
      <c r="B327" s="6"/>
      <c r="C327" s="6"/>
      <c r="D327" s="6">
        <f t="shared" si="5"/>
        <v>0</v>
      </c>
    </row>
    <row r="328" spans="1:4" ht="18" hidden="1">
      <c r="A328" s="8" t="s">
        <v>342</v>
      </c>
      <c r="B328" s="6"/>
      <c r="C328" s="6"/>
      <c r="D328" s="6">
        <f t="shared" si="5"/>
        <v>0</v>
      </c>
    </row>
    <row r="329" spans="1:4" ht="18" hidden="1">
      <c r="A329" s="19" t="s">
        <v>343</v>
      </c>
      <c r="B329" s="6"/>
      <c r="C329" s="6"/>
      <c r="D329" s="6">
        <f t="shared" si="5"/>
        <v>0</v>
      </c>
    </row>
    <row r="330" spans="1:4" ht="18" hidden="1">
      <c r="A330" s="8" t="s">
        <v>344</v>
      </c>
      <c r="B330" s="6"/>
      <c r="C330" s="6"/>
      <c r="D330" s="6">
        <f t="shared" si="5"/>
        <v>0</v>
      </c>
    </row>
    <row r="331" spans="1:4" ht="18" hidden="1">
      <c r="A331" s="8" t="s">
        <v>345</v>
      </c>
      <c r="B331" s="6"/>
      <c r="C331" s="6"/>
      <c r="D331" s="6">
        <f t="shared" si="5"/>
        <v>0</v>
      </c>
    </row>
    <row r="332" spans="1:4" ht="18" hidden="1">
      <c r="A332" s="8" t="s">
        <v>346</v>
      </c>
      <c r="B332" s="6"/>
      <c r="C332" s="6"/>
      <c r="D332" s="6">
        <f t="shared" si="5"/>
        <v>0</v>
      </c>
    </row>
    <row r="333" spans="1:4" ht="18" hidden="1">
      <c r="A333" s="8" t="s">
        <v>347</v>
      </c>
      <c r="B333" s="6"/>
      <c r="C333" s="6"/>
      <c r="D333" s="6">
        <f t="shared" si="5"/>
        <v>0</v>
      </c>
    </row>
    <row r="334" spans="1:4" ht="18">
      <c r="A334" s="8" t="s">
        <v>348</v>
      </c>
      <c r="B334" s="6">
        <v>4</v>
      </c>
      <c r="C334" s="6">
        <v>6800</v>
      </c>
      <c r="D334" s="6">
        <f t="shared" si="5"/>
        <v>27200</v>
      </c>
    </row>
    <row r="335" spans="1:4" ht="18" hidden="1">
      <c r="A335" s="8" t="s">
        <v>349</v>
      </c>
      <c r="B335" s="6"/>
      <c r="C335" s="6"/>
      <c r="D335" s="6">
        <f t="shared" si="5"/>
        <v>0</v>
      </c>
    </row>
    <row r="336" spans="1:4" ht="18" hidden="1">
      <c r="A336" s="8" t="s">
        <v>350</v>
      </c>
      <c r="B336" s="6"/>
      <c r="C336" s="6"/>
      <c r="D336" s="6">
        <f t="shared" si="5"/>
        <v>0</v>
      </c>
    </row>
    <row r="337" spans="1:4" ht="18" hidden="1">
      <c r="A337" s="8" t="s">
        <v>351</v>
      </c>
      <c r="B337" s="6"/>
      <c r="C337" s="6"/>
      <c r="D337" s="6">
        <f t="shared" si="5"/>
        <v>0</v>
      </c>
    </row>
    <row r="338" spans="1:4" ht="18" hidden="1">
      <c r="A338" s="10" t="s">
        <v>352</v>
      </c>
      <c r="B338" s="6"/>
      <c r="C338" s="6"/>
      <c r="D338" s="6">
        <f t="shared" si="5"/>
        <v>0</v>
      </c>
    </row>
    <row r="339" spans="1:4" ht="18" hidden="1">
      <c r="A339" s="10" t="s">
        <v>353</v>
      </c>
      <c r="B339" s="6"/>
      <c r="C339" s="6"/>
      <c r="D339" s="6">
        <f t="shared" si="5"/>
        <v>0</v>
      </c>
    </row>
    <row r="340" spans="1:4" ht="18">
      <c r="A340" s="35"/>
      <c r="B340" s="36">
        <f>SUM(B3:B339)</f>
        <v>2976</v>
      </c>
      <c r="C340" s="36"/>
      <c r="D340" s="6">
        <f>SUM(D12:D334)</f>
        <v>46886200</v>
      </c>
    </row>
    <row r="341" spans="1:4" ht="18" hidden="1">
      <c r="D341" s="6">
        <f t="shared" si="5"/>
        <v>0</v>
      </c>
    </row>
    <row r="342" spans="1:4" ht="18">
      <c r="A342" s="1" t="s">
        <v>390</v>
      </c>
      <c r="B342" s="2"/>
      <c r="C342" s="2"/>
      <c r="D342" s="6"/>
    </row>
    <row r="343" spans="1:4" ht="26.4">
      <c r="A343" s="207" t="s">
        <v>381</v>
      </c>
      <c r="B343" s="4" t="s">
        <v>3</v>
      </c>
      <c r="C343" s="4" t="s">
        <v>391</v>
      </c>
      <c r="D343" s="6" t="s">
        <v>5</v>
      </c>
    </row>
    <row r="344" spans="1:4" ht="18" hidden="1">
      <c r="A344" s="206"/>
      <c r="B344" s="37"/>
      <c r="C344" s="37"/>
      <c r="D344" s="6">
        <f t="shared" si="5"/>
        <v>0</v>
      </c>
    </row>
    <row r="345" spans="1:4" ht="18" hidden="1">
      <c r="A345" s="5" t="s">
        <v>6</v>
      </c>
      <c r="B345" s="6"/>
      <c r="C345" s="6"/>
      <c r="D345" s="6">
        <f t="shared" si="5"/>
        <v>0</v>
      </c>
    </row>
    <row r="346" spans="1:4" ht="18" hidden="1">
      <c r="A346" s="7" t="s">
        <v>8</v>
      </c>
      <c r="B346" s="6"/>
      <c r="C346" s="6"/>
      <c r="D346" s="6">
        <f t="shared" si="5"/>
        <v>0</v>
      </c>
    </row>
    <row r="347" spans="1:4" ht="18" hidden="1">
      <c r="A347" s="5" t="s">
        <v>10</v>
      </c>
      <c r="B347" s="6"/>
      <c r="C347" s="6"/>
      <c r="D347" s="6">
        <f t="shared" si="5"/>
        <v>0</v>
      </c>
    </row>
    <row r="348" spans="1:4" ht="18">
      <c r="A348" s="5" t="s">
        <v>11</v>
      </c>
      <c r="B348" s="6">
        <v>180</v>
      </c>
      <c r="C348" s="6">
        <v>6500</v>
      </c>
      <c r="D348" s="6">
        <f t="shared" si="5"/>
        <v>1170000</v>
      </c>
    </row>
    <row r="349" spans="1:4" ht="18" hidden="1">
      <c r="A349" s="8" t="s">
        <v>12</v>
      </c>
      <c r="B349" s="6"/>
      <c r="C349" s="6"/>
      <c r="D349" s="6">
        <f t="shared" si="5"/>
        <v>0</v>
      </c>
    </row>
    <row r="350" spans="1:4" ht="18" hidden="1">
      <c r="A350" s="9" t="s">
        <v>13</v>
      </c>
      <c r="B350" s="6"/>
      <c r="C350" s="6"/>
      <c r="D350" s="6">
        <f t="shared" si="5"/>
        <v>0</v>
      </c>
    </row>
    <row r="351" spans="1:4" ht="18" hidden="1">
      <c r="A351" s="5" t="s">
        <v>14</v>
      </c>
      <c r="B351" s="6"/>
      <c r="C351" s="6"/>
      <c r="D351" s="6">
        <f t="shared" si="5"/>
        <v>0</v>
      </c>
    </row>
    <row r="352" spans="1:4" ht="18" hidden="1">
      <c r="A352" s="5" t="s">
        <v>15</v>
      </c>
      <c r="B352" s="6"/>
      <c r="C352" s="6"/>
      <c r="D352" s="6">
        <f t="shared" si="5"/>
        <v>0</v>
      </c>
    </row>
    <row r="353" spans="1:4" ht="18" hidden="1">
      <c r="A353" s="10" t="s">
        <v>355</v>
      </c>
      <c r="B353" s="6"/>
      <c r="C353" s="6"/>
      <c r="D353" s="6">
        <f t="shared" si="5"/>
        <v>0</v>
      </c>
    </row>
    <row r="354" spans="1:4" ht="18" hidden="1">
      <c r="A354" s="8" t="s">
        <v>18</v>
      </c>
      <c r="B354" s="6"/>
      <c r="C354" s="6"/>
      <c r="D354" s="6">
        <f t="shared" si="5"/>
        <v>0</v>
      </c>
    </row>
    <row r="355" spans="1:4" ht="18">
      <c r="A355" s="8" t="s">
        <v>19</v>
      </c>
      <c r="B355" s="6">
        <v>5</v>
      </c>
      <c r="C355" s="6">
        <v>10000</v>
      </c>
      <c r="D355" s="6">
        <f t="shared" si="5"/>
        <v>50000</v>
      </c>
    </row>
    <row r="356" spans="1:4" ht="18" hidden="1">
      <c r="A356" s="11" t="s">
        <v>20</v>
      </c>
      <c r="B356" s="6"/>
      <c r="C356" s="6"/>
      <c r="D356" s="6">
        <f t="shared" si="5"/>
        <v>0</v>
      </c>
    </row>
    <row r="357" spans="1:4" ht="18" hidden="1">
      <c r="A357" s="11" t="s">
        <v>22</v>
      </c>
      <c r="B357" s="6"/>
      <c r="C357" s="6"/>
      <c r="D357" s="6">
        <f t="shared" si="5"/>
        <v>0</v>
      </c>
    </row>
    <row r="358" spans="1:4" ht="18" hidden="1">
      <c r="A358" s="8" t="s">
        <v>23</v>
      </c>
      <c r="B358" s="6"/>
      <c r="C358" s="6"/>
      <c r="D358" s="6">
        <f t="shared" si="5"/>
        <v>0</v>
      </c>
    </row>
    <row r="359" spans="1:4" ht="18" hidden="1">
      <c r="A359" s="8" t="s">
        <v>24</v>
      </c>
      <c r="B359" s="6"/>
      <c r="C359" s="6"/>
      <c r="D359" s="6">
        <f t="shared" si="5"/>
        <v>0</v>
      </c>
    </row>
    <row r="360" spans="1:4" ht="18" hidden="1">
      <c r="A360" s="12" t="s">
        <v>25</v>
      </c>
      <c r="B360" s="6"/>
      <c r="C360" s="6"/>
      <c r="D360" s="6">
        <f t="shared" si="5"/>
        <v>0</v>
      </c>
    </row>
    <row r="361" spans="1:4" ht="18" hidden="1">
      <c r="A361" s="10" t="s">
        <v>26</v>
      </c>
      <c r="B361" s="6"/>
      <c r="C361" s="6"/>
      <c r="D361" s="6">
        <f t="shared" si="5"/>
        <v>0</v>
      </c>
    </row>
    <row r="362" spans="1:4" ht="18">
      <c r="A362" s="8" t="s">
        <v>27</v>
      </c>
      <c r="B362" s="6">
        <f>1120+330+950+220-120</f>
        <v>2500</v>
      </c>
      <c r="C362" s="6">
        <v>13000</v>
      </c>
      <c r="D362" s="6">
        <f t="shared" si="5"/>
        <v>32500000</v>
      </c>
    </row>
    <row r="363" spans="1:4" ht="18" hidden="1">
      <c r="A363" s="11" t="s">
        <v>28</v>
      </c>
      <c r="B363" s="6"/>
      <c r="C363" s="6"/>
      <c r="D363" s="6">
        <f t="shared" si="5"/>
        <v>0</v>
      </c>
    </row>
    <row r="364" spans="1:4" ht="18" hidden="1">
      <c r="A364" s="11" t="s">
        <v>29</v>
      </c>
      <c r="B364" s="6"/>
      <c r="C364" s="6"/>
      <c r="D364" s="6">
        <f t="shared" si="5"/>
        <v>0</v>
      </c>
    </row>
    <row r="365" spans="1:4" ht="18" hidden="1">
      <c r="A365" s="8" t="s">
        <v>30</v>
      </c>
      <c r="B365" s="6"/>
      <c r="C365" s="6"/>
      <c r="D365" s="6">
        <f t="shared" si="5"/>
        <v>0</v>
      </c>
    </row>
    <row r="366" spans="1:4" ht="18" hidden="1">
      <c r="A366" s="8" t="s">
        <v>31</v>
      </c>
      <c r="B366" s="6"/>
      <c r="C366" s="6"/>
      <c r="D366" s="6">
        <f t="shared" si="5"/>
        <v>0</v>
      </c>
    </row>
    <row r="367" spans="1:4" ht="18" hidden="1">
      <c r="A367" s="8" t="s">
        <v>32</v>
      </c>
      <c r="B367" s="6"/>
      <c r="C367" s="6"/>
      <c r="D367" s="6">
        <f t="shared" si="5"/>
        <v>0</v>
      </c>
    </row>
    <row r="368" spans="1:4" ht="18" hidden="1">
      <c r="A368" s="8" t="s">
        <v>33</v>
      </c>
      <c r="B368" s="6"/>
      <c r="C368" s="6"/>
      <c r="D368" s="6">
        <f t="shared" si="5"/>
        <v>0</v>
      </c>
    </row>
    <row r="369" spans="1:4" ht="18" hidden="1">
      <c r="A369" s="8" t="s">
        <v>34</v>
      </c>
      <c r="B369" s="6"/>
      <c r="C369" s="6"/>
      <c r="D369" s="6">
        <f t="shared" si="5"/>
        <v>0</v>
      </c>
    </row>
    <row r="370" spans="1:4" ht="18" hidden="1">
      <c r="A370" s="8" t="s">
        <v>35</v>
      </c>
      <c r="B370" s="6"/>
      <c r="C370" s="6"/>
      <c r="D370" s="6">
        <f t="shared" si="5"/>
        <v>0</v>
      </c>
    </row>
    <row r="371" spans="1:4" ht="18" hidden="1">
      <c r="A371" s="11" t="s">
        <v>37</v>
      </c>
      <c r="B371" s="6"/>
      <c r="C371" s="6"/>
      <c r="D371" s="6">
        <f t="shared" si="5"/>
        <v>0</v>
      </c>
    </row>
    <row r="372" spans="1:4" ht="18" hidden="1">
      <c r="A372" s="11" t="s">
        <v>46</v>
      </c>
      <c r="B372" s="6"/>
      <c r="C372" s="6"/>
      <c r="D372" s="6">
        <f t="shared" si="5"/>
        <v>0</v>
      </c>
    </row>
    <row r="373" spans="1:4" ht="18" hidden="1">
      <c r="A373" s="8" t="s">
        <v>47</v>
      </c>
      <c r="B373" s="6"/>
      <c r="C373" s="6"/>
      <c r="D373" s="6">
        <f t="shared" si="5"/>
        <v>0</v>
      </c>
    </row>
    <row r="374" spans="1:4" ht="18" hidden="1">
      <c r="A374" s="8" t="s">
        <v>48</v>
      </c>
      <c r="B374" s="6"/>
      <c r="C374" s="6"/>
      <c r="D374" s="6">
        <f t="shared" si="5"/>
        <v>0</v>
      </c>
    </row>
    <row r="375" spans="1:4" ht="18" hidden="1">
      <c r="A375" s="10" t="s">
        <v>356</v>
      </c>
      <c r="B375" s="14"/>
      <c r="C375" s="14"/>
      <c r="D375" s="6">
        <f t="shared" si="5"/>
        <v>0</v>
      </c>
    </row>
    <row r="376" spans="1:4" ht="18" hidden="1">
      <c r="A376" s="10" t="s">
        <v>50</v>
      </c>
      <c r="B376" s="14"/>
      <c r="C376" s="14"/>
      <c r="D376" s="6">
        <f t="shared" si="5"/>
        <v>0</v>
      </c>
    </row>
    <row r="377" spans="1:4" ht="18" hidden="1">
      <c r="A377" s="8" t="s">
        <v>51</v>
      </c>
      <c r="B377" s="6"/>
      <c r="C377" s="6"/>
      <c r="D377" s="6">
        <f t="shared" si="5"/>
        <v>0</v>
      </c>
    </row>
    <row r="378" spans="1:4" ht="18" hidden="1">
      <c r="A378" s="8" t="s">
        <v>52</v>
      </c>
      <c r="B378" s="6"/>
      <c r="C378" s="6"/>
      <c r="D378" s="6">
        <f t="shared" si="5"/>
        <v>0</v>
      </c>
    </row>
    <row r="379" spans="1:4" ht="18" hidden="1">
      <c r="A379" s="15" t="s">
        <v>53</v>
      </c>
      <c r="B379" s="6"/>
      <c r="C379" s="6"/>
      <c r="D379" s="6">
        <f t="shared" si="5"/>
        <v>0</v>
      </c>
    </row>
    <row r="380" spans="1:4" ht="18" hidden="1">
      <c r="A380" s="8" t="s">
        <v>55</v>
      </c>
      <c r="B380" s="6"/>
      <c r="C380" s="6"/>
      <c r="D380" s="6">
        <f t="shared" si="5"/>
        <v>0</v>
      </c>
    </row>
    <row r="381" spans="1:4" ht="18" hidden="1">
      <c r="A381" s="8" t="s">
        <v>56</v>
      </c>
      <c r="B381" s="6"/>
      <c r="C381" s="6"/>
      <c r="D381" s="6">
        <f t="shared" si="5"/>
        <v>0</v>
      </c>
    </row>
    <row r="382" spans="1:4" ht="18" hidden="1">
      <c r="A382" s="8" t="s">
        <v>58</v>
      </c>
      <c r="B382" s="6"/>
      <c r="C382" s="6"/>
      <c r="D382" s="6">
        <f t="shared" si="5"/>
        <v>0</v>
      </c>
    </row>
    <row r="383" spans="1:4" ht="18" hidden="1">
      <c r="A383" s="8" t="s">
        <v>59</v>
      </c>
      <c r="B383" s="6"/>
      <c r="C383" s="6"/>
      <c r="D383" s="6">
        <f t="shared" si="5"/>
        <v>0</v>
      </c>
    </row>
    <row r="384" spans="1:4" ht="18" hidden="1">
      <c r="A384" s="12" t="s">
        <v>60</v>
      </c>
      <c r="B384" s="6"/>
      <c r="C384" s="6"/>
      <c r="D384" s="6">
        <f t="shared" si="5"/>
        <v>0</v>
      </c>
    </row>
    <row r="385" spans="1:4" ht="18" hidden="1">
      <c r="A385" s="10" t="s">
        <v>61</v>
      </c>
      <c r="B385" s="6"/>
      <c r="C385" s="6"/>
      <c r="D385" s="6">
        <f t="shared" si="5"/>
        <v>0</v>
      </c>
    </row>
    <row r="386" spans="1:4" ht="18" hidden="1">
      <c r="A386" s="12" t="s">
        <v>62</v>
      </c>
      <c r="B386" s="6"/>
      <c r="C386" s="6"/>
      <c r="D386" s="6">
        <f t="shared" si="5"/>
        <v>0</v>
      </c>
    </row>
    <row r="387" spans="1:4" ht="18" hidden="1">
      <c r="A387" s="8" t="s">
        <v>63</v>
      </c>
      <c r="B387" s="6"/>
      <c r="C387" s="6"/>
      <c r="D387" s="6">
        <f t="shared" si="5"/>
        <v>0</v>
      </c>
    </row>
    <row r="388" spans="1:4" ht="18" hidden="1">
      <c r="A388" s="8" t="s">
        <v>64</v>
      </c>
      <c r="B388" s="6"/>
      <c r="C388" s="6"/>
      <c r="D388" s="6">
        <f t="shared" ref="D388:D451" si="6">B388*C388</f>
        <v>0</v>
      </c>
    </row>
    <row r="389" spans="1:4" ht="18">
      <c r="A389" s="11" t="s">
        <v>65</v>
      </c>
      <c r="B389" s="6">
        <f>140+100+120+510</f>
        <v>870</v>
      </c>
      <c r="C389" s="6">
        <v>17000</v>
      </c>
      <c r="D389" s="6">
        <f t="shared" si="6"/>
        <v>14790000</v>
      </c>
    </row>
    <row r="390" spans="1:4" ht="18" hidden="1">
      <c r="A390" s="16" t="s">
        <v>66</v>
      </c>
      <c r="B390" s="6"/>
      <c r="C390" s="6"/>
      <c r="D390" s="6">
        <f t="shared" si="6"/>
        <v>0</v>
      </c>
    </row>
    <row r="391" spans="1:4" ht="18" hidden="1">
      <c r="A391" s="15" t="s">
        <v>67</v>
      </c>
      <c r="B391" s="6"/>
      <c r="C391" s="6"/>
      <c r="D391" s="6">
        <f t="shared" si="6"/>
        <v>0</v>
      </c>
    </row>
    <row r="392" spans="1:4" ht="18" hidden="1">
      <c r="A392" s="15" t="s">
        <v>69</v>
      </c>
      <c r="B392" s="6"/>
      <c r="C392" s="6"/>
      <c r="D392" s="6">
        <f t="shared" si="6"/>
        <v>0</v>
      </c>
    </row>
    <row r="393" spans="1:4" ht="18" hidden="1">
      <c r="A393" s="15" t="s">
        <v>70</v>
      </c>
      <c r="B393" s="6"/>
      <c r="C393" s="6"/>
      <c r="D393" s="6">
        <f t="shared" si="6"/>
        <v>0</v>
      </c>
    </row>
    <row r="394" spans="1:4" ht="18" hidden="1">
      <c r="A394" s="8" t="s">
        <v>71</v>
      </c>
      <c r="B394" s="6"/>
      <c r="C394" s="6"/>
      <c r="D394" s="6">
        <f t="shared" si="6"/>
        <v>0</v>
      </c>
    </row>
    <row r="395" spans="1:4" ht="18" hidden="1">
      <c r="A395" s="10" t="s">
        <v>72</v>
      </c>
      <c r="B395" s="6"/>
      <c r="C395" s="6"/>
      <c r="D395" s="6">
        <f t="shared" si="6"/>
        <v>0</v>
      </c>
    </row>
    <row r="396" spans="1:4" ht="18" hidden="1">
      <c r="A396" s="8" t="s">
        <v>73</v>
      </c>
      <c r="B396" s="6"/>
      <c r="C396" s="6"/>
      <c r="D396" s="6">
        <f t="shared" si="6"/>
        <v>0</v>
      </c>
    </row>
    <row r="397" spans="1:4" ht="18" hidden="1">
      <c r="A397" s="8" t="s">
        <v>74</v>
      </c>
      <c r="B397" s="6"/>
      <c r="C397" s="6"/>
      <c r="D397" s="6">
        <f t="shared" si="6"/>
        <v>0</v>
      </c>
    </row>
    <row r="398" spans="1:4" ht="18" hidden="1">
      <c r="A398" s="15" t="s">
        <v>75</v>
      </c>
      <c r="B398" s="6"/>
      <c r="C398" s="6"/>
      <c r="D398" s="6">
        <f t="shared" si="6"/>
        <v>0</v>
      </c>
    </row>
    <row r="399" spans="1:4" ht="18" hidden="1">
      <c r="A399" s="8" t="s">
        <v>76</v>
      </c>
      <c r="B399" s="6"/>
      <c r="C399" s="6"/>
      <c r="D399" s="6">
        <f t="shared" si="6"/>
        <v>0</v>
      </c>
    </row>
    <row r="400" spans="1:4" ht="18" hidden="1">
      <c r="A400" s="17" t="s">
        <v>77</v>
      </c>
      <c r="B400" s="6"/>
      <c r="C400" s="6"/>
      <c r="D400" s="6">
        <f t="shared" si="6"/>
        <v>0</v>
      </c>
    </row>
    <row r="401" spans="1:4" ht="18" hidden="1">
      <c r="A401" s="8" t="s">
        <v>78</v>
      </c>
      <c r="B401" s="6"/>
      <c r="C401" s="6"/>
      <c r="D401" s="6">
        <f t="shared" si="6"/>
        <v>0</v>
      </c>
    </row>
    <row r="402" spans="1:4" ht="18" hidden="1">
      <c r="A402" s="8" t="s">
        <v>79</v>
      </c>
      <c r="B402" s="6"/>
      <c r="C402" s="6"/>
      <c r="D402" s="6">
        <f t="shared" si="6"/>
        <v>0</v>
      </c>
    </row>
    <row r="403" spans="1:4" ht="18" hidden="1">
      <c r="A403" s="18" t="s">
        <v>80</v>
      </c>
      <c r="B403" s="6"/>
      <c r="C403" s="6"/>
      <c r="D403" s="6">
        <f t="shared" si="6"/>
        <v>0</v>
      </c>
    </row>
    <row r="404" spans="1:4" ht="18" hidden="1">
      <c r="A404" s="38" t="s">
        <v>81</v>
      </c>
      <c r="B404" s="6"/>
      <c r="C404" s="6"/>
      <c r="D404" s="6">
        <f t="shared" si="6"/>
        <v>0</v>
      </c>
    </row>
    <row r="405" spans="1:4" ht="18" hidden="1">
      <c r="A405" s="11" t="s">
        <v>82</v>
      </c>
      <c r="B405" s="6"/>
      <c r="C405" s="6"/>
      <c r="D405" s="6">
        <f t="shared" si="6"/>
        <v>0</v>
      </c>
    </row>
    <row r="406" spans="1:4" ht="18" hidden="1">
      <c r="A406" s="10" t="s">
        <v>83</v>
      </c>
      <c r="B406" s="6"/>
      <c r="C406" s="6"/>
      <c r="D406" s="6">
        <f t="shared" si="6"/>
        <v>0</v>
      </c>
    </row>
    <row r="407" spans="1:4" ht="18" hidden="1">
      <c r="A407" s="11" t="s">
        <v>84</v>
      </c>
      <c r="B407" s="6"/>
      <c r="C407" s="6"/>
      <c r="D407" s="6">
        <f t="shared" si="6"/>
        <v>0</v>
      </c>
    </row>
    <row r="408" spans="1:4" ht="18" hidden="1">
      <c r="A408" s="11" t="s">
        <v>85</v>
      </c>
      <c r="B408" s="6"/>
      <c r="C408" s="6"/>
      <c r="D408" s="6">
        <f t="shared" si="6"/>
        <v>0</v>
      </c>
    </row>
    <row r="409" spans="1:4" ht="18" hidden="1">
      <c r="A409" s="11" t="s">
        <v>86</v>
      </c>
      <c r="B409" s="6"/>
      <c r="C409" s="6"/>
      <c r="D409" s="6">
        <f t="shared" si="6"/>
        <v>0</v>
      </c>
    </row>
    <row r="410" spans="1:4" ht="18" hidden="1">
      <c r="A410" s="18" t="s">
        <v>87</v>
      </c>
      <c r="B410" s="6"/>
      <c r="C410" s="6"/>
      <c r="D410" s="6">
        <f t="shared" si="6"/>
        <v>0</v>
      </c>
    </row>
    <row r="411" spans="1:4" ht="18" hidden="1">
      <c r="A411" s="8" t="s">
        <v>88</v>
      </c>
      <c r="B411" s="6"/>
      <c r="C411" s="6"/>
      <c r="D411" s="6">
        <f t="shared" si="6"/>
        <v>0</v>
      </c>
    </row>
    <row r="412" spans="1:4" ht="18" hidden="1">
      <c r="A412" s="8" t="s">
        <v>89</v>
      </c>
      <c r="B412" s="6"/>
      <c r="C412" s="6"/>
      <c r="D412" s="6">
        <f t="shared" si="6"/>
        <v>0</v>
      </c>
    </row>
    <row r="413" spans="1:4" ht="18" hidden="1">
      <c r="A413" s="11" t="s">
        <v>357</v>
      </c>
      <c r="B413" s="6"/>
      <c r="C413" s="6"/>
      <c r="D413" s="6">
        <f t="shared" si="6"/>
        <v>0</v>
      </c>
    </row>
    <row r="414" spans="1:4" ht="18">
      <c r="A414" s="8" t="s">
        <v>90</v>
      </c>
      <c r="B414" s="6">
        <v>150</v>
      </c>
      <c r="C414" s="6">
        <v>25000</v>
      </c>
      <c r="D414" s="6">
        <f t="shared" si="6"/>
        <v>3750000</v>
      </c>
    </row>
    <row r="415" spans="1:4" ht="18" hidden="1">
      <c r="A415" s="12" t="s">
        <v>91</v>
      </c>
      <c r="B415" s="6"/>
      <c r="C415" s="6"/>
      <c r="D415" s="6">
        <f t="shared" si="6"/>
        <v>0</v>
      </c>
    </row>
    <row r="416" spans="1:4" ht="18" hidden="1">
      <c r="A416" s="8" t="s">
        <v>92</v>
      </c>
      <c r="B416" s="6"/>
      <c r="C416" s="6"/>
      <c r="D416" s="6">
        <f t="shared" si="6"/>
        <v>0</v>
      </c>
    </row>
    <row r="417" spans="1:4" ht="18" hidden="1">
      <c r="A417" s="8" t="s">
        <v>94</v>
      </c>
      <c r="B417" s="6"/>
      <c r="C417" s="6"/>
      <c r="D417" s="6">
        <f t="shared" si="6"/>
        <v>0</v>
      </c>
    </row>
    <row r="418" spans="1:4" ht="18" hidden="1">
      <c r="A418" s="8" t="s">
        <v>95</v>
      </c>
      <c r="B418" s="6"/>
      <c r="C418" s="6"/>
      <c r="D418" s="6">
        <f t="shared" si="6"/>
        <v>0</v>
      </c>
    </row>
    <row r="419" spans="1:4" ht="18" hidden="1">
      <c r="A419" s="11" t="s">
        <v>96</v>
      </c>
      <c r="B419" s="14"/>
      <c r="C419" s="14"/>
      <c r="D419" s="6">
        <f t="shared" si="6"/>
        <v>0</v>
      </c>
    </row>
    <row r="420" spans="1:4" ht="18" hidden="1">
      <c r="A420" s="11" t="s">
        <v>97</v>
      </c>
      <c r="B420" s="14"/>
      <c r="C420" s="14"/>
      <c r="D420" s="6">
        <f t="shared" si="6"/>
        <v>0</v>
      </c>
    </row>
    <row r="421" spans="1:4" ht="18" hidden="1">
      <c r="A421" s="11" t="s">
        <v>98</v>
      </c>
      <c r="B421" s="14"/>
      <c r="C421" s="14"/>
      <c r="D421" s="6">
        <f t="shared" si="6"/>
        <v>0</v>
      </c>
    </row>
    <row r="422" spans="1:4" ht="18" hidden="1">
      <c r="A422" s="8" t="s">
        <v>99</v>
      </c>
      <c r="B422" s="6"/>
      <c r="C422" s="6"/>
      <c r="D422" s="6">
        <f t="shared" si="6"/>
        <v>0</v>
      </c>
    </row>
    <row r="423" spans="1:4" ht="18" hidden="1">
      <c r="A423" s="8" t="s">
        <v>100</v>
      </c>
      <c r="B423" s="6"/>
      <c r="C423" s="6"/>
      <c r="D423" s="6">
        <f t="shared" si="6"/>
        <v>0</v>
      </c>
    </row>
    <row r="424" spans="1:4" ht="18" hidden="1">
      <c r="A424" s="8" t="s">
        <v>101</v>
      </c>
      <c r="B424" s="6"/>
      <c r="C424" s="6"/>
      <c r="D424" s="6">
        <f t="shared" si="6"/>
        <v>0</v>
      </c>
    </row>
    <row r="425" spans="1:4" ht="18" hidden="1">
      <c r="A425" s="8" t="s">
        <v>102</v>
      </c>
      <c r="B425" s="6"/>
      <c r="C425" s="6"/>
      <c r="D425" s="6">
        <f t="shared" si="6"/>
        <v>0</v>
      </c>
    </row>
    <row r="426" spans="1:4" ht="18" hidden="1">
      <c r="A426" s="8" t="s">
        <v>103</v>
      </c>
      <c r="B426" s="6"/>
      <c r="C426" s="6"/>
      <c r="D426" s="6">
        <f t="shared" si="6"/>
        <v>0</v>
      </c>
    </row>
    <row r="427" spans="1:4" ht="18">
      <c r="A427" s="8" t="s">
        <v>104</v>
      </c>
      <c r="B427" s="6">
        <v>60</v>
      </c>
      <c r="C427" s="6">
        <v>9000</v>
      </c>
      <c r="D427" s="6">
        <f t="shared" si="6"/>
        <v>540000</v>
      </c>
    </row>
    <row r="428" spans="1:4" ht="18" hidden="1">
      <c r="A428" s="19" t="s">
        <v>105</v>
      </c>
      <c r="B428" s="6"/>
      <c r="C428" s="6"/>
      <c r="D428" s="6">
        <f t="shared" si="6"/>
        <v>0</v>
      </c>
    </row>
    <row r="429" spans="1:4" ht="18" hidden="1">
      <c r="A429" s="19" t="s">
        <v>106</v>
      </c>
      <c r="B429" s="6"/>
      <c r="C429" s="6"/>
      <c r="D429" s="6">
        <f t="shared" si="6"/>
        <v>0</v>
      </c>
    </row>
    <row r="430" spans="1:4" ht="18" hidden="1">
      <c r="A430" s="19" t="s">
        <v>107</v>
      </c>
      <c r="B430" s="6"/>
      <c r="C430" s="6"/>
      <c r="D430" s="6">
        <f t="shared" si="6"/>
        <v>0</v>
      </c>
    </row>
    <row r="431" spans="1:4" ht="18" hidden="1">
      <c r="A431" s="10" t="s">
        <v>108</v>
      </c>
      <c r="B431" s="6"/>
      <c r="C431" s="6"/>
      <c r="D431" s="6">
        <f t="shared" si="6"/>
        <v>0</v>
      </c>
    </row>
    <row r="432" spans="1:4" ht="18" hidden="1">
      <c r="A432" s="12" t="s">
        <v>109</v>
      </c>
      <c r="B432" s="6"/>
      <c r="C432" s="6"/>
      <c r="D432" s="6">
        <f t="shared" si="6"/>
        <v>0</v>
      </c>
    </row>
    <row r="433" spans="1:4" ht="18" hidden="1">
      <c r="A433" s="10" t="s">
        <v>358</v>
      </c>
      <c r="B433" s="6"/>
      <c r="C433" s="6"/>
      <c r="D433" s="6">
        <f t="shared" si="6"/>
        <v>0</v>
      </c>
    </row>
    <row r="434" spans="1:4" ht="18" hidden="1">
      <c r="A434" s="8" t="s">
        <v>110</v>
      </c>
      <c r="B434" s="6"/>
      <c r="C434" s="6"/>
      <c r="D434" s="6">
        <f t="shared" si="6"/>
        <v>0</v>
      </c>
    </row>
    <row r="435" spans="1:4" ht="18" hidden="1">
      <c r="A435" s="8" t="s">
        <v>111</v>
      </c>
      <c r="B435" s="6"/>
      <c r="C435" s="6"/>
      <c r="D435" s="6">
        <f t="shared" si="6"/>
        <v>0</v>
      </c>
    </row>
    <row r="436" spans="1:4" ht="18" hidden="1">
      <c r="A436" s="10" t="s">
        <v>359</v>
      </c>
      <c r="B436" s="6"/>
      <c r="C436" s="6"/>
      <c r="D436" s="6">
        <f t="shared" si="6"/>
        <v>0</v>
      </c>
    </row>
    <row r="437" spans="1:4" ht="18" hidden="1">
      <c r="A437" s="10" t="s">
        <v>360</v>
      </c>
      <c r="B437" s="6"/>
      <c r="C437" s="6"/>
      <c r="D437" s="6">
        <f t="shared" si="6"/>
        <v>0</v>
      </c>
    </row>
    <row r="438" spans="1:4" ht="18" hidden="1">
      <c r="A438" s="8" t="s">
        <v>113</v>
      </c>
      <c r="B438" s="14"/>
      <c r="C438" s="14"/>
      <c r="D438" s="6">
        <f t="shared" si="6"/>
        <v>0</v>
      </c>
    </row>
    <row r="439" spans="1:4" ht="18" hidden="1">
      <c r="A439" s="19" t="s">
        <v>115</v>
      </c>
      <c r="B439" s="6"/>
      <c r="C439" s="6"/>
      <c r="D439" s="6">
        <f t="shared" si="6"/>
        <v>0</v>
      </c>
    </row>
    <row r="440" spans="1:4" ht="18" hidden="1">
      <c r="A440" s="10" t="s">
        <v>116</v>
      </c>
      <c r="B440" s="6"/>
      <c r="C440" s="6"/>
      <c r="D440" s="6">
        <f t="shared" si="6"/>
        <v>0</v>
      </c>
    </row>
    <row r="441" spans="1:4" ht="18" hidden="1">
      <c r="A441" s="10" t="s">
        <v>361</v>
      </c>
      <c r="B441" s="6"/>
      <c r="C441" s="6"/>
      <c r="D441" s="6">
        <f t="shared" si="6"/>
        <v>0</v>
      </c>
    </row>
    <row r="442" spans="1:4" ht="18" hidden="1">
      <c r="A442" s="8" t="s">
        <v>117</v>
      </c>
      <c r="B442" s="6"/>
      <c r="C442" s="6"/>
      <c r="D442" s="6">
        <f t="shared" si="6"/>
        <v>0</v>
      </c>
    </row>
    <row r="443" spans="1:4" ht="18" hidden="1">
      <c r="A443" s="15" t="s">
        <v>118</v>
      </c>
      <c r="B443" s="6"/>
      <c r="C443" s="6"/>
      <c r="D443" s="6">
        <f t="shared" si="6"/>
        <v>0</v>
      </c>
    </row>
    <row r="444" spans="1:4" ht="18" hidden="1">
      <c r="A444" s="22" t="s">
        <v>119</v>
      </c>
      <c r="B444" s="6"/>
      <c r="C444" s="6"/>
      <c r="D444" s="6">
        <f t="shared" si="6"/>
        <v>0</v>
      </c>
    </row>
    <row r="445" spans="1:4" ht="18" hidden="1">
      <c r="A445" s="22" t="s">
        <v>120</v>
      </c>
      <c r="B445" s="6"/>
      <c r="C445" s="6"/>
      <c r="D445" s="6">
        <f t="shared" si="6"/>
        <v>0</v>
      </c>
    </row>
    <row r="446" spans="1:4" ht="18" hidden="1">
      <c r="A446" s="21" t="s">
        <v>121</v>
      </c>
      <c r="B446" s="6"/>
      <c r="C446" s="6"/>
      <c r="D446" s="6">
        <f t="shared" si="6"/>
        <v>0</v>
      </c>
    </row>
    <row r="447" spans="1:4" ht="18" hidden="1">
      <c r="A447" s="23" t="s">
        <v>122</v>
      </c>
      <c r="B447" s="6"/>
      <c r="C447" s="6"/>
      <c r="D447" s="6">
        <f t="shared" si="6"/>
        <v>0</v>
      </c>
    </row>
    <row r="448" spans="1:4" ht="18" hidden="1">
      <c r="A448" s="8" t="s">
        <v>123</v>
      </c>
      <c r="B448" s="6"/>
      <c r="C448" s="6"/>
      <c r="D448" s="6">
        <f t="shared" si="6"/>
        <v>0</v>
      </c>
    </row>
    <row r="449" spans="1:4" ht="18" hidden="1">
      <c r="A449" s="8" t="s">
        <v>124</v>
      </c>
      <c r="B449" s="6"/>
      <c r="C449" s="6"/>
      <c r="D449" s="6">
        <f t="shared" si="6"/>
        <v>0</v>
      </c>
    </row>
    <row r="450" spans="1:4" ht="18" hidden="1">
      <c r="A450" s="8" t="s">
        <v>125</v>
      </c>
      <c r="B450" s="6"/>
      <c r="C450" s="6"/>
      <c r="D450" s="6">
        <f t="shared" si="6"/>
        <v>0</v>
      </c>
    </row>
    <row r="451" spans="1:4" ht="18" hidden="1">
      <c r="A451" s="8" t="s">
        <v>126</v>
      </c>
      <c r="B451" s="6"/>
      <c r="C451" s="6"/>
      <c r="D451" s="6">
        <f t="shared" si="6"/>
        <v>0</v>
      </c>
    </row>
    <row r="452" spans="1:4" ht="18" hidden="1">
      <c r="A452" s="8" t="s">
        <v>128</v>
      </c>
      <c r="B452" s="6"/>
      <c r="C452" s="6"/>
      <c r="D452" s="6">
        <f t="shared" ref="D452:D515" si="7">B452*C452</f>
        <v>0</v>
      </c>
    </row>
    <row r="453" spans="1:4" ht="18" hidden="1">
      <c r="A453" s="8" t="s">
        <v>129</v>
      </c>
      <c r="B453" s="6"/>
      <c r="C453" s="6"/>
      <c r="D453" s="6">
        <f t="shared" si="7"/>
        <v>0</v>
      </c>
    </row>
    <row r="454" spans="1:4" ht="18" hidden="1">
      <c r="A454" s="8" t="s">
        <v>362</v>
      </c>
      <c r="B454" s="6"/>
      <c r="C454" s="6"/>
      <c r="D454" s="6">
        <f t="shared" si="7"/>
        <v>0</v>
      </c>
    </row>
    <row r="455" spans="1:4" ht="18" hidden="1">
      <c r="A455" s="8" t="s">
        <v>130</v>
      </c>
      <c r="B455" s="6"/>
      <c r="C455" s="6"/>
      <c r="D455" s="6">
        <f t="shared" si="7"/>
        <v>0</v>
      </c>
    </row>
    <row r="456" spans="1:4" ht="18" hidden="1">
      <c r="A456" s="10" t="s">
        <v>131</v>
      </c>
      <c r="B456" s="6"/>
      <c r="C456" s="6"/>
      <c r="D456" s="6">
        <f t="shared" si="7"/>
        <v>0</v>
      </c>
    </row>
    <row r="457" spans="1:4" ht="18" hidden="1">
      <c r="A457" s="19" t="s">
        <v>132</v>
      </c>
      <c r="B457" s="6"/>
      <c r="C457" s="6"/>
      <c r="D457" s="6">
        <f t="shared" si="7"/>
        <v>0</v>
      </c>
    </row>
    <row r="458" spans="1:4" ht="18" hidden="1">
      <c r="A458" s="8" t="s">
        <v>133</v>
      </c>
      <c r="B458" s="6"/>
      <c r="C458" s="6"/>
      <c r="D458" s="6">
        <f t="shared" si="7"/>
        <v>0</v>
      </c>
    </row>
    <row r="459" spans="1:4" ht="18" hidden="1">
      <c r="A459" s="10" t="s">
        <v>135</v>
      </c>
      <c r="B459" s="6"/>
      <c r="C459" s="6"/>
      <c r="D459" s="6">
        <f t="shared" si="7"/>
        <v>0</v>
      </c>
    </row>
    <row r="460" spans="1:4" ht="18" hidden="1">
      <c r="A460" s="10" t="s">
        <v>136</v>
      </c>
      <c r="B460" s="6"/>
      <c r="C460" s="6"/>
      <c r="D460" s="6">
        <f t="shared" si="7"/>
        <v>0</v>
      </c>
    </row>
    <row r="461" spans="1:4" ht="18">
      <c r="A461" s="8" t="s">
        <v>137</v>
      </c>
      <c r="B461" s="6">
        <v>20</v>
      </c>
      <c r="C461" s="6">
        <v>10000</v>
      </c>
      <c r="D461" s="6">
        <f t="shared" si="7"/>
        <v>200000</v>
      </c>
    </row>
    <row r="462" spans="1:4" ht="18" hidden="1">
      <c r="A462" s="9" t="s">
        <v>139</v>
      </c>
      <c r="B462" s="6"/>
      <c r="C462" s="6"/>
      <c r="D462" s="6">
        <f t="shared" si="7"/>
        <v>0</v>
      </c>
    </row>
    <row r="463" spans="1:4" ht="18" hidden="1">
      <c r="A463" s="12" t="s">
        <v>140</v>
      </c>
      <c r="B463" s="6"/>
      <c r="C463" s="6"/>
      <c r="D463" s="6">
        <f t="shared" si="7"/>
        <v>0</v>
      </c>
    </row>
    <row r="464" spans="1:4" ht="18" hidden="1">
      <c r="A464" s="11" t="s">
        <v>141</v>
      </c>
      <c r="B464" s="14"/>
      <c r="C464" s="14"/>
      <c r="D464" s="6">
        <f t="shared" si="7"/>
        <v>0</v>
      </c>
    </row>
    <row r="465" spans="1:4" ht="18" hidden="1">
      <c r="A465" s="11" t="s">
        <v>142</v>
      </c>
      <c r="B465" s="14"/>
      <c r="C465" s="14"/>
      <c r="D465" s="6">
        <f t="shared" si="7"/>
        <v>0</v>
      </c>
    </row>
    <row r="466" spans="1:4" ht="18" hidden="1">
      <c r="A466" s="11" t="s">
        <v>143</v>
      </c>
      <c r="B466" s="14"/>
      <c r="C466" s="14"/>
      <c r="D466" s="6">
        <f t="shared" si="7"/>
        <v>0</v>
      </c>
    </row>
    <row r="467" spans="1:4" ht="18" hidden="1">
      <c r="A467" s="11" t="s">
        <v>144</v>
      </c>
      <c r="B467" s="24"/>
      <c r="C467" s="24"/>
      <c r="D467" s="6">
        <f t="shared" si="7"/>
        <v>0</v>
      </c>
    </row>
    <row r="468" spans="1:4" ht="18" hidden="1">
      <c r="A468" s="25" t="s">
        <v>145</v>
      </c>
      <c r="B468" s="6"/>
      <c r="C468" s="6"/>
      <c r="D468" s="6">
        <f t="shared" si="7"/>
        <v>0</v>
      </c>
    </row>
    <row r="469" spans="1:4" ht="18" hidden="1">
      <c r="A469" s="11" t="s">
        <v>146</v>
      </c>
      <c r="B469" s="14"/>
      <c r="C469" s="14"/>
      <c r="D469" s="6">
        <f t="shared" si="7"/>
        <v>0</v>
      </c>
    </row>
    <row r="470" spans="1:4" ht="18" hidden="1">
      <c r="A470" s="8" t="s">
        <v>147</v>
      </c>
      <c r="B470" s="6"/>
      <c r="C470" s="6"/>
      <c r="D470" s="6">
        <f t="shared" si="7"/>
        <v>0</v>
      </c>
    </row>
    <row r="471" spans="1:4" ht="18" hidden="1">
      <c r="A471" s="8" t="s">
        <v>148</v>
      </c>
      <c r="B471" s="6"/>
      <c r="C471" s="6"/>
      <c r="D471" s="6">
        <f t="shared" si="7"/>
        <v>0</v>
      </c>
    </row>
    <row r="472" spans="1:4" ht="18">
      <c r="A472" s="8" t="s">
        <v>150</v>
      </c>
      <c r="B472" s="6">
        <v>151</v>
      </c>
      <c r="C472" s="6">
        <v>13000</v>
      </c>
      <c r="D472" s="6">
        <f t="shared" si="7"/>
        <v>1963000</v>
      </c>
    </row>
    <row r="473" spans="1:4" ht="18" hidden="1">
      <c r="A473" s="15" t="s">
        <v>151</v>
      </c>
      <c r="B473" s="6"/>
      <c r="C473" s="6"/>
      <c r="D473" s="6">
        <f t="shared" si="7"/>
        <v>0</v>
      </c>
    </row>
    <row r="474" spans="1:4" ht="18" hidden="1">
      <c r="A474" s="11" t="s">
        <v>152</v>
      </c>
      <c r="B474" s="6"/>
      <c r="C474" s="6"/>
      <c r="D474" s="6">
        <f t="shared" si="7"/>
        <v>0</v>
      </c>
    </row>
    <row r="475" spans="1:4" ht="18" hidden="1">
      <c r="A475" s="11" t="s">
        <v>153</v>
      </c>
      <c r="B475" s="6"/>
      <c r="C475" s="6"/>
      <c r="D475" s="6">
        <f t="shared" si="7"/>
        <v>0</v>
      </c>
    </row>
    <row r="476" spans="1:4" ht="18" hidden="1">
      <c r="A476" s="8" t="s">
        <v>154</v>
      </c>
      <c r="B476" s="6"/>
      <c r="C476" s="6"/>
      <c r="D476" s="6">
        <f t="shared" si="7"/>
        <v>0</v>
      </c>
    </row>
    <row r="477" spans="1:4" ht="18" hidden="1">
      <c r="A477" s="8" t="s">
        <v>363</v>
      </c>
      <c r="B477" s="6"/>
      <c r="C477" s="6"/>
      <c r="D477" s="6">
        <f t="shared" si="7"/>
        <v>0</v>
      </c>
    </row>
    <row r="478" spans="1:4" ht="18" hidden="1">
      <c r="A478" s="8" t="s">
        <v>156</v>
      </c>
      <c r="B478" s="14"/>
      <c r="C478" s="14"/>
      <c r="D478" s="6">
        <f t="shared" si="7"/>
        <v>0</v>
      </c>
    </row>
    <row r="479" spans="1:4" ht="18" hidden="1">
      <c r="A479" s="8" t="s">
        <v>157</v>
      </c>
      <c r="B479" s="14"/>
      <c r="C479" s="14"/>
      <c r="D479" s="6">
        <f t="shared" si="7"/>
        <v>0</v>
      </c>
    </row>
    <row r="480" spans="1:4" ht="18" hidden="1">
      <c r="A480" s="8" t="s">
        <v>158</v>
      </c>
      <c r="B480" s="6"/>
      <c r="C480" s="6"/>
      <c r="D480" s="6">
        <f t="shared" si="7"/>
        <v>0</v>
      </c>
    </row>
    <row r="481" spans="1:4" ht="18" hidden="1">
      <c r="A481" s="8" t="s">
        <v>159</v>
      </c>
      <c r="B481" s="14"/>
      <c r="C481" s="14"/>
      <c r="D481" s="6">
        <f t="shared" si="7"/>
        <v>0</v>
      </c>
    </row>
    <row r="482" spans="1:4" ht="18" hidden="1">
      <c r="A482" s="8" t="s">
        <v>160</v>
      </c>
      <c r="B482" s="14"/>
      <c r="C482" s="14"/>
      <c r="D482" s="6">
        <f t="shared" si="7"/>
        <v>0</v>
      </c>
    </row>
    <row r="483" spans="1:4" ht="18" hidden="1">
      <c r="A483" s="8" t="s">
        <v>161</v>
      </c>
      <c r="B483" s="14"/>
      <c r="C483" s="14"/>
      <c r="D483" s="6">
        <f t="shared" si="7"/>
        <v>0</v>
      </c>
    </row>
    <row r="484" spans="1:4" ht="18" hidden="1">
      <c r="A484" s="8" t="s">
        <v>162</v>
      </c>
      <c r="B484" s="14"/>
      <c r="C484" s="14"/>
      <c r="D484" s="6">
        <f t="shared" si="7"/>
        <v>0</v>
      </c>
    </row>
    <row r="485" spans="1:4" ht="18" hidden="1">
      <c r="A485" s="8" t="s">
        <v>163</v>
      </c>
      <c r="B485" s="14"/>
      <c r="C485" s="14"/>
      <c r="D485" s="6">
        <f t="shared" si="7"/>
        <v>0</v>
      </c>
    </row>
    <row r="486" spans="1:4" ht="18" hidden="1">
      <c r="A486" s="8" t="s">
        <v>164</v>
      </c>
      <c r="B486" s="14"/>
      <c r="C486" s="14"/>
      <c r="D486" s="6">
        <f t="shared" si="7"/>
        <v>0</v>
      </c>
    </row>
    <row r="487" spans="1:4" ht="18" hidden="1">
      <c r="A487" s="8" t="s">
        <v>165</v>
      </c>
      <c r="B487" s="14"/>
      <c r="C487" s="14"/>
      <c r="D487" s="6">
        <f t="shared" si="7"/>
        <v>0</v>
      </c>
    </row>
    <row r="488" spans="1:4" ht="18" hidden="1">
      <c r="A488" s="8" t="s">
        <v>166</v>
      </c>
      <c r="B488" s="14"/>
      <c r="C488" s="14"/>
      <c r="D488" s="6">
        <f t="shared" si="7"/>
        <v>0</v>
      </c>
    </row>
    <row r="489" spans="1:4" ht="18" hidden="1">
      <c r="A489" s="8" t="s">
        <v>167</v>
      </c>
      <c r="B489" s="6"/>
      <c r="C489" s="6"/>
      <c r="D489" s="6">
        <f t="shared" si="7"/>
        <v>0</v>
      </c>
    </row>
    <row r="490" spans="1:4" ht="18" hidden="1">
      <c r="A490" s="8" t="s">
        <v>364</v>
      </c>
      <c r="B490" s="6"/>
      <c r="C490" s="6"/>
      <c r="D490" s="6">
        <f t="shared" si="7"/>
        <v>0</v>
      </c>
    </row>
    <row r="491" spans="1:4" ht="18" hidden="1">
      <c r="A491" s="8" t="s">
        <v>168</v>
      </c>
      <c r="B491" s="6"/>
      <c r="C491" s="6"/>
      <c r="D491" s="6">
        <f t="shared" si="7"/>
        <v>0</v>
      </c>
    </row>
    <row r="492" spans="1:4" ht="18" hidden="1">
      <c r="A492" s="8" t="s">
        <v>169</v>
      </c>
      <c r="B492" s="6"/>
      <c r="C492" s="6"/>
      <c r="D492" s="6">
        <f t="shared" si="7"/>
        <v>0</v>
      </c>
    </row>
    <row r="493" spans="1:4" ht="18" hidden="1">
      <c r="A493" s="8" t="s">
        <v>170</v>
      </c>
      <c r="B493" s="6"/>
      <c r="C493" s="6"/>
      <c r="D493" s="6">
        <f t="shared" si="7"/>
        <v>0</v>
      </c>
    </row>
    <row r="494" spans="1:4" ht="18" hidden="1">
      <c r="A494" s="15" t="s">
        <v>171</v>
      </c>
      <c r="B494" s="6"/>
      <c r="C494" s="6"/>
      <c r="D494" s="6">
        <f t="shared" si="7"/>
        <v>0</v>
      </c>
    </row>
    <row r="495" spans="1:4" ht="18" hidden="1">
      <c r="A495" s="8" t="s">
        <v>172</v>
      </c>
      <c r="B495" s="6"/>
      <c r="C495" s="6"/>
      <c r="D495" s="6">
        <f t="shared" si="7"/>
        <v>0</v>
      </c>
    </row>
    <row r="496" spans="1:4" ht="18" hidden="1">
      <c r="A496" s="8" t="s">
        <v>173</v>
      </c>
      <c r="B496" s="6"/>
      <c r="C496" s="6"/>
      <c r="D496" s="6">
        <f t="shared" si="7"/>
        <v>0</v>
      </c>
    </row>
    <row r="497" spans="1:4" ht="18">
      <c r="A497" s="8" t="s">
        <v>174</v>
      </c>
      <c r="B497" s="6">
        <v>14</v>
      </c>
      <c r="C497" s="6">
        <v>11000</v>
      </c>
      <c r="D497" s="6">
        <f t="shared" si="7"/>
        <v>154000</v>
      </c>
    </row>
    <row r="498" spans="1:4" ht="18" hidden="1">
      <c r="A498" s="8" t="s">
        <v>175</v>
      </c>
      <c r="B498" s="6"/>
      <c r="C498" s="6"/>
      <c r="D498" s="6">
        <f t="shared" si="7"/>
        <v>0</v>
      </c>
    </row>
    <row r="499" spans="1:4" ht="18" hidden="1">
      <c r="A499" s="8" t="s">
        <v>176</v>
      </c>
      <c r="B499" s="14"/>
      <c r="C499" s="14"/>
      <c r="D499" s="6">
        <f t="shared" si="7"/>
        <v>0</v>
      </c>
    </row>
    <row r="500" spans="1:4" ht="18" hidden="1">
      <c r="A500" s="16" t="s">
        <v>177</v>
      </c>
      <c r="B500" s="14"/>
      <c r="C500" s="14"/>
      <c r="D500" s="6">
        <f t="shared" si="7"/>
        <v>0</v>
      </c>
    </row>
    <row r="501" spans="1:4" ht="18" hidden="1">
      <c r="A501" s="8" t="s">
        <v>178</v>
      </c>
      <c r="B501" s="14"/>
      <c r="C501" s="14"/>
      <c r="D501" s="6">
        <f t="shared" si="7"/>
        <v>0</v>
      </c>
    </row>
    <row r="502" spans="1:4" ht="18" hidden="1">
      <c r="A502" s="8" t="s">
        <v>180</v>
      </c>
      <c r="B502" s="6"/>
      <c r="C502" s="6"/>
      <c r="D502" s="6">
        <f t="shared" si="7"/>
        <v>0</v>
      </c>
    </row>
    <row r="503" spans="1:4" ht="18" hidden="1">
      <c r="A503" s="15" t="s">
        <v>181</v>
      </c>
      <c r="B503" s="6"/>
      <c r="C503" s="6"/>
      <c r="D503" s="6">
        <f t="shared" si="7"/>
        <v>0</v>
      </c>
    </row>
    <row r="504" spans="1:4" ht="18">
      <c r="A504" s="8" t="s">
        <v>365</v>
      </c>
      <c r="B504" s="6">
        <v>169</v>
      </c>
      <c r="C504" s="6">
        <v>7500</v>
      </c>
      <c r="D504" s="6">
        <f t="shared" si="7"/>
        <v>1267500</v>
      </c>
    </row>
    <row r="505" spans="1:4" ht="18" hidden="1">
      <c r="A505" s="11" t="s">
        <v>182</v>
      </c>
      <c r="B505" s="6"/>
      <c r="C505" s="6"/>
      <c r="D505" s="6">
        <f t="shared" si="7"/>
        <v>0</v>
      </c>
    </row>
    <row r="506" spans="1:4" ht="18" hidden="1">
      <c r="A506" s="8" t="s">
        <v>183</v>
      </c>
      <c r="B506" s="6"/>
      <c r="C506" s="6"/>
      <c r="D506" s="6">
        <f t="shared" si="7"/>
        <v>0</v>
      </c>
    </row>
    <row r="507" spans="1:4" ht="18" hidden="1">
      <c r="A507" s="8" t="s">
        <v>185</v>
      </c>
      <c r="B507" s="6"/>
      <c r="C507" s="6"/>
      <c r="D507" s="6">
        <f t="shared" si="7"/>
        <v>0</v>
      </c>
    </row>
    <row r="508" spans="1:4" ht="18" hidden="1">
      <c r="A508" s="8" t="s">
        <v>186</v>
      </c>
      <c r="B508" s="6"/>
      <c r="C508" s="6"/>
      <c r="D508" s="6">
        <f t="shared" si="7"/>
        <v>0</v>
      </c>
    </row>
    <row r="509" spans="1:4" ht="18" hidden="1">
      <c r="A509" s="18" t="s">
        <v>187</v>
      </c>
      <c r="B509" s="6"/>
      <c r="C509" s="6"/>
      <c r="D509" s="6">
        <f t="shared" si="7"/>
        <v>0</v>
      </c>
    </row>
    <row r="510" spans="1:4" ht="18" hidden="1">
      <c r="A510" s="8" t="s">
        <v>188</v>
      </c>
      <c r="B510" s="6"/>
      <c r="C510" s="6"/>
      <c r="D510" s="6">
        <f t="shared" si="7"/>
        <v>0</v>
      </c>
    </row>
    <row r="511" spans="1:4" ht="18" hidden="1">
      <c r="A511" s="28" t="s">
        <v>189</v>
      </c>
      <c r="B511" s="29"/>
      <c r="C511" s="29"/>
      <c r="D511" s="6">
        <f t="shared" si="7"/>
        <v>0</v>
      </c>
    </row>
    <row r="512" spans="1:4" ht="18" hidden="1">
      <c r="A512" s="10" t="s">
        <v>190</v>
      </c>
      <c r="B512" s="6"/>
      <c r="C512" s="6"/>
      <c r="D512" s="6">
        <f t="shared" si="7"/>
        <v>0</v>
      </c>
    </row>
    <row r="513" spans="1:4" ht="18" hidden="1">
      <c r="A513" s="8" t="s">
        <v>191</v>
      </c>
      <c r="B513" s="6"/>
      <c r="C513" s="6"/>
      <c r="D513" s="6">
        <f t="shared" si="7"/>
        <v>0</v>
      </c>
    </row>
    <row r="514" spans="1:4" ht="18" hidden="1">
      <c r="A514" s="8" t="s">
        <v>192</v>
      </c>
      <c r="B514" s="6"/>
      <c r="C514" s="6"/>
      <c r="D514" s="6">
        <f t="shared" si="7"/>
        <v>0</v>
      </c>
    </row>
    <row r="515" spans="1:4" ht="18" hidden="1">
      <c r="A515" s="11" t="s">
        <v>193</v>
      </c>
      <c r="B515" s="6"/>
      <c r="C515" s="6"/>
      <c r="D515" s="6">
        <f t="shared" si="7"/>
        <v>0</v>
      </c>
    </row>
    <row r="516" spans="1:4" ht="18" hidden="1">
      <c r="A516" s="8" t="s">
        <v>194</v>
      </c>
      <c r="B516" s="6"/>
      <c r="C516" s="6"/>
      <c r="D516" s="6">
        <f t="shared" ref="D516:D579" si="8">B516*C516</f>
        <v>0</v>
      </c>
    </row>
    <row r="517" spans="1:4" ht="18" hidden="1">
      <c r="A517" s="8" t="s">
        <v>195</v>
      </c>
      <c r="B517" s="6"/>
      <c r="C517" s="6"/>
      <c r="D517" s="6">
        <f t="shared" si="8"/>
        <v>0</v>
      </c>
    </row>
    <row r="518" spans="1:4" ht="18" hidden="1">
      <c r="A518" s="11" t="s">
        <v>196</v>
      </c>
      <c r="B518" s="6"/>
      <c r="C518" s="6"/>
      <c r="D518" s="6">
        <f t="shared" si="8"/>
        <v>0</v>
      </c>
    </row>
    <row r="519" spans="1:4" ht="18" hidden="1">
      <c r="A519" s="11" t="s">
        <v>197</v>
      </c>
      <c r="B519" s="6"/>
      <c r="C519" s="6"/>
      <c r="D519" s="6">
        <f t="shared" si="8"/>
        <v>0</v>
      </c>
    </row>
    <row r="520" spans="1:4" ht="18">
      <c r="A520" s="11" t="s">
        <v>198</v>
      </c>
      <c r="B520" s="6">
        <f>500+210</f>
        <v>710</v>
      </c>
      <c r="C520" s="6">
        <v>6800</v>
      </c>
      <c r="D520" s="6">
        <f t="shared" si="8"/>
        <v>4828000</v>
      </c>
    </row>
    <row r="521" spans="1:4" ht="18" hidden="1">
      <c r="A521" s="8" t="s">
        <v>199</v>
      </c>
      <c r="B521" s="6"/>
      <c r="C521" s="6"/>
      <c r="D521" s="6">
        <f t="shared" si="8"/>
        <v>0</v>
      </c>
    </row>
    <row r="522" spans="1:4" ht="18" hidden="1">
      <c r="A522" s="11" t="s">
        <v>200</v>
      </c>
      <c r="B522" s="6"/>
      <c r="C522" s="6"/>
      <c r="D522" s="6">
        <f t="shared" si="8"/>
        <v>0</v>
      </c>
    </row>
    <row r="523" spans="1:4" ht="18" hidden="1">
      <c r="A523" s="11" t="s">
        <v>201</v>
      </c>
      <c r="B523" s="6"/>
      <c r="C523" s="6"/>
      <c r="D523" s="6">
        <f t="shared" si="8"/>
        <v>0</v>
      </c>
    </row>
    <row r="524" spans="1:4" ht="18" hidden="1">
      <c r="A524" s="11" t="s">
        <v>202</v>
      </c>
      <c r="B524" s="6"/>
      <c r="C524" s="6"/>
      <c r="D524" s="6">
        <f t="shared" si="8"/>
        <v>0</v>
      </c>
    </row>
    <row r="525" spans="1:4" ht="18" hidden="1">
      <c r="A525" s="8" t="s">
        <v>203</v>
      </c>
      <c r="B525" s="6"/>
      <c r="C525" s="6"/>
      <c r="D525" s="6">
        <f t="shared" si="8"/>
        <v>0</v>
      </c>
    </row>
    <row r="526" spans="1:4" ht="18" hidden="1">
      <c r="A526" s="15" t="s">
        <v>204</v>
      </c>
      <c r="B526" s="6"/>
      <c r="C526" s="6"/>
      <c r="D526" s="6">
        <f t="shared" si="8"/>
        <v>0</v>
      </c>
    </row>
    <row r="527" spans="1:4" ht="18" hidden="1">
      <c r="A527" s="15" t="s">
        <v>205</v>
      </c>
      <c r="B527" s="6"/>
      <c r="C527" s="6"/>
      <c r="D527" s="6">
        <f t="shared" si="8"/>
        <v>0</v>
      </c>
    </row>
    <row r="528" spans="1:4" ht="18" hidden="1">
      <c r="A528" s="15" t="s">
        <v>206</v>
      </c>
      <c r="B528" s="6"/>
      <c r="C528" s="6"/>
      <c r="D528" s="6">
        <f t="shared" si="8"/>
        <v>0</v>
      </c>
    </row>
    <row r="529" spans="1:4" ht="18" hidden="1">
      <c r="A529" s="15" t="s">
        <v>207</v>
      </c>
      <c r="B529" s="6"/>
      <c r="C529" s="6"/>
      <c r="D529" s="6">
        <f t="shared" si="8"/>
        <v>0</v>
      </c>
    </row>
    <row r="530" spans="1:4" ht="18" hidden="1">
      <c r="A530" s="11" t="s">
        <v>208</v>
      </c>
      <c r="B530" s="6"/>
      <c r="C530" s="6"/>
      <c r="D530" s="6">
        <f t="shared" si="8"/>
        <v>0</v>
      </c>
    </row>
    <row r="531" spans="1:4" ht="18" hidden="1">
      <c r="A531" s="8" t="s">
        <v>209</v>
      </c>
      <c r="B531" s="6"/>
      <c r="C531" s="6"/>
      <c r="D531" s="6">
        <f t="shared" si="8"/>
        <v>0</v>
      </c>
    </row>
    <row r="532" spans="1:4" ht="18" hidden="1">
      <c r="A532" s="30" t="s">
        <v>210</v>
      </c>
      <c r="B532" s="6"/>
      <c r="C532" s="6"/>
      <c r="D532" s="6">
        <f t="shared" si="8"/>
        <v>0</v>
      </c>
    </row>
    <row r="533" spans="1:4" ht="18" hidden="1">
      <c r="A533" s="30" t="s">
        <v>211</v>
      </c>
      <c r="B533" s="6"/>
      <c r="C533" s="6"/>
      <c r="D533" s="6">
        <f t="shared" si="8"/>
        <v>0</v>
      </c>
    </row>
    <row r="534" spans="1:4" ht="18" hidden="1">
      <c r="A534" s="30" t="s">
        <v>212</v>
      </c>
      <c r="B534" s="6"/>
      <c r="C534" s="6"/>
      <c r="D534" s="6">
        <f t="shared" si="8"/>
        <v>0</v>
      </c>
    </row>
    <row r="535" spans="1:4" ht="18" hidden="1">
      <c r="A535" s="30" t="s">
        <v>213</v>
      </c>
      <c r="B535" s="6"/>
      <c r="C535" s="6"/>
      <c r="D535" s="6">
        <f t="shared" si="8"/>
        <v>0</v>
      </c>
    </row>
    <row r="536" spans="1:4" ht="18" hidden="1">
      <c r="A536" s="8" t="s">
        <v>214</v>
      </c>
      <c r="B536" s="6"/>
      <c r="C536" s="6"/>
      <c r="D536" s="6">
        <f t="shared" si="8"/>
        <v>0</v>
      </c>
    </row>
    <row r="537" spans="1:4" ht="18" hidden="1">
      <c r="A537" s="31" t="s">
        <v>215</v>
      </c>
      <c r="B537" s="6"/>
      <c r="C537" s="6"/>
      <c r="D537" s="6">
        <f t="shared" si="8"/>
        <v>0</v>
      </c>
    </row>
    <row r="538" spans="1:4" ht="18" hidden="1">
      <c r="A538" s="8" t="s">
        <v>216</v>
      </c>
      <c r="B538" s="6"/>
      <c r="C538" s="6"/>
      <c r="D538" s="6">
        <f t="shared" si="8"/>
        <v>0</v>
      </c>
    </row>
    <row r="539" spans="1:4" ht="18" hidden="1">
      <c r="A539" s="11" t="s">
        <v>217</v>
      </c>
      <c r="B539" s="6"/>
      <c r="C539" s="6"/>
      <c r="D539" s="6">
        <f t="shared" si="8"/>
        <v>0</v>
      </c>
    </row>
    <row r="540" spans="1:4" ht="18" hidden="1">
      <c r="A540" s="8" t="s">
        <v>366</v>
      </c>
      <c r="B540" s="6"/>
      <c r="C540" s="6"/>
      <c r="D540" s="6">
        <f t="shared" si="8"/>
        <v>0</v>
      </c>
    </row>
    <row r="541" spans="1:4" ht="18" hidden="1">
      <c r="A541" s="8" t="s">
        <v>218</v>
      </c>
      <c r="B541" s="6"/>
      <c r="C541" s="6"/>
      <c r="D541" s="6">
        <f t="shared" si="8"/>
        <v>0</v>
      </c>
    </row>
    <row r="542" spans="1:4" ht="18">
      <c r="A542" s="8" t="s">
        <v>219</v>
      </c>
      <c r="B542" s="6">
        <v>550</v>
      </c>
      <c r="C542" s="6">
        <v>14500</v>
      </c>
      <c r="D542" s="6">
        <f t="shared" si="8"/>
        <v>7975000</v>
      </c>
    </row>
    <row r="543" spans="1:4" ht="18" hidden="1">
      <c r="A543" s="32" t="s">
        <v>220</v>
      </c>
      <c r="B543" s="6"/>
      <c r="C543" s="6"/>
      <c r="D543" s="6">
        <f t="shared" si="8"/>
        <v>0</v>
      </c>
    </row>
    <row r="544" spans="1:4" ht="18" hidden="1">
      <c r="A544" s="32" t="s">
        <v>221</v>
      </c>
      <c r="B544" s="6"/>
      <c r="C544" s="6"/>
      <c r="D544" s="6">
        <f t="shared" si="8"/>
        <v>0</v>
      </c>
    </row>
    <row r="545" spans="1:4" ht="18" hidden="1">
      <c r="A545" s="8" t="s">
        <v>222</v>
      </c>
      <c r="B545" s="6"/>
      <c r="C545" s="6"/>
      <c r="D545" s="6">
        <f t="shared" si="8"/>
        <v>0</v>
      </c>
    </row>
    <row r="546" spans="1:4" ht="18" hidden="1">
      <c r="A546" s="10" t="s">
        <v>223</v>
      </c>
      <c r="B546" s="6"/>
      <c r="C546" s="6"/>
      <c r="D546" s="6">
        <f t="shared" si="8"/>
        <v>0</v>
      </c>
    </row>
    <row r="547" spans="1:4" ht="18" hidden="1">
      <c r="A547" s="8" t="s">
        <v>224</v>
      </c>
      <c r="B547" s="6"/>
      <c r="C547" s="6"/>
      <c r="D547" s="6">
        <f t="shared" si="8"/>
        <v>0</v>
      </c>
    </row>
    <row r="548" spans="1:4" ht="18" hidden="1">
      <c r="A548" s="10" t="s">
        <v>367</v>
      </c>
      <c r="B548" s="6"/>
      <c r="C548" s="6"/>
      <c r="D548" s="6">
        <f t="shared" si="8"/>
        <v>0</v>
      </c>
    </row>
    <row r="549" spans="1:4" ht="18" hidden="1">
      <c r="A549" s="8" t="s">
        <v>225</v>
      </c>
      <c r="B549" s="6"/>
      <c r="C549" s="6"/>
      <c r="D549" s="6">
        <f t="shared" si="8"/>
        <v>0</v>
      </c>
    </row>
    <row r="550" spans="1:4" ht="18" hidden="1">
      <c r="A550" s="8" t="s">
        <v>226</v>
      </c>
      <c r="B550" s="6"/>
      <c r="C550" s="6"/>
      <c r="D550" s="6">
        <f t="shared" si="8"/>
        <v>0</v>
      </c>
    </row>
    <row r="551" spans="1:4" ht="18" hidden="1">
      <c r="A551" s="8" t="s">
        <v>368</v>
      </c>
      <c r="B551" s="6"/>
      <c r="C551" s="6"/>
      <c r="D551" s="6">
        <f t="shared" si="8"/>
        <v>0</v>
      </c>
    </row>
    <row r="552" spans="1:4" ht="18" hidden="1">
      <c r="A552" s="8" t="s">
        <v>369</v>
      </c>
      <c r="B552" s="6"/>
      <c r="C552" s="6"/>
      <c r="D552" s="6">
        <f t="shared" si="8"/>
        <v>0</v>
      </c>
    </row>
    <row r="553" spans="1:4" ht="18" hidden="1">
      <c r="A553" s="8" t="s">
        <v>227</v>
      </c>
      <c r="B553" s="6"/>
      <c r="C553" s="6"/>
      <c r="D553" s="6">
        <f t="shared" si="8"/>
        <v>0</v>
      </c>
    </row>
    <row r="554" spans="1:4" ht="18" hidden="1">
      <c r="A554" s="33" t="s">
        <v>228</v>
      </c>
      <c r="B554" s="6"/>
      <c r="C554" s="6"/>
      <c r="D554" s="6">
        <f t="shared" si="8"/>
        <v>0</v>
      </c>
    </row>
    <row r="555" spans="1:4" ht="18" hidden="1">
      <c r="A555" s="8" t="s">
        <v>229</v>
      </c>
      <c r="B555" s="6"/>
      <c r="C555" s="6"/>
      <c r="D555" s="6">
        <f t="shared" si="8"/>
        <v>0</v>
      </c>
    </row>
    <row r="556" spans="1:4" ht="18">
      <c r="A556" s="8" t="s">
        <v>230</v>
      </c>
      <c r="B556" s="6">
        <f>80+140+180-150</f>
        <v>250</v>
      </c>
      <c r="C556" s="6">
        <v>16000</v>
      </c>
      <c r="D556" s="6">
        <f t="shared" si="8"/>
        <v>4000000</v>
      </c>
    </row>
    <row r="557" spans="1:4" ht="18" hidden="1">
      <c r="A557" s="8" t="s">
        <v>231</v>
      </c>
      <c r="B557" s="6"/>
      <c r="C557" s="6"/>
      <c r="D557" s="6">
        <f t="shared" si="8"/>
        <v>0</v>
      </c>
    </row>
    <row r="558" spans="1:4" ht="18" hidden="1">
      <c r="A558" s="8" t="s">
        <v>370</v>
      </c>
      <c r="B558" s="6"/>
      <c r="C558" s="6"/>
      <c r="D558" s="6">
        <f t="shared" si="8"/>
        <v>0</v>
      </c>
    </row>
    <row r="559" spans="1:4" ht="18" hidden="1">
      <c r="A559" s="8" t="s">
        <v>232</v>
      </c>
      <c r="B559" s="6"/>
      <c r="C559" s="6"/>
      <c r="D559" s="6">
        <f t="shared" si="8"/>
        <v>0</v>
      </c>
    </row>
    <row r="560" spans="1:4" ht="18" hidden="1">
      <c r="A560" s="15" t="s">
        <v>233</v>
      </c>
      <c r="B560" s="6"/>
      <c r="C560" s="6"/>
      <c r="D560" s="6">
        <f t="shared" si="8"/>
        <v>0</v>
      </c>
    </row>
    <row r="561" spans="1:4" ht="18" hidden="1">
      <c r="A561" s="15" t="s">
        <v>234</v>
      </c>
      <c r="B561" s="6"/>
      <c r="C561" s="6"/>
      <c r="D561" s="6">
        <f t="shared" si="8"/>
        <v>0</v>
      </c>
    </row>
    <row r="562" spans="1:4" ht="18" hidden="1">
      <c r="A562" s="15" t="s">
        <v>235</v>
      </c>
      <c r="B562" s="6"/>
      <c r="C562" s="6"/>
      <c r="D562" s="6">
        <f t="shared" si="8"/>
        <v>0</v>
      </c>
    </row>
    <row r="563" spans="1:4" ht="18" hidden="1">
      <c r="A563" s="15" t="s">
        <v>236</v>
      </c>
      <c r="B563" s="6"/>
      <c r="C563" s="6"/>
      <c r="D563" s="6">
        <f t="shared" si="8"/>
        <v>0</v>
      </c>
    </row>
    <row r="564" spans="1:4" ht="18" hidden="1">
      <c r="A564" s="8" t="s">
        <v>237</v>
      </c>
      <c r="B564" s="6"/>
      <c r="C564" s="6"/>
      <c r="D564" s="6">
        <f t="shared" si="8"/>
        <v>0</v>
      </c>
    </row>
    <row r="565" spans="1:4" ht="18" hidden="1">
      <c r="A565" s="8" t="s">
        <v>238</v>
      </c>
      <c r="B565" s="6"/>
      <c r="C565" s="6"/>
      <c r="D565" s="6">
        <f t="shared" si="8"/>
        <v>0</v>
      </c>
    </row>
    <row r="566" spans="1:4" ht="18" hidden="1">
      <c r="A566" s="15" t="s">
        <v>239</v>
      </c>
      <c r="B566" s="6"/>
      <c r="C566" s="6"/>
      <c r="D566" s="6">
        <f t="shared" si="8"/>
        <v>0</v>
      </c>
    </row>
    <row r="567" spans="1:4" ht="18" hidden="1">
      <c r="A567" s="15" t="s">
        <v>240</v>
      </c>
      <c r="B567" s="6"/>
      <c r="C567" s="6"/>
      <c r="D567" s="6">
        <f t="shared" si="8"/>
        <v>0</v>
      </c>
    </row>
    <row r="568" spans="1:4" ht="18" hidden="1">
      <c r="A568" s="10" t="s">
        <v>241</v>
      </c>
      <c r="B568" s="6"/>
      <c r="C568" s="6"/>
      <c r="D568" s="6">
        <f t="shared" si="8"/>
        <v>0</v>
      </c>
    </row>
    <row r="569" spans="1:4" ht="18" hidden="1">
      <c r="A569" s="11" t="s">
        <v>242</v>
      </c>
      <c r="B569" s="6"/>
      <c r="C569" s="6"/>
      <c r="D569" s="6">
        <f t="shared" si="8"/>
        <v>0</v>
      </c>
    </row>
    <row r="570" spans="1:4" ht="18" hidden="1">
      <c r="A570" s="19" t="s">
        <v>371</v>
      </c>
      <c r="B570" s="6"/>
      <c r="C570" s="6"/>
      <c r="D570" s="6">
        <f t="shared" si="8"/>
        <v>0</v>
      </c>
    </row>
    <row r="571" spans="1:4" ht="18" hidden="1">
      <c r="A571" s="19" t="s">
        <v>372</v>
      </c>
      <c r="B571" s="6"/>
      <c r="C571" s="6"/>
      <c r="D571" s="6">
        <f t="shared" si="8"/>
        <v>0</v>
      </c>
    </row>
    <row r="572" spans="1:4" ht="18" hidden="1">
      <c r="A572" s="10" t="s">
        <v>247</v>
      </c>
      <c r="B572" s="6"/>
      <c r="C572" s="6"/>
      <c r="D572" s="6">
        <f t="shared" si="8"/>
        <v>0</v>
      </c>
    </row>
    <row r="573" spans="1:4" ht="18" hidden="1">
      <c r="A573" s="8" t="s">
        <v>252</v>
      </c>
      <c r="B573" s="6"/>
      <c r="C573" s="6"/>
      <c r="D573" s="6">
        <f t="shared" si="8"/>
        <v>0</v>
      </c>
    </row>
    <row r="574" spans="1:4" ht="18" hidden="1">
      <c r="A574" s="8" t="s">
        <v>253</v>
      </c>
      <c r="B574" s="6"/>
      <c r="C574" s="6"/>
      <c r="D574" s="6">
        <f t="shared" si="8"/>
        <v>0</v>
      </c>
    </row>
    <row r="575" spans="1:4" ht="18" hidden="1">
      <c r="A575" s="12" t="s">
        <v>254</v>
      </c>
      <c r="B575" s="6"/>
      <c r="C575" s="6"/>
      <c r="D575" s="6">
        <f t="shared" si="8"/>
        <v>0</v>
      </c>
    </row>
    <row r="576" spans="1:4" ht="18" hidden="1">
      <c r="A576" s="12" t="s">
        <v>255</v>
      </c>
      <c r="B576" s="6"/>
      <c r="C576" s="6"/>
      <c r="D576" s="6">
        <f t="shared" si="8"/>
        <v>0</v>
      </c>
    </row>
    <row r="577" spans="1:4" ht="18" hidden="1">
      <c r="A577" s="30" t="s">
        <v>256</v>
      </c>
      <c r="B577" s="6"/>
      <c r="C577" s="6"/>
      <c r="D577" s="6">
        <f t="shared" si="8"/>
        <v>0</v>
      </c>
    </row>
    <row r="578" spans="1:4" ht="18" hidden="1">
      <c r="A578" s="8" t="s">
        <v>257</v>
      </c>
      <c r="B578" s="6"/>
      <c r="C578" s="6"/>
      <c r="D578" s="6">
        <f t="shared" si="8"/>
        <v>0</v>
      </c>
    </row>
    <row r="579" spans="1:4" ht="18" hidden="1">
      <c r="A579" s="8" t="s">
        <v>258</v>
      </c>
      <c r="B579" s="6"/>
      <c r="C579" s="6"/>
      <c r="D579" s="6">
        <f t="shared" si="8"/>
        <v>0</v>
      </c>
    </row>
    <row r="580" spans="1:4" ht="18" hidden="1">
      <c r="A580" s="8" t="s">
        <v>259</v>
      </c>
      <c r="B580" s="14"/>
      <c r="C580" s="14"/>
      <c r="D580" s="6">
        <f t="shared" ref="D580:D643" si="9">B580*C580</f>
        <v>0</v>
      </c>
    </row>
    <row r="581" spans="1:4" ht="18" hidden="1">
      <c r="A581" s="30" t="s">
        <v>260</v>
      </c>
      <c r="B581" s="6"/>
      <c r="C581" s="6"/>
      <c r="D581" s="6">
        <f t="shared" si="9"/>
        <v>0</v>
      </c>
    </row>
    <row r="582" spans="1:4" ht="18" hidden="1">
      <c r="A582" s="8" t="s">
        <v>261</v>
      </c>
      <c r="B582" s="14"/>
      <c r="C582" s="14"/>
      <c r="D582" s="6">
        <f t="shared" si="9"/>
        <v>0</v>
      </c>
    </row>
    <row r="583" spans="1:4" ht="18" hidden="1">
      <c r="A583" s="8" t="s">
        <v>262</v>
      </c>
      <c r="B583" s="6"/>
      <c r="C583" s="6"/>
      <c r="D583" s="6">
        <f t="shared" si="9"/>
        <v>0</v>
      </c>
    </row>
    <row r="584" spans="1:4" ht="18" hidden="1">
      <c r="A584" s="10" t="s">
        <v>264</v>
      </c>
      <c r="B584" s="6"/>
      <c r="C584" s="6"/>
      <c r="D584" s="6">
        <f t="shared" si="9"/>
        <v>0</v>
      </c>
    </row>
    <row r="585" spans="1:4" ht="18" hidden="1">
      <c r="A585" s="8" t="s">
        <v>265</v>
      </c>
      <c r="B585" s="6"/>
      <c r="C585" s="6"/>
      <c r="D585" s="6">
        <f t="shared" si="9"/>
        <v>0</v>
      </c>
    </row>
    <row r="586" spans="1:4" ht="18" hidden="1">
      <c r="A586" s="8" t="s">
        <v>266</v>
      </c>
      <c r="B586" s="6"/>
      <c r="C586" s="6"/>
      <c r="D586" s="6">
        <f t="shared" si="9"/>
        <v>0</v>
      </c>
    </row>
    <row r="587" spans="1:4" ht="18" hidden="1">
      <c r="A587" s="8" t="s">
        <v>267</v>
      </c>
      <c r="B587" s="6"/>
      <c r="C587" s="6"/>
      <c r="D587" s="6">
        <f t="shared" si="9"/>
        <v>0</v>
      </c>
    </row>
    <row r="588" spans="1:4" ht="18" hidden="1">
      <c r="A588" s="8" t="s">
        <v>268</v>
      </c>
      <c r="B588" s="6"/>
      <c r="C588" s="6"/>
      <c r="D588" s="6">
        <f t="shared" si="9"/>
        <v>0</v>
      </c>
    </row>
    <row r="589" spans="1:4" ht="18" hidden="1">
      <c r="A589" s="8" t="s">
        <v>269</v>
      </c>
      <c r="B589" s="6"/>
      <c r="C589" s="6"/>
      <c r="D589" s="6">
        <f t="shared" si="9"/>
        <v>0</v>
      </c>
    </row>
    <row r="590" spans="1:4" ht="18" hidden="1">
      <c r="A590" s="15" t="s">
        <v>270</v>
      </c>
      <c r="B590" s="6"/>
      <c r="C590" s="6"/>
      <c r="D590" s="6">
        <f t="shared" si="9"/>
        <v>0</v>
      </c>
    </row>
    <row r="591" spans="1:4" ht="18" hidden="1">
      <c r="A591" s="19" t="s">
        <v>271</v>
      </c>
      <c r="B591" s="6"/>
      <c r="C591" s="6"/>
      <c r="D591" s="6">
        <f t="shared" si="9"/>
        <v>0</v>
      </c>
    </row>
    <row r="592" spans="1:4" ht="18" hidden="1">
      <c r="A592" s="19" t="s">
        <v>272</v>
      </c>
      <c r="B592" s="6"/>
      <c r="C592" s="6"/>
      <c r="D592" s="6">
        <f t="shared" si="9"/>
        <v>0</v>
      </c>
    </row>
    <row r="593" spans="1:4" ht="18" hidden="1">
      <c r="A593" s="8" t="s">
        <v>273</v>
      </c>
      <c r="B593" s="6"/>
      <c r="C593" s="6"/>
      <c r="D593" s="6">
        <f t="shared" si="9"/>
        <v>0</v>
      </c>
    </row>
    <row r="594" spans="1:4" ht="18" hidden="1">
      <c r="A594" s="8" t="s">
        <v>274</v>
      </c>
      <c r="B594" s="6"/>
      <c r="C594" s="6"/>
      <c r="D594" s="6">
        <f t="shared" si="9"/>
        <v>0</v>
      </c>
    </row>
    <row r="595" spans="1:4" ht="18" hidden="1">
      <c r="A595" s="8" t="s">
        <v>275</v>
      </c>
      <c r="B595" s="6"/>
      <c r="C595" s="6"/>
      <c r="D595" s="6">
        <f t="shared" si="9"/>
        <v>0</v>
      </c>
    </row>
    <row r="596" spans="1:4" ht="18" hidden="1">
      <c r="A596" s="8" t="s">
        <v>276</v>
      </c>
      <c r="B596" s="6"/>
      <c r="C596" s="6"/>
      <c r="D596" s="6">
        <f t="shared" si="9"/>
        <v>0</v>
      </c>
    </row>
    <row r="597" spans="1:4" ht="18" hidden="1">
      <c r="A597" s="8" t="s">
        <v>277</v>
      </c>
      <c r="B597" s="6"/>
      <c r="C597" s="6"/>
      <c r="D597" s="6">
        <f t="shared" si="9"/>
        <v>0</v>
      </c>
    </row>
    <row r="598" spans="1:4" ht="18" hidden="1">
      <c r="A598" s="8" t="s">
        <v>278</v>
      </c>
      <c r="B598" s="6"/>
      <c r="C598" s="6"/>
      <c r="D598" s="6">
        <f t="shared" si="9"/>
        <v>0</v>
      </c>
    </row>
    <row r="599" spans="1:4" ht="18" hidden="1">
      <c r="A599" s="8" t="s">
        <v>279</v>
      </c>
      <c r="B599" s="6"/>
      <c r="C599" s="6"/>
      <c r="D599" s="6">
        <f t="shared" si="9"/>
        <v>0</v>
      </c>
    </row>
    <row r="600" spans="1:4" ht="18" hidden="1">
      <c r="A600" s="8" t="s">
        <v>280</v>
      </c>
      <c r="B600" s="14"/>
      <c r="C600" s="14"/>
      <c r="D600" s="6">
        <f t="shared" si="9"/>
        <v>0</v>
      </c>
    </row>
    <row r="601" spans="1:4" ht="18" hidden="1">
      <c r="A601" s="12" t="s">
        <v>281</v>
      </c>
      <c r="B601" s="6"/>
      <c r="C601" s="6"/>
      <c r="D601" s="6">
        <f t="shared" si="9"/>
        <v>0</v>
      </c>
    </row>
    <row r="602" spans="1:4" ht="18" hidden="1">
      <c r="A602" s="8" t="s">
        <v>282</v>
      </c>
      <c r="B602" s="6"/>
      <c r="C602" s="6"/>
      <c r="D602" s="6">
        <f t="shared" si="9"/>
        <v>0</v>
      </c>
    </row>
    <row r="603" spans="1:4" ht="18" hidden="1">
      <c r="A603" s="10" t="s">
        <v>373</v>
      </c>
      <c r="B603" s="6"/>
      <c r="C603" s="6"/>
      <c r="D603" s="6">
        <f t="shared" si="9"/>
        <v>0</v>
      </c>
    </row>
    <row r="604" spans="1:4" ht="18" hidden="1">
      <c r="A604" s="10" t="s">
        <v>283</v>
      </c>
      <c r="B604" s="6"/>
      <c r="C604" s="6"/>
      <c r="D604" s="6">
        <f t="shared" si="9"/>
        <v>0</v>
      </c>
    </row>
    <row r="605" spans="1:4" ht="18" hidden="1">
      <c r="A605" s="8" t="s">
        <v>284</v>
      </c>
      <c r="B605" s="6"/>
      <c r="C605" s="6"/>
      <c r="D605" s="6">
        <f t="shared" si="9"/>
        <v>0</v>
      </c>
    </row>
    <row r="606" spans="1:4" ht="18" hidden="1">
      <c r="A606" s="8" t="s">
        <v>374</v>
      </c>
      <c r="B606" s="6"/>
      <c r="C606" s="6"/>
      <c r="D606" s="6">
        <f t="shared" si="9"/>
        <v>0</v>
      </c>
    </row>
    <row r="607" spans="1:4" ht="18" hidden="1">
      <c r="A607" s="8" t="s">
        <v>285</v>
      </c>
      <c r="B607" s="6"/>
      <c r="C607" s="6"/>
      <c r="D607" s="6">
        <f t="shared" si="9"/>
        <v>0</v>
      </c>
    </row>
    <row r="608" spans="1:4" ht="18" hidden="1">
      <c r="A608" s="8" t="s">
        <v>375</v>
      </c>
      <c r="B608" s="6"/>
      <c r="C608" s="6"/>
      <c r="D608" s="6">
        <f t="shared" si="9"/>
        <v>0</v>
      </c>
    </row>
    <row r="609" spans="1:4" ht="18" hidden="1">
      <c r="A609" s="8" t="s">
        <v>287</v>
      </c>
      <c r="B609" s="6"/>
      <c r="C609" s="6"/>
      <c r="D609" s="6">
        <f t="shared" si="9"/>
        <v>0</v>
      </c>
    </row>
    <row r="610" spans="1:4" ht="18" hidden="1">
      <c r="A610" s="8" t="s">
        <v>288</v>
      </c>
      <c r="B610" s="6"/>
      <c r="C610" s="6"/>
      <c r="D610" s="6">
        <f t="shared" si="9"/>
        <v>0</v>
      </c>
    </row>
    <row r="611" spans="1:4" ht="18" hidden="1">
      <c r="A611" s="8" t="s">
        <v>289</v>
      </c>
      <c r="B611" s="6"/>
      <c r="C611" s="6"/>
      <c r="D611" s="6">
        <f t="shared" si="9"/>
        <v>0</v>
      </c>
    </row>
    <row r="612" spans="1:4" ht="18" hidden="1">
      <c r="A612" s="30" t="s">
        <v>291</v>
      </c>
      <c r="B612" s="6"/>
      <c r="C612" s="6"/>
      <c r="D612" s="6">
        <f t="shared" si="9"/>
        <v>0</v>
      </c>
    </row>
    <row r="613" spans="1:4" ht="18" hidden="1">
      <c r="A613" s="8" t="s">
        <v>292</v>
      </c>
      <c r="B613" s="6"/>
      <c r="C613" s="6"/>
      <c r="D613" s="6">
        <f t="shared" si="9"/>
        <v>0</v>
      </c>
    </row>
    <row r="614" spans="1:4" ht="18" hidden="1">
      <c r="A614" s="30" t="s">
        <v>293</v>
      </c>
      <c r="B614" s="6"/>
      <c r="C614" s="6"/>
      <c r="D614" s="6">
        <f t="shared" si="9"/>
        <v>0</v>
      </c>
    </row>
    <row r="615" spans="1:4" ht="18" hidden="1">
      <c r="A615" s="10" t="s">
        <v>376</v>
      </c>
      <c r="B615" s="6"/>
      <c r="C615" s="6"/>
      <c r="D615" s="6">
        <f t="shared" si="9"/>
        <v>0</v>
      </c>
    </row>
    <row r="616" spans="1:4" ht="18" hidden="1">
      <c r="A616" s="30" t="s">
        <v>294</v>
      </c>
      <c r="B616" s="6"/>
      <c r="C616" s="6"/>
      <c r="D616" s="6">
        <f t="shared" si="9"/>
        <v>0</v>
      </c>
    </row>
    <row r="617" spans="1:4" ht="18" hidden="1">
      <c r="A617" s="11" t="s">
        <v>295</v>
      </c>
      <c r="B617" s="14"/>
      <c r="C617" s="14"/>
      <c r="D617" s="6">
        <f t="shared" si="9"/>
        <v>0</v>
      </c>
    </row>
    <row r="618" spans="1:4" ht="18" hidden="1">
      <c r="A618" s="15" t="s">
        <v>299</v>
      </c>
      <c r="B618" s="6"/>
      <c r="C618" s="6"/>
      <c r="D618" s="6">
        <f t="shared" si="9"/>
        <v>0</v>
      </c>
    </row>
    <row r="619" spans="1:4" ht="18" hidden="1">
      <c r="A619" s="15" t="s">
        <v>300</v>
      </c>
      <c r="B619" s="6"/>
      <c r="C619" s="6"/>
      <c r="D619" s="6">
        <f t="shared" si="9"/>
        <v>0</v>
      </c>
    </row>
    <row r="620" spans="1:4" ht="18" hidden="1">
      <c r="A620" s="15" t="s">
        <v>301</v>
      </c>
      <c r="B620" s="6"/>
      <c r="C620" s="6"/>
      <c r="D620" s="6">
        <f t="shared" si="9"/>
        <v>0</v>
      </c>
    </row>
    <row r="621" spans="1:4" ht="18" hidden="1">
      <c r="A621" s="8" t="s">
        <v>302</v>
      </c>
      <c r="B621" s="6"/>
      <c r="C621" s="6"/>
      <c r="D621" s="6">
        <f t="shared" si="9"/>
        <v>0</v>
      </c>
    </row>
    <row r="622" spans="1:4" ht="18" hidden="1">
      <c r="A622" s="15" t="s">
        <v>303</v>
      </c>
      <c r="B622" s="6"/>
      <c r="C622" s="6"/>
      <c r="D622" s="6">
        <f t="shared" si="9"/>
        <v>0</v>
      </c>
    </row>
    <row r="623" spans="1:4" ht="18" hidden="1">
      <c r="A623" s="8" t="s">
        <v>304</v>
      </c>
      <c r="B623" s="6"/>
      <c r="C623" s="6"/>
      <c r="D623" s="6">
        <f t="shared" si="9"/>
        <v>0</v>
      </c>
    </row>
    <row r="624" spans="1:4" ht="18" hidden="1">
      <c r="A624" s="8" t="s">
        <v>305</v>
      </c>
      <c r="B624" s="6"/>
      <c r="C624" s="6"/>
      <c r="D624" s="6">
        <f t="shared" si="9"/>
        <v>0</v>
      </c>
    </row>
    <row r="625" spans="1:4" ht="18" hidden="1">
      <c r="A625" s="15" t="s">
        <v>306</v>
      </c>
      <c r="B625" s="6"/>
      <c r="C625" s="6"/>
      <c r="D625" s="6">
        <f t="shared" si="9"/>
        <v>0</v>
      </c>
    </row>
    <row r="626" spans="1:4" ht="18" hidden="1">
      <c r="A626" s="23" t="s">
        <v>307</v>
      </c>
      <c r="B626" s="6"/>
      <c r="C626" s="6"/>
      <c r="D626" s="6">
        <f t="shared" si="9"/>
        <v>0</v>
      </c>
    </row>
    <row r="627" spans="1:4" ht="18" hidden="1">
      <c r="A627" s="8" t="s">
        <v>308</v>
      </c>
      <c r="B627" s="6"/>
      <c r="C627" s="6"/>
      <c r="D627" s="6">
        <f t="shared" si="9"/>
        <v>0</v>
      </c>
    </row>
    <row r="628" spans="1:4" ht="18" hidden="1">
      <c r="A628" s="12" t="s">
        <v>309</v>
      </c>
      <c r="B628" s="6"/>
      <c r="C628" s="6"/>
      <c r="D628" s="6">
        <f t="shared" si="9"/>
        <v>0</v>
      </c>
    </row>
    <row r="629" spans="1:4" ht="18" hidden="1">
      <c r="A629" s="11" t="s">
        <v>311</v>
      </c>
      <c r="B629" s="6"/>
      <c r="C629" s="6"/>
      <c r="D629" s="6">
        <f t="shared" si="9"/>
        <v>0</v>
      </c>
    </row>
    <row r="630" spans="1:4" ht="18" hidden="1">
      <c r="A630" s="15" t="s">
        <v>312</v>
      </c>
      <c r="B630" s="6"/>
      <c r="C630" s="6"/>
      <c r="D630" s="6">
        <f t="shared" si="9"/>
        <v>0</v>
      </c>
    </row>
    <row r="631" spans="1:4" ht="18" hidden="1">
      <c r="A631" s="12" t="s">
        <v>313</v>
      </c>
      <c r="B631" s="6"/>
      <c r="C631" s="6"/>
      <c r="D631" s="6">
        <f t="shared" si="9"/>
        <v>0</v>
      </c>
    </row>
    <row r="632" spans="1:4" ht="18" hidden="1">
      <c r="A632" s="8" t="s">
        <v>314</v>
      </c>
      <c r="B632" s="6"/>
      <c r="C632" s="6"/>
      <c r="D632" s="6">
        <f t="shared" si="9"/>
        <v>0</v>
      </c>
    </row>
    <row r="633" spans="1:4" ht="18" hidden="1">
      <c r="A633" s="15" t="s">
        <v>315</v>
      </c>
      <c r="B633" s="6"/>
      <c r="C633" s="6"/>
      <c r="D633" s="6">
        <f t="shared" si="9"/>
        <v>0</v>
      </c>
    </row>
    <row r="634" spans="1:4" ht="18" hidden="1">
      <c r="A634" s="11" t="s">
        <v>377</v>
      </c>
      <c r="B634" s="6"/>
      <c r="C634" s="6"/>
      <c r="D634" s="6">
        <f t="shared" si="9"/>
        <v>0</v>
      </c>
    </row>
    <row r="635" spans="1:4" ht="18" hidden="1">
      <c r="A635" s="8" t="s">
        <v>378</v>
      </c>
      <c r="B635" s="6"/>
      <c r="C635" s="6"/>
      <c r="D635" s="6">
        <f t="shared" si="9"/>
        <v>0</v>
      </c>
    </row>
    <row r="636" spans="1:4" ht="18" hidden="1">
      <c r="A636" s="10" t="s">
        <v>318</v>
      </c>
      <c r="B636" s="6"/>
      <c r="C636" s="6"/>
      <c r="D636" s="6">
        <f t="shared" si="9"/>
        <v>0</v>
      </c>
    </row>
    <row r="637" spans="1:4" ht="18" hidden="1">
      <c r="A637" s="8" t="s">
        <v>379</v>
      </c>
      <c r="B637" s="6"/>
      <c r="C637" s="6"/>
      <c r="D637" s="6">
        <f t="shared" si="9"/>
        <v>0</v>
      </c>
    </row>
    <row r="638" spans="1:4" ht="18" hidden="1">
      <c r="A638" s="11" t="s">
        <v>319</v>
      </c>
      <c r="B638" s="6"/>
      <c r="C638" s="6"/>
      <c r="D638" s="6">
        <f t="shared" si="9"/>
        <v>0</v>
      </c>
    </row>
    <row r="639" spans="1:4" ht="18" hidden="1">
      <c r="A639" s="11" t="s">
        <v>320</v>
      </c>
      <c r="B639" s="6"/>
      <c r="C639" s="6"/>
      <c r="D639" s="6">
        <f t="shared" si="9"/>
        <v>0</v>
      </c>
    </row>
    <row r="640" spans="1:4" ht="18" hidden="1">
      <c r="A640" s="8" t="s">
        <v>321</v>
      </c>
      <c r="B640" s="6"/>
      <c r="C640" s="6"/>
      <c r="D640" s="6">
        <f t="shared" si="9"/>
        <v>0</v>
      </c>
    </row>
    <row r="641" spans="1:4" ht="18" hidden="1">
      <c r="A641" s="8" t="s">
        <v>322</v>
      </c>
      <c r="B641" s="6"/>
      <c r="C641" s="6"/>
      <c r="D641" s="6">
        <f t="shared" si="9"/>
        <v>0</v>
      </c>
    </row>
    <row r="642" spans="1:4" ht="18" hidden="1">
      <c r="A642" s="8" t="s">
        <v>323</v>
      </c>
      <c r="B642" s="6"/>
      <c r="C642" s="6"/>
      <c r="D642" s="6">
        <f t="shared" si="9"/>
        <v>0</v>
      </c>
    </row>
    <row r="643" spans="1:4" ht="18" hidden="1">
      <c r="A643" s="12" t="s">
        <v>324</v>
      </c>
      <c r="B643" s="6"/>
      <c r="C643" s="6"/>
      <c r="D643" s="6">
        <f t="shared" si="9"/>
        <v>0</v>
      </c>
    </row>
    <row r="644" spans="1:4" ht="18" hidden="1">
      <c r="A644" s="12" t="s">
        <v>325</v>
      </c>
      <c r="B644" s="6"/>
      <c r="C644" s="6"/>
      <c r="D644" s="6">
        <f t="shared" ref="D644:D671" si="10">B644*C644</f>
        <v>0</v>
      </c>
    </row>
    <row r="645" spans="1:4" ht="18" hidden="1">
      <c r="A645" s="19" t="s">
        <v>326</v>
      </c>
      <c r="B645" s="6"/>
      <c r="C645" s="6"/>
      <c r="D645" s="6">
        <f t="shared" si="10"/>
        <v>0</v>
      </c>
    </row>
    <row r="646" spans="1:4" ht="18" hidden="1">
      <c r="A646" s="12" t="s">
        <v>327</v>
      </c>
      <c r="B646" s="6"/>
      <c r="C646" s="6"/>
      <c r="D646" s="6">
        <f t="shared" si="10"/>
        <v>0</v>
      </c>
    </row>
    <row r="647" spans="1:4" ht="18" hidden="1">
      <c r="A647" s="8" t="s">
        <v>328</v>
      </c>
      <c r="B647" s="6"/>
      <c r="C647" s="6"/>
      <c r="D647" s="6">
        <f t="shared" si="10"/>
        <v>0</v>
      </c>
    </row>
    <row r="648" spans="1:4" ht="18" hidden="1">
      <c r="A648" s="8" t="s">
        <v>329</v>
      </c>
      <c r="B648" s="6"/>
      <c r="C648" s="6"/>
      <c r="D648" s="6">
        <f t="shared" si="10"/>
        <v>0</v>
      </c>
    </row>
    <row r="649" spans="1:4" ht="18" hidden="1">
      <c r="A649" s="8" t="s">
        <v>330</v>
      </c>
      <c r="B649" s="6"/>
      <c r="C649" s="6"/>
      <c r="D649" s="6">
        <f t="shared" si="10"/>
        <v>0</v>
      </c>
    </row>
    <row r="650" spans="1:4" ht="18" hidden="1">
      <c r="A650" s="8" t="s">
        <v>331</v>
      </c>
      <c r="B650" s="6"/>
      <c r="C650" s="6"/>
      <c r="D650" s="6">
        <f t="shared" si="10"/>
        <v>0</v>
      </c>
    </row>
    <row r="651" spans="1:4" ht="18" hidden="1">
      <c r="A651" s="19" t="s">
        <v>332</v>
      </c>
      <c r="B651" s="6"/>
      <c r="C651" s="6"/>
      <c r="D651" s="6">
        <f t="shared" si="10"/>
        <v>0</v>
      </c>
    </row>
    <row r="652" spans="1:4" ht="18" hidden="1">
      <c r="A652" s="8" t="s">
        <v>333</v>
      </c>
      <c r="B652" s="6"/>
      <c r="C652" s="6"/>
      <c r="D652" s="6">
        <f t="shared" si="10"/>
        <v>0</v>
      </c>
    </row>
    <row r="653" spans="1:4" ht="18" hidden="1">
      <c r="A653" s="8" t="s">
        <v>334</v>
      </c>
      <c r="B653" s="6"/>
      <c r="C653" s="6"/>
      <c r="D653" s="6">
        <f t="shared" si="10"/>
        <v>0</v>
      </c>
    </row>
    <row r="654" spans="1:4" ht="18" hidden="1">
      <c r="A654" s="11" t="s">
        <v>335</v>
      </c>
      <c r="B654" s="6"/>
      <c r="C654" s="6"/>
      <c r="D654" s="6">
        <f t="shared" si="10"/>
        <v>0</v>
      </c>
    </row>
    <row r="655" spans="1:4" ht="18" hidden="1">
      <c r="A655" s="8" t="s">
        <v>336</v>
      </c>
      <c r="B655" s="34"/>
      <c r="C655" s="34"/>
      <c r="D655" s="6">
        <f t="shared" si="10"/>
        <v>0</v>
      </c>
    </row>
    <row r="656" spans="1:4" ht="18" hidden="1">
      <c r="A656" s="8" t="s">
        <v>337</v>
      </c>
      <c r="B656" s="6"/>
      <c r="C656" s="6"/>
      <c r="D656" s="6">
        <f t="shared" si="10"/>
        <v>0</v>
      </c>
    </row>
    <row r="657" spans="1:4" ht="18" hidden="1">
      <c r="A657" s="8" t="s">
        <v>338</v>
      </c>
      <c r="B657" s="6"/>
      <c r="C657" s="6"/>
      <c r="D657" s="6">
        <f t="shared" si="10"/>
        <v>0</v>
      </c>
    </row>
    <row r="658" spans="1:4" ht="18" hidden="1">
      <c r="A658" s="19" t="s">
        <v>339</v>
      </c>
      <c r="B658" s="6"/>
      <c r="C658" s="6"/>
      <c r="D658" s="6">
        <f t="shared" si="10"/>
        <v>0</v>
      </c>
    </row>
    <row r="659" spans="1:4" ht="18" hidden="1">
      <c r="A659" s="19" t="s">
        <v>340</v>
      </c>
      <c r="B659" s="6"/>
      <c r="C659" s="6"/>
      <c r="D659" s="6">
        <f t="shared" si="10"/>
        <v>0</v>
      </c>
    </row>
    <row r="660" spans="1:4" ht="18" hidden="1">
      <c r="A660" s="8" t="s">
        <v>341</v>
      </c>
      <c r="B660" s="6"/>
      <c r="C660" s="6"/>
      <c r="D660" s="6">
        <f t="shared" si="10"/>
        <v>0</v>
      </c>
    </row>
    <row r="661" spans="1:4" ht="18" hidden="1">
      <c r="A661" s="8" t="s">
        <v>342</v>
      </c>
      <c r="B661" s="6"/>
      <c r="C661" s="6"/>
      <c r="D661" s="6">
        <f t="shared" si="10"/>
        <v>0</v>
      </c>
    </row>
    <row r="662" spans="1:4" ht="18" hidden="1">
      <c r="A662" s="19" t="s">
        <v>343</v>
      </c>
      <c r="B662" s="6"/>
      <c r="C662" s="6"/>
      <c r="D662" s="6">
        <f t="shared" si="10"/>
        <v>0</v>
      </c>
    </row>
    <row r="663" spans="1:4" ht="18" hidden="1">
      <c r="A663" s="8" t="s">
        <v>344</v>
      </c>
      <c r="B663" s="6"/>
      <c r="C663" s="6"/>
      <c r="D663" s="6">
        <f t="shared" si="10"/>
        <v>0</v>
      </c>
    </row>
    <row r="664" spans="1:4" ht="18" hidden="1">
      <c r="A664" s="8" t="s">
        <v>345</v>
      </c>
      <c r="B664" s="6"/>
      <c r="C664" s="6"/>
      <c r="D664" s="6">
        <f t="shared" si="10"/>
        <v>0</v>
      </c>
    </row>
    <row r="665" spans="1:4" ht="18" hidden="1">
      <c r="A665" s="8" t="s">
        <v>346</v>
      </c>
      <c r="B665" s="6"/>
      <c r="C665" s="6"/>
      <c r="D665" s="6">
        <f t="shared" si="10"/>
        <v>0</v>
      </c>
    </row>
    <row r="666" spans="1:4" ht="18" hidden="1">
      <c r="A666" s="8" t="s">
        <v>347</v>
      </c>
      <c r="B666" s="6"/>
      <c r="C666" s="6"/>
      <c r="D666" s="6">
        <f t="shared" si="10"/>
        <v>0</v>
      </c>
    </row>
    <row r="667" spans="1:4" ht="18" hidden="1">
      <c r="A667" s="8" t="s">
        <v>348</v>
      </c>
      <c r="B667" s="6"/>
      <c r="C667" s="6"/>
      <c r="D667" s="6">
        <f t="shared" si="10"/>
        <v>0</v>
      </c>
    </row>
    <row r="668" spans="1:4" ht="18" hidden="1">
      <c r="A668" s="8" t="s">
        <v>349</v>
      </c>
      <c r="B668" s="6"/>
      <c r="C668" s="6"/>
      <c r="D668" s="6">
        <f t="shared" si="10"/>
        <v>0</v>
      </c>
    </row>
    <row r="669" spans="1:4" ht="18" hidden="1">
      <c r="A669" s="8" t="s">
        <v>350</v>
      </c>
      <c r="B669" s="6"/>
      <c r="C669" s="6"/>
      <c r="D669" s="6">
        <f t="shared" si="10"/>
        <v>0</v>
      </c>
    </row>
    <row r="670" spans="1:4" ht="18" hidden="1">
      <c r="A670" s="8" t="s">
        <v>351</v>
      </c>
      <c r="B670" s="6"/>
      <c r="C670" s="6"/>
      <c r="D670" s="6">
        <f t="shared" si="10"/>
        <v>0</v>
      </c>
    </row>
    <row r="671" spans="1:4" ht="18" hidden="1">
      <c r="A671" s="10" t="s">
        <v>353</v>
      </c>
      <c r="B671" s="6"/>
      <c r="C671" s="6"/>
      <c r="D671" s="6">
        <f t="shared" si="10"/>
        <v>0</v>
      </c>
    </row>
    <row r="672" spans="1:4" ht="17.399999999999999">
      <c r="A672" s="35"/>
      <c r="B672" s="36">
        <f>SUM(B345:B671)</f>
        <v>5629</v>
      </c>
      <c r="C672" s="36"/>
      <c r="D672" s="36">
        <f t="shared" ref="D672" si="11">SUM(D345:D671)</f>
        <v>73187500</v>
      </c>
    </row>
    <row r="674" spans="4:4">
      <c r="D674" s="190">
        <f>D672+D340</f>
        <v>120073700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7000000}">
    <filterColumn colId="1">
      <customFilters>
        <customFilter operator="notEqual" val="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07"/>
  <sheetViews>
    <sheetView topLeftCell="A162" workbookViewId="0">
      <selection activeCell="A213" sqref="A213"/>
    </sheetView>
  </sheetViews>
  <sheetFormatPr defaultColWidth="9" defaultRowHeight="14.4"/>
  <cols>
    <col min="1" max="1" width="37.88671875" customWidth="1"/>
    <col min="3" max="3" width="16.109375" customWidth="1"/>
    <col min="4" max="4" width="20.5546875" customWidth="1"/>
  </cols>
  <sheetData>
    <row r="1" spans="1:4">
      <c r="A1" s="1" t="s">
        <v>392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4</v>
      </c>
      <c r="D2" s="4" t="s">
        <v>5</v>
      </c>
    </row>
    <row r="3" spans="1:4" ht="18">
      <c r="A3" s="11" t="s">
        <v>82</v>
      </c>
      <c r="B3" s="6">
        <v>40</v>
      </c>
      <c r="C3" s="6">
        <v>10000</v>
      </c>
      <c r="D3" s="6">
        <f>B3*C3</f>
        <v>400000</v>
      </c>
    </row>
    <row r="4" spans="1:4" ht="18" hidden="1">
      <c r="A4" s="11" t="s">
        <v>84</v>
      </c>
      <c r="B4" s="6"/>
      <c r="C4" s="6"/>
      <c r="D4" s="6">
        <f t="shared" ref="D4:D67" si="0">B4*C4</f>
        <v>0</v>
      </c>
    </row>
    <row r="5" spans="1:4" ht="18" hidden="1">
      <c r="A5" s="11" t="s">
        <v>86</v>
      </c>
      <c r="B5" s="6"/>
      <c r="C5" s="6"/>
      <c r="D5" s="6">
        <f t="shared" si="0"/>
        <v>0</v>
      </c>
    </row>
    <row r="6" spans="1:4" ht="18" hidden="1">
      <c r="A6" s="11" t="s">
        <v>96</v>
      </c>
      <c r="B6" s="14"/>
      <c r="C6" s="14"/>
      <c r="D6" s="6">
        <f t="shared" si="0"/>
        <v>0</v>
      </c>
    </row>
    <row r="7" spans="1:4" ht="18" hidden="1">
      <c r="A7" s="11" t="s">
        <v>98</v>
      </c>
      <c r="B7" s="14"/>
      <c r="C7" s="14"/>
      <c r="D7" s="6">
        <f t="shared" si="0"/>
        <v>0</v>
      </c>
    </row>
    <row r="8" spans="1:4" ht="18" hidden="1">
      <c r="A8" s="8" t="s">
        <v>110</v>
      </c>
      <c r="B8" s="6"/>
      <c r="C8" s="6"/>
      <c r="D8" s="6">
        <f t="shared" si="0"/>
        <v>0</v>
      </c>
    </row>
    <row r="9" spans="1:4" ht="18" hidden="1">
      <c r="A9" s="8" t="s">
        <v>111</v>
      </c>
      <c r="B9" s="6"/>
      <c r="C9" s="6"/>
      <c r="D9" s="6">
        <f t="shared" si="0"/>
        <v>0</v>
      </c>
    </row>
    <row r="10" spans="1:4" ht="18" hidden="1">
      <c r="A10" s="8" t="s">
        <v>113</v>
      </c>
      <c r="B10" s="14"/>
      <c r="C10" s="14"/>
      <c r="D10" s="6">
        <f t="shared" si="0"/>
        <v>0</v>
      </c>
    </row>
    <row r="11" spans="1:4" ht="18" hidden="1">
      <c r="A11" s="10" t="s">
        <v>114</v>
      </c>
      <c r="B11" s="6"/>
      <c r="C11" s="6"/>
      <c r="D11" s="6">
        <f t="shared" si="0"/>
        <v>0</v>
      </c>
    </row>
    <row r="12" spans="1:4" ht="18" hidden="1">
      <c r="A12" s="19" t="s">
        <v>115</v>
      </c>
      <c r="B12" s="6"/>
      <c r="C12" s="6"/>
      <c r="D12" s="6">
        <f t="shared" si="0"/>
        <v>0</v>
      </c>
    </row>
    <row r="13" spans="1:4" ht="18" hidden="1">
      <c r="A13" s="10" t="s">
        <v>131</v>
      </c>
      <c r="B13" s="6"/>
      <c r="C13" s="6"/>
      <c r="D13" s="6">
        <f t="shared" si="0"/>
        <v>0</v>
      </c>
    </row>
    <row r="14" spans="1:4" ht="18" hidden="1">
      <c r="A14" s="19" t="s">
        <v>132</v>
      </c>
      <c r="B14" s="6"/>
      <c r="C14" s="6"/>
      <c r="D14" s="6">
        <f t="shared" si="0"/>
        <v>0</v>
      </c>
    </row>
    <row r="15" spans="1:4" ht="18">
      <c r="A15" s="8" t="s">
        <v>124</v>
      </c>
      <c r="B15" s="6">
        <v>75</v>
      </c>
      <c r="C15" s="6">
        <v>15000</v>
      </c>
      <c r="D15" s="6">
        <f t="shared" si="0"/>
        <v>1125000</v>
      </c>
    </row>
    <row r="16" spans="1:4" ht="18" hidden="1">
      <c r="A16" s="8" t="s">
        <v>126</v>
      </c>
      <c r="B16" s="6"/>
      <c r="C16" s="6"/>
      <c r="D16" s="6">
        <f t="shared" si="0"/>
        <v>0</v>
      </c>
    </row>
    <row r="17" spans="1:4" ht="18" hidden="1">
      <c r="A17" s="10" t="s">
        <v>264</v>
      </c>
      <c r="B17" s="6"/>
      <c r="C17" s="6"/>
      <c r="D17" s="6">
        <f t="shared" si="0"/>
        <v>0</v>
      </c>
    </row>
    <row r="18" spans="1:4" ht="18">
      <c r="A18" s="8" t="s">
        <v>265</v>
      </c>
      <c r="B18" s="6">
        <v>40</v>
      </c>
      <c r="C18" s="6">
        <v>24000</v>
      </c>
      <c r="D18" s="6">
        <f t="shared" si="0"/>
        <v>960000</v>
      </c>
    </row>
    <row r="19" spans="1:4" ht="18" hidden="1">
      <c r="A19" s="8" t="s">
        <v>267</v>
      </c>
      <c r="B19" s="6"/>
      <c r="C19" s="6"/>
      <c r="D19" s="6">
        <f t="shared" si="0"/>
        <v>0</v>
      </c>
    </row>
    <row r="20" spans="1:4" ht="18">
      <c r="A20" s="8" t="s">
        <v>268</v>
      </c>
      <c r="B20" s="6">
        <v>5</v>
      </c>
      <c r="C20" s="6">
        <v>10000</v>
      </c>
      <c r="D20" s="6">
        <f t="shared" si="0"/>
        <v>50000</v>
      </c>
    </row>
    <row r="21" spans="1:4" ht="18" hidden="1">
      <c r="A21" s="8" t="s">
        <v>273</v>
      </c>
      <c r="B21" s="6"/>
      <c r="C21" s="6"/>
      <c r="D21" s="6">
        <f t="shared" si="0"/>
        <v>0</v>
      </c>
    </row>
    <row r="22" spans="1:4" ht="18" hidden="1">
      <c r="A22" s="8" t="s">
        <v>275</v>
      </c>
      <c r="B22" s="6"/>
      <c r="C22" s="6"/>
      <c r="D22" s="6">
        <f t="shared" si="0"/>
        <v>0</v>
      </c>
    </row>
    <row r="23" spans="1:4" ht="18">
      <c r="A23" s="8" t="s">
        <v>277</v>
      </c>
      <c r="B23" s="6">
        <v>40</v>
      </c>
      <c r="C23" s="6">
        <v>18000</v>
      </c>
      <c r="D23" s="6">
        <f t="shared" si="0"/>
        <v>720000</v>
      </c>
    </row>
    <row r="24" spans="1:4" ht="18" hidden="1">
      <c r="A24" s="8" t="s">
        <v>279</v>
      </c>
      <c r="B24" s="6"/>
      <c r="C24" s="6"/>
      <c r="D24" s="6">
        <f t="shared" si="0"/>
        <v>0</v>
      </c>
    </row>
    <row r="25" spans="1:4" ht="18">
      <c r="A25" s="8" t="s">
        <v>230</v>
      </c>
      <c r="B25" s="6">
        <v>100</v>
      </c>
      <c r="C25" s="6">
        <v>16000</v>
      </c>
      <c r="D25" s="6">
        <f t="shared" si="0"/>
        <v>1600000</v>
      </c>
    </row>
    <row r="26" spans="1:4" ht="18" hidden="1">
      <c r="A26" s="8" t="s">
        <v>231</v>
      </c>
      <c r="B26" s="6"/>
      <c r="C26" s="6"/>
      <c r="D26" s="6">
        <f t="shared" si="0"/>
        <v>0</v>
      </c>
    </row>
    <row r="27" spans="1:4" ht="18" hidden="1">
      <c r="A27" s="8" t="s">
        <v>232</v>
      </c>
      <c r="B27" s="6"/>
      <c r="C27" s="6"/>
      <c r="D27" s="6">
        <f t="shared" si="0"/>
        <v>0</v>
      </c>
    </row>
    <row r="28" spans="1:4" ht="18" hidden="1">
      <c r="A28" s="8" t="s">
        <v>117</v>
      </c>
      <c r="B28" s="6"/>
      <c r="C28" s="6"/>
      <c r="D28" s="6">
        <f t="shared" si="0"/>
        <v>0</v>
      </c>
    </row>
    <row r="29" spans="1:4" ht="18" hidden="1">
      <c r="A29" s="8" t="s">
        <v>150</v>
      </c>
      <c r="B29" s="6"/>
      <c r="C29" s="6"/>
      <c r="D29" s="6">
        <f t="shared" si="0"/>
        <v>0</v>
      </c>
    </row>
    <row r="30" spans="1:4" ht="18" hidden="1">
      <c r="A30" s="39" t="s">
        <v>151</v>
      </c>
      <c r="B30" s="6"/>
      <c r="C30" s="6"/>
      <c r="D30" s="6">
        <f t="shared" si="0"/>
        <v>0</v>
      </c>
    </row>
    <row r="31" spans="1:4" ht="18" hidden="1">
      <c r="A31" s="8" t="s">
        <v>334</v>
      </c>
      <c r="B31" s="6"/>
      <c r="C31" s="6"/>
      <c r="D31" s="6">
        <f t="shared" si="0"/>
        <v>0</v>
      </c>
    </row>
    <row r="32" spans="1:4" ht="18" hidden="1">
      <c r="A32" s="8" t="s">
        <v>18</v>
      </c>
      <c r="B32" s="6"/>
      <c r="C32" s="6"/>
      <c r="D32" s="6">
        <f t="shared" si="0"/>
        <v>0</v>
      </c>
    </row>
    <row r="33" spans="1:4" ht="18" hidden="1">
      <c r="A33" s="8" t="s">
        <v>19</v>
      </c>
      <c r="B33" s="6"/>
      <c r="C33" s="6"/>
      <c r="D33" s="6">
        <f t="shared" si="0"/>
        <v>0</v>
      </c>
    </row>
    <row r="34" spans="1:4" ht="18" hidden="1">
      <c r="A34" s="8" t="s">
        <v>180</v>
      </c>
      <c r="B34" s="6"/>
      <c r="C34" s="6"/>
      <c r="D34" s="6">
        <f t="shared" si="0"/>
        <v>0</v>
      </c>
    </row>
    <row r="35" spans="1:4" ht="18" hidden="1">
      <c r="A35" s="10" t="s">
        <v>190</v>
      </c>
      <c r="B35" s="6"/>
      <c r="C35" s="6"/>
      <c r="D35" s="6">
        <f t="shared" si="0"/>
        <v>0</v>
      </c>
    </row>
    <row r="36" spans="1:4" ht="18" hidden="1">
      <c r="A36" s="31" t="s">
        <v>384</v>
      </c>
      <c r="B36" s="6"/>
      <c r="C36" s="6"/>
      <c r="D36" s="6">
        <f t="shared" si="0"/>
        <v>0</v>
      </c>
    </row>
    <row r="37" spans="1:4" ht="18" hidden="1">
      <c r="A37" s="8" t="s">
        <v>35</v>
      </c>
      <c r="B37" s="6"/>
      <c r="C37" s="6"/>
      <c r="D37" s="6">
        <f t="shared" si="0"/>
        <v>0</v>
      </c>
    </row>
    <row r="38" spans="1:4" ht="18">
      <c r="A38" s="40" t="s">
        <v>36</v>
      </c>
      <c r="B38" s="14">
        <v>18</v>
      </c>
      <c r="C38" s="14">
        <v>11000</v>
      </c>
      <c r="D38" s="6">
        <f t="shared" si="0"/>
        <v>198000</v>
      </c>
    </row>
    <row r="39" spans="1:4" ht="18">
      <c r="A39" s="11" t="s">
        <v>46</v>
      </c>
      <c r="B39" s="6">
        <v>35</v>
      </c>
      <c r="C39" s="6">
        <v>11000</v>
      </c>
      <c r="D39" s="6">
        <f t="shared" si="0"/>
        <v>385000</v>
      </c>
    </row>
    <row r="40" spans="1:4" ht="18">
      <c r="A40" s="8" t="s">
        <v>216</v>
      </c>
      <c r="B40" s="6">
        <v>545</v>
      </c>
      <c r="C40" s="6">
        <v>19000</v>
      </c>
      <c r="D40" s="6">
        <f t="shared" si="0"/>
        <v>10355000</v>
      </c>
    </row>
    <row r="41" spans="1:4" ht="18">
      <c r="A41" s="11" t="s">
        <v>217</v>
      </c>
      <c r="B41" s="6">
        <v>120</v>
      </c>
      <c r="C41" s="6">
        <v>19000</v>
      </c>
      <c r="D41" s="6">
        <f t="shared" si="0"/>
        <v>2280000</v>
      </c>
    </row>
    <row r="42" spans="1:4" ht="18" hidden="1">
      <c r="A42" s="8" t="s">
        <v>218</v>
      </c>
      <c r="B42" s="6"/>
      <c r="C42" s="6"/>
      <c r="D42" s="6">
        <f t="shared" si="0"/>
        <v>0</v>
      </c>
    </row>
    <row r="43" spans="1:4" ht="18" hidden="1">
      <c r="A43" s="8" t="s">
        <v>288</v>
      </c>
      <c r="B43" s="6"/>
      <c r="C43" s="6"/>
      <c r="D43" s="6">
        <f t="shared" si="0"/>
        <v>0</v>
      </c>
    </row>
    <row r="44" spans="1:4" ht="18" hidden="1">
      <c r="A44" s="8" t="s">
        <v>289</v>
      </c>
      <c r="B44" s="6"/>
      <c r="C44" s="6"/>
      <c r="D44" s="6">
        <f t="shared" si="0"/>
        <v>0</v>
      </c>
    </row>
    <row r="45" spans="1:4" ht="18" hidden="1">
      <c r="A45" s="8" t="s">
        <v>188</v>
      </c>
      <c r="B45" s="6"/>
      <c r="C45" s="6"/>
      <c r="D45" s="6">
        <f t="shared" si="0"/>
        <v>0</v>
      </c>
    </row>
    <row r="46" spans="1:4" ht="18">
      <c r="A46" s="28" t="s">
        <v>189</v>
      </c>
      <c r="B46" s="29">
        <v>6</v>
      </c>
      <c r="C46" s="29">
        <v>18000</v>
      </c>
      <c r="D46" s="6">
        <f t="shared" si="0"/>
        <v>108000</v>
      </c>
    </row>
    <row r="47" spans="1:4" ht="18">
      <c r="A47" s="5" t="s">
        <v>6</v>
      </c>
      <c r="B47" s="6">
        <v>8</v>
      </c>
      <c r="C47" s="6">
        <v>14000</v>
      </c>
      <c r="D47" s="6">
        <f t="shared" si="0"/>
        <v>112000</v>
      </c>
    </row>
    <row r="48" spans="1:4" ht="18">
      <c r="A48" s="15" t="s">
        <v>75</v>
      </c>
      <c r="B48" s="6">
        <v>5</v>
      </c>
      <c r="C48" s="6">
        <v>13000</v>
      </c>
      <c r="D48" s="6">
        <f t="shared" si="0"/>
        <v>65000</v>
      </c>
    </row>
    <row r="49" spans="1:4" ht="18" hidden="1">
      <c r="A49" s="12" t="s">
        <v>313</v>
      </c>
      <c r="B49" s="6"/>
      <c r="C49" s="6"/>
      <c r="D49" s="6">
        <f t="shared" si="0"/>
        <v>0</v>
      </c>
    </row>
    <row r="50" spans="1:4" ht="18" hidden="1">
      <c r="A50" s="12" t="s">
        <v>324</v>
      </c>
      <c r="B50" s="6"/>
      <c r="C50" s="6"/>
      <c r="D50" s="6">
        <f t="shared" si="0"/>
        <v>0</v>
      </c>
    </row>
    <row r="51" spans="1:4" ht="18" hidden="1">
      <c r="A51" s="8" t="s">
        <v>336</v>
      </c>
      <c r="B51" s="34"/>
      <c r="C51" s="34"/>
      <c r="D51" s="6">
        <f t="shared" si="0"/>
        <v>0</v>
      </c>
    </row>
    <row r="52" spans="1:4" ht="18" hidden="1">
      <c r="A52" s="8" t="s">
        <v>100</v>
      </c>
      <c r="B52" s="6"/>
      <c r="C52" s="6"/>
      <c r="D52" s="6">
        <f t="shared" si="0"/>
        <v>0</v>
      </c>
    </row>
    <row r="53" spans="1:4" ht="18" hidden="1">
      <c r="A53" s="8" t="s">
        <v>101</v>
      </c>
      <c r="B53" s="6"/>
      <c r="C53" s="6"/>
      <c r="D53" s="6">
        <f t="shared" si="0"/>
        <v>0</v>
      </c>
    </row>
    <row r="54" spans="1:4" ht="18" hidden="1">
      <c r="A54" s="8" t="s">
        <v>191</v>
      </c>
      <c r="B54" s="6"/>
      <c r="C54" s="6"/>
      <c r="D54" s="6">
        <f t="shared" si="0"/>
        <v>0</v>
      </c>
    </row>
    <row r="55" spans="1:4" ht="18" hidden="1">
      <c r="A55" s="8" t="s">
        <v>258</v>
      </c>
      <c r="B55" s="6"/>
      <c r="C55" s="6"/>
      <c r="D55" s="6">
        <f t="shared" si="0"/>
        <v>0</v>
      </c>
    </row>
    <row r="56" spans="1:4" ht="18" hidden="1">
      <c r="A56" s="11" t="s">
        <v>311</v>
      </c>
      <c r="B56" s="6"/>
      <c r="C56" s="6"/>
      <c r="D56" s="6">
        <f t="shared" si="0"/>
        <v>0</v>
      </c>
    </row>
    <row r="57" spans="1:4" ht="18" hidden="1">
      <c r="A57" s="8" t="s">
        <v>137</v>
      </c>
      <c r="B57" s="6"/>
      <c r="C57" s="6"/>
      <c r="D57" s="6">
        <f t="shared" si="0"/>
        <v>0</v>
      </c>
    </row>
    <row r="58" spans="1:4" ht="18" hidden="1">
      <c r="A58" s="8" t="s">
        <v>55</v>
      </c>
      <c r="B58" s="6"/>
      <c r="C58" s="6"/>
      <c r="D58" s="6">
        <f t="shared" si="0"/>
        <v>0</v>
      </c>
    </row>
    <row r="59" spans="1:4" ht="18" hidden="1">
      <c r="A59" s="15" t="s">
        <v>299</v>
      </c>
      <c r="B59" s="6"/>
      <c r="C59" s="6"/>
      <c r="D59" s="6">
        <f t="shared" si="0"/>
        <v>0</v>
      </c>
    </row>
    <row r="60" spans="1:4" ht="18" hidden="1">
      <c r="A60" s="8" t="s">
        <v>161</v>
      </c>
      <c r="B60" s="14"/>
      <c r="C60" s="14"/>
      <c r="D60" s="6">
        <f t="shared" si="0"/>
        <v>0</v>
      </c>
    </row>
    <row r="61" spans="1:4" ht="18" hidden="1">
      <c r="A61" s="8" t="s">
        <v>165</v>
      </c>
      <c r="B61" s="14"/>
      <c r="C61" s="14"/>
      <c r="D61" s="6">
        <f t="shared" si="0"/>
        <v>0</v>
      </c>
    </row>
    <row r="62" spans="1:4" ht="18" hidden="1">
      <c r="A62" s="8" t="s">
        <v>177</v>
      </c>
      <c r="B62" s="14"/>
      <c r="C62" s="14"/>
      <c r="D62" s="6">
        <f t="shared" si="0"/>
        <v>0</v>
      </c>
    </row>
    <row r="63" spans="1:4" ht="18" hidden="1">
      <c r="A63" s="11" t="s">
        <v>65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v>50</v>
      </c>
      <c r="C64" s="6">
        <v>10000</v>
      </c>
      <c r="D64" s="6">
        <f t="shared" si="0"/>
        <v>500000</v>
      </c>
    </row>
    <row r="65" spans="1:4" ht="18" hidden="1">
      <c r="A65" s="8" t="s">
        <v>89</v>
      </c>
      <c r="B65" s="6"/>
      <c r="C65" s="6"/>
      <c r="D65" s="6">
        <f t="shared" si="0"/>
        <v>0</v>
      </c>
    </row>
    <row r="66" spans="1:4" ht="18">
      <c r="A66" s="8" t="s">
        <v>27</v>
      </c>
      <c r="B66" s="6">
        <v>60</v>
      </c>
      <c r="C66" s="6">
        <v>13000</v>
      </c>
      <c r="D66" s="6">
        <f t="shared" si="0"/>
        <v>780000</v>
      </c>
    </row>
    <row r="67" spans="1:4" ht="18" hidden="1">
      <c r="A67" s="10" t="s">
        <v>61</v>
      </c>
      <c r="B67" s="6"/>
      <c r="C67" s="6"/>
      <c r="D67" s="6">
        <f t="shared" si="0"/>
        <v>0</v>
      </c>
    </row>
    <row r="68" spans="1:4" ht="18" hidden="1">
      <c r="A68" s="12" t="s">
        <v>62</v>
      </c>
      <c r="B68" s="6"/>
      <c r="C68" s="6"/>
      <c r="D68" s="6">
        <f t="shared" ref="D68:D131" si="1">B68*C68</f>
        <v>0</v>
      </c>
    </row>
    <row r="69" spans="1:4" ht="18" hidden="1">
      <c r="A69" s="9" t="s">
        <v>139</v>
      </c>
      <c r="B69" s="6"/>
      <c r="C69" s="6"/>
      <c r="D69" s="6">
        <f t="shared" si="1"/>
        <v>0</v>
      </c>
    </row>
    <row r="70" spans="1:4" ht="18" hidden="1">
      <c r="A70" s="12" t="s">
        <v>140</v>
      </c>
      <c r="B70" s="6"/>
      <c r="C70" s="6"/>
      <c r="D70" s="6">
        <f t="shared" si="1"/>
        <v>0</v>
      </c>
    </row>
    <row r="71" spans="1:4" ht="18" hidden="1">
      <c r="A71" s="8" t="s">
        <v>163</v>
      </c>
      <c r="B71" s="14"/>
      <c r="C71" s="14"/>
      <c r="D71" s="6">
        <f t="shared" si="1"/>
        <v>0</v>
      </c>
    </row>
    <row r="72" spans="1:4" ht="18">
      <c r="A72" s="15" t="s">
        <v>235</v>
      </c>
      <c r="B72" s="14">
        <v>0.5</v>
      </c>
      <c r="C72" s="6">
        <v>45000</v>
      </c>
      <c r="D72" s="6">
        <f t="shared" si="1"/>
        <v>22500</v>
      </c>
    </row>
    <row r="73" spans="1:4" ht="18" hidden="1">
      <c r="A73" s="15" t="s">
        <v>239</v>
      </c>
      <c r="B73" s="6"/>
      <c r="C73" s="6"/>
      <c r="D73" s="6">
        <f t="shared" si="1"/>
        <v>0</v>
      </c>
    </row>
    <row r="74" spans="1:4" ht="18" hidden="1">
      <c r="A74" s="11" t="s">
        <v>295</v>
      </c>
      <c r="B74" s="14"/>
      <c r="C74" s="14"/>
      <c r="D74" s="6">
        <f t="shared" si="1"/>
        <v>0</v>
      </c>
    </row>
    <row r="75" spans="1:4" ht="18" hidden="1">
      <c r="A75" s="11" t="s">
        <v>296</v>
      </c>
      <c r="B75" s="6"/>
      <c r="C75" s="6"/>
      <c r="D75" s="6">
        <f t="shared" si="1"/>
        <v>0</v>
      </c>
    </row>
    <row r="76" spans="1:4" ht="18" hidden="1">
      <c r="A76" s="8" t="s">
        <v>308</v>
      </c>
      <c r="B76" s="6"/>
      <c r="C76" s="6"/>
      <c r="D76" s="6">
        <f t="shared" si="1"/>
        <v>0</v>
      </c>
    </row>
    <row r="77" spans="1:4" ht="18">
      <c r="A77" s="8" t="s">
        <v>219</v>
      </c>
      <c r="B77" s="6">
        <v>90</v>
      </c>
      <c r="C77" s="6">
        <v>14000</v>
      </c>
      <c r="D77" s="6">
        <f t="shared" si="1"/>
        <v>1260000</v>
      </c>
    </row>
    <row r="78" spans="1:4" ht="18" hidden="1">
      <c r="A78" s="8" t="s">
        <v>52</v>
      </c>
      <c r="B78" s="6"/>
      <c r="C78" s="6"/>
      <c r="D78" s="6">
        <f t="shared" si="1"/>
        <v>0</v>
      </c>
    </row>
    <row r="79" spans="1:4" ht="18" hidden="1">
      <c r="A79" s="8" t="s">
        <v>66</v>
      </c>
      <c r="B79" s="6"/>
      <c r="C79" s="6"/>
      <c r="D79" s="6">
        <f t="shared" si="1"/>
        <v>0</v>
      </c>
    </row>
    <row r="80" spans="1:4" ht="18" hidden="1">
      <c r="A80" s="15" t="s">
        <v>69</v>
      </c>
      <c r="B80" s="6"/>
      <c r="C80" s="6"/>
      <c r="D80" s="6">
        <f t="shared" si="1"/>
        <v>0</v>
      </c>
    </row>
    <row r="81" spans="1:4" ht="18" hidden="1">
      <c r="A81" s="10" t="s">
        <v>72</v>
      </c>
      <c r="B81" s="6"/>
      <c r="C81" s="6"/>
      <c r="D81" s="6">
        <f t="shared" si="1"/>
        <v>0</v>
      </c>
    </row>
    <row r="82" spans="1:4" ht="18" hidden="1">
      <c r="A82" s="16" t="s">
        <v>73</v>
      </c>
      <c r="B82" s="6"/>
      <c r="C82" s="6"/>
      <c r="D82" s="6">
        <f t="shared" si="1"/>
        <v>0</v>
      </c>
    </row>
    <row r="83" spans="1:4" ht="18" hidden="1">
      <c r="A83" s="8" t="s">
        <v>74</v>
      </c>
      <c r="B83" s="6"/>
      <c r="C83" s="6"/>
      <c r="D83" s="6">
        <f t="shared" si="1"/>
        <v>0</v>
      </c>
    </row>
    <row r="84" spans="1:4" ht="18" hidden="1">
      <c r="A84" s="8" t="s">
        <v>79</v>
      </c>
      <c r="B84" s="6"/>
      <c r="C84" s="6"/>
      <c r="D84" s="6">
        <f t="shared" si="1"/>
        <v>0</v>
      </c>
    </row>
    <row r="85" spans="1:4" ht="18" hidden="1">
      <c r="A85" s="8" t="s">
        <v>168</v>
      </c>
      <c r="B85" s="6"/>
      <c r="C85" s="6"/>
      <c r="D85" s="6">
        <f t="shared" si="1"/>
        <v>0</v>
      </c>
    </row>
    <row r="86" spans="1:4" ht="18">
      <c r="A86" s="8" t="s">
        <v>170</v>
      </c>
      <c r="B86" s="6">
        <v>16</v>
      </c>
      <c r="C86" s="6">
        <v>12000</v>
      </c>
      <c r="D86" s="6">
        <f t="shared" si="1"/>
        <v>192000</v>
      </c>
    </row>
    <row r="87" spans="1:4" ht="18" hidden="1">
      <c r="A87" s="15" t="s">
        <v>171</v>
      </c>
      <c r="B87" s="6"/>
      <c r="C87" s="6"/>
      <c r="D87" s="6">
        <f t="shared" si="1"/>
        <v>0</v>
      </c>
    </row>
    <row r="88" spans="1:4" ht="18" hidden="1">
      <c r="A88" s="8" t="s">
        <v>90</v>
      </c>
      <c r="B88" s="6"/>
      <c r="C88" s="6"/>
      <c r="D88" s="6">
        <f t="shared" si="1"/>
        <v>0</v>
      </c>
    </row>
    <row r="89" spans="1:4" ht="18" hidden="1">
      <c r="A89" s="12" t="s">
        <v>91</v>
      </c>
      <c r="B89" s="6"/>
      <c r="C89" s="6"/>
      <c r="D89" s="6">
        <f t="shared" si="1"/>
        <v>0</v>
      </c>
    </row>
    <row r="90" spans="1:4" ht="18">
      <c r="A90" s="8" t="s">
        <v>92</v>
      </c>
      <c r="B90" s="6">
        <v>98</v>
      </c>
      <c r="C90" s="6">
        <v>29000</v>
      </c>
      <c r="D90" s="6">
        <f t="shared" si="1"/>
        <v>2842000</v>
      </c>
    </row>
    <row r="91" spans="1:4" ht="18" hidden="1">
      <c r="A91" s="8" t="s">
        <v>94</v>
      </c>
      <c r="B91" s="6"/>
      <c r="C91" s="6"/>
      <c r="D91" s="6">
        <f t="shared" si="1"/>
        <v>0</v>
      </c>
    </row>
    <row r="92" spans="1:4" ht="18" hidden="1">
      <c r="A92" s="12" t="s">
        <v>109</v>
      </c>
      <c r="B92" s="6"/>
      <c r="C92" s="6"/>
      <c r="D92" s="6">
        <f t="shared" si="1"/>
        <v>0</v>
      </c>
    </row>
    <row r="93" spans="1:4" ht="18" hidden="1">
      <c r="A93" s="8" t="s">
        <v>321</v>
      </c>
      <c r="B93" s="6"/>
      <c r="C93" s="6"/>
      <c r="D93" s="6">
        <f t="shared" si="1"/>
        <v>0</v>
      </c>
    </row>
    <row r="94" spans="1:4" ht="18" hidden="1">
      <c r="A94" s="11" t="s">
        <v>335</v>
      </c>
      <c r="B94" s="6"/>
      <c r="C94" s="6"/>
      <c r="D94" s="6">
        <f t="shared" si="1"/>
        <v>0</v>
      </c>
    </row>
    <row r="95" spans="1:4" ht="18">
      <c r="A95" s="11" t="s">
        <v>198</v>
      </c>
      <c r="B95" s="6">
        <v>25</v>
      </c>
      <c r="C95" s="6">
        <v>6800</v>
      </c>
      <c r="D95" s="6">
        <f t="shared" si="1"/>
        <v>170000</v>
      </c>
    </row>
    <row r="96" spans="1:4" ht="18">
      <c r="A96" s="8" t="s">
        <v>199</v>
      </c>
      <c r="B96" s="6">
        <v>165</v>
      </c>
      <c r="C96" s="6">
        <v>3000</v>
      </c>
      <c r="D96" s="6">
        <f t="shared" si="1"/>
        <v>495000</v>
      </c>
    </row>
    <row r="97" spans="1:4" ht="18">
      <c r="A97" s="11" t="s">
        <v>201</v>
      </c>
      <c r="B97" s="6">
        <v>20</v>
      </c>
      <c r="C97" s="6">
        <v>20000</v>
      </c>
      <c r="D97" s="6">
        <f t="shared" si="1"/>
        <v>400000</v>
      </c>
    </row>
    <row r="98" spans="1:4" ht="18" hidden="1">
      <c r="A98" s="8" t="s">
        <v>225</v>
      </c>
      <c r="B98" s="6"/>
      <c r="C98" s="6"/>
      <c r="D98" s="6">
        <f t="shared" si="1"/>
        <v>0</v>
      </c>
    </row>
    <row r="99" spans="1:4" ht="18" hidden="1">
      <c r="A99" s="8" t="s">
        <v>226</v>
      </c>
      <c r="B99" s="6"/>
      <c r="C99" s="6"/>
      <c r="D99" s="6">
        <f t="shared" si="1"/>
        <v>0</v>
      </c>
    </row>
    <row r="100" spans="1:4" ht="18" hidden="1">
      <c r="A100" s="8" t="s">
        <v>119</v>
      </c>
      <c r="B100" s="6"/>
      <c r="C100" s="6"/>
      <c r="D100" s="6">
        <f t="shared" si="1"/>
        <v>0</v>
      </c>
    </row>
    <row r="101" spans="1:4" ht="18">
      <c r="A101" s="11" t="s">
        <v>22</v>
      </c>
      <c r="B101" s="6">
        <v>5</v>
      </c>
      <c r="C101" s="6">
        <v>18000</v>
      </c>
      <c r="D101" s="6">
        <f t="shared" si="1"/>
        <v>90000</v>
      </c>
    </row>
    <row r="102" spans="1:4" ht="18" hidden="1">
      <c r="A102" s="10" t="s">
        <v>112</v>
      </c>
      <c r="B102" s="6"/>
      <c r="C102" s="6"/>
      <c r="D102" s="6">
        <f t="shared" si="1"/>
        <v>0</v>
      </c>
    </row>
    <row r="103" spans="1:4" ht="18" hidden="1">
      <c r="A103" s="8" t="s">
        <v>130</v>
      </c>
      <c r="B103" s="6"/>
      <c r="C103" s="6"/>
      <c r="D103" s="6">
        <f t="shared" si="1"/>
        <v>0</v>
      </c>
    </row>
    <row r="104" spans="1:4" ht="18" hidden="1">
      <c r="A104" s="8" t="s">
        <v>149</v>
      </c>
      <c r="B104" s="6"/>
      <c r="C104" s="6"/>
      <c r="D104" s="6">
        <f t="shared" si="1"/>
        <v>0</v>
      </c>
    </row>
    <row r="105" spans="1:4" ht="18" hidden="1">
      <c r="A105" s="11" t="s">
        <v>152</v>
      </c>
      <c r="B105" s="6"/>
      <c r="C105" s="6"/>
      <c r="D105" s="6">
        <f t="shared" si="1"/>
        <v>0</v>
      </c>
    </row>
    <row r="106" spans="1:4" ht="18" hidden="1">
      <c r="A106" s="8" t="s">
        <v>222</v>
      </c>
      <c r="B106" s="6"/>
      <c r="C106" s="6"/>
      <c r="D106" s="6">
        <f t="shared" si="1"/>
        <v>0</v>
      </c>
    </row>
    <row r="107" spans="1:4" ht="18">
      <c r="A107" s="10" t="s">
        <v>223</v>
      </c>
      <c r="B107" s="6">
        <v>3</v>
      </c>
      <c r="C107" s="6">
        <v>35000</v>
      </c>
      <c r="D107" s="6">
        <f t="shared" si="1"/>
        <v>105000</v>
      </c>
    </row>
    <row r="108" spans="1:4" ht="18">
      <c r="A108" s="8" t="s">
        <v>262</v>
      </c>
      <c r="B108" s="6">
        <v>13</v>
      </c>
      <c r="C108" s="6">
        <v>14000</v>
      </c>
      <c r="D108" s="6">
        <f t="shared" si="1"/>
        <v>182000</v>
      </c>
    </row>
    <row r="109" spans="1:4" ht="18" hidden="1">
      <c r="A109" s="8" t="s">
        <v>302</v>
      </c>
      <c r="B109" s="6"/>
      <c r="C109" s="6"/>
      <c r="D109" s="6">
        <f t="shared" si="1"/>
        <v>0</v>
      </c>
    </row>
    <row r="110" spans="1:4" ht="18" hidden="1">
      <c r="A110" s="8" t="s">
        <v>30</v>
      </c>
      <c r="B110" s="6"/>
      <c r="C110" s="6"/>
      <c r="D110" s="6">
        <f t="shared" si="1"/>
        <v>0</v>
      </c>
    </row>
    <row r="111" spans="1:4" ht="18">
      <c r="A111" s="8" t="s">
        <v>32</v>
      </c>
      <c r="B111" s="6">
        <v>73</v>
      </c>
      <c r="C111" s="6">
        <v>14000</v>
      </c>
      <c r="D111" s="6">
        <f t="shared" si="1"/>
        <v>1022000</v>
      </c>
    </row>
    <row r="112" spans="1:4" ht="18" hidden="1">
      <c r="A112" s="8" t="s">
        <v>33</v>
      </c>
      <c r="B112" s="6"/>
      <c r="C112" s="6"/>
      <c r="D112" s="6">
        <f t="shared" si="1"/>
        <v>0</v>
      </c>
    </row>
    <row r="113" spans="1:4" ht="18" hidden="1">
      <c r="A113" s="8" t="s">
        <v>58</v>
      </c>
      <c r="B113" s="6"/>
      <c r="C113" s="6"/>
      <c r="D113" s="6">
        <f t="shared" si="1"/>
        <v>0</v>
      </c>
    </row>
    <row r="114" spans="1:4" ht="18" hidden="1">
      <c r="A114" s="8" t="s">
        <v>59</v>
      </c>
      <c r="B114" s="6"/>
      <c r="C114" s="6"/>
      <c r="D114" s="6">
        <f t="shared" si="1"/>
        <v>0</v>
      </c>
    </row>
    <row r="115" spans="1:4" ht="18" hidden="1">
      <c r="A115" s="8" t="s">
        <v>64</v>
      </c>
      <c r="B115" s="6"/>
      <c r="C115" s="6"/>
      <c r="D115" s="6">
        <f t="shared" si="1"/>
        <v>0</v>
      </c>
    </row>
    <row r="116" spans="1:4" ht="18">
      <c r="A116" s="8" t="s">
        <v>104</v>
      </c>
      <c r="B116" s="6">
        <v>60</v>
      </c>
      <c r="C116" s="6">
        <v>9000</v>
      </c>
      <c r="D116" s="6">
        <f t="shared" si="1"/>
        <v>540000</v>
      </c>
    </row>
    <row r="117" spans="1:4" ht="18" hidden="1">
      <c r="A117" s="19" t="s">
        <v>105</v>
      </c>
      <c r="B117" s="6"/>
      <c r="C117" s="6"/>
      <c r="D117" s="6">
        <f t="shared" si="1"/>
        <v>0</v>
      </c>
    </row>
    <row r="118" spans="1:4" ht="18" hidden="1">
      <c r="A118" s="5" t="s">
        <v>11</v>
      </c>
      <c r="B118" s="6"/>
      <c r="C118" s="6"/>
      <c r="D118" s="6">
        <f t="shared" si="1"/>
        <v>0</v>
      </c>
    </row>
    <row r="119" spans="1:4" ht="18">
      <c r="A119" s="8" t="s">
        <v>183</v>
      </c>
      <c r="B119" s="6">
        <v>278</v>
      </c>
      <c r="C119" s="26">
        <v>6500</v>
      </c>
      <c r="D119" s="6">
        <f t="shared" si="1"/>
        <v>1807000</v>
      </c>
    </row>
    <row r="120" spans="1:4" ht="18" hidden="1">
      <c r="A120" s="8" t="s">
        <v>185</v>
      </c>
      <c r="B120" s="6"/>
      <c r="C120" s="6"/>
      <c r="D120" s="6">
        <f t="shared" si="1"/>
        <v>0</v>
      </c>
    </row>
    <row r="121" spans="1:4" ht="18" hidden="1">
      <c r="A121" s="8" t="s">
        <v>186</v>
      </c>
      <c r="B121" s="6"/>
      <c r="C121" s="6"/>
      <c r="D121" s="6">
        <f t="shared" si="1"/>
        <v>0</v>
      </c>
    </row>
    <row r="122" spans="1:4" ht="18" hidden="1">
      <c r="A122" s="11" t="s">
        <v>242</v>
      </c>
      <c r="B122" s="6"/>
      <c r="C122" s="6"/>
      <c r="D122" s="6">
        <f t="shared" si="1"/>
        <v>0</v>
      </c>
    </row>
    <row r="123" spans="1:4" ht="18" hidden="1">
      <c r="A123" s="8" t="s">
        <v>47</v>
      </c>
      <c r="B123" s="6"/>
      <c r="C123" s="6"/>
      <c r="D123" s="6">
        <f t="shared" si="1"/>
        <v>0</v>
      </c>
    </row>
    <row r="124" spans="1:4" ht="18" hidden="1">
      <c r="A124" s="8" t="s">
        <v>48</v>
      </c>
      <c r="B124" s="6"/>
      <c r="C124" s="6"/>
      <c r="D124" s="6">
        <f t="shared" si="1"/>
        <v>0</v>
      </c>
    </row>
    <row r="125" spans="1:4" ht="18" hidden="1">
      <c r="A125" s="10" t="s">
        <v>50</v>
      </c>
      <c r="B125" s="14"/>
      <c r="C125" s="14"/>
      <c r="D125" s="6">
        <f t="shared" si="1"/>
        <v>0</v>
      </c>
    </row>
    <row r="126" spans="1:4" ht="18" hidden="1">
      <c r="A126" s="15" t="s">
        <v>270</v>
      </c>
      <c r="B126" s="6"/>
      <c r="C126" s="6"/>
      <c r="D126" s="6">
        <f t="shared" si="1"/>
        <v>0</v>
      </c>
    </row>
    <row r="127" spans="1:4" ht="18" hidden="1">
      <c r="A127" s="10" t="s">
        <v>283</v>
      </c>
      <c r="B127" s="6"/>
      <c r="C127" s="6"/>
      <c r="D127" s="6">
        <f t="shared" si="1"/>
        <v>0</v>
      </c>
    </row>
    <row r="128" spans="1:4" ht="18" hidden="1">
      <c r="A128" s="8" t="s">
        <v>284</v>
      </c>
      <c r="B128" s="6"/>
      <c r="C128" s="6"/>
      <c r="D128" s="6">
        <f t="shared" si="1"/>
        <v>0</v>
      </c>
    </row>
    <row r="129" spans="1:4" ht="18" hidden="1">
      <c r="A129" s="11" t="s">
        <v>320</v>
      </c>
      <c r="B129" s="6"/>
      <c r="C129" s="6"/>
      <c r="D129" s="6">
        <f t="shared" si="1"/>
        <v>0</v>
      </c>
    </row>
    <row r="130" spans="1:4" ht="18" hidden="1">
      <c r="A130" s="19" t="s">
        <v>326</v>
      </c>
      <c r="B130" s="6"/>
      <c r="C130" s="6"/>
      <c r="D130" s="6">
        <f t="shared" si="1"/>
        <v>0</v>
      </c>
    </row>
    <row r="131" spans="1:4" ht="18" hidden="1">
      <c r="A131" s="8" t="s">
        <v>329</v>
      </c>
      <c r="B131" s="6"/>
      <c r="C131" s="6"/>
      <c r="D131" s="6">
        <f t="shared" si="1"/>
        <v>0</v>
      </c>
    </row>
    <row r="132" spans="1:4" ht="18" hidden="1">
      <c r="A132" s="8" t="s">
        <v>330</v>
      </c>
      <c r="B132" s="6"/>
      <c r="C132" s="6"/>
      <c r="D132" s="6">
        <f t="shared" ref="D132:D195" si="2">B132*C132</f>
        <v>0</v>
      </c>
    </row>
    <row r="133" spans="1:4" ht="18" hidden="1">
      <c r="A133" s="19" t="s">
        <v>332</v>
      </c>
      <c r="B133" s="6"/>
      <c r="C133" s="6"/>
      <c r="D133" s="6">
        <f t="shared" si="2"/>
        <v>0</v>
      </c>
    </row>
    <row r="134" spans="1:4" ht="18" hidden="1">
      <c r="A134" s="8" t="s">
        <v>341</v>
      </c>
      <c r="B134" s="6"/>
      <c r="C134" s="6"/>
      <c r="D134" s="6">
        <f t="shared" si="2"/>
        <v>0</v>
      </c>
    </row>
    <row r="135" spans="1:4" ht="18" hidden="1">
      <c r="A135" s="19" t="s">
        <v>343</v>
      </c>
      <c r="B135" s="6"/>
      <c r="C135" s="6"/>
      <c r="D135" s="6">
        <f t="shared" si="2"/>
        <v>0</v>
      </c>
    </row>
    <row r="136" spans="1:4" ht="18" hidden="1">
      <c r="A136" s="8" t="s">
        <v>345</v>
      </c>
      <c r="B136" s="6"/>
      <c r="C136" s="6"/>
      <c r="D136" s="6">
        <f t="shared" si="2"/>
        <v>0</v>
      </c>
    </row>
    <row r="137" spans="1:4" ht="18" hidden="1">
      <c r="A137" s="8" t="s">
        <v>348</v>
      </c>
      <c r="B137" s="6"/>
      <c r="C137" s="6"/>
      <c r="D137" s="6">
        <f t="shared" si="2"/>
        <v>0</v>
      </c>
    </row>
    <row r="138" spans="1:4" ht="18" hidden="1">
      <c r="A138" s="8" t="s">
        <v>349</v>
      </c>
      <c r="B138" s="6"/>
      <c r="C138" s="6"/>
      <c r="D138" s="6">
        <f t="shared" si="2"/>
        <v>0</v>
      </c>
    </row>
    <row r="139" spans="1:4" ht="18" hidden="1">
      <c r="A139" s="8" t="s">
        <v>147</v>
      </c>
      <c r="B139" s="6"/>
      <c r="C139" s="6"/>
      <c r="D139" s="6">
        <f t="shared" si="2"/>
        <v>0</v>
      </c>
    </row>
    <row r="140" spans="1:4" ht="18" hidden="1">
      <c r="A140" s="8" t="s">
        <v>305</v>
      </c>
      <c r="B140" s="6"/>
      <c r="C140" s="6"/>
      <c r="D140" s="6">
        <f t="shared" si="2"/>
        <v>0</v>
      </c>
    </row>
    <row r="141" spans="1:4" ht="18">
      <c r="A141" s="12" t="s">
        <v>25</v>
      </c>
      <c r="B141" s="6">
        <v>69</v>
      </c>
      <c r="C141" s="6">
        <v>4000</v>
      </c>
      <c r="D141" s="6">
        <f t="shared" si="2"/>
        <v>276000</v>
      </c>
    </row>
    <row r="142" spans="1:4" ht="18" hidden="1">
      <c r="A142" s="10" t="s">
        <v>26</v>
      </c>
      <c r="B142" s="6"/>
      <c r="C142" s="13"/>
      <c r="D142" s="6">
        <f t="shared" si="2"/>
        <v>0</v>
      </c>
    </row>
    <row r="143" spans="1:4" ht="18" hidden="1">
      <c r="A143" s="8" t="s">
        <v>173</v>
      </c>
      <c r="B143" s="6"/>
      <c r="C143" s="6"/>
      <c r="D143" s="6">
        <f t="shared" si="2"/>
        <v>0</v>
      </c>
    </row>
    <row r="144" spans="1:4" ht="18" hidden="1">
      <c r="A144" s="8" t="s">
        <v>175</v>
      </c>
      <c r="B144" s="6"/>
      <c r="C144" s="6"/>
      <c r="D144" s="6">
        <f t="shared" si="2"/>
        <v>0</v>
      </c>
    </row>
    <row r="145" spans="1:4" ht="18" hidden="1">
      <c r="A145" s="30" t="s">
        <v>213</v>
      </c>
      <c r="B145" s="6"/>
      <c r="C145" s="6"/>
      <c r="D145" s="6">
        <f t="shared" si="2"/>
        <v>0</v>
      </c>
    </row>
    <row r="146" spans="1:4" ht="18" hidden="1">
      <c r="A146" s="10" t="s">
        <v>246</v>
      </c>
      <c r="B146" s="6"/>
      <c r="C146" s="6"/>
      <c r="D146" s="6">
        <f t="shared" si="2"/>
        <v>0</v>
      </c>
    </row>
    <row r="147" spans="1:4" ht="18" hidden="1">
      <c r="A147" s="10" t="s">
        <v>247</v>
      </c>
      <c r="B147" s="6"/>
      <c r="C147" s="6"/>
      <c r="D147" s="6">
        <f t="shared" si="2"/>
        <v>0</v>
      </c>
    </row>
    <row r="148" spans="1:4" ht="18" hidden="1">
      <c r="A148" s="30" t="s">
        <v>291</v>
      </c>
      <c r="B148" s="6"/>
      <c r="C148" s="6"/>
      <c r="D148" s="6">
        <f t="shared" si="2"/>
        <v>0</v>
      </c>
    </row>
    <row r="149" spans="1:4" ht="18">
      <c r="A149" s="35"/>
      <c r="B149" s="36">
        <v>2065.5</v>
      </c>
      <c r="C149" s="36"/>
      <c r="D149" s="6">
        <f>SUM(D3:D141)</f>
        <v>29041500</v>
      </c>
    </row>
    <row r="150" spans="1:4" ht="18" hidden="1">
      <c r="D150" s="6">
        <f t="shared" si="2"/>
        <v>0</v>
      </c>
    </row>
    <row r="151" spans="1:4" ht="18">
      <c r="A151" s="1" t="s">
        <v>393</v>
      </c>
      <c r="B151" s="2"/>
      <c r="C151" s="2"/>
      <c r="D151" s="6"/>
    </row>
    <row r="152" spans="1:4" ht="26.4">
      <c r="A152" s="207" t="s">
        <v>381</v>
      </c>
      <c r="B152" s="4" t="s">
        <v>3</v>
      </c>
      <c r="C152" s="4" t="s">
        <v>4</v>
      </c>
      <c r="D152" s="6" t="s">
        <v>5</v>
      </c>
    </row>
    <row r="153" spans="1:4" ht="18" hidden="1">
      <c r="A153" s="206"/>
      <c r="B153" s="37"/>
      <c r="C153" s="37"/>
      <c r="D153" s="6">
        <f t="shared" si="2"/>
        <v>0</v>
      </c>
    </row>
    <row r="154" spans="1:4" ht="18" hidden="1">
      <c r="A154" s="11" t="s">
        <v>97</v>
      </c>
      <c r="B154" s="14"/>
      <c r="C154" s="14"/>
      <c r="D154" s="6">
        <f t="shared" si="2"/>
        <v>0</v>
      </c>
    </row>
    <row r="155" spans="1:4" ht="18" hidden="1">
      <c r="A155" s="8" t="s">
        <v>124</v>
      </c>
      <c r="B155" s="6"/>
      <c r="C155" s="6"/>
      <c r="D155" s="6">
        <f t="shared" si="2"/>
        <v>0</v>
      </c>
    </row>
    <row r="156" spans="1:4" ht="18" hidden="1">
      <c r="A156" s="8" t="s">
        <v>265</v>
      </c>
      <c r="B156" s="6"/>
      <c r="C156" s="6"/>
      <c r="D156" s="6">
        <f t="shared" si="2"/>
        <v>0</v>
      </c>
    </row>
    <row r="157" spans="1:4" ht="18" hidden="1">
      <c r="A157" s="8" t="s">
        <v>273</v>
      </c>
      <c r="B157" s="6"/>
      <c r="C157" s="6"/>
      <c r="D157" s="6">
        <f t="shared" si="2"/>
        <v>0</v>
      </c>
    </row>
    <row r="158" spans="1:4" ht="18" hidden="1">
      <c r="A158" s="8" t="s">
        <v>277</v>
      </c>
      <c r="B158" s="6"/>
      <c r="C158" s="6"/>
      <c r="D158" s="6">
        <f t="shared" si="2"/>
        <v>0</v>
      </c>
    </row>
    <row r="159" spans="1:4" ht="18">
      <c r="A159" s="8" t="s">
        <v>230</v>
      </c>
      <c r="B159" s="6">
        <v>710</v>
      </c>
      <c r="C159" s="6">
        <v>16000</v>
      </c>
      <c r="D159" s="6">
        <f t="shared" si="2"/>
        <v>11360000</v>
      </c>
    </row>
    <row r="160" spans="1:4" ht="18">
      <c r="A160" s="8" t="s">
        <v>117</v>
      </c>
      <c r="B160" s="6">
        <v>110</v>
      </c>
      <c r="C160" s="6">
        <v>7000</v>
      </c>
      <c r="D160" s="6">
        <f t="shared" si="2"/>
        <v>770000</v>
      </c>
    </row>
    <row r="161" spans="1:4" ht="18" hidden="1">
      <c r="A161" s="10" t="s">
        <v>121</v>
      </c>
      <c r="B161" s="6"/>
      <c r="C161" s="6"/>
      <c r="D161" s="6">
        <f t="shared" si="2"/>
        <v>0</v>
      </c>
    </row>
    <row r="162" spans="1:4" ht="18">
      <c r="A162" s="8" t="s">
        <v>150</v>
      </c>
      <c r="B162" s="6">
        <v>120</v>
      </c>
      <c r="C162" s="6">
        <v>13000</v>
      </c>
      <c r="D162" s="6">
        <f t="shared" si="2"/>
        <v>1560000</v>
      </c>
    </row>
    <row r="163" spans="1:4" ht="18" hidden="1">
      <c r="A163" s="11" t="s">
        <v>208</v>
      </c>
      <c r="B163" s="6"/>
      <c r="C163" s="6"/>
      <c r="D163" s="6">
        <f t="shared" si="2"/>
        <v>0</v>
      </c>
    </row>
    <row r="164" spans="1:4" ht="18">
      <c r="A164" s="8" t="s">
        <v>19</v>
      </c>
      <c r="B164" s="6">
        <v>12</v>
      </c>
      <c r="C164" s="6">
        <v>10000</v>
      </c>
      <c r="D164" s="6">
        <f t="shared" si="2"/>
        <v>120000</v>
      </c>
    </row>
    <row r="165" spans="1:4" ht="18" hidden="1">
      <c r="A165" s="8" t="s">
        <v>366</v>
      </c>
      <c r="B165" s="6"/>
      <c r="C165" s="6"/>
      <c r="D165" s="6">
        <f t="shared" si="2"/>
        <v>0</v>
      </c>
    </row>
    <row r="166" spans="1:4" ht="18" hidden="1">
      <c r="A166" s="8" t="s">
        <v>288</v>
      </c>
      <c r="B166" s="6"/>
      <c r="C166" s="6"/>
      <c r="D166" s="6">
        <f t="shared" si="2"/>
        <v>0</v>
      </c>
    </row>
    <row r="167" spans="1:4" ht="18" hidden="1">
      <c r="A167" s="5" t="s">
        <v>6</v>
      </c>
      <c r="B167" s="6"/>
      <c r="C167" s="6"/>
      <c r="D167" s="6">
        <f t="shared" si="2"/>
        <v>0</v>
      </c>
    </row>
    <row r="168" spans="1:4" ht="18" hidden="1">
      <c r="A168" s="8" t="s">
        <v>100</v>
      </c>
      <c r="B168" s="6"/>
      <c r="C168" s="6"/>
      <c r="D168" s="6">
        <f t="shared" si="2"/>
        <v>0</v>
      </c>
    </row>
    <row r="169" spans="1:4" ht="18" hidden="1">
      <c r="A169" s="8" t="s">
        <v>137</v>
      </c>
      <c r="B169" s="6"/>
      <c r="C169" s="6"/>
      <c r="D169" s="6">
        <f t="shared" si="2"/>
        <v>0</v>
      </c>
    </row>
    <row r="170" spans="1:4" ht="18" hidden="1">
      <c r="A170" s="8" t="s">
        <v>55</v>
      </c>
      <c r="B170" s="6"/>
      <c r="C170" s="6"/>
      <c r="D170" s="6">
        <f t="shared" si="2"/>
        <v>0</v>
      </c>
    </row>
    <row r="171" spans="1:4" ht="18">
      <c r="A171" s="11" t="s">
        <v>65</v>
      </c>
      <c r="B171" s="6">
        <v>695</v>
      </c>
      <c r="C171" s="6">
        <v>18000</v>
      </c>
      <c r="D171" s="6">
        <f t="shared" si="2"/>
        <v>12510000</v>
      </c>
    </row>
    <row r="172" spans="1:4" ht="18">
      <c r="A172" s="8" t="s">
        <v>27</v>
      </c>
      <c r="B172" s="6">
        <v>2360</v>
      </c>
      <c r="C172" s="6">
        <v>13000</v>
      </c>
      <c r="D172" s="6">
        <f t="shared" si="2"/>
        <v>30680000</v>
      </c>
    </row>
    <row r="173" spans="1:4" ht="18" hidden="1">
      <c r="A173" s="8" t="s">
        <v>238</v>
      </c>
      <c r="B173" s="6"/>
      <c r="C173" s="6"/>
      <c r="D173" s="6">
        <f t="shared" si="2"/>
        <v>0</v>
      </c>
    </row>
    <row r="174" spans="1:4" ht="18" hidden="1">
      <c r="A174" s="8" t="s">
        <v>308</v>
      </c>
      <c r="B174" s="6"/>
      <c r="C174" s="6"/>
      <c r="D174" s="6">
        <f t="shared" si="2"/>
        <v>0</v>
      </c>
    </row>
    <row r="175" spans="1:4" ht="18">
      <c r="A175" s="8" t="s">
        <v>219</v>
      </c>
      <c r="B175" s="6">
        <v>590</v>
      </c>
      <c r="C175" s="6">
        <v>14000</v>
      </c>
      <c r="D175" s="6">
        <f t="shared" si="2"/>
        <v>8260000</v>
      </c>
    </row>
    <row r="176" spans="1:4" ht="18" hidden="1">
      <c r="A176" s="15" t="s">
        <v>67</v>
      </c>
      <c r="B176" s="6"/>
      <c r="C176" s="6"/>
      <c r="D176" s="6">
        <f t="shared" si="2"/>
        <v>0</v>
      </c>
    </row>
    <row r="177" spans="1:4" ht="18" hidden="1">
      <c r="A177" s="15" t="s">
        <v>70</v>
      </c>
      <c r="B177" s="6"/>
      <c r="C177" s="6"/>
      <c r="D177" s="6">
        <f t="shared" si="2"/>
        <v>0</v>
      </c>
    </row>
    <row r="178" spans="1:4" ht="18" hidden="1">
      <c r="A178" s="8" t="s">
        <v>364</v>
      </c>
      <c r="B178" s="6"/>
      <c r="C178" s="6"/>
      <c r="D178" s="6">
        <f t="shared" si="2"/>
        <v>0</v>
      </c>
    </row>
    <row r="179" spans="1:4" ht="18" hidden="1">
      <c r="A179" s="8" t="s">
        <v>169</v>
      </c>
      <c r="B179" s="6"/>
      <c r="C179" s="6"/>
      <c r="D179" s="6">
        <f t="shared" si="2"/>
        <v>0</v>
      </c>
    </row>
    <row r="180" spans="1:4" ht="18">
      <c r="A180" s="8" t="s">
        <v>90</v>
      </c>
      <c r="B180" s="6">
        <v>185</v>
      </c>
      <c r="C180" s="6">
        <v>25000</v>
      </c>
      <c r="D180" s="6">
        <f t="shared" si="2"/>
        <v>4625000</v>
      </c>
    </row>
    <row r="181" spans="1:4" ht="18" hidden="1">
      <c r="A181" s="8" t="s">
        <v>95</v>
      </c>
      <c r="B181" s="6"/>
      <c r="C181" s="6"/>
      <c r="D181" s="6">
        <f t="shared" si="2"/>
        <v>0</v>
      </c>
    </row>
    <row r="182" spans="1:4" ht="18">
      <c r="A182" s="11" t="s">
        <v>198</v>
      </c>
      <c r="B182" s="6">
        <v>1090</v>
      </c>
      <c r="C182" s="6">
        <v>6800</v>
      </c>
      <c r="D182" s="6">
        <f t="shared" si="2"/>
        <v>7412000</v>
      </c>
    </row>
    <row r="183" spans="1:4" ht="18">
      <c r="A183" s="8" t="s">
        <v>368</v>
      </c>
      <c r="B183" s="6">
        <v>46</v>
      </c>
      <c r="C183" s="6">
        <v>12000</v>
      </c>
      <c r="D183" s="6">
        <f t="shared" si="2"/>
        <v>552000</v>
      </c>
    </row>
    <row r="184" spans="1:4" ht="18" hidden="1">
      <c r="A184" s="8" t="s">
        <v>119</v>
      </c>
      <c r="B184" s="6"/>
      <c r="C184" s="6"/>
      <c r="D184" s="6">
        <f t="shared" si="2"/>
        <v>0</v>
      </c>
    </row>
    <row r="185" spans="1:4" ht="18" hidden="1">
      <c r="A185" s="8" t="s">
        <v>362</v>
      </c>
      <c r="B185" s="6"/>
      <c r="C185" s="6"/>
      <c r="D185" s="6">
        <f t="shared" si="2"/>
        <v>0</v>
      </c>
    </row>
    <row r="186" spans="1:4" ht="18">
      <c r="A186" s="8" t="s">
        <v>302</v>
      </c>
      <c r="B186" s="6">
        <v>25</v>
      </c>
      <c r="C186" s="6">
        <v>10000</v>
      </c>
      <c r="D186" s="6">
        <f t="shared" si="2"/>
        <v>250000</v>
      </c>
    </row>
    <row r="187" spans="1:4" ht="18" hidden="1">
      <c r="A187" s="8" t="s">
        <v>30</v>
      </c>
      <c r="B187" s="6"/>
      <c r="C187" s="6"/>
      <c r="D187" s="6">
        <f t="shared" si="2"/>
        <v>0</v>
      </c>
    </row>
    <row r="188" spans="1:4" ht="18" hidden="1">
      <c r="A188" s="8" t="s">
        <v>32</v>
      </c>
      <c r="B188" s="6"/>
      <c r="C188" s="6"/>
      <c r="D188" s="6">
        <f t="shared" si="2"/>
        <v>0</v>
      </c>
    </row>
    <row r="189" spans="1:4" ht="18">
      <c r="A189" s="8" t="s">
        <v>63</v>
      </c>
      <c r="B189" s="6">
        <v>15</v>
      </c>
      <c r="C189" s="6">
        <v>24000</v>
      </c>
      <c r="D189" s="6">
        <f t="shared" si="2"/>
        <v>360000</v>
      </c>
    </row>
    <row r="190" spans="1:4" ht="18" hidden="1">
      <c r="A190" s="8" t="s">
        <v>104</v>
      </c>
      <c r="B190" s="6"/>
      <c r="C190" s="6"/>
      <c r="D190" s="6">
        <f t="shared" si="2"/>
        <v>0</v>
      </c>
    </row>
    <row r="191" spans="1:4" ht="18">
      <c r="A191" s="5" t="s">
        <v>11</v>
      </c>
      <c r="B191" s="6">
        <v>216</v>
      </c>
      <c r="C191" s="6">
        <v>6500</v>
      </c>
      <c r="D191" s="6">
        <f t="shared" si="2"/>
        <v>1404000</v>
      </c>
    </row>
    <row r="192" spans="1:4" ht="18">
      <c r="A192" s="8" t="s">
        <v>365</v>
      </c>
      <c r="B192" s="6">
        <v>95</v>
      </c>
      <c r="C192" s="26">
        <v>6500</v>
      </c>
      <c r="D192" s="6">
        <f t="shared" si="2"/>
        <v>617500</v>
      </c>
    </row>
    <row r="193" spans="1:4" ht="18" hidden="1">
      <c r="A193" s="11" t="s">
        <v>182</v>
      </c>
      <c r="B193" s="6"/>
      <c r="C193" s="6"/>
      <c r="D193" s="6">
        <f t="shared" si="2"/>
        <v>0</v>
      </c>
    </row>
    <row r="194" spans="1:4" ht="18" hidden="1">
      <c r="A194" s="10" t="s">
        <v>373</v>
      </c>
      <c r="B194" s="6"/>
      <c r="C194" s="6"/>
      <c r="D194" s="6">
        <f t="shared" si="2"/>
        <v>0</v>
      </c>
    </row>
    <row r="195" spans="1:4" ht="18" hidden="1">
      <c r="A195" s="8" t="s">
        <v>328</v>
      </c>
      <c r="B195" s="6"/>
      <c r="C195" s="6"/>
      <c r="D195" s="6">
        <f t="shared" si="2"/>
        <v>0</v>
      </c>
    </row>
    <row r="196" spans="1:4" ht="18" hidden="1">
      <c r="A196" s="8" t="s">
        <v>331</v>
      </c>
      <c r="B196" s="6"/>
      <c r="C196" s="6"/>
      <c r="D196" s="6">
        <f t="shared" ref="D196:D204" si="3">B196*C196</f>
        <v>0</v>
      </c>
    </row>
    <row r="197" spans="1:4" ht="18" hidden="1">
      <c r="A197" s="8" t="s">
        <v>344</v>
      </c>
      <c r="B197" s="6"/>
      <c r="C197" s="6"/>
      <c r="D197" s="6">
        <f t="shared" si="3"/>
        <v>0</v>
      </c>
    </row>
    <row r="198" spans="1:4" ht="18" hidden="1">
      <c r="A198" s="8" t="s">
        <v>347</v>
      </c>
      <c r="B198" s="6"/>
      <c r="C198" s="6"/>
      <c r="D198" s="6">
        <f t="shared" si="3"/>
        <v>0</v>
      </c>
    </row>
    <row r="199" spans="1:4" ht="18" hidden="1">
      <c r="A199" s="8" t="s">
        <v>350</v>
      </c>
      <c r="B199" s="6"/>
      <c r="C199" s="6"/>
      <c r="D199" s="6">
        <f t="shared" si="3"/>
        <v>0</v>
      </c>
    </row>
    <row r="200" spans="1:4" ht="18">
      <c r="A200" s="8" t="s">
        <v>147</v>
      </c>
      <c r="B200" s="6">
        <v>33</v>
      </c>
      <c r="C200" s="6">
        <v>10000</v>
      </c>
      <c r="D200" s="6">
        <f t="shared" si="3"/>
        <v>330000</v>
      </c>
    </row>
    <row r="201" spans="1:4" ht="18">
      <c r="A201" s="8" t="s">
        <v>305</v>
      </c>
      <c r="B201" s="6">
        <v>10</v>
      </c>
      <c r="C201" s="6">
        <v>7000</v>
      </c>
      <c r="D201" s="6">
        <f t="shared" si="3"/>
        <v>70000</v>
      </c>
    </row>
    <row r="202" spans="1:4" ht="18" hidden="1">
      <c r="A202" s="8" t="s">
        <v>24</v>
      </c>
      <c r="B202" s="6"/>
      <c r="C202" s="6"/>
      <c r="D202" s="6">
        <f t="shared" si="3"/>
        <v>0</v>
      </c>
    </row>
    <row r="203" spans="1:4" ht="18" hidden="1">
      <c r="A203" s="8" t="s">
        <v>174</v>
      </c>
      <c r="B203" s="6"/>
      <c r="C203" s="6"/>
      <c r="D203" s="6">
        <f t="shared" si="3"/>
        <v>0</v>
      </c>
    </row>
    <row r="204" spans="1:4" ht="18" hidden="1">
      <c r="A204" s="10" t="s">
        <v>241</v>
      </c>
      <c r="B204" s="6"/>
      <c r="C204" s="6"/>
      <c r="D204" s="6">
        <f t="shared" si="3"/>
        <v>0</v>
      </c>
    </row>
    <row r="205" spans="1:4" ht="17.399999999999999">
      <c r="A205" s="35"/>
      <c r="B205" s="36">
        <v>6312</v>
      </c>
      <c r="C205" s="36"/>
      <c r="D205" s="36">
        <f>SUM(D159:D201)</f>
        <v>80880500</v>
      </c>
    </row>
    <row r="207" spans="1:4">
      <c r="D207" s="190">
        <f>D205+D149</f>
        <v>109922000</v>
      </c>
    </row>
  </sheetData>
  <protectedRanges>
    <protectedRange password="CF71" sqref="B170:C204 B3:C3 B1:D2" name="tho"/>
    <protectedRange password="CF71" sqref="D3:D204" name="tho_2"/>
    <protectedRange password="CF71" sqref="B4:C4" name="tho_1"/>
    <protectedRange password="CF71" sqref="B5:C5" name="tho_3"/>
    <protectedRange password="CF71" sqref="B6:C6" name="tho_4"/>
    <protectedRange password="CF71" sqref="B7:C15" name="tho_5"/>
    <protectedRange password="CF71" sqref="B16:C18" name="tho_6"/>
    <protectedRange password="CF71" sqref="B19:C20" name="tho_7"/>
    <protectedRange password="CF71" sqref="B21:C21" name="tho_8"/>
    <protectedRange password="CF71" sqref="B22:C22" name="tho_9"/>
    <protectedRange password="CF71" sqref="B23:C23" name="tho_10"/>
    <protectedRange password="CF71" sqref="B24:C24" name="tho_11"/>
    <protectedRange password="CF71" sqref="B25:C28" name="tho_12"/>
    <protectedRange password="CF71" sqref="B29:C30" name="tho_13"/>
    <protectedRange password="CF71" sqref="B31:C33" name="tho_14"/>
    <protectedRange password="CF71" sqref="B34:C34" name="tho_15"/>
    <protectedRange password="CF71" sqref="B35:C35" name="tho_16"/>
    <protectedRange password="CF71" sqref="B36:C36" name="tho_17"/>
    <protectedRange password="CF71" sqref="B37:C38" name="tho_18"/>
    <protectedRange password="CF71" sqref="B39:C44" name="tho_19"/>
    <protectedRange password="CF71" sqref="B45:C47" name="tho_20"/>
    <protectedRange password="CF71" sqref="B48:C50" name="tho_21"/>
    <protectedRange password="CF71" sqref="B51:C51" name="tho_22"/>
    <protectedRange password="CF71" sqref="B52:C53" name="tho_23"/>
    <protectedRange password="CF71" sqref="B54:C54" name="tho_24"/>
    <protectedRange password="CF71" sqref="B55:C55" name="tho_25"/>
    <protectedRange password="CF71" sqref="B56:C56" name="tho_26"/>
    <protectedRange password="CF71" sqref="B57:C57" name="tho_27"/>
    <protectedRange password="CF71" sqref="B58:C58" name="tho_28"/>
    <protectedRange password="CF71" sqref="B59:C59" name="tho_29"/>
    <protectedRange password="CF71" sqref="B60:C60" name="tho_30"/>
    <protectedRange password="CF71" sqref="B61:C61" name="tho_31"/>
    <protectedRange password="CF71" sqref="B62:C62" name="tho_32"/>
    <protectedRange password="CF71" sqref="B63:C65" name="tho_33"/>
    <protectedRange password="CF71" sqref="B66:C66" name="tho_34"/>
    <protectedRange password="CF71" sqref="B67:C70" name="tho_35"/>
    <protectedRange password="CF71" sqref="B71:C71" name="tho_36"/>
    <protectedRange password="CF71" sqref="B72:C72" name="tho_37"/>
    <protectedRange password="CF71" sqref="B73:C73" name="tho_38"/>
    <protectedRange password="CF71" sqref="B74:C76" name="tho_39"/>
    <protectedRange password="CF71" sqref="B77:C77" name="tho_40"/>
    <protectedRange password="CF71" sqref="B78:C78" name="tho_41"/>
    <protectedRange password="CF71" sqref="B79:C79" name="tho_42"/>
    <protectedRange password="CF71" sqref="B80:C80" name="tho_43"/>
    <protectedRange password="CF71" sqref="B81:C83" name="tho_44"/>
    <protectedRange password="CF71" sqref="B84:C84" name="tho_45"/>
    <protectedRange password="CF71" sqref="B85:C85" name="tho_46"/>
    <protectedRange password="CF71" sqref="B86:C91" name="tho_47"/>
    <protectedRange password="CF71" sqref="B92:C94" name="tho_48"/>
    <protectedRange password="CF71" sqref="B95:C96" name="tho_49"/>
    <protectedRange password="CF71" sqref="B97:C97" name="tho_50"/>
    <protectedRange password="CF71" sqref="B98:C100" name="tho_51"/>
    <protectedRange password="CF71" sqref="B101:C102" name="tho_52"/>
    <protectedRange password="CF71" sqref="B103:C103" name="tho_53"/>
    <protectedRange password="CF71" sqref="B104:C105" name="tho_54"/>
    <protectedRange password="CF71" sqref="B106:C107" name="tho_55"/>
    <protectedRange password="CF71" sqref="B108:C108" name="tho_56"/>
    <protectedRange password="CF71" sqref="B109:C109" name="tho_57"/>
    <protectedRange password="CF71" sqref="B110:C110" name="tho_58"/>
    <protectedRange password="CF71" sqref="B111:C112" name="tho_59"/>
    <protectedRange password="CF71" sqref="B113:C114" name="tho_60"/>
    <protectedRange password="CF71" sqref="B115:C118" name="tho_61"/>
    <protectedRange password="CF71" sqref="B119:C119" name="tho_62"/>
    <protectedRange password="CF71" sqref="B120:C121" name="tho_63"/>
    <protectedRange password="CF71" sqref="B122:C122" name="tho_64"/>
    <protectedRange password="CF71" sqref="B123:C126" name="tho_65"/>
    <protectedRange password="CF71" sqref="B127:C128" name="tho_66"/>
    <protectedRange password="CF71" sqref="B129:C129" name="tho_67"/>
    <protectedRange password="CF71" sqref="B130:C130" name="tho_68"/>
    <protectedRange password="CF71" sqref="B131:C132" name="tho_69"/>
    <protectedRange password="CF71" sqref="B133:C133" name="tho_70"/>
    <protectedRange password="CF71" sqref="B134:C134" name="tho_71"/>
    <protectedRange password="CF71" sqref="B135:C135" name="tho_72"/>
    <protectedRange password="CF71" sqref="B136:C136" name="tho_73"/>
    <protectedRange password="CF71" sqref="B137:C138" name="tho_74"/>
    <protectedRange password="CF71" sqref="B139:C139" name="tho_75"/>
    <protectedRange password="CF71" sqref="B140:C140" name="tho_76"/>
    <protectedRange password="CF71" sqref="B141:C142" name="tho_77"/>
    <protectedRange password="CF71" sqref="B143:C143" name="tho_78"/>
    <protectedRange password="CF71" sqref="B144:C144" name="tho_79"/>
    <protectedRange password="CF71" sqref="B145:C145" name="tho_80"/>
    <protectedRange password="CF71" sqref="B146:C147" name="tho_81"/>
    <protectedRange password="CF71" sqref="B148:C148" name="tho_82"/>
    <protectedRange password="CF71" sqref="B151:C153" name="tho_83"/>
    <protectedRange password="CF71" sqref="B154:C154" name="tho_84"/>
    <protectedRange password="CF71" sqref="B155:C155" name="tho_85"/>
    <protectedRange password="CF71" sqref="B156:C156" name="tho_86"/>
    <protectedRange password="CF71" sqref="B157:C157" name="tho_87"/>
    <protectedRange password="CF71" sqref="B158:C158" name="tho_88"/>
    <protectedRange password="CF71" sqref="B159:C159" name="tho_89"/>
    <protectedRange password="CF71" sqref="B160:C160" name="tho_90"/>
    <protectedRange password="CF71" sqref="B161:C161" name="tho_91"/>
    <protectedRange password="CF71" sqref="B162:C162" name="tho_92"/>
    <protectedRange password="CF71" sqref="B163:C163" name="tho_93"/>
    <protectedRange password="CF71" sqref="B164:C164" name="tho_94"/>
    <protectedRange password="CF71" sqref="B165:C165" name="tho_95"/>
    <protectedRange password="CF71" sqref="B166:C166" name="tho_96"/>
    <protectedRange password="CF71" sqref="B167:C167" name="tho_97"/>
    <protectedRange password="CF71" sqref="B168:C168" name="tho_98"/>
    <protectedRange password="CF71" sqref="B169:C169" name="tho_99"/>
  </protectedRanges>
  <autoFilter ref="A2:D205" xr:uid="{00000000-0009-0000-0000-000008000000}">
    <filterColumn colId="1">
      <customFilters>
        <customFilter operator="notEqual" val=""/>
      </customFilters>
    </filterColumn>
  </autoFilter>
  <mergeCells count="1">
    <mergeCell ref="A152:A1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674"/>
  <sheetViews>
    <sheetView topLeftCell="A355" workbookViewId="0">
      <selection activeCell="D674" sqref="D674"/>
    </sheetView>
  </sheetViews>
  <sheetFormatPr defaultColWidth="9" defaultRowHeight="14.4"/>
  <cols>
    <col min="1" max="1" width="37.6640625" customWidth="1"/>
    <col min="2" max="2" width="11.5546875" customWidth="1"/>
    <col min="3" max="3" width="13.44140625" customWidth="1"/>
    <col min="4" max="4" width="24.33203125" customWidth="1"/>
  </cols>
  <sheetData>
    <row r="1" spans="1:4">
      <c r="A1" s="1" t="s">
        <v>394</v>
      </c>
      <c r="B1" s="2"/>
      <c r="C1" s="2"/>
      <c r="D1" s="2"/>
    </row>
    <row r="2" spans="1:4" ht="26.4">
      <c r="A2" s="3" t="s">
        <v>381</v>
      </c>
      <c r="B2" s="4" t="s">
        <v>3</v>
      </c>
      <c r="C2" s="4" t="s">
        <v>4</v>
      </c>
      <c r="D2" s="4" t="s">
        <v>5</v>
      </c>
    </row>
    <row r="3" spans="1:4" ht="18">
      <c r="A3" s="5" t="s">
        <v>6</v>
      </c>
      <c r="B3" s="6">
        <v>5</v>
      </c>
      <c r="C3" s="6">
        <v>14000</v>
      </c>
      <c r="D3" s="6">
        <f>B3*C3</f>
        <v>70000</v>
      </c>
    </row>
    <row r="4" spans="1:4" ht="18" hidden="1">
      <c r="A4" s="7" t="s">
        <v>8</v>
      </c>
      <c r="B4" s="6"/>
      <c r="C4" s="6"/>
      <c r="D4" s="6">
        <f t="shared" ref="D4:D67" si="0">B4*C4</f>
        <v>0</v>
      </c>
    </row>
    <row r="5" spans="1:4" ht="18" hidden="1">
      <c r="A5" s="5" t="s">
        <v>10</v>
      </c>
      <c r="B5" s="6"/>
      <c r="C5" s="6"/>
      <c r="D5" s="6">
        <f t="shared" si="0"/>
        <v>0</v>
      </c>
    </row>
    <row r="6" spans="1:4" ht="18">
      <c r="A6" s="5" t="s">
        <v>11</v>
      </c>
      <c r="B6" s="6">
        <v>120</v>
      </c>
      <c r="C6" s="6">
        <v>6500</v>
      </c>
      <c r="D6" s="6">
        <f t="shared" si="0"/>
        <v>780000</v>
      </c>
    </row>
    <row r="7" spans="1:4" ht="18" hidden="1">
      <c r="A7" s="8" t="s">
        <v>12</v>
      </c>
      <c r="B7" s="6"/>
      <c r="C7" s="6"/>
      <c r="D7" s="6">
        <f t="shared" si="0"/>
        <v>0</v>
      </c>
    </row>
    <row r="8" spans="1:4" ht="18" hidden="1">
      <c r="A8" s="9" t="s">
        <v>13</v>
      </c>
      <c r="B8" s="6"/>
      <c r="C8" s="6"/>
      <c r="D8" s="6">
        <f t="shared" si="0"/>
        <v>0</v>
      </c>
    </row>
    <row r="9" spans="1:4" ht="18" hidden="1">
      <c r="A9" s="5" t="s">
        <v>14</v>
      </c>
      <c r="B9" s="6"/>
      <c r="C9" s="6"/>
      <c r="D9" s="6">
        <f t="shared" si="0"/>
        <v>0</v>
      </c>
    </row>
    <row r="10" spans="1:4" ht="18" hidden="1">
      <c r="A10" s="5" t="s">
        <v>15</v>
      </c>
      <c r="B10" s="6"/>
      <c r="C10" s="6"/>
      <c r="D10" s="6">
        <f t="shared" si="0"/>
        <v>0</v>
      </c>
    </row>
    <row r="11" spans="1:4" ht="18" hidden="1">
      <c r="A11" s="10" t="s">
        <v>16</v>
      </c>
      <c r="B11" s="6"/>
      <c r="C11" s="6"/>
      <c r="D11" s="6">
        <f t="shared" si="0"/>
        <v>0</v>
      </c>
    </row>
    <row r="12" spans="1:4" ht="18" hidden="1">
      <c r="A12" s="8" t="s">
        <v>18</v>
      </c>
      <c r="B12" s="6"/>
      <c r="C12" s="6"/>
      <c r="D12" s="6">
        <f t="shared" si="0"/>
        <v>0</v>
      </c>
    </row>
    <row r="13" spans="1:4" ht="18" hidden="1">
      <c r="A13" s="8" t="s">
        <v>19</v>
      </c>
      <c r="B13" s="6"/>
      <c r="C13" s="6"/>
      <c r="D13" s="6">
        <f t="shared" si="0"/>
        <v>0</v>
      </c>
    </row>
    <row r="14" spans="1:4" ht="18" hidden="1">
      <c r="A14" s="11" t="s">
        <v>20</v>
      </c>
      <c r="B14" s="6"/>
      <c r="C14" s="6"/>
      <c r="D14" s="6">
        <f t="shared" si="0"/>
        <v>0</v>
      </c>
    </row>
    <row r="15" spans="1:4" ht="18" hidden="1">
      <c r="A15" s="11" t="s">
        <v>22</v>
      </c>
      <c r="B15" s="6"/>
      <c r="C15" s="6"/>
      <c r="D15" s="6">
        <f t="shared" si="0"/>
        <v>0</v>
      </c>
    </row>
    <row r="16" spans="1:4" ht="18" hidden="1">
      <c r="A16" s="8" t="s">
        <v>23</v>
      </c>
      <c r="B16" s="6"/>
      <c r="C16" s="6"/>
      <c r="D16" s="6">
        <f t="shared" si="0"/>
        <v>0</v>
      </c>
    </row>
    <row r="17" spans="1:4" ht="18" hidden="1">
      <c r="A17" s="8" t="s">
        <v>24</v>
      </c>
      <c r="B17" s="6"/>
      <c r="C17" s="6"/>
      <c r="D17" s="6">
        <f t="shared" si="0"/>
        <v>0</v>
      </c>
    </row>
    <row r="18" spans="1:4" ht="18" hidden="1">
      <c r="A18" s="12" t="s">
        <v>25</v>
      </c>
      <c r="B18" s="6"/>
      <c r="C18" s="6"/>
      <c r="D18" s="6">
        <f t="shared" si="0"/>
        <v>0</v>
      </c>
    </row>
    <row r="19" spans="1:4" ht="18">
      <c r="A19" s="10" t="s">
        <v>26</v>
      </c>
      <c r="B19" s="6">
        <v>10</v>
      </c>
      <c r="C19" s="13">
        <v>4000</v>
      </c>
      <c r="D19" s="6">
        <f t="shared" si="0"/>
        <v>40000</v>
      </c>
    </row>
    <row r="20" spans="1:4" ht="18">
      <c r="A20" s="8" t="s">
        <v>27</v>
      </c>
      <c r="B20" s="6">
        <v>300</v>
      </c>
      <c r="C20" s="6">
        <v>13000</v>
      </c>
      <c r="D20" s="6">
        <f t="shared" si="0"/>
        <v>3900000</v>
      </c>
    </row>
    <row r="21" spans="1:4" ht="18" hidden="1">
      <c r="A21" s="11" t="s">
        <v>28</v>
      </c>
      <c r="B21" s="6"/>
      <c r="C21" s="6"/>
      <c r="D21" s="6">
        <f t="shared" si="0"/>
        <v>0</v>
      </c>
    </row>
    <row r="22" spans="1:4" ht="18" hidden="1">
      <c r="A22" s="11" t="s">
        <v>29</v>
      </c>
      <c r="B22" s="6"/>
      <c r="C22" s="6"/>
      <c r="D22" s="6">
        <f t="shared" si="0"/>
        <v>0</v>
      </c>
    </row>
    <row r="23" spans="1:4" ht="18" hidden="1">
      <c r="A23" s="8" t="s">
        <v>30</v>
      </c>
      <c r="B23" s="6"/>
      <c r="C23" s="6"/>
      <c r="D23" s="6">
        <f t="shared" si="0"/>
        <v>0</v>
      </c>
    </row>
    <row r="24" spans="1:4" ht="18" hidden="1">
      <c r="A24" s="8" t="s">
        <v>31</v>
      </c>
      <c r="B24" s="6"/>
      <c r="C24" s="6"/>
      <c r="D24" s="6">
        <f t="shared" si="0"/>
        <v>0</v>
      </c>
    </row>
    <row r="25" spans="1:4" ht="18">
      <c r="A25" s="8" t="s">
        <v>32</v>
      </c>
      <c r="B25" s="6">
        <f>35+80</f>
        <v>115</v>
      </c>
      <c r="C25" s="6">
        <v>13000</v>
      </c>
      <c r="D25" s="6">
        <f t="shared" si="0"/>
        <v>1495000</v>
      </c>
    </row>
    <row r="26" spans="1:4" ht="18" hidden="1">
      <c r="A26" s="8" t="s">
        <v>33</v>
      </c>
      <c r="B26" s="6"/>
      <c r="C26" s="6"/>
      <c r="D26" s="6">
        <f t="shared" si="0"/>
        <v>0</v>
      </c>
    </row>
    <row r="27" spans="1:4" ht="18" hidden="1">
      <c r="A27" s="8" t="s">
        <v>34</v>
      </c>
      <c r="B27" s="6"/>
      <c r="C27" s="6"/>
      <c r="D27" s="6">
        <f t="shared" si="0"/>
        <v>0</v>
      </c>
    </row>
    <row r="28" spans="1:4" ht="18">
      <c r="A28" s="8" t="s">
        <v>35</v>
      </c>
      <c r="B28" s="6">
        <v>27</v>
      </c>
      <c r="C28" s="6">
        <v>12000</v>
      </c>
      <c r="D28" s="6">
        <f t="shared" si="0"/>
        <v>324000</v>
      </c>
    </row>
    <row r="29" spans="1:4" ht="18" hidden="1">
      <c r="A29" s="10" t="s">
        <v>36</v>
      </c>
      <c r="B29" s="14"/>
      <c r="C29" s="14"/>
      <c r="D29" s="6">
        <f t="shared" si="0"/>
        <v>0</v>
      </c>
    </row>
    <row r="30" spans="1:4" ht="18" hidden="1">
      <c r="A30" s="11" t="s">
        <v>37</v>
      </c>
      <c r="B30" s="6"/>
      <c r="C30" s="6"/>
      <c r="D30" s="6">
        <f t="shared" si="0"/>
        <v>0</v>
      </c>
    </row>
    <row r="31" spans="1:4" ht="18" hidden="1">
      <c r="A31" s="10" t="s">
        <v>38</v>
      </c>
      <c r="B31" s="6"/>
      <c r="C31" s="6"/>
      <c r="D31" s="6">
        <f t="shared" si="0"/>
        <v>0</v>
      </c>
    </row>
    <row r="32" spans="1:4" ht="18" hidden="1">
      <c r="A32" s="10" t="s">
        <v>40</v>
      </c>
      <c r="B32" s="6"/>
      <c r="C32" s="6"/>
      <c r="D32" s="6">
        <f t="shared" si="0"/>
        <v>0</v>
      </c>
    </row>
    <row r="33" spans="1:4" ht="18" hidden="1">
      <c r="A33" s="10" t="s">
        <v>41</v>
      </c>
      <c r="B33" s="6"/>
      <c r="C33" s="6"/>
      <c r="D33" s="6">
        <f t="shared" si="0"/>
        <v>0</v>
      </c>
    </row>
    <row r="34" spans="1:4" ht="18" hidden="1">
      <c r="A34" s="11" t="s">
        <v>42</v>
      </c>
      <c r="B34" s="6"/>
      <c r="C34" s="6"/>
      <c r="D34" s="6">
        <f t="shared" si="0"/>
        <v>0</v>
      </c>
    </row>
    <row r="35" spans="1:4" ht="18" hidden="1">
      <c r="A35" s="10" t="s">
        <v>43</v>
      </c>
      <c r="B35" s="6"/>
      <c r="C35" s="6"/>
      <c r="D35" s="6">
        <f t="shared" si="0"/>
        <v>0</v>
      </c>
    </row>
    <row r="36" spans="1:4" ht="18" hidden="1">
      <c r="A36" s="10" t="s">
        <v>44</v>
      </c>
      <c r="B36" s="6"/>
      <c r="C36" s="6"/>
      <c r="D36" s="6">
        <f t="shared" si="0"/>
        <v>0</v>
      </c>
    </row>
    <row r="37" spans="1:4" ht="18" hidden="1">
      <c r="A37" s="10" t="s">
        <v>45</v>
      </c>
      <c r="B37" s="6"/>
      <c r="C37" s="6"/>
      <c r="D37" s="6">
        <f t="shared" si="0"/>
        <v>0</v>
      </c>
    </row>
    <row r="38" spans="1:4" ht="18">
      <c r="A38" s="11" t="s">
        <v>46</v>
      </c>
      <c r="B38" s="6">
        <v>25</v>
      </c>
      <c r="C38" s="6">
        <v>11000</v>
      </c>
      <c r="D38" s="6">
        <f t="shared" si="0"/>
        <v>275000</v>
      </c>
    </row>
    <row r="39" spans="1:4" ht="18" hidden="1">
      <c r="A39" s="8" t="s">
        <v>47</v>
      </c>
      <c r="B39" s="6"/>
      <c r="C39" s="6"/>
      <c r="D39" s="6">
        <f t="shared" si="0"/>
        <v>0</v>
      </c>
    </row>
    <row r="40" spans="1:4" ht="18" hidden="1">
      <c r="A40" s="8" t="s">
        <v>48</v>
      </c>
      <c r="B40" s="6"/>
      <c r="C40" s="6"/>
      <c r="D40" s="6">
        <f t="shared" si="0"/>
        <v>0</v>
      </c>
    </row>
    <row r="41" spans="1:4" ht="18" hidden="1">
      <c r="A41" s="10" t="s">
        <v>50</v>
      </c>
      <c r="B41" s="14"/>
      <c r="C41" s="14"/>
      <c r="D41" s="6">
        <f t="shared" si="0"/>
        <v>0</v>
      </c>
    </row>
    <row r="42" spans="1:4" ht="18" hidden="1">
      <c r="A42" s="8" t="s">
        <v>51</v>
      </c>
      <c r="B42" s="6"/>
      <c r="C42" s="6"/>
      <c r="D42" s="6">
        <f t="shared" si="0"/>
        <v>0</v>
      </c>
    </row>
    <row r="43" spans="1:4" ht="18" hidden="1">
      <c r="A43" s="8" t="s">
        <v>52</v>
      </c>
      <c r="B43" s="6"/>
      <c r="C43" s="6"/>
      <c r="D43" s="6">
        <f t="shared" si="0"/>
        <v>0</v>
      </c>
    </row>
    <row r="44" spans="1:4" ht="18" hidden="1">
      <c r="A44" s="15" t="s">
        <v>53</v>
      </c>
      <c r="B44" s="6"/>
      <c r="C44" s="6"/>
      <c r="D44" s="6">
        <f t="shared" si="0"/>
        <v>0</v>
      </c>
    </row>
    <row r="45" spans="1:4" ht="18" hidden="1">
      <c r="A45" s="8" t="s">
        <v>55</v>
      </c>
      <c r="B45" s="6"/>
      <c r="C45" s="6"/>
      <c r="D45" s="6">
        <f t="shared" si="0"/>
        <v>0</v>
      </c>
    </row>
    <row r="46" spans="1:4" ht="18" hidden="1">
      <c r="A46" s="8" t="s">
        <v>56</v>
      </c>
      <c r="B46" s="6"/>
      <c r="C46" s="6"/>
      <c r="D46" s="6">
        <f t="shared" si="0"/>
        <v>0</v>
      </c>
    </row>
    <row r="47" spans="1:4" ht="18" hidden="1">
      <c r="A47" s="8" t="s">
        <v>58</v>
      </c>
      <c r="B47" s="6"/>
      <c r="C47" s="6"/>
      <c r="D47" s="6">
        <f t="shared" si="0"/>
        <v>0</v>
      </c>
    </row>
    <row r="48" spans="1:4" ht="18" hidden="1">
      <c r="A48" s="16" t="s">
        <v>59</v>
      </c>
      <c r="B48" s="6"/>
      <c r="C48" s="6"/>
      <c r="D48" s="6">
        <f t="shared" si="0"/>
        <v>0</v>
      </c>
    </row>
    <row r="49" spans="1:4" ht="18" hidden="1">
      <c r="A49" s="12" t="s">
        <v>60</v>
      </c>
      <c r="B49" s="6"/>
      <c r="C49" s="6"/>
      <c r="D49" s="6">
        <f t="shared" si="0"/>
        <v>0</v>
      </c>
    </row>
    <row r="50" spans="1:4" ht="18" hidden="1">
      <c r="A50" s="10" t="s">
        <v>61</v>
      </c>
      <c r="B50" s="6"/>
      <c r="C50" s="6"/>
      <c r="D50" s="6">
        <f t="shared" si="0"/>
        <v>0</v>
      </c>
    </row>
    <row r="51" spans="1:4" ht="18" hidden="1">
      <c r="A51" s="12" t="s">
        <v>62</v>
      </c>
      <c r="B51" s="6"/>
      <c r="C51" s="6"/>
      <c r="D51" s="6">
        <f t="shared" si="0"/>
        <v>0</v>
      </c>
    </row>
    <row r="52" spans="1:4" ht="18" hidden="1">
      <c r="A52" s="8" t="s">
        <v>63</v>
      </c>
      <c r="B52" s="6"/>
      <c r="C52" s="6"/>
      <c r="D52" s="6">
        <f t="shared" si="0"/>
        <v>0</v>
      </c>
    </row>
    <row r="53" spans="1:4" ht="18" hidden="1">
      <c r="A53" s="8" t="s">
        <v>64</v>
      </c>
      <c r="B53" s="6"/>
      <c r="C53" s="6"/>
      <c r="D53" s="6">
        <f t="shared" si="0"/>
        <v>0</v>
      </c>
    </row>
    <row r="54" spans="1:4" ht="18">
      <c r="A54" s="11" t="s">
        <v>65</v>
      </c>
      <c r="B54" s="6">
        <v>200</v>
      </c>
      <c r="C54" s="6">
        <v>17000</v>
      </c>
      <c r="D54" s="6">
        <f t="shared" si="0"/>
        <v>3400000</v>
      </c>
    </row>
    <row r="55" spans="1:4" ht="18" hidden="1">
      <c r="A55" s="8" t="s">
        <v>66</v>
      </c>
      <c r="B55" s="6"/>
      <c r="C55" s="6"/>
      <c r="D55" s="6">
        <f t="shared" si="0"/>
        <v>0</v>
      </c>
    </row>
    <row r="56" spans="1:4" ht="18" hidden="1">
      <c r="A56" s="15" t="s">
        <v>67</v>
      </c>
      <c r="B56" s="6"/>
      <c r="C56" s="6"/>
      <c r="D56" s="6">
        <f t="shared" si="0"/>
        <v>0</v>
      </c>
    </row>
    <row r="57" spans="1:4" ht="18">
      <c r="A57" s="15" t="s">
        <v>69</v>
      </c>
      <c r="B57" s="6">
        <v>35</v>
      </c>
      <c r="C57" s="6">
        <v>6900</v>
      </c>
      <c r="D57" s="6">
        <f t="shared" si="0"/>
        <v>241500</v>
      </c>
    </row>
    <row r="58" spans="1:4" ht="18" hidden="1">
      <c r="A58" s="15" t="s">
        <v>70</v>
      </c>
      <c r="B58" s="6"/>
      <c r="C58" s="6"/>
      <c r="D58" s="6">
        <f t="shared" si="0"/>
        <v>0</v>
      </c>
    </row>
    <row r="59" spans="1:4" ht="18" hidden="1">
      <c r="A59" s="8" t="s">
        <v>71</v>
      </c>
      <c r="B59" s="6"/>
      <c r="C59" s="6"/>
      <c r="D59" s="6">
        <f t="shared" si="0"/>
        <v>0</v>
      </c>
    </row>
    <row r="60" spans="1:4" ht="18" hidden="1">
      <c r="A60" s="10" t="s">
        <v>72</v>
      </c>
      <c r="B60" s="6"/>
      <c r="C60" s="6"/>
      <c r="D60" s="6">
        <f t="shared" si="0"/>
        <v>0</v>
      </c>
    </row>
    <row r="61" spans="1:4" ht="18">
      <c r="A61" s="8" t="s">
        <v>73</v>
      </c>
      <c r="B61" s="6">
        <v>2</v>
      </c>
      <c r="C61" s="6">
        <v>11500</v>
      </c>
      <c r="D61" s="6">
        <f t="shared" si="0"/>
        <v>23000</v>
      </c>
    </row>
    <row r="62" spans="1:4" ht="18" hidden="1">
      <c r="A62" s="16" t="s">
        <v>74</v>
      </c>
      <c r="B62" s="6"/>
      <c r="C62" s="6"/>
      <c r="D62" s="6">
        <f t="shared" si="0"/>
        <v>0</v>
      </c>
    </row>
    <row r="63" spans="1:4" ht="18" hidden="1">
      <c r="A63" s="15" t="s">
        <v>75</v>
      </c>
      <c r="B63" s="6"/>
      <c r="C63" s="6"/>
      <c r="D63" s="6">
        <f t="shared" si="0"/>
        <v>0</v>
      </c>
    </row>
    <row r="64" spans="1:4" ht="18">
      <c r="A64" s="8" t="s">
        <v>76</v>
      </c>
      <c r="B64" s="6">
        <v>60</v>
      </c>
      <c r="C64" s="6">
        <v>14000</v>
      </c>
      <c r="D64" s="6">
        <f t="shared" si="0"/>
        <v>840000</v>
      </c>
    </row>
    <row r="65" spans="1:4" ht="18" hidden="1">
      <c r="A65" s="17" t="s">
        <v>77</v>
      </c>
      <c r="B65" s="6"/>
      <c r="C65" s="6"/>
      <c r="D65" s="6">
        <f t="shared" si="0"/>
        <v>0</v>
      </c>
    </row>
    <row r="66" spans="1:4" ht="18" hidden="1">
      <c r="A66" s="8" t="s">
        <v>78</v>
      </c>
      <c r="B66" s="6"/>
      <c r="C66" s="6"/>
      <c r="D66" s="6">
        <f t="shared" si="0"/>
        <v>0</v>
      </c>
    </row>
    <row r="67" spans="1:4" ht="18" hidden="1">
      <c r="A67" s="8" t="s">
        <v>79</v>
      </c>
      <c r="B67" s="6"/>
      <c r="C67" s="6"/>
      <c r="D67" s="6">
        <f t="shared" si="0"/>
        <v>0</v>
      </c>
    </row>
    <row r="68" spans="1:4" ht="18" hidden="1">
      <c r="A68" s="18" t="s">
        <v>80</v>
      </c>
      <c r="B68" s="6"/>
      <c r="C68" s="6"/>
      <c r="D68" s="6">
        <f t="shared" ref="D68:D131" si="1">B68*C68</f>
        <v>0</v>
      </c>
    </row>
    <row r="69" spans="1:4" ht="18" hidden="1">
      <c r="A69" s="11" t="s">
        <v>81</v>
      </c>
      <c r="B69" s="6"/>
      <c r="C69" s="6"/>
      <c r="D69" s="6">
        <f t="shared" si="1"/>
        <v>0</v>
      </c>
    </row>
    <row r="70" spans="1:4" ht="18" hidden="1">
      <c r="A70" s="11" t="s">
        <v>82</v>
      </c>
      <c r="B70" s="6"/>
      <c r="C70" s="6"/>
      <c r="D70" s="6">
        <f t="shared" si="1"/>
        <v>0</v>
      </c>
    </row>
    <row r="71" spans="1:4" ht="18" hidden="1">
      <c r="A71" s="10" t="s">
        <v>83</v>
      </c>
      <c r="B71" s="6"/>
      <c r="C71" s="6"/>
      <c r="D71" s="6">
        <f t="shared" si="1"/>
        <v>0</v>
      </c>
    </row>
    <row r="72" spans="1:4" ht="18">
      <c r="A72" s="11" t="s">
        <v>84</v>
      </c>
      <c r="B72" s="6">
        <v>5</v>
      </c>
      <c r="C72" s="6">
        <v>10000</v>
      </c>
      <c r="D72" s="6">
        <f t="shared" si="1"/>
        <v>50000</v>
      </c>
    </row>
    <row r="73" spans="1:4" ht="18" hidden="1">
      <c r="A73" s="11" t="s">
        <v>85</v>
      </c>
      <c r="B73" s="6"/>
      <c r="C73" s="6"/>
      <c r="D73" s="6">
        <f t="shared" si="1"/>
        <v>0</v>
      </c>
    </row>
    <row r="74" spans="1:4" ht="18" hidden="1">
      <c r="A74" s="11" t="s">
        <v>86</v>
      </c>
      <c r="B74" s="6"/>
      <c r="C74" s="6"/>
      <c r="D74" s="6">
        <f t="shared" si="1"/>
        <v>0</v>
      </c>
    </row>
    <row r="75" spans="1:4" ht="18" hidden="1">
      <c r="A75" s="18" t="s">
        <v>87</v>
      </c>
      <c r="B75" s="6"/>
      <c r="C75" s="6"/>
      <c r="D75" s="6">
        <f t="shared" si="1"/>
        <v>0</v>
      </c>
    </row>
    <row r="76" spans="1:4" ht="18" hidden="1">
      <c r="A76" s="8" t="s">
        <v>88</v>
      </c>
      <c r="B76" s="6"/>
      <c r="C76" s="6"/>
      <c r="D76" s="6">
        <f t="shared" si="1"/>
        <v>0</v>
      </c>
    </row>
    <row r="77" spans="1:4" ht="18" hidden="1">
      <c r="A77" s="8" t="s">
        <v>89</v>
      </c>
      <c r="B77" s="6"/>
      <c r="C77" s="6"/>
      <c r="D77" s="6">
        <f t="shared" si="1"/>
        <v>0</v>
      </c>
    </row>
    <row r="78" spans="1:4" ht="18">
      <c r="A78" s="8" t="s">
        <v>90</v>
      </c>
      <c r="B78" s="6">
        <v>120</v>
      </c>
      <c r="C78" s="6">
        <v>25000</v>
      </c>
      <c r="D78" s="6">
        <f t="shared" si="1"/>
        <v>3000000</v>
      </c>
    </row>
    <row r="79" spans="1:4" ht="18" hidden="1">
      <c r="A79" s="12" t="s">
        <v>91</v>
      </c>
      <c r="B79" s="6"/>
      <c r="C79" s="6"/>
      <c r="D79" s="6">
        <f t="shared" si="1"/>
        <v>0</v>
      </c>
    </row>
    <row r="80" spans="1:4" ht="18" hidden="1">
      <c r="A80" s="8" t="s">
        <v>92</v>
      </c>
      <c r="B80" s="6"/>
      <c r="C80" s="6"/>
      <c r="D80" s="6">
        <f t="shared" si="1"/>
        <v>0</v>
      </c>
    </row>
    <row r="81" spans="1:4" ht="18">
      <c r="A81" s="8" t="s">
        <v>94</v>
      </c>
      <c r="B81" s="6">
        <v>20</v>
      </c>
      <c r="C81" s="6">
        <v>22000</v>
      </c>
      <c r="D81" s="6">
        <f t="shared" si="1"/>
        <v>440000</v>
      </c>
    </row>
    <row r="82" spans="1:4" ht="18" hidden="1">
      <c r="A82" s="8" t="s">
        <v>95</v>
      </c>
      <c r="B82" s="6"/>
      <c r="C82" s="6"/>
      <c r="D82" s="6">
        <f t="shared" si="1"/>
        <v>0</v>
      </c>
    </row>
    <row r="83" spans="1:4" ht="18" hidden="1">
      <c r="A83" s="11" t="s">
        <v>96</v>
      </c>
      <c r="B83" s="14"/>
      <c r="C83" s="14"/>
      <c r="D83" s="6">
        <f t="shared" si="1"/>
        <v>0</v>
      </c>
    </row>
    <row r="84" spans="1:4" ht="18" hidden="1">
      <c r="A84" s="11" t="s">
        <v>97</v>
      </c>
      <c r="B84" s="14"/>
      <c r="C84" s="14"/>
      <c r="D84" s="6">
        <f t="shared" si="1"/>
        <v>0</v>
      </c>
    </row>
    <row r="85" spans="1:4" ht="18" hidden="1">
      <c r="A85" s="11" t="s">
        <v>98</v>
      </c>
      <c r="B85" s="14"/>
      <c r="C85" s="14"/>
      <c r="D85" s="6">
        <f t="shared" si="1"/>
        <v>0</v>
      </c>
    </row>
    <row r="86" spans="1:4" ht="18" hidden="1">
      <c r="A86" s="8" t="s">
        <v>99</v>
      </c>
      <c r="B86" s="6"/>
      <c r="C86" s="6"/>
      <c r="D86" s="6">
        <f t="shared" si="1"/>
        <v>0</v>
      </c>
    </row>
    <row r="87" spans="1:4" ht="18">
      <c r="A87" s="8" t="s">
        <v>100</v>
      </c>
      <c r="B87" s="6">
        <v>16</v>
      </c>
      <c r="C87" s="6">
        <v>19000</v>
      </c>
      <c r="D87" s="6">
        <f t="shared" si="1"/>
        <v>304000</v>
      </c>
    </row>
    <row r="88" spans="1:4" ht="18" hidden="1">
      <c r="A88" s="8" t="s">
        <v>101</v>
      </c>
      <c r="B88" s="6"/>
      <c r="C88" s="6"/>
      <c r="D88" s="6">
        <f t="shared" si="1"/>
        <v>0</v>
      </c>
    </row>
    <row r="89" spans="1:4" ht="18" hidden="1">
      <c r="A89" s="8" t="s">
        <v>102</v>
      </c>
      <c r="B89" s="6"/>
      <c r="C89" s="6"/>
      <c r="D89" s="6">
        <f t="shared" si="1"/>
        <v>0</v>
      </c>
    </row>
    <row r="90" spans="1:4" ht="18" hidden="1">
      <c r="A90" s="8" t="s">
        <v>103</v>
      </c>
      <c r="B90" s="6"/>
      <c r="C90" s="6"/>
      <c r="D90" s="6">
        <f t="shared" si="1"/>
        <v>0</v>
      </c>
    </row>
    <row r="91" spans="1:4" ht="18" hidden="1">
      <c r="A91" s="8" t="s">
        <v>104</v>
      </c>
      <c r="B91" s="6"/>
      <c r="C91" s="6"/>
      <c r="D91" s="6">
        <f t="shared" si="1"/>
        <v>0</v>
      </c>
    </row>
    <row r="92" spans="1:4" ht="18" hidden="1">
      <c r="A92" s="19" t="s">
        <v>105</v>
      </c>
      <c r="B92" s="6"/>
      <c r="C92" s="6"/>
      <c r="D92" s="6">
        <f t="shared" si="1"/>
        <v>0</v>
      </c>
    </row>
    <row r="93" spans="1:4" ht="18" hidden="1">
      <c r="A93" s="19" t="s">
        <v>106</v>
      </c>
      <c r="B93" s="6"/>
      <c r="C93" s="6"/>
      <c r="D93" s="6">
        <f t="shared" si="1"/>
        <v>0</v>
      </c>
    </row>
    <row r="94" spans="1:4" ht="18" hidden="1">
      <c r="A94" s="19" t="s">
        <v>107</v>
      </c>
      <c r="B94" s="6"/>
      <c r="C94" s="6"/>
      <c r="D94" s="6">
        <f t="shared" si="1"/>
        <v>0</v>
      </c>
    </row>
    <row r="95" spans="1:4" ht="18" hidden="1">
      <c r="A95" s="10" t="s">
        <v>108</v>
      </c>
      <c r="B95" s="6"/>
      <c r="C95" s="6"/>
      <c r="D95" s="6">
        <f t="shared" si="1"/>
        <v>0</v>
      </c>
    </row>
    <row r="96" spans="1:4" ht="18" hidden="1">
      <c r="A96" s="12" t="s">
        <v>109</v>
      </c>
      <c r="B96" s="6"/>
      <c r="C96" s="6"/>
      <c r="D96" s="6">
        <f t="shared" si="1"/>
        <v>0</v>
      </c>
    </row>
    <row r="97" spans="1:4" ht="18" hidden="1">
      <c r="A97" s="8" t="s">
        <v>110</v>
      </c>
      <c r="B97" s="6"/>
      <c r="C97" s="6"/>
      <c r="D97" s="6">
        <f t="shared" si="1"/>
        <v>0</v>
      </c>
    </row>
    <row r="98" spans="1:4" ht="18" hidden="1">
      <c r="A98" s="8" t="s">
        <v>111</v>
      </c>
      <c r="B98" s="6"/>
      <c r="C98" s="6"/>
      <c r="D98" s="6">
        <f t="shared" si="1"/>
        <v>0</v>
      </c>
    </row>
    <row r="99" spans="1:4" ht="18" hidden="1">
      <c r="A99" s="10" t="s">
        <v>112</v>
      </c>
      <c r="B99" s="6"/>
      <c r="C99" s="6"/>
      <c r="D99" s="6">
        <f t="shared" si="1"/>
        <v>0</v>
      </c>
    </row>
    <row r="100" spans="1:4" ht="18" hidden="1">
      <c r="A100" s="8" t="s">
        <v>113</v>
      </c>
      <c r="B100" s="14"/>
      <c r="C100" s="14"/>
      <c r="D100" s="6">
        <f t="shared" si="1"/>
        <v>0</v>
      </c>
    </row>
    <row r="101" spans="1:4" ht="18" hidden="1">
      <c r="A101" s="10" t="s">
        <v>114</v>
      </c>
      <c r="B101" s="6"/>
      <c r="C101" s="6"/>
      <c r="D101" s="6">
        <f t="shared" si="1"/>
        <v>0</v>
      </c>
    </row>
    <row r="102" spans="1:4" ht="18" hidden="1">
      <c r="A102" s="20" t="s">
        <v>115</v>
      </c>
      <c r="B102" s="6"/>
      <c r="C102" s="6"/>
      <c r="D102" s="6">
        <f t="shared" si="1"/>
        <v>0</v>
      </c>
    </row>
    <row r="103" spans="1:4" ht="18" hidden="1">
      <c r="A103" s="21" t="s">
        <v>116</v>
      </c>
      <c r="B103" s="6"/>
      <c r="C103" s="6"/>
      <c r="D103" s="6">
        <f t="shared" si="1"/>
        <v>0</v>
      </c>
    </row>
    <row r="104" spans="1:4" ht="18" hidden="1">
      <c r="A104" s="22" t="s">
        <v>117</v>
      </c>
      <c r="B104" s="6"/>
      <c r="C104" s="6"/>
      <c r="D104" s="6">
        <f t="shared" si="1"/>
        <v>0</v>
      </c>
    </row>
    <row r="105" spans="1:4" ht="18" hidden="1">
      <c r="A105" s="15" t="s">
        <v>118</v>
      </c>
      <c r="B105" s="6"/>
      <c r="C105" s="6"/>
      <c r="D105" s="6">
        <f t="shared" si="1"/>
        <v>0</v>
      </c>
    </row>
    <row r="106" spans="1:4" ht="18" hidden="1">
      <c r="A106" s="8" t="s">
        <v>119</v>
      </c>
      <c r="B106" s="6"/>
      <c r="C106" s="6"/>
      <c r="D106" s="6">
        <f t="shared" si="1"/>
        <v>0</v>
      </c>
    </row>
    <row r="107" spans="1:4" ht="18" hidden="1">
      <c r="A107" s="8" t="s">
        <v>120</v>
      </c>
      <c r="B107" s="6"/>
      <c r="C107" s="6"/>
      <c r="D107" s="6">
        <f t="shared" si="1"/>
        <v>0</v>
      </c>
    </row>
    <row r="108" spans="1:4" ht="18" hidden="1">
      <c r="A108" s="10" t="s">
        <v>121</v>
      </c>
      <c r="B108" s="6"/>
      <c r="C108" s="6"/>
      <c r="D108" s="6">
        <f t="shared" si="1"/>
        <v>0</v>
      </c>
    </row>
    <row r="109" spans="1:4" ht="18" hidden="1">
      <c r="A109" s="23" t="s">
        <v>122</v>
      </c>
      <c r="B109" s="6"/>
      <c r="C109" s="6"/>
      <c r="D109" s="6">
        <f t="shared" si="1"/>
        <v>0</v>
      </c>
    </row>
    <row r="110" spans="1:4" ht="18" hidden="1">
      <c r="A110" s="8" t="s">
        <v>123</v>
      </c>
      <c r="B110" s="6"/>
      <c r="C110" s="6"/>
      <c r="D110" s="6">
        <f t="shared" si="1"/>
        <v>0</v>
      </c>
    </row>
    <row r="111" spans="1:4" ht="18" hidden="1">
      <c r="A111" s="8" t="s">
        <v>124</v>
      </c>
      <c r="B111" s="6"/>
      <c r="C111" s="6"/>
      <c r="D111" s="6">
        <f t="shared" si="1"/>
        <v>0</v>
      </c>
    </row>
    <row r="112" spans="1:4" ht="18" hidden="1">
      <c r="A112" s="8" t="s">
        <v>125</v>
      </c>
      <c r="B112" s="6"/>
      <c r="C112" s="6"/>
      <c r="D112" s="6">
        <f t="shared" si="1"/>
        <v>0</v>
      </c>
    </row>
    <row r="113" spans="1:4" ht="18" hidden="1">
      <c r="A113" s="8" t="s">
        <v>126</v>
      </c>
      <c r="B113" s="6"/>
      <c r="C113" s="6"/>
      <c r="D113" s="6">
        <f t="shared" si="1"/>
        <v>0</v>
      </c>
    </row>
    <row r="114" spans="1:4" ht="18" hidden="1">
      <c r="A114" s="8" t="s">
        <v>127</v>
      </c>
      <c r="B114" s="6"/>
      <c r="C114" s="6"/>
      <c r="D114" s="6">
        <f t="shared" si="1"/>
        <v>0</v>
      </c>
    </row>
    <row r="115" spans="1:4" ht="18" hidden="1">
      <c r="A115" s="8" t="s">
        <v>128</v>
      </c>
      <c r="B115" s="6"/>
      <c r="C115" s="6"/>
      <c r="D115" s="6">
        <f t="shared" si="1"/>
        <v>0</v>
      </c>
    </row>
    <row r="116" spans="1:4" ht="18" hidden="1">
      <c r="A116" s="8" t="s">
        <v>129</v>
      </c>
      <c r="B116" s="6"/>
      <c r="C116" s="6"/>
      <c r="D116" s="6">
        <f t="shared" si="1"/>
        <v>0</v>
      </c>
    </row>
    <row r="117" spans="1:4" ht="18" hidden="1">
      <c r="A117" s="8" t="s">
        <v>130</v>
      </c>
      <c r="B117" s="6"/>
      <c r="C117" s="6"/>
      <c r="D117" s="6">
        <f t="shared" si="1"/>
        <v>0</v>
      </c>
    </row>
    <row r="118" spans="1:4" ht="18" hidden="1">
      <c r="A118" s="10" t="s">
        <v>131</v>
      </c>
      <c r="B118" s="6"/>
      <c r="C118" s="6"/>
      <c r="D118" s="6">
        <f t="shared" si="1"/>
        <v>0</v>
      </c>
    </row>
    <row r="119" spans="1:4" ht="18" hidden="1">
      <c r="A119" s="19" t="s">
        <v>132</v>
      </c>
      <c r="B119" s="6"/>
      <c r="C119" s="6"/>
      <c r="D119" s="6">
        <f t="shared" si="1"/>
        <v>0</v>
      </c>
    </row>
    <row r="120" spans="1:4" ht="18" hidden="1">
      <c r="A120" s="8" t="s">
        <v>133</v>
      </c>
      <c r="B120" s="6"/>
      <c r="C120" s="6"/>
      <c r="D120" s="6">
        <f t="shared" si="1"/>
        <v>0</v>
      </c>
    </row>
    <row r="121" spans="1:4" ht="18" hidden="1">
      <c r="A121" s="10" t="s">
        <v>135</v>
      </c>
      <c r="B121" s="6"/>
      <c r="C121" s="6"/>
      <c r="D121" s="6">
        <f t="shared" si="1"/>
        <v>0</v>
      </c>
    </row>
    <row r="122" spans="1:4" ht="18" hidden="1">
      <c r="A122" s="10" t="s">
        <v>136</v>
      </c>
      <c r="B122" s="6"/>
      <c r="C122" s="6"/>
      <c r="D122" s="6">
        <f t="shared" si="1"/>
        <v>0</v>
      </c>
    </row>
    <row r="123" spans="1:4" ht="18" hidden="1">
      <c r="A123" s="8" t="s">
        <v>137</v>
      </c>
      <c r="B123" s="6"/>
      <c r="C123" s="6"/>
      <c r="D123" s="6">
        <f t="shared" si="1"/>
        <v>0</v>
      </c>
    </row>
    <row r="124" spans="1:4" ht="18" hidden="1">
      <c r="A124" s="8" t="s">
        <v>138</v>
      </c>
      <c r="B124" s="6"/>
      <c r="C124" s="6"/>
      <c r="D124" s="6">
        <f t="shared" si="1"/>
        <v>0</v>
      </c>
    </row>
    <row r="125" spans="1:4" ht="18" hidden="1">
      <c r="A125" s="9" t="s">
        <v>139</v>
      </c>
      <c r="B125" s="6"/>
      <c r="C125" s="6"/>
      <c r="D125" s="6">
        <f t="shared" si="1"/>
        <v>0</v>
      </c>
    </row>
    <row r="126" spans="1:4" ht="18" hidden="1">
      <c r="A126" s="12" t="s">
        <v>140</v>
      </c>
      <c r="B126" s="6"/>
      <c r="C126" s="6"/>
      <c r="D126" s="6">
        <f t="shared" si="1"/>
        <v>0</v>
      </c>
    </row>
    <row r="127" spans="1:4" ht="18" hidden="1">
      <c r="A127" s="11" t="s">
        <v>141</v>
      </c>
      <c r="B127" s="14"/>
      <c r="C127" s="14"/>
      <c r="D127" s="6">
        <f t="shared" si="1"/>
        <v>0</v>
      </c>
    </row>
    <row r="128" spans="1:4" ht="18" hidden="1">
      <c r="A128" s="11" t="s">
        <v>142</v>
      </c>
      <c r="B128" s="14"/>
      <c r="C128" s="14"/>
      <c r="D128" s="6">
        <f t="shared" si="1"/>
        <v>0</v>
      </c>
    </row>
    <row r="129" spans="1:4" ht="18" hidden="1">
      <c r="A129" s="11" t="s">
        <v>143</v>
      </c>
      <c r="B129" s="14"/>
      <c r="C129" s="14"/>
      <c r="D129" s="6">
        <f t="shared" si="1"/>
        <v>0</v>
      </c>
    </row>
    <row r="130" spans="1:4" ht="18" hidden="1">
      <c r="A130" s="11" t="s">
        <v>144</v>
      </c>
      <c r="B130" s="24"/>
      <c r="C130" s="24"/>
      <c r="D130" s="6">
        <f t="shared" si="1"/>
        <v>0</v>
      </c>
    </row>
    <row r="131" spans="1:4" ht="18" hidden="1">
      <c r="A131" s="25" t="s">
        <v>145</v>
      </c>
      <c r="B131" s="6"/>
      <c r="C131" s="6"/>
      <c r="D131" s="6">
        <f t="shared" si="1"/>
        <v>0</v>
      </c>
    </row>
    <row r="132" spans="1:4" ht="18" hidden="1">
      <c r="A132" s="11" t="s">
        <v>146</v>
      </c>
      <c r="B132" s="14"/>
      <c r="C132" s="14"/>
      <c r="D132" s="6">
        <f t="shared" ref="D132:D195" si="2">B132*C132</f>
        <v>0</v>
      </c>
    </row>
    <row r="133" spans="1:4" ht="18" hidden="1">
      <c r="A133" s="8" t="s">
        <v>147</v>
      </c>
      <c r="B133" s="6"/>
      <c r="C133" s="6"/>
      <c r="D133" s="6">
        <f t="shared" si="2"/>
        <v>0</v>
      </c>
    </row>
    <row r="134" spans="1:4" ht="18" hidden="1">
      <c r="A134" s="8" t="s">
        <v>148</v>
      </c>
      <c r="B134" s="6"/>
      <c r="C134" s="6"/>
      <c r="D134" s="6">
        <f t="shared" si="2"/>
        <v>0</v>
      </c>
    </row>
    <row r="135" spans="1:4" ht="18" hidden="1">
      <c r="A135" s="8" t="s">
        <v>149</v>
      </c>
      <c r="B135" s="6"/>
      <c r="C135" s="6"/>
      <c r="D135" s="6">
        <f t="shared" si="2"/>
        <v>0</v>
      </c>
    </row>
    <row r="136" spans="1:4" ht="18">
      <c r="A136" s="8" t="s">
        <v>150</v>
      </c>
      <c r="B136" s="6">
        <v>20</v>
      </c>
      <c r="C136" s="6">
        <v>14000</v>
      </c>
      <c r="D136" s="6">
        <f t="shared" si="2"/>
        <v>280000</v>
      </c>
    </row>
    <row r="137" spans="1:4" ht="18" hidden="1">
      <c r="A137" s="15" t="s">
        <v>151</v>
      </c>
      <c r="B137" s="6"/>
      <c r="C137" s="6"/>
      <c r="D137" s="6">
        <f t="shared" si="2"/>
        <v>0</v>
      </c>
    </row>
    <row r="138" spans="1:4" ht="18" hidden="1">
      <c r="A138" s="11" t="s">
        <v>152</v>
      </c>
      <c r="B138" s="6"/>
      <c r="C138" s="6"/>
      <c r="D138" s="6">
        <f t="shared" si="2"/>
        <v>0</v>
      </c>
    </row>
    <row r="139" spans="1:4" ht="18" hidden="1">
      <c r="A139" s="11" t="s">
        <v>153</v>
      </c>
      <c r="B139" s="6"/>
      <c r="C139" s="6"/>
      <c r="D139" s="6">
        <f t="shared" si="2"/>
        <v>0</v>
      </c>
    </row>
    <row r="140" spans="1:4" ht="18" hidden="1">
      <c r="A140" s="8" t="s">
        <v>154</v>
      </c>
      <c r="B140" s="6"/>
      <c r="C140" s="6"/>
      <c r="D140" s="6">
        <f t="shared" si="2"/>
        <v>0</v>
      </c>
    </row>
    <row r="141" spans="1:4" ht="18" hidden="1">
      <c r="A141" s="8" t="s">
        <v>155</v>
      </c>
      <c r="B141" s="6"/>
      <c r="C141" s="6"/>
      <c r="D141" s="6">
        <f t="shared" si="2"/>
        <v>0</v>
      </c>
    </row>
    <row r="142" spans="1:4" ht="18" hidden="1">
      <c r="A142" s="8" t="s">
        <v>156</v>
      </c>
      <c r="B142" s="14"/>
      <c r="C142" s="14"/>
      <c r="D142" s="6">
        <f t="shared" si="2"/>
        <v>0</v>
      </c>
    </row>
    <row r="143" spans="1:4" ht="18" hidden="1">
      <c r="A143" s="8" t="s">
        <v>157</v>
      </c>
      <c r="B143" s="14"/>
      <c r="C143" s="14"/>
      <c r="D143" s="6">
        <f t="shared" si="2"/>
        <v>0</v>
      </c>
    </row>
    <row r="144" spans="1:4" ht="18" hidden="1">
      <c r="A144" s="8" t="s">
        <v>158</v>
      </c>
      <c r="B144" s="6"/>
      <c r="C144" s="6"/>
      <c r="D144" s="6">
        <f t="shared" si="2"/>
        <v>0</v>
      </c>
    </row>
    <row r="145" spans="1:4" ht="18" hidden="1">
      <c r="A145" s="8" t="s">
        <v>159</v>
      </c>
      <c r="B145" s="14"/>
      <c r="C145" s="14"/>
      <c r="D145" s="6">
        <f t="shared" si="2"/>
        <v>0</v>
      </c>
    </row>
    <row r="146" spans="1:4" ht="18" hidden="1">
      <c r="A146" s="8" t="s">
        <v>160</v>
      </c>
      <c r="B146" s="14"/>
      <c r="C146" s="14"/>
      <c r="D146" s="6">
        <f t="shared" si="2"/>
        <v>0</v>
      </c>
    </row>
    <row r="147" spans="1:4" ht="18" hidden="1">
      <c r="A147" s="8" t="s">
        <v>161</v>
      </c>
      <c r="B147" s="14"/>
      <c r="C147" s="14"/>
      <c r="D147" s="6">
        <f t="shared" si="2"/>
        <v>0</v>
      </c>
    </row>
    <row r="148" spans="1:4" ht="18" hidden="1">
      <c r="A148" s="8" t="s">
        <v>162</v>
      </c>
      <c r="B148" s="14"/>
      <c r="C148" s="14"/>
      <c r="D148" s="6">
        <f t="shared" si="2"/>
        <v>0</v>
      </c>
    </row>
    <row r="149" spans="1:4" ht="18" hidden="1">
      <c r="A149" s="8" t="s">
        <v>163</v>
      </c>
      <c r="B149" s="14"/>
      <c r="C149" s="14"/>
      <c r="D149" s="6">
        <f t="shared" si="2"/>
        <v>0</v>
      </c>
    </row>
    <row r="150" spans="1:4" ht="18" hidden="1">
      <c r="A150" s="8" t="s">
        <v>164</v>
      </c>
      <c r="B150" s="14"/>
      <c r="C150" s="14"/>
      <c r="D150" s="6">
        <f t="shared" si="2"/>
        <v>0</v>
      </c>
    </row>
    <row r="151" spans="1:4" ht="18" hidden="1">
      <c r="A151" s="8" t="s">
        <v>165</v>
      </c>
      <c r="B151" s="14"/>
      <c r="C151" s="14"/>
      <c r="D151" s="6">
        <f t="shared" si="2"/>
        <v>0</v>
      </c>
    </row>
    <row r="152" spans="1:4" ht="18" hidden="1">
      <c r="A152" s="8" t="s">
        <v>166</v>
      </c>
      <c r="B152" s="14"/>
      <c r="C152" s="14"/>
      <c r="D152" s="6">
        <f t="shared" si="2"/>
        <v>0</v>
      </c>
    </row>
    <row r="153" spans="1:4" ht="18" hidden="1">
      <c r="A153" s="8" t="s">
        <v>167</v>
      </c>
      <c r="B153" s="6"/>
      <c r="C153" s="6"/>
      <c r="D153" s="6">
        <f t="shared" si="2"/>
        <v>0</v>
      </c>
    </row>
    <row r="154" spans="1:4" ht="18" hidden="1">
      <c r="A154" s="8" t="s">
        <v>168</v>
      </c>
      <c r="B154" s="6"/>
      <c r="C154" s="6"/>
      <c r="D154" s="6">
        <f t="shared" si="2"/>
        <v>0</v>
      </c>
    </row>
    <row r="155" spans="1:4" ht="18" hidden="1">
      <c r="A155" s="8" t="s">
        <v>169</v>
      </c>
      <c r="B155" s="6"/>
      <c r="C155" s="6"/>
      <c r="D155" s="6">
        <f t="shared" si="2"/>
        <v>0</v>
      </c>
    </row>
    <row r="156" spans="1:4" ht="18" hidden="1">
      <c r="A156" s="8" t="s">
        <v>170</v>
      </c>
      <c r="B156" s="6"/>
      <c r="C156" s="6"/>
      <c r="D156" s="6">
        <f t="shared" si="2"/>
        <v>0</v>
      </c>
    </row>
    <row r="157" spans="1:4" ht="18" hidden="1">
      <c r="A157" s="15" t="s">
        <v>171</v>
      </c>
      <c r="B157" s="6"/>
      <c r="C157" s="6"/>
      <c r="D157" s="6">
        <f t="shared" si="2"/>
        <v>0</v>
      </c>
    </row>
    <row r="158" spans="1:4" ht="18" hidden="1">
      <c r="A158" s="16" t="s">
        <v>172</v>
      </c>
      <c r="B158" s="6"/>
      <c r="C158" s="6"/>
      <c r="D158" s="6">
        <f t="shared" si="2"/>
        <v>0</v>
      </c>
    </row>
    <row r="159" spans="1:4" ht="18" hidden="1">
      <c r="A159" s="8" t="s">
        <v>173</v>
      </c>
      <c r="B159" s="6"/>
      <c r="C159" s="6"/>
      <c r="D159" s="6">
        <f t="shared" si="2"/>
        <v>0</v>
      </c>
    </row>
    <row r="160" spans="1:4" ht="18" hidden="1">
      <c r="A160" s="8" t="s">
        <v>174</v>
      </c>
      <c r="B160" s="6"/>
      <c r="C160" s="6"/>
      <c r="D160" s="6">
        <f t="shared" si="2"/>
        <v>0</v>
      </c>
    </row>
    <row r="161" spans="1:4" ht="18" hidden="1">
      <c r="A161" s="8" t="s">
        <v>175</v>
      </c>
      <c r="B161" s="6"/>
      <c r="C161" s="6"/>
      <c r="D161" s="6">
        <f t="shared" si="2"/>
        <v>0</v>
      </c>
    </row>
    <row r="162" spans="1:4" ht="18" hidden="1">
      <c r="A162" s="8" t="s">
        <v>176</v>
      </c>
      <c r="B162" s="14"/>
      <c r="C162" s="14"/>
      <c r="D162" s="6">
        <f t="shared" si="2"/>
        <v>0</v>
      </c>
    </row>
    <row r="163" spans="1:4" ht="18" hidden="1">
      <c r="A163" s="8" t="s">
        <v>177</v>
      </c>
      <c r="B163" s="14"/>
      <c r="C163" s="14"/>
      <c r="D163" s="6">
        <f t="shared" si="2"/>
        <v>0</v>
      </c>
    </row>
    <row r="164" spans="1:4" ht="18" hidden="1">
      <c r="A164" s="8" t="s">
        <v>178</v>
      </c>
      <c r="B164" s="14"/>
      <c r="C164" s="14"/>
      <c r="D164" s="6">
        <f t="shared" si="2"/>
        <v>0</v>
      </c>
    </row>
    <row r="165" spans="1:4" ht="18" hidden="1">
      <c r="A165" s="8" t="s">
        <v>179</v>
      </c>
      <c r="B165" s="6"/>
      <c r="C165" s="6"/>
      <c r="D165" s="6">
        <f t="shared" si="2"/>
        <v>0</v>
      </c>
    </row>
    <row r="166" spans="1:4" ht="18" hidden="1">
      <c r="A166" s="8" t="s">
        <v>180</v>
      </c>
      <c r="B166" s="6"/>
      <c r="C166" s="6"/>
      <c r="D166" s="6">
        <f t="shared" si="2"/>
        <v>0</v>
      </c>
    </row>
    <row r="167" spans="1:4" ht="18" hidden="1">
      <c r="A167" s="15" t="s">
        <v>181</v>
      </c>
      <c r="B167" s="6"/>
      <c r="C167" s="6"/>
      <c r="D167" s="6">
        <f t="shared" si="2"/>
        <v>0</v>
      </c>
    </row>
    <row r="168" spans="1:4" ht="18" hidden="1">
      <c r="A168" s="11" t="s">
        <v>182</v>
      </c>
      <c r="B168" s="6"/>
      <c r="C168" s="6"/>
      <c r="D168" s="6">
        <f t="shared" si="2"/>
        <v>0</v>
      </c>
    </row>
    <row r="169" spans="1:4" ht="18" hidden="1">
      <c r="A169" s="8" t="s">
        <v>183</v>
      </c>
      <c r="B169" s="6"/>
      <c r="C169" s="26"/>
      <c r="D169" s="6">
        <f t="shared" si="2"/>
        <v>0</v>
      </c>
    </row>
    <row r="170" spans="1:4" ht="18" hidden="1">
      <c r="A170" s="27" t="s">
        <v>184</v>
      </c>
      <c r="B170" s="6"/>
      <c r="C170" s="6"/>
      <c r="D170" s="6">
        <f t="shared" si="2"/>
        <v>0</v>
      </c>
    </row>
    <row r="171" spans="1:4" ht="18">
      <c r="A171" s="8" t="s">
        <v>185</v>
      </c>
      <c r="B171" s="6">
        <v>20</v>
      </c>
      <c r="C171" s="6">
        <v>11000</v>
      </c>
      <c r="D171" s="6">
        <f t="shared" si="2"/>
        <v>220000</v>
      </c>
    </row>
    <row r="172" spans="1:4" ht="18" hidden="1">
      <c r="A172" s="8" t="s">
        <v>186</v>
      </c>
      <c r="B172" s="6"/>
      <c r="C172" s="6"/>
      <c r="D172" s="6">
        <f t="shared" si="2"/>
        <v>0</v>
      </c>
    </row>
    <row r="173" spans="1:4" ht="18" hidden="1">
      <c r="A173" s="18" t="s">
        <v>187</v>
      </c>
      <c r="B173" s="6"/>
      <c r="C173" s="6"/>
      <c r="D173" s="6">
        <f t="shared" si="2"/>
        <v>0</v>
      </c>
    </row>
    <row r="174" spans="1:4" ht="18" hidden="1">
      <c r="A174" s="8" t="s">
        <v>188</v>
      </c>
      <c r="B174" s="6"/>
      <c r="C174" s="6"/>
      <c r="D174" s="6">
        <f t="shared" si="2"/>
        <v>0</v>
      </c>
    </row>
    <row r="175" spans="1:4" ht="18" hidden="1">
      <c r="A175" s="28" t="s">
        <v>189</v>
      </c>
      <c r="B175" s="29"/>
      <c r="C175" s="29"/>
      <c r="D175" s="6">
        <f t="shared" si="2"/>
        <v>0</v>
      </c>
    </row>
    <row r="176" spans="1:4" ht="18" hidden="1">
      <c r="A176" s="10" t="s">
        <v>190</v>
      </c>
      <c r="B176" s="6"/>
      <c r="C176" s="6"/>
      <c r="D176" s="6">
        <f t="shared" si="2"/>
        <v>0</v>
      </c>
    </row>
    <row r="177" spans="1:4" ht="18" hidden="1">
      <c r="A177" s="8" t="s">
        <v>191</v>
      </c>
      <c r="B177" s="6"/>
      <c r="C177" s="6"/>
      <c r="D177" s="6">
        <f t="shared" si="2"/>
        <v>0</v>
      </c>
    </row>
    <row r="178" spans="1:4" ht="18" hidden="1">
      <c r="A178" s="8" t="s">
        <v>192</v>
      </c>
      <c r="B178" s="6"/>
      <c r="C178" s="6"/>
      <c r="D178" s="6">
        <f t="shared" si="2"/>
        <v>0</v>
      </c>
    </row>
    <row r="179" spans="1:4" ht="18" hidden="1">
      <c r="A179" s="11" t="s">
        <v>193</v>
      </c>
      <c r="B179" s="6"/>
      <c r="C179" s="6"/>
      <c r="D179" s="6">
        <f t="shared" si="2"/>
        <v>0</v>
      </c>
    </row>
    <row r="180" spans="1:4" ht="18" hidden="1">
      <c r="A180" s="8" t="s">
        <v>194</v>
      </c>
      <c r="B180" s="6"/>
      <c r="C180" s="6"/>
      <c r="D180" s="6">
        <f t="shared" si="2"/>
        <v>0</v>
      </c>
    </row>
    <row r="181" spans="1:4" ht="18" hidden="1">
      <c r="A181" s="8" t="s">
        <v>195</v>
      </c>
      <c r="B181" s="6"/>
      <c r="C181" s="6"/>
      <c r="D181" s="6">
        <f t="shared" si="2"/>
        <v>0</v>
      </c>
    </row>
    <row r="182" spans="1:4" ht="18" hidden="1">
      <c r="A182" s="11" t="s">
        <v>196</v>
      </c>
      <c r="B182" s="6"/>
      <c r="C182" s="6"/>
      <c r="D182" s="6">
        <f t="shared" si="2"/>
        <v>0</v>
      </c>
    </row>
    <row r="183" spans="1:4" ht="18" hidden="1">
      <c r="A183" s="11" t="s">
        <v>197</v>
      </c>
      <c r="B183" s="6"/>
      <c r="C183" s="6"/>
      <c r="D183" s="6">
        <f t="shared" si="2"/>
        <v>0</v>
      </c>
    </row>
    <row r="184" spans="1:4" ht="18">
      <c r="A184" s="11" t="s">
        <v>198</v>
      </c>
      <c r="B184" s="6">
        <v>480</v>
      </c>
      <c r="C184" s="6">
        <v>6800</v>
      </c>
      <c r="D184" s="6">
        <f t="shared" si="2"/>
        <v>3264000</v>
      </c>
    </row>
    <row r="185" spans="1:4" ht="18" hidden="1">
      <c r="A185" s="8" t="s">
        <v>199</v>
      </c>
      <c r="B185" s="6"/>
      <c r="C185" s="6"/>
      <c r="D185" s="6">
        <f t="shared" si="2"/>
        <v>0</v>
      </c>
    </row>
    <row r="186" spans="1:4" ht="18" hidden="1">
      <c r="A186" s="11" t="s">
        <v>200</v>
      </c>
      <c r="B186" s="6"/>
      <c r="C186" s="6"/>
      <c r="D186" s="6">
        <f t="shared" si="2"/>
        <v>0</v>
      </c>
    </row>
    <row r="187" spans="1:4" ht="18">
      <c r="A187" s="11" t="s">
        <v>201</v>
      </c>
      <c r="B187" s="6">
        <v>35</v>
      </c>
      <c r="C187" s="6">
        <v>20000</v>
      </c>
      <c r="D187" s="6">
        <f t="shared" si="2"/>
        <v>700000</v>
      </c>
    </row>
    <row r="188" spans="1:4" ht="18" hidden="1">
      <c r="A188" s="11" t="s">
        <v>202</v>
      </c>
      <c r="B188" s="6"/>
      <c r="C188" s="6"/>
      <c r="D188" s="6">
        <f t="shared" si="2"/>
        <v>0</v>
      </c>
    </row>
    <row r="189" spans="1:4" ht="18" hidden="1">
      <c r="A189" s="8" t="s">
        <v>203</v>
      </c>
      <c r="B189" s="6"/>
      <c r="C189" s="6"/>
      <c r="D189" s="6">
        <f t="shared" si="2"/>
        <v>0</v>
      </c>
    </row>
    <row r="190" spans="1:4" ht="18" hidden="1">
      <c r="A190" s="15" t="s">
        <v>204</v>
      </c>
      <c r="B190" s="6"/>
      <c r="C190" s="6"/>
      <c r="D190" s="6">
        <f t="shared" si="2"/>
        <v>0</v>
      </c>
    </row>
    <row r="191" spans="1:4" ht="18" hidden="1">
      <c r="A191" s="15" t="s">
        <v>205</v>
      </c>
      <c r="B191" s="6"/>
      <c r="C191" s="6"/>
      <c r="D191" s="6">
        <f t="shared" si="2"/>
        <v>0</v>
      </c>
    </row>
    <row r="192" spans="1:4" ht="18" hidden="1">
      <c r="A192" s="15" t="s">
        <v>206</v>
      </c>
      <c r="B192" s="6"/>
      <c r="C192" s="6"/>
      <c r="D192" s="6">
        <f t="shared" si="2"/>
        <v>0</v>
      </c>
    </row>
    <row r="193" spans="1:4" ht="18" hidden="1">
      <c r="A193" s="15" t="s">
        <v>207</v>
      </c>
      <c r="B193" s="6"/>
      <c r="C193" s="6"/>
      <c r="D193" s="6">
        <f t="shared" si="2"/>
        <v>0</v>
      </c>
    </row>
    <row r="194" spans="1:4" ht="18" hidden="1">
      <c r="A194" s="11" t="s">
        <v>208</v>
      </c>
      <c r="B194" s="6"/>
      <c r="C194" s="6"/>
      <c r="D194" s="6">
        <f t="shared" si="2"/>
        <v>0</v>
      </c>
    </row>
    <row r="195" spans="1:4" ht="18" hidden="1">
      <c r="A195" s="8" t="s">
        <v>209</v>
      </c>
      <c r="B195" s="6"/>
      <c r="C195" s="6"/>
      <c r="D195" s="6">
        <f t="shared" si="2"/>
        <v>0</v>
      </c>
    </row>
    <row r="196" spans="1:4" ht="18" hidden="1">
      <c r="A196" s="30" t="s">
        <v>210</v>
      </c>
      <c r="B196" s="6"/>
      <c r="C196" s="6"/>
      <c r="D196" s="6">
        <f t="shared" ref="D196:D259" si="3">B196*C196</f>
        <v>0</v>
      </c>
    </row>
    <row r="197" spans="1:4" ht="18" hidden="1">
      <c r="A197" s="30" t="s">
        <v>211</v>
      </c>
      <c r="B197" s="6"/>
      <c r="C197" s="6"/>
      <c r="D197" s="6">
        <f t="shared" si="3"/>
        <v>0</v>
      </c>
    </row>
    <row r="198" spans="1:4" ht="18" hidden="1">
      <c r="A198" s="30" t="s">
        <v>212</v>
      </c>
      <c r="B198" s="6"/>
      <c r="C198" s="6"/>
      <c r="D198" s="6">
        <f t="shared" si="3"/>
        <v>0</v>
      </c>
    </row>
    <row r="199" spans="1:4" ht="18" hidden="1">
      <c r="A199" s="30" t="s">
        <v>213</v>
      </c>
      <c r="B199" s="6"/>
      <c r="C199" s="6"/>
      <c r="D199" s="6">
        <f t="shared" si="3"/>
        <v>0</v>
      </c>
    </row>
    <row r="200" spans="1:4" ht="18" hidden="1">
      <c r="A200" s="8" t="s">
        <v>214</v>
      </c>
      <c r="B200" s="6"/>
      <c r="C200" s="6"/>
      <c r="D200" s="6">
        <f t="shared" si="3"/>
        <v>0</v>
      </c>
    </row>
    <row r="201" spans="1:4" ht="18" hidden="1">
      <c r="A201" s="31" t="s">
        <v>384</v>
      </c>
      <c r="B201" s="6"/>
      <c r="C201" s="6"/>
      <c r="D201" s="6">
        <f t="shared" si="3"/>
        <v>0</v>
      </c>
    </row>
    <row r="202" spans="1:4" ht="18">
      <c r="A202" s="8" t="s">
        <v>216</v>
      </c>
      <c r="B202" s="6">
        <f>180+100+50</f>
        <v>330</v>
      </c>
      <c r="C202" s="6">
        <v>19000</v>
      </c>
      <c r="D202" s="6">
        <f t="shared" si="3"/>
        <v>6270000</v>
      </c>
    </row>
    <row r="203" spans="1:4" ht="18">
      <c r="A203" s="11" t="s">
        <v>217</v>
      </c>
      <c r="B203" s="6">
        <f>100+400+250</f>
        <v>750</v>
      </c>
      <c r="C203" s="6">
        <v>19000</v>
      </c>
      <c r="D203" s="6">
        <f t="shared" si="3"/>
        <v>14250000</v>
      </c>
    </row>
    <row r="204" spans="1:4" ht="18" hidden="1">
      <c r="A204" s="8" t="s">
        <v>218</v>
      </c>
      <c r="B204" s="6"/>
      <c r="C204" s="6"/>
      <c r="D204" s="6">
        <f t="shared" si="3"/>
        <v>0</v>
      </c>
    </row>
    <row r="205" spans="1:4" ht="18">
      <c r="A205" s="8" t="s">
        <v>219</v>
      </c>
      <c r="B205" s="6">
        <f>220+45+40</f>
        <v>305</v>
      </c>
      <c r="C205" s="6">
        <v>14000</v>
      </c>
      <c r="D205" s="6">
        <f t="shared" si="3"/>
        <v>4270000</v>
      </c>
    </row>
    <row r="206" spans="1:4" ht="18" hidden="1">
      <c r="A206" s="32" t="s">
        <v>220</v>
      </c>
      <c r="B206" s="6"/>
      <c r="C206" s="6"/>
      <c r="D206" s="6">
        <f t="shared" si="3"/>
        <v>0</v>
      </c>
    </row>
    <row r="207" spans="1:4" ht="18" hidden="1">
      <c r="A207" s="32" t="s">
        <v>221</v>
      </c>
      <c r="B207" s="6"/>
      <c r="C207" s="6"/>
      <c r="D207" s="6">
        <f t="shared" si="3"/>
        <v>0</v>
      </c>
    </row>
    <row r="208" spans="1:4" ht="18" hidden="1">
      <c r="A208" s="8" t="s">
        <v>222</v>
      </c>
      <c r="B208" s="6"/>
      <c r="C208" s="6"/>
      <c r="D208" s="6">
        <f t="shared" si="3"/>
        <v>0</v>
      </c>
    </row>
    <row r="209" spans="1:4" ht="18">
      <c r="A209" s="10" t="s">
        <v>223</v>
      </c>
      <c r="B209" s="6">
        <v>2</v>
      </c>
      <c r="C209" s="6">
        <v>35000</v>
      </c>
      <c r="D209" s="6">
        <f t="shared" si="3"/>
        <v>70000</v>
      </c>
    </row>
    <row r="210" spans="1:4" ht="18" hidden="1">
      <c r="A210" s="8" t="s">
        <v>224</v>
      </c>
      <c r="B210" s="6"/>
      <c r="C210" s="6"/>
      <c r="D210" s="6">
        <f t="shared" si="3"/>
        <v>0</v>
      </c>
    </row>
    <row r="211" spans="1:4" ht="18" hidden="1">
      <c r="A211" s="8" t="s">
        <v>225</v>
      </c>
      <c r="B211" s="6"/>
      <c r="C211" s="6"/>
      <c r="D211" s="6">
        <f t="shared" si="3"/>
        <v>0</v>
      </c>
    </row>
    <row r="212" spans="1:4" ht="18" hidden="1">
      <c r="A212" s="8" t="s">
        <v>226</v>
      </c>
      <c r="B212" s="6"/>
      <c r="C212" s="6"/>
      <c r="D212" s="6">
        <f t="shared" si="3"/>
        <v>0</v>
      </c>
    </row>
    <row r="213" spans="1:4" ht="18" hidden="1">
      <c r="A213" s="8" t="s">
        <v>227</v>
      </c>
      <c r="B213" s="6"/>
      <c r="C213" s="6"/>
      <c r="D213" s="6">
        <f t="shared" si="3"/>
        <v>0</v>
      </c>
    </row>
    <row r="214" spans="1:4" ht="18" hidden="1">
      <c r="A214" s="33" t="s">
        <v>228</v>
      </c>
      <c r="B214" s="6"/>
      <c r="C214" s="6"/>
      <c r="D214" s="6">
        <f t="shared" si="3"/>
        <v>0</v>
      </c>
    </row>
    <row r="215" spans="1:4" ht="18" hidden="1">
      <c r="A215" s="8" t="s">
        <v>229</v>
      </c>
      <c r="B215" s="6"/>
      <c r="C215" s="6"/>
      <c r="D215" s="6">
        <f t="shared" si="3"/>
        <v>0</v>
      </c>
    </row>
    <row r="216" spans="1:4" ht="18">
      <c r="A216" s="8" t="s">
        <v>230</v>
      </c>
      <c r="B216" s="6">
        <v>120</v>
      </c>
      <c r="C216" s="6">
        <v>16000</v>
      </c>
      <c r="D216" s="6">
        <f t="shared" si="3"/>
        <v>1920000</v>
      </c>
    </row>
    <row r="217" spans="1:4" ht="18" hidden="1">
      <c r="A217" s="8" t="s">
        <v>231</v>
      </c>
      <c r="B217" s="6"/>
      <c r="C217" s="6"/>
      <c r="D217" s="6">
        <f t="shared" si="3"/>
        <v>0</v>
      </c>
    </row>
    <row r="218" spans="1:4" ht="18" hidden="1">
      <c r="A218" s="8" t="s">
        <v>232</v>
      </c>
      <c r="B218" s="6"/>
      <c r="C218" s="6"/>
      <c r="D218" s="6">
        <f t="shared" si="3"/>
        <v>0</v>
      </c>
    </row>
    <row r="219" spans="1:4" ht="18" hidden="1">
      <c r="A219" s="15" t="s">
        <v>233</v>
      </c>
      <c r="B219" s="6"/>
      <c r="C219" s="6"/>
      <c r="D219" s="6">
        <f t="shared" si="3"/>
        <v>0</v>
      </c>
    </row>
    <row r="220" spans="1:4" ht="18" hidden="1">
      <c r="A220" s="15" t="s">
        <v>234</v>
      </c>
      <c r="B220" s="6"/>
      <c r="C220" s="6"/>
      <c r="D220" s="6">
        <f t="shared" si="3"/>
        <v>0</v>
      </c>
    </row>
    <row r="221" spans="1:4" ht="18" hidden="1">
      <c r="A221" s="15" t="s">
        <v>235</v>
      </c>
      <c r="B221" s="6"/>
      <c r="C221" s="6"/>
      <c r="D221" s="6">
        <f t="shared" si="3"/>
        <v>0</v>
      </c>
    </row>
    <row r="222" spans="1:4" ht="18" hidden="1">
      <c r="A222" s="15" t="s">
        <v>236</v>
      </c>
      <c r="B222" s="6"/>
      <c r="C222" s="6"/>
      <c r="D222" s="6">
        <f t="shared" si="3"/>
        <v>0</v>
      </c>
    </row>
    <row r="223" spans="1:4" ht="18" hidden="1">
      <c r="A223" s="8" t="s">
        <v>237</v>
      </c>
      <c r="B223" s="6"/>
      <c r="C223" s="6"/>
      <c r="D223" s="6">
        <f t="shared" si="3"/>
        <v>0</v>
      </c>
    </row>
    <row r="224" spans="1:4" ht="18" hidden="1">
      <c r="A224" s="8" t="s">
        <v>238</v>
      </c>
      <c r="B224" s="6"/>
      <c r="C224" s="6"/>
      <c r="D224" s="6">
        <f t="shared" si="3"/>
        <v>0</v>
      </c>
    </row>
    <row r="225" spans="1:4" ht="18" hidden="1">
      <c r="A225" s="15" t="s">
        <v>239</v>
      </c>
      <c r="B225" s="6"/>
      <c r="C225" s="6"/>
      <c r="D225" s="6">
        <f t="shared" si="3"/>
        <v>0</v>
      </c>
    </row>
    <row r="226" spans="1:4" ht="18" hidden="1">
      <c r="A226" s="15" t="s">
        <v>240</v>
      </c>
      <c r="B226" s="6"/>
      <c r="C226" s="6"/>
      <c r="D226" s="6">
        <f t="shared" si="3"/>
        <v>0</v>
      </c>
    </row>
    <row r="227" spans="1:4" ht="18" hidden="1">
      <c r="A227" s="10" t="s">
        <v>241</v>
      </c>
      <c r="B227" s="6"/>
      <c r="C227" s="6"/>
      <c r="D227" s="6">
        <f t="shared" si="3"/>
        <v>0</v>
      </c>
    </row>
    <row r="228" spans="1:4" ht="18" hidden="1">
      <c r="A228" s="11" t="s">
        <v>242</v>
      </c>
      <c r="B228" s="6"/>
      <c r="C228" s="6"/>
      <c r="D228" s="6">
        <f t="shared" si="3"/>
        <v>0</v>
      </c>
    </row>
    <row r="229" spans="1:4" ht="18" hidden="1">
      <c r="A229" s="10" t="s">
        <v>243</v>
      </c>
      <c r="B229" s="6"/>
      <c r="C229" s="6"/>
      <c r="D229" s="6">
        <f t="shared" si="3"/>
        <v>0</v>
      </c>
    </row>
    <row r="230" spans="1:4" ht="18" hidden="1">
      <c r="A230" s="15" t="s">
        <v>244</v>
      </c>
      <c r="B230" s="6"/>
      <c r="C230" s="6"/>
      <c r="D230" s="6">
        <f t="shared" si="3"/>
        <v>0</v>
      </c>
    </row>
    <row r="231" spans="1:4" ht="18" hidden="1">
      <c r="A231" s="10" t="s">
        <v>245</v>
      </c>
      <c r="B231" s="6"/>
      <c r="C231" s="6"/>
      <c r="D231" s="6">
        <f t="shared" si="3"/>
        <v>0</v>
      </c>
    </row>
    <row r="232" spans="1:4" ht="18" hidden="1">
      <c r="A232" s="10" t="s">
        <v>246</v>
      </c>
      <c r="B232" s="6"/>
      <c r="C232" s="6"/>
      <c r="D232" s="6">
        <f t="shared" si="3"/>
        <v>0</v>
      </c>
    </row>
    <row r="233" spans="1:4" ht="18" hidden="1">
      <c r="A233" s="10" t="s">
        <v>247</v>
      </c>
      <c r="B233" s="6"/>
      <c r="C233" s="6"/>
      <c r="D233" s="6">
        <f t="shared" si="3"/>
        <v>0</v>
      </c>
    </row>
    <row r="234" spans="1:4" ht="18" hidden="1">
      <c r="A234" s="8" t="s">
        <v>248</v>
      </c>
      <c r="B234" s="6"/>
      <c r="C234" s="6"/>
      <c r="D234" s="6">
        <f t="shared" si="3"/>
        <v>0</v>
      </c>
    </row>
    <row r="235" spans="1:4" ht="18" hidden="1">
      <c r="A235" s="8" t="s">
        <v>249</v>
      </c>
      <c r="B235" s="6"/>
      <c r="C235" s="6"/>
      <c r="D235" s="6">
        <f t="shared" si="3"/>
        <v>0</v>
      </c>
    </row>
    <row r="236" spans="1:4" ht="18" hidden="1">
      <c r="A236" s="10" t="s">
        <v>250</v>
      </c>
      <c r="B236" s="6"/>
      <c r="C236" s="6"/>
      <c r="D236" s="6">
        <f t="shared" si="3"/>
        <v>0</v>
      </c>
    </row>
    <row r="237" spans="1:4" ht="18" hidden="1">
      <c r="A237" s="32" t="s">
        <v>251</v>
      </c>
      <c r="B237" s="6"/>
      <c r="C237" s="6"/>
      <c r="D237" s="6">
        <f t="shared" si="3"/>
        <v>0</v>
      </c>
    </row>
    <row r="238" spans="1:4" ht="18" hidden="1">
      <c r="A238" s="8" t="s">
        <v>252</v>
      </c>
      <c r="B238" s="6"/>
      <c r="C238" s="6"/>
      <c r="D238" s="6">
        <f t="shared" si="3"/>
        <v>0</v>
      </c>
    </row>
    <row r="239" spans="1:4" ht="18" hidden="1">
      <c r="A239" s="8" t="s">
        <v>253</v>
      </c>
      <c r="B239" s="6"/>
      <c r="C239" s="6"/>
      <c r="D239" s="6">
        <f t="shared" si="3"/>
        <v>0</v>
      </c>
    </row>
    <row r="240" spans="1:4" ht="18" hidden="1">
      <c r="A240" s="12" t="s">
        <v>254</v>
      </c>
      <c r="B240" s="6"/>
      <c r="C240" s="6"/>
      <c r="D240" s="6">
        <f t="shared" si="3"/>
        <v>0</v>
      </c>
    </row>
    <row r="241" spans="1:4" ht="18" hidden="1">
      <c r="A241" s="12" t="s">
        <v>255</v>
      </c>
      <c r="B241" s="6"/>
      <c r="C241" s="6"/>
      <c r="D241" s="6">
        <f t="shared" si="3"/>
        <v>0</v>
      </c>
    </row>
    <row r="242" spans="1:4" ht="18" hidden="1">
      <c r="A242" s="30" t="s">
        <v>256</v>
      </c>
      <c r="B242" s="6"/>
      <c r="C242" s="6"/>
      <c r="D242" s="6">
        <f t="shared" si="3"/>
        <v>0</v>
      </c>
    </row>
    <row r="243" spans="1:4" ht="18" hidden="1">
      <c r="A243" s="8" t="s">
        <v>257</v>
      </c>
      <c r="B243" s="6"/>
      <c r="C243" s="6"/>
      <c r="D243" s="6">
        <f t="shared" si="3"/>
        <v>0</v>
      </c>
    </row>
    <row r="244" spans="1:4" ht="18" hidden="1">
      <c r="A244" s="8" t="s">
        <v>258</v>
      </c>
      <c r="B244" s="6"/>
      <c r="C244" s="6"/>
      <c r="D244" s="6">
        <f t="shared" si="3"/>
        <v>0</v>
      </c>
    </row>
    <row r="245" spans="1:4" ht="18" hidden="1">
      <c r="A245" s="8" t="s">
        <v>259</v>
      </c>
      <c r="B245" s="14"/>
      <c r="C245" s="14"/>
      <c r="D245" s="6">
        <f t="shared" si="3"/>
        <v>0</v>
      </c>
    </row>
    <row r="246" spans="1:4" ht="18" hidden="1">
      <c r="A246" s="30" t="s">
        <v>260</v>
      </c>
      <c r="B246" s="6"/>
      <c r="C246" s="6"/>
      <c r="D246" s="6">
        <f t="shared" si="3"/>
        <v>0</v>
      </c>
    </row>
    <row r="247" spans="1:4" ht="18" hidden="1">
      <c r="A247" s="8" t="s">
        <v>261</v>
      </c>
      <c r="B247" s="14"/>
      <c r="C247" s="14"/>
      <c r="D247" s="6">
        <f t="shared" si="3"/>
        <v>0</v>
      </c>
    </row>
    <row r="248" spans="1:4" ht="18">
      <c r="A248" s="8" t="s">
        <v>262</v>
      </c>
      <c r="B248" s="6">
        <v>10</v>
      </c>
      <c r="C248" s="6">
        <v>14000</v>
      </c>
      <c r="D248" s="6">
        <f t="shared" si="3"/>
        <v>140000</v>
      </c>
    </row>
    <row r="249" spans="1:4" ht="18" hidden="1">
      <c r="A249" s="10" t="s">
        <v>263</v>
      </c>
      <c r="B249" s="6"/>
      <c r="C249" s="6"/>
      <c r="D249" s="6">
        <f t="shared" si="3"/>
        <v>0</v>
      </c>
    </row>
    <row r="250" spans="1:4" ht="18" hidden="1">
      <c r="A250" s="10" t="s">
        <v>264</v>
      </c>
      <c r="B250" s="6"/>
      <c r="C250" s="6"/>
      <c r="D250" s="6">
        <f t="shared" si="3"/>
        <v>0</v>
      </c>
    </row>
    <row r="251" spans="1:4" ht="18">
      <c r="A251" s="8" t="s">
        <v>265</v>
      </c>
      <c r="B251" s="6">
        <v>108</v>
      </c>
      <c r="C251" s="6">
        <v>24000</v>
      </c>
      <c r="D251" s="6">
        <f t="shared" si="3"/>
        <v>2592000</v>
      </c>
    </row>
    <row r="252" spans="1:4" ht="18" hidden="1">
      <c r="A252" s="8" t="s">
        <v>266</v>
      </c>
      <c r="B252" s="6"/>
      <c r="C252" s="6"/>
      <c r="D252" s="6">
        <f t="shared" si="3"/>
        <v>0</v>
      </c>
    </row>
    <row r="253" spans="1:4" ht="18" hidden="1">
      <c r="A253" s="8" t="s">
        <v>267</v>
      </c>
      <c r="B253" s="6"/>
      <c r="C253" s="6"/>
      <c r="D253" s="6">
        <f t="shared" si="3"/>
        <v>0</v>
      </c>
    </row>
    <row r="254" spans="1:4" ht="18" hidden="1">
      <c r="A254" s="8" t="s">
        <v>268</v>
      </c>
      <c r="B254" s="6"/>
      <c r="C254" s="6"/>
      <c r="D254" s="6">
        <f t="shared" si="3"/>
        <v>0</v>
      </c>
    </row>
    <row r="255" spans="1:4" ht="18" hidden="1">
      <c r="A255" s="8" t="s">
        <v>269</v>
      </c>
      <c r="B255" s="6"/>
      <c r="C255" s="6"/>
      <c r="D255" s="6">
        <f t="shared" si="3"/>
        <v>0</v>
      </c>
    </row>
    <row r="256" spans="1:4" ht="18" hidden="1">
      <c r="A256" s="15" t="s">
        <v>270</v>
      </c>
      <c r="B256" s="6"/>
      <c r="C256" s="6"/>
      <c r="D256" s="6">
        <f t="shared" si="3"/>
        <v>0</v>
      </c>
    </row>
    <row r="257" spans="1:4" ht="18" hidden="1">
      <c r="A257" s="19" t="s">
        <v>271</v>
      </c>
      <c r="B257" s="6"/>
      <c r="C257" s="6"/>
      <c r="D257" s="6">
        <f t="shared" si="3"/>
        <v>0</v>
      </c>
    </row>
    <row r="258" spans="1:4" ht="18" hidden="1">
      <c r="A258" s="19" t="s">
        <v>272</v>
      </c>
      <c r="B258" s="6"/>
      <c r="C258" s="6"/>
      <c r="D258" s="6">
        <f t="shared" si="3"/>
        <v>0</v>
      </c>
    </row>
    <row r="259" spans="1:4" ht="18">
      <c r="A259" s="8" t="s">
        <v>273</v>
      </c>
      <c r="B259" s="6">
        <v>130</v>
      </c>
      <c r="C259" s="6">
        <v>29000</v>
      </c>
      <c r="D259" s="6">
        <f t="shared" si="3"/>
        <v>3770000</v>
      </c>
    </row>
    <row r="260" spans="1:4" ht="18" hidden="1">
      <c r="A260" s="8" t="s">
        <v>274</v>
      </c>
      <c r="B260" s="6"/>
      <c r="C260" s="6"/>
      <c r="D260" s="6">
        <f t="shared" ref="D260:D323" si="4">B260*C260</f>
        <v>0</v>
      </c>
    </row>
    <row r="261" spans="1:4" ht="18" hidden="1">
      <c r="A261" s="8" t="s">
        <v>275</v>
      </c>
      <c r="B261" s="6"/>
      <c r="C261" s="6"/>
      <c r="D261" s="6">
        <f t="shared" si="4"/>
        <v>0</v>
      </c>
    </row>
    <row r="262" spans="1:4" ht="18" hidden="1">
      <c r="A262" s="8" t="s">
        <v>276</v>
      </c>
      <c r="B262" s="6"/>
      <c r="C262" s="6"/>
      <c r="D262" s="6">
        <f t="shared" si="4"/>
        <v>0</v>
      </c>
    </row>
    <row r="263" spans="1:4" ht="18">
      <c r="A263" s="8" t="s">
        <v>277</v>
      </c>
      <c r="B263" s="6">
        <f>8+10+15+10+5-20</f>
        <v>28</v>
      </c>
      <c r="C263" s="6">
        <v>18000</v>
      </c>
      <c r="D263" s="6">
        <f t="shared" si="4"/>
        <v>504000</v>
      </c>
    </row>
    <row r="264" spans="1:4" ht="18" hidden="1">
      <c r="A264" s="8" t="s">
        <v>278</v>
      </c>
      <c r="B264" s="6"/>
      <c r="C264" s="6"/>
      <c r="D264" s="6">
        <f t="shared" si="4"/>
        <v>0</v>
      </c>
    </row>
    <row r="265" spans="1:4" ht="18" hidden="1">
      <c r="A265" s="8" t="s">
        <v>279</v>
      </c>
      <c r="B265" s="6"/>
      <c r="C265" s="6"/>
      <c r="D265" s="6">
        <f t="shared" si="4"/>
        <v>0</v>
      </c>
    </row>
    <row r="266" spans="1:4" ht="18" hidden="1">
      <c r="A266" s="8" t="s">
        <v>280</v>
      </c>
      <c r="B266" s="14"/>
      <c r="C266" s="14"/>
      <c r="D266" s="6">
        <f t="shared" si="4"/>
        <v>0</v>
      </c>
    </row>
    <row r="267" spans="1:4" ht="18" hidden="1">
      <c r="A267" s="12" t="s">
        <v>281</v>
      </c>
      <c r="B267" s="6"/>
      <c r="C267" s="6"/>
      <c r="D267" s="6">
        <f t="shared" si="4"/>
        <v>0</v>
      </c>
    </row>
    <row r="268" spans="1:4" ht="18" hidden="1">
      <c r="A268" s="8" t="s">
        <v>282</v>
      </c>
      <c r="B268" s="6"/>
      <c r="C268" s="6"/>
      <c r="D268" s="6">
        <f t="shared" si="4"/>
        <v>0</v>
      </c>
    </row>
    <row r="269" spans="1:4" ht="18">
      <c r="A269" s="10" t="s">
        <v>283</v>
      </c>
      <c r="B269" s="6">
        <v>6</v>
      </c>
      <c r="C269" s="6">
        <v>40000</v>
      </c>
      <c r="D269" s="6">
        <f t="shared" si="4"/>
        <v>240000</v>
      </c>
    </row>
    <row r="270" spans="1:4" ht="18" hidden="1">
      <c r="A270" s="8" t="s">
        <v>284</v>
      </c>
      <c r="B270" s="6"/>
      <c r="C270" s="6"/>
      <c r="D270" s="6">
        <f t="shared" si="4"/>
        <v>0</v>
      </c>
    </row>
    <row r="271" spans="1:4" ht="18" hidden="1">
      <c r="A271" s="8" t="s">
        <v>285</v>
      </c>
      <c r="B271" s="6"/>
      <c r="C271" s="6"/>
      <c r="D271" s="6">
        <f t="shared" si="4"/>
        <v>0</v>
      </c>
    </row>
    <row r="272" spans="1:4" ht="18" hidden="1">
      <c r="A272" s="8" t="s">
        <v>286</v>
      </c>
      <c r="B272" s="6"/>
      <c r="C272" s="6"/>
      <c r="D272" s="6">
        <f t="shared" si="4"/>
        <v>0</v>
      </c>
    </row>
    <row r="273" spans="1:4" ht="18" hidden="1">
      <c r="A273" s="8" t="s">
        <v>287</v>
      </c>
      <c r="B273" s="6"/>
      <c r="C273" s="6"/>
      <c r="D273" s="6">
        <f t="shared" si="4"/>
        <v>0</v>
      </c>
    </row>
    <row r="274" spans="1:4" ht="18" hidden="1">
      <c r="A274" s="8" t="s">
        <v>288</v>
      </c>
      <c r="B274" s="6"/>
      <c r="C274" s="6"/>
      <c r="D274" s="6">
        <f t="shared" si="4"/>
        <v>0</v>
      </c>
    </row>
    <row r="275" spans="1:4" ht="18" hidden="1">
      <c r="A275" s="8" t="s">
        <v>289</v>
      </c>
      <c r="B275" s="6"/>
      <c r="C275" s="6"/>
      <c r="D275" s="6">
        <f t="shared" si="4"/>
        <v>0</v>
      </c>
    </row>
    <row r="276" spans="1:4" ht="18" hidden="1">
      <c r="A276" s="8" t="s">
        <v>290</v>
      </c>
      <c r="B276" s="6"/>
      <c r="C276" s="6"/>
      <c r="D276" s="6">
        <f t="shared" si="4"/>
        <v>0</v>
      </c>
    </row>
    <row r="277" spans="1:4" ht="18" hidden="1">
      <c r="A277" s="30" t="s">
        <v>291</v>
      </c>
      <c r="B277" s="6"/>
      <c r="C277" s="6"/>
      <c r="D277" s="6">
        <f t="shared" si="4"/>
        <v>0</v>
      </c>
    </row>
    <row r="278" spans="1:4" ht="18" hidden="1">
      <c r="A278" s="8" t="s">
        <v>292</v>
      </c>
      <c r="B278" s="6"/>
      <c r="C278" s="6"/>
      <c r="D278" s="6">
        <f t="shared" si="4"/>
        <v>0</v>
      </c>
    </row>
    <row r="279" spans="1:4" ht="18" hidden="1">
      <c r="A279" s="30" t="s">
        <v>293</v>
      </c>
      <c r="B279" s="6"/>
      <c r="C279" s="6"/>
      <c r="D279" s="6">
        <f t="shared" si="4"/>
        <v>0</v>
      </c>
    </row>
    <row r="280" spans="1:4" ht="18" hidden="1">
      <c r="A280" s="30" t="s">
        <v>294</v>
      </c>
      <c r="B280" s="6"/>
      <c r="C280" s="6"/>
      <c r="D280" s="6">
        <f t="shared" si="4"/>
        <v>0</v>
      </c>
    </row>
    <row r="281" spans="1:4" ht="18" hidden="1">
      <c r="A281" s="11" t="s">
        <v>295</v>
      </c>
      <c r="B281" s="14"/>
      <c r="C281" s="14"/>
      <c r="D281" s="6">
        <f t="shared" si="4"/>
        <v>0</v>
      </c>
    </row>
    <row r="282" spans="1:4" ht="18" hidden="1">
      <c r="A282" s="11" t="s">
        <v>296</v>
      </c>
      <c r="B282" s="6"/>
      <c r="C282" s="6"/>
      <c r="D282" s="6">
        <f t="shared" si="4"/>
        <v>0</v>
      </c>
    </row>
    <row r="283" spans="1:4" ht="18" hidden="1">
      <c r="A283" s="10" t="s">
        <v>297</v>
      </c>
      <c r="B283" s="6"/>
      <c r="C283" s="6"/>
      <c r="D283" s="6">
        <f t="shared" si="4"/>
        <v>0</v>
      </c>
    </row>
    <row r="284" spans="1:4" ht="18" hidden="1">
      <c r="A284" s="10" t="s">
        <v>298</v>
      </c>
      <c r="B284" s="6"/>
      <c r="C284" s="6"/>
      <c r="D284" s="6">
        <f t="shared" si="4"/>
        <v>0</v>
      </c>
    </row>
    <row r="285" spans="1:4" ht="18" hidden="1">
      <c r="A285" s="15" t="s">
        <v>299</v>
      </c>
      <c r="B285" s="6"/>
      <c r="C285" s="6"/>
      <c r="D285" s="6">
        <f t="shared" si="4"/>
        <v>0</v>
      </c>
    </row>
    <row r="286" spans="1:4" ht="18" hidden="1">
      <c r="A286" s="15" t="s">
        <v>300</v>
      </c>
      <c r="B286" s="6"/>
      <c r="C286" s="6"/>
      <c r="D286" s="6">
        <f t="shared" si="4"/>
        <v>0</v>
      </c>
    </row>
    <row r="287" spans="1:4" ht="18" hidden="1">
      <c r="A287" s="15" t="s">
        <v>301</v>
      </c>
      <c r="B287" s="6"/>
      <c r="C287" s="6"/>
      <c r="D287" s="6">
        <f t="shared" si="4"/>
        <v>0</v>
      </c>
    </row>
    <row r="288" spans="1:4" ht="18" hidden="1">
      <c r="A288" s="8" t="s">
        <v>302</v>
      </c>
      <c r="B288" s="6"/>
      <c r="C288" s="6"/>
      <c r="D288" s="6">
        <f t="shared" si="4"/>
        <v>0</v>
      </c>
    </row>
    <row r="289" spans="1:4" ht="18" hidden="1">
      <c r="A289" s="15" t="s">
        <v>303</v>
      </c>
      <c r="B289" s="6"/>
      <c r="C289" s="6"/>
      <c r="D289" s="6">
        <f t="shared" si="4"/>
        <v>0</v>
      </c>
    </row>
    <row r="290" spans="1:4" ht="18" hidden="1">
      <c r="A290" s="8" t="s">
        <v>304</v>
      </c>
      <c r="B290" s="6"/>
      <c r="C290" s="6"/>
      <c r="D290" s="6">
        <f t="shared" si="4"/>
        <v>0</v>
      </c>
    </row>
    <row r="291" spans="1:4" ht="18">
      <c r="A291" s="8" t="s">
        <v>305</v>
      </c>
      <c r="B291" s="6">
        <v>7</v>
      </c>
      <c r="C291" s="6">
        <v>7000</v>
      </c>
      <c r="D291" s="6">
        <f t="shared" si="4"/>
        <v>49000</v>
      </c>
    </row>
    <row r="292" spans="1:4" ht="18" hidden="1">
      <c r="A292" s="15" t="s">
        <v>306</v>
      </c>
      <c r="B292" s="6"/>
      <c r="C292" s="6"/>
      <c r="D292" s="6">
        <f t="shared" si="4"/>
        <v>0</v>
      </c>
    </row>
    <row r="293" spans="1:4" ht="18" hidden="1">
      <c r="A293" s="23" t="s">
        <v>307</v>
      </c>
      <c r="B293" s="6"/>
      <c r="C293" s="6"/>
      <c r="D293" s="6">
        <f t="shared" si="4"/>
        <v>0</v>
      </c>
    </row>
    <row r="294" spans="1:4" ht="18">
      <c r="A294" s="8" t="s">
        <v>308</v>
      </c>
      <c r="B294" s="6">
        <f>5+20+15</f>
        <v>40</v>
      </c>
      <c r="C294" s="6">
        <v>10500</v>
      </c>
      <c r="D294" s="6">
        <f t="shared" si="4"/>
        <v>420000</v>
      </c>
    </row>
    <row r="295" spans="1:4" ht="18" hidden="1">
      <c r="A295" s="12" t="s">
        <v>309</v>
      </c>
      <c r="B295" s="6"/>
      <c r="C295" s="6"/>
      <c r="D295" s="6">
        <f t="shared" si="4"/>
        <v>0</v>
      </c>
    </row>
    <row r="296" spans="1:4" ht="18" hidden="1">
      <c r="A296" s="12" t="s">
        <v>310</v>
      </c>
      <c r="B296" s="6"/>
      <c r="C296" s="6"/>
      <c r="D296" s="6">
        <f t="shared" si="4"/>
        <v>0</v>
      </c>
    </row>
    <row r="297" spans="1:4" ht="18" hidden="1">
      <c r="A297" s="11" t="s">
        <v>311</v>
      </c>
      <c r="B297" s="6"/>
      <c r="C297" s="6"/>
      <c r="D297" s="6">
        <f t="shared" si="4"/>
        <v>0</v>
      </c>
    </row>
    <row r="298" spans="1:4" ht="18" hidden="1">
      <c r="A298" s="15" t="s">
        <v>312</v>
      </c>
      <c r="B298" s="6"/>
      <c r="C298" s="6"/>
      <c r="D298" s="6">
        <f t="shared" si="4"/>
        <v>0</v>
      </c>
    </row>
    <row r="299" spans="1:4" ht="18" hidden="1">
      <c r="A299" s="12" t="s">
        <v>313</v>
      </c>
      <c r="B299" s="6"/>
      <c r="C299" s="6"/>
      <c r="D299" s="6">
        <f t="shared" si="4"/>
        <v>0</v>
      </c>
    </row>
    <row r="300" spans="1:4" ht="18" hidden="1">
      <c r="A300" s="8" t="s">
        <v>314</v>
      </c>
      <c r="B300" s="6"/>
      <c r="C300" s="6"/>
      <c r="D300" s="6">
        <f t="shared" si="4"/>
        <v>0</v>
      </c>
    </row>
    <row r="301" spans="1:4" ht="18" hidden="1">
      <c r="A301" s="15" t="s">
        <v>315</v>
      </c>
      <c r="B301" s="6"/>
      <c r="C301" s="6"/>
      <c r="D301" s="6">
        <f t="shared" si="4"/>
        <v>0</v>
      </c>
    </row>
    <row r="302" spans="1:4" ht="18" hidden="1">
      <c r="A302" s="8" t="s">
        <v>316</v>
      </c>
      <c r="B302" s="6"/>
      <c r="C302" s="6"/>
      <c r="D302" s="6">
        <f t="shared" si="4"/>
        <v>0</v>
      </c>
    </row>
    <row r="303" spans="1:4" ht="18" hidden="1">
      <c r="A303" s="8" t="s">
        <v>317</v>
      </c>
      <c r="B303" s="6"/>
      <c r="C303" s="6"/>
      <c r="D303" s="6">
        <f t="shared" si="4"/>
        <v>0</v>
      </c>
    </row>
    <row r="304" spans="1:4" ht="18" hidden="1">
      <c r="A304" s="10" t="s">
        <v>318</v>
      </c>
      <c r="B304" s="6"/>
      <c r="C304" s="6"/>
      <c r="D304" s="6">
        <f t="shared" si="4"/>
        <v>0</v>
      </c>
    </row>
    <row r="305" spans="1:4" ht="18" hidden="1">
      <c r="A305" s="11" t="s">
        <v>319</v>
      </c>
      <c r="B305" s="6"/>
      <c r="C305" s="6"/>
      <c r="D305" s="6">
        <f t="shared" si="4"/>
        <v>0</v>
      </c>
    </row>
    <row r="306" spans="1:4" ht="18" hidden="1">
      <c r="A306" s="11" t="s">
        <v>320</v>
      </c>
      <c r="B306" s="6"/>
      <c r="C306" s="6"/>
      <c r="D306" s="6">
        <f t="shared" si="4"/>
        <v>0</v>
      </c>
    </row>
    <row r="307" spans="1:4" ht="18" hidden="1">
      <c r="A307" s="8" t="s">
        <v>321</v>
      </c>
      <c r="B307" s="6"/>
      <c r="C307" s="6"/>
      <c r="D307" s="6">
        <f t="shared" si="4"/>
        <v>0</v>
      </c>
    </row>
    <row r="308" spans="1:4" ht="18" hidden="1">
      <c r="A308" s="8" t="s">
        <v>322</v>
      </c>
      <c r="B308" s="6"/>
      <c r="C308" s="6"/>
      <c r="D308" s="6">
        <f t="shared" si="4"/>
        <v>0</v>
      </c>
    </row>
    <row r="309" spans="1:4" ht="18" hidden="1">
      <c r="A309" s="8" t="s">
        <v>323</v>
      </c>
      <c r="B309" s="6"/>
      <c r="C309" s="6"/>
      <c r="D309" s="6">
        <f t="shared" si="4"/>
        <v>0</v>
      </c>
    </row>
    <row r="310" spans="1:4" ht="18">
      <c r="A310" s="12" t="s">
        <v>324</v>
      </c>
      <c r="B310" s="6">
        <v>7</v>
      </c>
      <c r="C310" s="6">
        <v>32000</v>
      </c>
      <c r="D310" s="6">
        <f t="shared" si="4"/>
        <v>224000</v>
      </c>
    </row>
    <row r="311" spans="1:4" ht="18" hidden="1">
      <c r="A311" s="12" t="s">
        <v>325</v>
      </c>
      <c r="B311" s="6"/>
      <c r="C311" s="6"/>
      <c r="D311" s="6">
        <f t="shared" si="4"/>
        <v>0</v>
      </c>
    </row>
    <row r="312" spans="1:4" ht="18" hidden="1">
      <c r="A312" s="19" t="s">
        <v>326</v>
      </c>
      <c r="B312" s="6"/>
      <c r="C312" s="6"/>
      <c r="D312" s="6">
        <f t="shared" si="4"/>
        <v>0</v>
      </c>
    </row>
    <row r="313" spans="1:4" ht="18" hidden="1">
      <c r="A313" s="12" t="s">
        <v>327</v>
      </c>
      <c r="B313" s="6"/>
      <c r="C313" s="6"/>
      <c r="D313" s="6">
        <f t="shared" si="4"/>
        <v>0</v>
      </c>
    </row>
    <row r="314" spans="1:4" ht="18" hidden="1">
      <c r="A314" s="8" t="s">
        <v>328</v>
      </c>
      <c r="B314" s="6"/>
      <c r="C314" s="6"/>
      <c r="D314" s="6">
        <f t="shared" si="4"/>
        <v>0</v>
      </c>
    </row>
    <row r="315" spans="1:4" ht="18" hidden="1">
      <c r="A315" s="8" t="s">
        <v>329</v>
      </c>
      <c r="B315" s="6"/>
      <c r="C315" s="6"/>
      <c r="D315" s="6">
        <f t="shared" si="4"/>
        <v>0</v>
      </c>
    </row>
    <row r="316" spans="1:4" ht="18" hidden="1">
      <c r="A316" s="8" t="s">
        <v>330</v>
      </c>
      <c r="B316" s="6"/>
      <c r="C316" s="6"/>
      <c r="D316" s="6">
        <f t="shared" si="4"/>
        <v>0</v>
      </c>
    </row>
    <row r="317" spans="1:4" ht="18" hidden="1">
      <c r="A317" s="8" t="s">
        <v>331</v>
      </c>
      <c r="B317" s="6"/>
      <c r="C317" s="6"/>
      <c r="D317" s="6">
        <f t="shared" si="4"/>
        <v>0</v>
      </c>
    </row>
    <row r="318" spans="1:4" ht="18" hidden="1">
      <c r="A318" s="19" t="s">
        <v>332</v>
      </c>
      <c r="B318" s="6"/>
      <c r="C318" s="6"/>
      <c r="D318" s="6">
        <f t="shared" si="4"/>
        <v>0</v>
      </c>
    </row>
    <row r="319" spans="1:4" ht="18" hidden="1">
      <c r="A319" s="8" t="s">
        <v>333</v>
      </c>
      <c r="B319" s="6"/>
      <c r="C319" s="6"/>
      <c r="D319" s="6">
        <f t="shared" si="4"/>
        <v>0</v>
      </c>
    </row>
    <row r="320" spans="1:4" ht="18" hidden="1">
      <c r="A320" s="8" t="s">
        <v>334</v>
      </c>
      <c r="B320" s="6"/>
      <c r="C320" s="6"/>
      <c r="D320" s="6">
        <f t="shared" si="4"/>
        <v>0</v>
      </c>
    </row>
    <row r="321" spans="1:4" ht="18" hidden="1">
      <c r="A321" s="11" t="s">
        <v>335</v>
      </c>
      <c r="B321" s="6"/>
      <c r="C321" s="6"/>
      <c r="D321" s="6">
        <f t="shared" si="4"/>
        <v>0</v>
      </c>
    </row>
    <row r="322" spans="1:4" ht="18" hidden="1">
      <c r="A322" s="8" t="s">
        <v>336</v>
      </c>
      <c r="B322" s="34"/>
      <c r="C322" s="34"/>
      <c r="D322" s="6">
        <f t="shared" si="4"/>
        <v>0</v>
      </c>
    </row>
    <row r="323" spans="1:4" ht="18" hidden="1">
      <c r="A323" s="8" t="s">
        <v>337</v>
      </c>
      <c r="B323" s="6"/>
      <c r="C323" s="6"/>
      <c r="D323" s="6">
        <f t="shared" si="4"/>
        <v>0</v>
      </c>
    </row>
    <row r="324" spans="1:4" ht="18" hidden="1">
      <c r="A324" s="8" t="s">
        <v>338</v>
      </c>
      <c r="B324" s="6"/>
      <c r="C324" s="6"/>
      <c r="D324" s="6">
        <f t="shared" ref="D324:D387" si="5">B324*C324</f>
        <v>0</v>
      </c>
    </row>
    <row r="325" spans="1:4" ht="18" hidden="1">
      <c r="A325" s="19" t="s">
        <v>339</v>
      </c>
      <c r="B325" s="6"/>
      <c r="C325" s="6"/>
      <c r="D325" s="6">
        <f t="shared" si="5"/>
        <v>0</v>
      </c>
    </row>
    <row r="326" spans="1:4" ht="18" hidden="1">
      <c r="A326" s="19" t="s">
        <v>340</v>
      </c>
      <c r="B326" s="6"/>
      <c r="C326" s="6"/>
      <c r="D326" s="6">
        <f t="shared" si="5"/>
        <v>0</v>
      </c>
    </row>
    <row r="327" spans="1:4" ht="18">
      <c r="A327" s="8" t="s">
        <v>341</v>
      </c>
      <c r="B327" s="6">
        <v>1</v>
      </c>
      <c r="C327" s="6">
        <v>30000</v>
      </c>
      <c r="D327" s="6">
        <f t="shared" si="5"/>
        <v>30000</v>
      </c>
    </row>
    <row r="328" spans="1:4" ht="18" hidden="1">
      <c r="A328" s="8" t="s">
        <v>342</v>
      </c>
      <c r="B328" s="6"/>
      <c r="C328" s="6"/>
      <c r="D328" s="6">
        <f t="shared" si="5"/>
        <v>0</v>
      </c>
    </row>
    <row r="329" spans="1:4" ht="18" hidden="1">
      <c r="A329" s="19" t="s">
        <v>343</v>
      </c>
      <c r="B329" s="6"/>
      <c r="C329" s="6"/>
      <c r="D329" s="6">
        <f t="shared" si="5"/>
        <v>0</v>
      </c>
    </row>
    <row r="330" spans="1:4" ht="18" hidden="1">
      <c r="A330" s="8" t="s">
        <v>344</v>
      </c>
      <c r="B330" s="6"/>
      <c r="C330" s="6"/>
      <c r="D330" s="6">
        <f t="shared" si="5"/>
        <v>0</v>
      </c>
    </row>
    <row r="331" spans="1:4" ht="18" hidden="1">
      <c r="A331" s="8" t="s">
        <v>345</v>
      </c>
      <c r="B331" s="6"/>
      <c r="C331" s="6"/>
      <c r="D331" s="6">
        <f t="shared" si="5"/>
        <v>0</v>
      </c>
    </row>
    <row r="332" spans="1:4" ht="18" hidden="1">
      <c r="A332" s="8" t="s">
        <v>346</v>
      </c>
      <c r="B332" s="6"/>
      <c r="C332" s="6"/>
      <c r="D332" s="6">
        <f t="shared" si="5"/>
        <v>0</v>
      </c>
    </row>
    <row r="333" spans="1:4" ht="18" hidden="1">
      <c r="A333" s="8" t="s">
        <v>347</v>
      </c>
      <c r="B333" s="6"/>
      <c r="C333" s="6"/>
      <c r="D333" s="6">
        <f t="shared" si="5"/>
        <v>0</v>
      </c>
    </row>
    <row r="334" spans="1:4" ht="18" hidden="1">
      <c r="A334" s="8" t="s">
        <v>348</v>
      </c>
      <c r="B334" s="6"/>
      <c r="C334" s="6"/>
      <c r="D334" s="6">
        <f t="shared" si="5"/>
        <v>0</v>
      </c>
    </row>
    <row r="335" spans="1:4" ht="18">
      <c r="A335" s="8" t="s">
        <v>349</v>
      </c>
      <c r="B335" s="6">
        <v>2</v>
      </c>
      <c r="C335" s="6">
        <v>28000</v>
      </c>
      <c r="D335" s="6">
        <f t="shared" si="5"/>
        <v>56000</v>
      </c>
    </row>
    <row r="336" spans="1:4" ht="18" hidden="1">
      <c r="A336" s="8" t="s">
        <v>350</v>
      </c>
      <c r="B336" s="6"/>
      <c r="C336" s="6"/>
      <c r="D336" s="6">
        <f t="shared" si="5"/>
        <v>0</v>
      </c>
    </row>
    <row r="337" spans="1:4" ht="18" hidden="1">
      <c r="A337" s="8" t="s">
        <v>351</v>
      </c>
      <c r="B337" s="6"/>
      <c r="C337" s="6"/>
      <c r="D337" s="6">
        <f t="shared" si="5"/>
        <v>0</v>
      </c>
    </row>
    <row r="338" spans="1:4" ht="18" hidden="1">
      <c r="A338" s="10" t="s">
        <v>352</v>
      </c>
      <c r="B338" s="6"/>
      <c r="C338" s="6"/>
      <c r="D338" s="6">
        <f t="shared" si="5"/>
        <v>0</v>
      </c>
    </row>
    <row r="339" spans="1:4" ht="18" hidden="1">
      <c r="A339" s="10" t="s">
        <v>353</v>
      </c>
      <c r="B339" s="6"/>
      <c r="C339" s="6"/>
      <c r="D339" s="6">
        <f t="shared" si="5"/>
        <v>0</v>
      </c>
    </row>
    <row r="340" spans="1:4" ht="18">
      <c r="A340" s="35"/>
      <c r="B340" s="36">
        <f>SUM(B3:B339)</f>
        <v>3461</v>
      </c>
      <c r="C340" s="36"/>
      <c r="D340" s="6">
        <f>SUM(D3:D335)</f>
        <v>54451500</v>
      </c>
    </row>
    <row r="341" spans="1:4" ht="18" hidden="1">
      <c r="D341" s="6">
        <f t="shared" si="5"/>
        <v>0</v>
      </c>
    </row>
    <row r="342" spans="1:4" ht="18">
      <c r="A342" s="1" t="s">
        <v>395</v>
      </c>
      <c r="B342" s="2"/>
      <c r="C342" s="2"/>
      <c r="D342" s="6"/>
    </row>
    <row r="343" spans="1:4" ht="26.4">
      <c r="A343" s="207" t="s">
        <v>381</v>
      </c>
      <c r="B343" s="4" t="s">
        <v>3</v>
      </c>
      <c r="C343" s="4" t="s">
        <v>4</v>
      </c>
      <c r="D343" s="6" t="s">
        <v>396</v>
      </c>
    </row>
    <row r="344" spans="1:4" ht="18" hidden="1">
      <c r="A344" s="206"/>
      <c r="B344" s="37"/>
      <c r="C344" s="37"/>
      <c r="D344" s="6">
        <f t="shared" si="5"/>
        <v>0</v>
      </c>
    </row>
    <row r="345" spans="1:4" ht="18" hidden="1">
      <c r="A345" s="5" t="s">
        <v>6</v>
      </c>
      <c r="B345" s="6"/>
      <c r="C345" s="6"/>
      <c r="D345" s="6">
        <f t="shared" si="5"/>
        <v>0</v>
      </c>
    </row>
    <row r="346" spans="1:4" ht="18" hidden="1">
      <c r="A346" s="7" t="s">
        <v>8</v>
      </c>
      <c r="B346" s="6"/>
      <c r="C346" s="6"/>
      <c r="D346" s="6">
        <f t="shared" si="5"/>
        <v>0</v>
      </c>
    </row>
    <row r="347" spans="1:4" ht="18" hidden="1">
      <c r="A347" s="5" t="s">
        <v>10</v>
      </c>
      <c r="B347" s="6"/>
      <c r="C347" s="6"/>
      <c r="D347" s="6">
        <f t="shared" si="5"/>
        <v>0</v>
      </c>
    </row>
    <row r="348" spans="1:4" ht="18">
      <c r="A348" s="5" t="s">
        <v>11</v>
      </c>
      <c r="B348" s="6">
        <v>200</v>
      </c>
      <c r="C348" s="6">
        <v>6500</v>
      </c>
      <c r="D348" s="6">
        <f t="shared" si="5"/>
        <v>1300000</v>
      </c>
    </row>
    <row r="349" spans="1:4" ht="18" hidden="1">
      <c r="A349" s="8" t="s">
        <v>12</v>
      </c>
      <c r="B349" s="6"/>
      <c r="C349" s="6"/>
      <c r="D349" s="6">
        <f t="shared" si="5"/>
        <v>0</v>
      </c>
    </row>
    <row r="350" spans="1:4" ht="18" hidden="1">
      <c r="A350" s="9" t="s">
        <v>13</v>
      </c>
      <c r="B350" s="6"/>
      <c r="C350" s="6"/>
      <c r="D350" s="6">
        <f t="shared" si="5"/>
        <v>0</v>
      </c>
    </row>
    <row r="351" spans="1:4" ht="18" hidden="1">
      <c r="A351" s="5" t="s">
        <v>14</v>
      </c>
      <c r="B351" s="6"/>
      <c r="C351" s="6"/>
      <c r="D351" s="6">
        <f t="shared" si="5"/>
        <v>0</v>
      </c>
    </row>
    <row r="352" spans="1:4" ht="18" hidden="1">
      <c r="A352" s="5" t="s">
        <v>15</v>
      </c>
      <c r="B352" s="6"/>
      <c r="C352" s="6"/>
      <c r="D352" s="6">
        <f t="shared" si="5"/>
        <v>0</v>
      </c>
    </row>
    <row r="353" spans="1:4" ht="18" hidden="1">
      <c r="A353" s="10" t="s">
        <v>355</v>
      </c>
      <c r="B353" s="6"/>
      <c r="C353" s="6"/>
      <c r="D353" s="6">
        <f t="shared" si="5"/>
        <v>0</v>
      </c>
    </row>
    <row r="354" spans="1:4" ht="18" hidden="1">
      <c r="A354" s="8" t="s">
        <v>18</v>
      </c>
      <c r="B354" s="6"/>
      <c r="C354" s="6"/>
      <c r="D354" s="6">
        <f t="shared" si="5"/>
        <v>0</v>
      </c>
    </row>
    <row r="355" spans="1:4" ht="18">
      <c r="A355" s="8" t="s">
        <v>19</v>
      </c>
      <c r="B355" s="6">
        <v>4</v>
      </c>
      <c r="C355" s="6">
        <v>10000</v>
      </c>
      <c r="D355" s="6">
        <f t="shared" si="5"/>
        <v>40000</v>
      </c>
    </row>
    <row r="356" spans="1:4" ht="18" hidden="1">
      <c r="A356" s="11" t="s">
        <v>20</v>
      </c>
      <c r="B356" s="6"/>
      <c r="C356" s="6"/>
      <c r="D356" s="6">
        <f t="shared" si="5"/>
        <v>0</v>
      </c>
    </row>
    <row r="357" spans="1:4" ht="18" hidden="1">
      <c r="A357" s="11" t="s">
        <v>22</v>
      </c>
      <c r="B357" s="6"/>
      <c r="C357" s="6"/>
      <c r="D357" s="6">
        <f t="shared" si="5"/>
        <v>0</v>
      </c>
    </row>
    <row r="358" spans="1:4" ht="18" hidden="1">
      <c r="A358" s="8" t="s">
        <v>23</v>
      </c>
      <c r="B358" s="6"/>
      <c r="C358" s="6"/>
      <c r="D358" s="6">
        <f t="shared" si="5"/>
        <v>0</v>
      </c>
    </row>
    <row r="359" spans="1:4" ht="18" hidden="1">
      <c r="A359" s="8" t="s">
        <v>24</v>
      </c>
      <c r="B359" s="6"/>
      <c r="C359" s="6"/>
      <c r="D359" s="6">
        <f t="shared" si="5"/>
        <v>0</v>
      </c>
    </row>
    <row r="360" spans="1:4" ht="18" hidden="1">
      <c r="A360" s="12" t="s">
        <v>25</v>
      </c>
      <c r="B360" s="6"/>
      <c r="C360" s="6"/>
      <c r="D360" s="6">
        <f t="shared" si="5"/>
        <v>0</v>
      </c>
    </row>
    <row r="361" spans="1:4" ht="18" hidden="1">
      <c r="A361" s="10" t="s">
        <v>26</v>
      </c>
      <c r="B361" s="6"/>
      <c r="C361" s="6"/>
      <c r="D361" s="6">
        <f t="shared" si="5"/>
        <v>0</v>
      </c>
    </row>
    <row r="362" spans="1:4" ht="18">
      <c r="A362" s="8" t="s">
        <v>27</v>
      </c>
      <c r="B362" s="6">
        <v>3000</v>
      </c>
      <c r="C362" s="6">
        <v>13000</v>
      </c>
      <c r="D362" s="6">
        <f t="shared" si="5"/>
        <v>39000000</v>
      </c>
    </row>
    <row r="363" spans="1:4" ht="18" hidden="1">
      <c r="A363" s="11" t="s">
        <v>28</v>
      </c>
      <c r="B363" s="6"/>
      <c r="C363" s="6"/>
      <c r="D363" s="6">
        <f t="shared" si="5"/>
        <v>0</v>
      </c>
    </row>
    <row r="364" spans="1:4" ht="18" hidden="1">
      <c r="A364" s="11" t="s">
        <v>29</v>
      </c>
      <c r="B364" s="6"/>
      <c r="C364" s="6"/>
      <c r="D364" s="6">
        <f t="shared" si="5"/>
        <v>0</v>
      </c>
    </row>
    <row r="365" spans="1:4" ht="18" hidden="1">
      <c r="A365" s="8" t="s">
        <v>30</v>
      </c>
      <c r="B365" s="6"/>
      <c r="C365" s="6"/>
      <c r="D365" s="6">
        <f t="shared" si="5"/>
        <v>0</v>
      </c>
    </row>
    <row r="366" spans="1:4" ht="18" hidden="1">
      <c r="A366" s="8" t="s">
        <v>31</v>
      </c>
      <c r="B366" s="6"/>
      <c r="C366" s="6"/>
      <c r="D366" s="6">
        <f t="shared" si="5"/>
        <v>0</v>
      </c>
    </row>
    <row r="367" spans="1:4" ht="18" hidden="1">
      <c r="A367" s="8" t="s">
        <v>32</v>
      </c>
      <c r="B367" s="6"/>
      <c r="C367" s="6"/>
      <c r="D367" s="6">
        <f t="shared" si="5"/>
        <v>0</v>
      </c>
    </row>
    <row r="368" spans="1:4" ht="18" hidden="1">
      <c r="A368" s="8" t="s">
        <v>33</v>
      </c>
      <c r="B368" s="6"/>
      <c r="C368" s="6"/>
      <c r="D368" s="6">
        <f t="shared" si="5"/>
        <v>0</v>
      </c>
    </row>
    <row r="369" spans="1:4" ht="18" hidden="1">
      <c r="A369" s="8" t="s">
        <v>34</v>
      </c>
      <c r="B369" s="6"/>
      <c r="C369" s="6"/>
      <c r="D369" s="6">
        <f t="shared" si="5"/>
        <v>0</v>
      </c>
    </row>
    <row r="370" spans="1:4" ht="18" hidden="1">
      <c r="A370" s="8" t="s">
        <v>35</v>
      </c>
      <c r="B370" s="6"/>
      <c r="C370" s="6"/>
      <c r="D370" s="6">
        <f t="shared" si="5"/>
        <v>0</v>
      </c>
    </row>
    <row r="371" spans="1:4" ht="18" hidden="1">
      <c r="A371" s="11" t="s">
        <v>37</v>
      </c>
      <c r="B371" s="6"/>
      <c r="C371" s="6"/>
      <c r="D371" s="6">
        <f t="shared" si="5"/>
        <v>0</v>
      </c>
    </row>
    <row r="372" spans="1:4" ht="18" hidden="1">
      <c r="A372" s="11" t="s">
        <v>46</v>
      </c>
      <c r="B372" s="6"/>
      <c r="C372" s="6"/>
      <c r="D372" s="6">
        <f t="shared" si="5"/>
        <v>0</v>
      </c>
    </row>
    <row r="373" spans="1:4" ht="18" hidden="1">
      <c r="A373" s="8" t="s">
        <v>47</v>
      </c>
      <c r="B373" s="6"/>
      <c r="C373" s="6"/>
      <c r="D373" s="6">
        <f t="shared" si="5"/>
        <v>0</v>
      </c>
    </row>
    <row r="374" spans="1:4" ht="18" hidden="1">
      <c r="A374" s="8" t="s">
        <v>48</v>
      </c>
      <c r="B374" s="6"/>
      <c r="C374" s="6"/>
      <c r="D374" s="6">
        <f t="shared" si="5"/>
        <v>0</v>
      </c>
    </row>
    <row r="375" spans="1:4" ht="18" hidden="1">
      <c r="A375" s="10" t="s">
        <v>356</v>
      </c>
      <c r="B375" s="14"/>
      <c r="C375" s="14"/>
      <c r="D375" s="6">
        <f t="shared" si="5"/>
        <v>0</v>
      </c>
    </row>
    <row r="376" spans="1:4" ht="18" hidden="1">
      <c r="A376" s="10" t="s">
        <v>50</v>
      </c>
      <c r="B376" s="14"/>
      <c r="C376" s="14"/>
      <c r="D376" s="6">
        <f t="shared" si="5"/>
        <v>0</v>
      </c>
    </row>
    <row r="377" spans="1:4" ht="18" hidden="1">
      <c r="A377" s="8" t="s">
        <v>51</v>
      </c>
      <c r="B377" s="6"/>
      <c r="C377" s="6"/>
      <c r="D377" s="6">
        <f t="shared" si="5"/>
        <v>0</v>
      </c>
    </row>
    <row r="378" spans="1:4" ht="18" hidden="1">
      <c r="A378" s="8" t="s">
        <v>52</v>
      </c>
      <c r="B378" s="6"/>
      <c r="C378" s="6"/>
      <c r="D378" s="6">
        <f t="shared" si="5"/>
        <v>0</v>
      </c>
    </row>
    <row r="379" spans="1:4" ht="18" hidden="1">
      <c r="A379" s="15" t="s">
        <v>53</v>
      </c>
      <c r="B379" s="6"/>
      <c r="C379" s="6"/>
      <c r="D379" s="6">
        <f t="shared" si="5"/>
        <v>0</v>
      </c>
    </row>
    <row r="380" spans="1:4" ht="18" hidden="1">
      <c r="A380" s="8" t="s">
        <v>55</v>
      </c>
      <c r="B380" s="6"/>
      <c r="C380" s="6"/>
      <c r="D380" s="6">
        <f t="shared" si="5"/>
        <v>0</v>
      </c>
    </row>
    <row r="381" spans="1:4" ht="18" hidden="1">
      <c r="A381" s="8" t="s">
        <v>56</v>
      </c>
      <c r="B381" s="6"/>
      <c r="C381" s="6"/>
      <c r="D381" s="6">
        <f t="shared" si="5"/>
        <v>0</v>
      </c>
    </row>
    <row r="382" spans="1:4" ht="18" hidden="1">
      <c r="A382" s="8" t="s">
        <v>58</v>
      </c>
      <c r="B382" s="6"/>
      <c r="C382" s="6"/>
      <c r="D382" s="6">
        <f t="shared" si="5"/>
        <v>0</v>
      </c>
    </row>
    <row r="383" spans="1:4" ht="18" hidden="1">
      <c r="A383" s="8" t="s">
        <v>59</v>
      </c>
      <c r="B383" s="6"/>
      <c r="C383" s="6"/>
      <c r="D383" s="6">
        <f t="shared" si="5"/>
        <v>0</v>
      </c>
    </row>
    <row r="384" spans="1:4" ht="18" hidden="1">
      <c r="A384" s="12" t="s">
        <v>60</v>
      </c>
      <c r="B384" s="6"/>
      <c r="C384" s="6"/>
      <c r="D384" s="6">
        <f t="shared" si="5"/>
        <v>0</v>
      </c>
    </row>
    <row r="385" spans="1:4" ht="18" hidden="1">
      <c r="A385" s="10" t="s">
        <v>61</v>
      </c>
      <c r="B385" s="6"/>
      <c r="C385" s="6"/>
      <c r="D385" s="6">
        <f t="shared" si="5"/>
        <v>0</v>
      </c>
    </row>
    <row r="386" spans="1:4" ht="18" hidden="1">
      <c r="A386" s="12" t="s">
        <v>62</v>
      </c>
      <c r="B386" s="6"/>
      <c r="C386" s="6"/>
      <c r="D386" s="6">
        <f t="shared" si="5"/>
        <v>0</v>
      </c>
    </row>
    <row r="387" spans="1:4" ht="18" hidden="1">
      <c r="A387" s="8" t="s">
        <v>63</v>
      </c>
      <c r="B387" s="6"/>
      <c r="C387" s="6"/>
      <c r="D387" s="6">
        <f t="shared" si="5"/>
        <v>0</v>
      </c>
    </row>
    <row r="388" spans="1:4" ht="18" hidden="1">
      <c r="A388" s="8" t="s">
        <v>64</v>
      </c>
      <c r="B388" s="6"/>
      <c r="C388" s="6"/>
      <c r="D388" s="6">
        <f t="shared" ref="D388:D451" si="6">B388*C388</f>
        <v>0</v>
      </c>
    </row>
    <row r="389" spans="1:4" ht="18">
      <c r="A389" s="11" t="s">
        <v>65</v>
      </c>
      <c r="B389" s="6">
        <v>220</v>
      </c>
      <c r="C389" s="6">
        <v>17000</v>
      </c>
      <c r="D389" s="6">
        <f t="shared" si="6"/>
        <v>3740000</v>
      </c>
    </row>
    <row r="390" spans="1:4" ht="18" hidden="1">
      <c r="A390" s="16" t="s">
        <v>66</v>
      </c>
      <c r="B390" s="6"/>
      <c r="C390" s="6"/>
      <c r="D390" s="6">
        <f t="shared" si="6"/>
        <v>0</v>
      </c>
    </row>
    <row r="391" spans="1:4" ht="18" hidden="1">
      <c r="A391" s="15" t="s">
        <v>67</v>
      </c>
      <c r="B391" s="6"/>
      <c r="C391" s="6"/>
      <c r="D391" s="6">
        <f t="shared" si="6"/>
        <v>0</v>
      </c>
    </row>
    <row r="392" spans="1:4" ht="18" hidden="1">
      <c r="A392" s="15" t="s">
        <v>69</v>
      </c>
      <c r="B392" s="6"/>
      <c r="C392" s="6"/>
      <c r="D392" s="6">
        <f t="shared" si="6"/>
        <v>0</v>
      </c>
    </row>
    <row r="393" spans="1:4" ht="18" hidden="1">
      <c r="A393" s="15" t="s">
        <v>70</v>
      </c>
      <c r="B393" s="6"/>
      <c r="C393" s="6"/>
      <c r="D393" s="6">
        <f t="shared" si="6"/>
        <v>0</v>
      </c>
    </row>
    <row r="394" spans="1:4" ht="18" hidden="1">
      <c r="A394" s="8" t="s">
        <v>71</v>
      </c>
      <c r="B394" s="6"/>
      <c r="C394" s="6"/>
      <c r="D394" s="6">
        <f t="shared" si="6"/>
        <v>0</v>
      </c>
    </row>
    <row r="395" spans="1:4" ht="18" hidden="1">
      <c r="A395" s="10" t="s">
        <v>72</v>
      </c>
      <c r="B395" s="6"/>
      <c r="C395" s="6"/>
      <c r="D395" s="6">
        <f t="shared" si="6"/>
        <v>0</v>
      </c>
    </row>
    <row r="396" spans="1:4" ht="18" hidden="1">
      <c r="A396" s="8" t="s">
        <v>73</v>
      </c>
      <c r="B396" s="6"/>
      <c r="C396" s="6"/>
      <c r="D396" s="6">
        <f t="shared" si="6"/>
        <v>0</v>
      </c>
    </row>
    <row r="397" spans="1:4" ht="18" hidden="1">
      <c r="A397" s="8" t="s">
        <v>74</v>
      </c>
      <c r="B397" s="6"/>
      <c r="C397" s="6"/>
      <c r="D397" s="6">
        <f t="shared" si="6"/>
        <v>0</v>
      </c>
    </row>
    <row r="398" spans="1:4" ht="18" hidden="1">
      <c r="A398" s="15" t="s">
        <v>75</v>
      </c>
      <c r="B398" s="6"/>
      <c r="C398" s="6"/>
      <c r="D398" s="6">
        <f t="shared" si="6"/>
        <v>0</v>
      </c>
    </row>
    <row r="399" spans="1:4" ht="18" hidden="1">
      <c r="A399" s="8" t="s">
        <v>76</v>
      </c>
      <c r="B399" s="6"/>
      <c r="C399" s="6"/>
      <c r="D399" s="6">
        <f t="shared" si="6"/>
        <v>0</v>
      </c>
    </row>
    <row r="400" spans="1:4" ht="18" hidden="1">
      <c r="A400" s="17" t="s">
        <v>77</v>
      </c>
      <c r="B400" s="6"/>
      <c r="C400" s="6"/>
      <c r="D400" s="6">
        <f t="shared" si="6"/>
        <v>0</v>
      </c>
    </row>
    <row r="401" spans="1:4" ht="18" hidden="1">
      <c r="A401" s="8" t="s">
        <v>78</v>
      </c>
      <c r="B401" s="6"/>
      <c r="C401" s="6"/>
      <c r="D401" s="6">
        <f t="shared" si="6"/>
        <v>0</v>
      </c>
    </row>
    <row r="402" spans="1:4" ht="18" hidden="1">
      <c r="A402" s="8" t="s">
        <v>79</v>
      </c>
      <c r="B402" s="6"/>
      <c r="C402" s="6"/>
      <c r="D402" s="6">
        <f t="shared" si="6"/>
        <v>0</v>
      </c>
    </row>
    <row r="403" spans="1:4" ht="18" hidden="1">
      <c r="A403" s="18" t="s">
        <v>80</v>
      </c>
      <c r="B403" s="6"/>
      <c r="C403" s="6"/>
      <c r="D403" s="6">
        <f t="shared" si="6"/>
        <v>0</v>
      </c>
    </row>
    <row r="404" spans="1:4" ht="18" hidden="1">
      <c r="A404" s="38" t="s">
        <v>81</v>
      </c>
      <c r="B404" s="6"/>
      <c r="C404" s="6"/>
      <c r="D404" s="6">
        <f t="shared" si="6"/>
        <v>0</v>
      </c>
    </row>
    <row r="405" spans="1:4" ht="18" hidden="1">
      <c r="A405" s="11" t="s">
        <v>82</v>
      </c>
      <c r="B405" s="6"/>
      <c r="C405" s="6"/>
      <c r="D405" s="6">
        <f t="shared" si="6"/>
        <v>0</v>
      </c>
    </row>
    <row r="406" spans="1:4" ht="18" hidden="1">
      <c r="A406" s="10" t="s">
        <v>83</v>
      </c>
      <c r="B406" s="6"/>
      <c r="C406" s="6"/>
      <c r="D406" s="6">
        <f t="shared" si="6"/>
        <v>0</v>
      </c>
    </row>
    <row r="407" spans="1:4" ht="18" hidden="1">
      <c r="A407" s="11" t="s">
        <v>84</v>
      </c>
      <c r="B407" s="6"/>
      <c r="C407" s="6"/>
      <c r="D407" s="6">
        <f t="shared" si="6"/>
        <v>0</v>
      </c>
    </row>
    <row r="408" spans="1:4" ht="18" hidden="1">
      <c r="A408" s="11" t="s">
        <v>85</v>
      </c>
      <c r="B408" s="6"/>
      <c r="C408" s="6"/>
      <c r="D408" s="6">
        <f t="shared" si="6"/>
        <v>0</v>
      </c>
    </row>
    <row r="409" spans="1:4" ht="18" hidden="1">
      <c r="A409" s="11" t="s">
        <v>86</v>
      </c>
      <c r="B409" s="6"/>
      <c r="C409" s="6"/>
      <c r="D409" s="6">
        <f t="shared" si="6"/>
        <v>0</v>
      </c>
    </row>
    <row r="410" spans="1:4" ht="18" hidden="1">
      <c r="A410" s="18" t="s">
        <v>87</v>
      </c>
      <c r="B410" s="6"/>
      <c r="C410" s="6"/>
      <c r="D410" s="6">
        <f t="shared" si="6"/>
        <v>0</v>
      </c>
    </row>
    <row r="411" spans="1:4" ht="18" hidden="1">
      <c r="A411" s="8" t="s">
        <v>88</v>
      </c>
      <c r="B411" s="6"/>
      <c r="C411" s="6"/>
      <c r="D411" s="6">
        <f t="shared" si="6"/>
        <v>0</v>
      </c>
    </row>
    <row r="412" spans="1:4" ht="18" hidden="1">
      <c r="A412" s="8" t="s">
        <v>89</v>
      </c>
      <c r="B412" s="6"/>
      <c r="C412" s="6"/>
      <c r="D412" s="6">
        <f t="shared" si="6"/>
        <v>0</v>
      </c>
    </row>
    <row r="413" spans="1:4" ht="18" hidden="1">
      <c r="A413" s="11" t="s">
        <v>357</v>
      </c>
      <c r="B413" s="6"/>
      <c r="C413" s="6"/>
      <c r="D413" s="6">
        <f t="shared" si="6"/>
        <v>0</v>
      </c>
    </row>
    <row r="414" spans="1:4" ht="18">
      <c r="A414" s="8" t="s">
        <v>90</v>
      </c>
      <c r="B414" s="6">
        <v>120</v>
      </c>
      <c r="C414" s="6">
        <v>25000</v>
      </c>
      <c r="D414" s="6">
        <f t="shared" si="6"/>
        <v>3000000</v>
      </c>
    </row>
    <row r="415" spans="1:4" ht="18" hidden="1">
      <c r="A415" s="12" t="s">
        <v>91</v>
      </c>
      <c r="B415" s="6"/>
      <c r="C415" s="6"/>
      <c r="D415" s="6">
        <f t="shared" si="6"/>
        <v>0</v>
      </c>
    </row>
    <row r="416" spans="1:4" ht="18" hidden="1">
      <c r="A416" s="8" t="s">
        <v>92</v>
      </c>
      <c r="B416" s="6"/>
      <c r="C416" s="6"/>
      <c r="D416" s="6">
        <f t="shared" si="6"/>
        <v>0</v>
      </c>
    </row>
    <row r="417" spans="1:4" ht="18" hidden="1">
      <c r="A417" s="8" t="s">
        <v>94</v>
      </c>
      <c r="B417" s="6"/>
      <c r="C417" s="6"/>
      <c r="D417" s="6">
        <f t="shared" si="6"/>
        <v>0</v>
      </c>
    </row>
    <row r="418" spans="1:4" ht="18" hidden="1">
      <c r="A418" s="8" t="s">
        <v>95</v>
      </c>
      <c r="B418" s="6"/>
      <c r="C418" s="6"/>
      <c r="D418" s="6">
        <f t="shared" si="6"/>
        <v>0</v>
      </c>
    </row>
    <row r="419" spans="1:4" ht="18" hidden="1">
      <c r="A419" s="11" t="s">
        <v>96</v>
      </c>
      <c r="B419" s="14"/>
      <c r="C419" s="14"/>
      <c r="D419" s="6">
        <f t="shared" si="6"/>
        <v>0</v>
      </c>
    </row>
    <row r="420" spans="1:4" ht="18" hidden="1">
      <c r="A420" s="11" t="s">
        <v>97</v>
      </c>
      <c r="B420" s="14"/>
      <c r="C420" s="14"/>
      <c r="D420" s="6">
        <f t="shared" si="6"/>
        <v>0</v>
      </c>
    </row>
    <row r="421" spans="1:4" ht="18" hidden="1">
      <c r="A421" s="11" t="s">
        <v>98</v>
      </c>
      <c r="B421" s="14"/>
      <c r="C421" s="14"/>
      <c r="D421" s="6">
        <f t="shared" si="6"/>
        <v>0</v>
      </c>
    </row>
    <row r="422" spans="1:4" ht="18" hidden="1">
      <c r="A422" s="8" t="s">
        <v>99</v>
      </c>
      <c r="B422" s="6"/>
      <c r="C422" s="6"/>
      <c r="D422" s="6">
        <f t="shared" si="6"/>
        <v>0</v>
      </c>
    </row>
    <row r="423" spans="1:4" ht="18" hidden="1">
      <c r="A423" s="8" t="s">
        <v>100</v>
      </c>
      <c r="B423" s="6"/>
      <c r="C423" s="6"/>
      <c r="D423" s="6">
        <f t="shared" si="6"/>
        <v>0</v>
      </c>
    </row>
    <row r="424" spans="1:4" ht="18" hidden="1">
      <c r="A424" s="8" t="s">
        <v>101</v>
      </c>
      <c r="B424" s="6"/>
      <c r="C424" s="6"/>
      <c r="D424" s="6">
        <f t="shared" si="6"/>
        <v>0</v>
      </c>
    </row>
    <row r="425" spans="1:4" ht="18" hidden="1">
      <c r="A425" s="8" t="s">
        <v>102</v>
      </c>
      <c r="B425" s="6"/>
      <c r="C425" s="6"/>
      <c r="D425" s="6">
        <f t="shared" si="6"/>
        <v>0</v>
      </c>
    </row>
    <row r="426" spans="1:4" ht="18" hidden="1">
      <c r="A426" s="8" t="s">
        <v>103</v>
      </c>
      <c r="B426" s="6"/>
      <c r="C426" s="6"/>
      <c r="D426" s="6">
        <f t="shared" si="6"/>
        <v>0</v>
      </c>
    </row>
    <row r="427" spans="1:4" ht="18" hidden="1">
      <c r="A427" s="8" t="s">
        <v>104</v>
      </c>
      <c r="B427" s="6"/>
      <c r="C427" s="6"/>
      <c r="D427" s="6">
        <f t="shared" si="6"/>
        <v>0</v>
      </c>
    </row>
    <row r="428" spans="1:4" ht="18" hidden="1">
      <c r="A428" s="19" t="s">
        <v>105</v>
      </c>
      <c r="B428" s="6"/>
      <c r="C428" s="6"/>
      <c r="D428" s="6">
        <f t="shared" si="6"/>
        <v>0</v>
      </c>
    </row>
    <row r="429" spans="1:4" ht="18" hidden="1">
      <c r="A429" s="19" t="s">
        <v>106</v>
      </c>
      <c r="B429" s="6"/>
      <c r="C429" s="6"/>
      <c r="D429" s="6">
        <f t="shared" si="6"/>
        <v>0</v>
      </c>
    </row>
    <row r="430" spans="1:4" ht="18" hidden="1">
      <c r="A430" s="19" t="s">
        <v>107</v>
      </c>
      <c r="B430" s="6"/>
      <c r="C430" s="6"/>
      <c r="D430" s="6">
        <f t="shared" si="6"/>
        <v>0</v>
      </c>
    </row>
    <row r="431" spans="1:4" ht="18" hidden="1">
      <c r="A431" s="10" t="s">
        <v>108</v>
      </c>
      <c r="B431" s="6"/>
      <c r="C431" s="6"/>
      <c r="D431" s="6">
        <f t="shared" si="6"/>
        <v>0</v>
      </c>
    </row>
    <row r="432" spans="1:4" ht="18" hidden="1">
      <c r="A432" s="12" t="s">
        <v>109</v>
      </c>
      <c r="B432" s="6"/>
      <c r="C432" s="6"/>
      <c r="D432" s="6">
        <f t="shared" si="6"/>
        <v>0</v>
      </c>
    </row>
    <row r="433" spans="1:4" ht="18" hidden="1">
      <c r="A433" s="10" t="s">
        <v>358</v>
      </c>
      <c r="B433" s="6"/>
      <c r="C433" s="6"/>
      <c r="D433" s="6">
        <f t="shared" si="6"/>
        <v>0</v>
      </c>
    </row>
    <row r="434" spans="1:4" ht="18" hidden="1">
      <c r="A434" s="8" t="s">
        <v>110</v>
      </c>
      <c r="B434" s="6"/>
      <c r="C434" s="6"/>
      <c r="D434" s="6">
        <f t="shared" si="6"/>
        <v>0</v>
      </c>
    </row>
    <row r="435" spans="1:4" ht="18" hidden="1">
      <c r="A435" s="8" t="s">
        <v>111</v>
      </c>
      <c r="B435" s="6"/>
      <c r="C435" s="6"/>
      <c r="D435" s="6">
        <f t="shared" si="6"/>
        <v>0</v>
      </c>
    </row>
    <row r="436" spans="1:4" ht="18" hidden="1">
      <c r="A436" s="10" t="s">
        <v>359</v>
      </c>
      <c r="B436" s="6"/>
      <c r="C436" s="6"/>
      <c r="D436" s="6">
        <f t="shared" si="6"/>
        <v>0</v>
      </c>
    </row>
    <row r="437" spans="1:4" ht="18" hidden="1">
      <c r="A437" s="10" t="s">
        <v>360</v>
      </c>
      <c r="B437" s="6"/>
      <c r="C437" s="6"/>
      <c r="D437" s="6">
        <f t="shared" si="6"/>
        <v>0</v>
      </c>
    </row>
    <row r="438" spans="1:4" ht="18" hidden="1">
      <c r="A438" s="8" t="s">
        <v>113</v>
      </c>
      <c r="B438" s="14"/>
      <c r="C438" s="14"/>
      <c r="D438" s="6">
        <f t="shared" si="6"/>
        <v>0</v>
      </c>
    </row>
    <row r="439" spans="1:4" ht="18" hidden="1">
      <c r="A439" s="19" t="s">
        <v>115</v>
      </c>
      <c r="B439" s="6"/>
      <c r="C439" s="6"/>
      <c r="D439" s="6">
        <f t="shared" si="6"/>
        <v>0</v>
      </c>
    </row>
    <row r="440" spans="1:4" ht="18" hidden="1">
      <c r="A440" s="10" t="s">
        <v>116</v>
      </c>
      <c r="B440" s="6"/>
      <c r="C440" s="6"/>
      <c r="D440" s="6">
        <f t="shared" si="6"/>
        <v>0</v>
      </c>
    </row>
    <row r="441" spans="1:4" ht="18" hidden="1">
      <c r="A441" s="10" t="s">
        <v>361</v>
      </c>
      <c r="B441" s="6"/>
      <c r="C441" s="6"/>
      <c r="D441" s="6">
        <f t="shared" si="6"/>
        <v>0</v>
      </c>
    </row>
    <row r="442" spans="1:4" ht="18" hidden="1">
      <c r="A442" s="8" t="s">
        <v>117</v>
      </c>
      <c r="B442" s="6"/>
      <c r="C442" s="6"/>
      <c r="D442" s="6">
        <f t="shared" si="6"/>
        <v>0</v>
      </c>
    </row>
    <row r="443" spans="1:4" ht="18" hidden="1">
      <c r="A443" s="15" t="s">
        <v>118</v>
      </c>
      <c r="B443" s="6"/>
      <c r="C443" s="6"/>
      <c r="D443" s="6">
        <f t="shared" si="6"/>
        <v>0</v>
      </c>
    </row>
    <row r="444" spans="1:4" ht="18" hidden="1">
      <c r="A444" s="22" t="s">
        <v>119</v>
      </c>
      <c r="B444" s="6"/>
      <c r="C444" s="6"/>
      <c r="D444" s="6">
        <f t="shared" si="6"/>
        <v>0</v>
      </c>
    </row>
    <row r="445" spans="1:4" ht="18" hidden="1">
      <c r="A445" s="22" t="s">
        <v>120</v>
      </c>
      <c r="B445" s="6"/>
      <c r="C445" s="6"/>
      <c r="D445" s="6">
        <f t="shared" si="6"/>
        <v>0</v>
      </c>
    </row>
    <row r="446" spans="1:4" ht="18" hidden="1">
      <c r="A446" s="21" t="s">
        <v>121</v>
      </c>
      <c r="B446" s="6"/>
      <c r="C446" s="6"/>
      <c r="D446" s="6">
        <f t="shared" si="6"/>
        <v>0</v>
      </c>
    </row>
    <row r="447" spans="1:4" ht="18" hidden="1">
      <c r="A447" s="23" t="s">
        <v>122</v>
      </c>
      <c r="B447" s="6"/>
      <c r="C447" s="6"/>
      <c r="D447" s="6">
        <f t="shared" si="6"/>
        <v>0</v>
      </c>
    </row>
    <row r="448" spans="1:4" ht="18" hidden="1">
      <c r="A448" s="8" t="s">
        <v>123</v>
      </c>
      <c r="B448" s="6"/>
      <c r="C448" s="6"/>
      <c r="D448" s="6">
        <f t="shared" si="6"/>
        <v>0</v>
      </c>
    </row>
    <row r="449" spans="1:4" ht="18">
      <c r="A449" s="8" t="s">
        <v>124</v>
      </c>
      <c r="B449" s="6">
        <v>30</v>
      </c>
      <c r="C449" s="6">
        <v>15000</v>
      </c>
      <c r="D449" s="6">
        <f t="shared" si="6"/>
        <v>450000</v>
      </c>
    </row>
    <row r="450" spans="1:4" ht="18" hidden="1">
      <c r="A450" s="8" t="s">
        <v>125</v>
      </c>
      <c r="B450" s="6"/>
      <c r="C450" s="6"/>
      <c r="D450" s="6">
        <f t="shared" si="6"/>
        <v>0</v>
      </c>
    </row>
    <row r="451" spans="1:4" ht="18" hidden="1">
      <c r="A451" s="8" t="s">
        <v>126</v>
      </c>
      <c r="B451" s="6"/>
      <c r="C451" s="6"/>
      <c r="D451" s="6">
        <f t="shared" si="6"/>
        <v>0</v>
      </c>
    </row>
    <row r="452" spans="1:4" ht="18" hidden="1">
      <c r="A452" s="8" t="s">
        <v>128</v>
      </c>
      <c r="B452" s="6"/>
      <c r="C452" s="6"/>
      <c r="D452" s="6">
        <f t="shared" ref="D452:D515" si="7">B452*C452</f>
        <v>0</v>
      </c>
    </row>
    <row r="453" spans="1:4" ht="18" hidden="1">
      <c r="A453" s="8" t="s">
        <v>129</v>
      </c>
      <c r="B453" s="6"/>
      <c r="C453" s="6"/>
      <c r="D453" s="6">
        <f t="shared" si="7"/>
        <v>0</v>
      </c>
    </row>
    <row r="454" spans="1:4" ht="18" hidden="1">
      <c r="A454" s="8" t="s">
        <v>362</v>
      </c>
      <c r="B454" s="6"/>
      <c r="C454" s="6"/>
      <c r="D454" s="6">
        <f t="shared" si="7"/>
        <v>0</v>
      </c>
    </row>
    <row r="455" spans="1:4" ht="18" hidden="1">
      <c r="A455" s="8" t="s">
        <v>130</v>
      </c>
      <c r="B455" s="6"/>
      <c r="C455" s="6"/>
      <c r="D455" s="6">
        <f t="shared" si="7"/>
        <v>0</v>
      </c>
    </row>
    <row r="456" spans="1:4" ht="18" hidden="1">
      <c r="A456" s="10" t="s">
        <v>131</v>
      </c>
      <c r="B456" s="6"/>
      <c r="C456" s="6"/>
      <c r="D456" s="6">
        <f t="shared" si="7"/>
        <v>0</v>
      </c>
    </row>
    <row r="457" spans="1:4" ht="18" hidden="1">
      <c r="A457" s="19" t="s">
        <v>132</v>
      </c>
      <c r="B457" s="6"/>
      <c r="C457" s="6"/>
      <c r="D457" s="6">
        <f t="shared" si="7"/>
        <v>0</v>
      </c>
    </row>
    <row r="458" spans="1:4" ht="18" hidden="1">
      <c r="A458" s="8" t="s">
        <v>133</v>
      </c>
      <c r="B458" s="6"/>
      <c r="C458" s="6"/>
      <c r="D458" s="6">
        <f t="shared" si="7"/>
        <v>0</v>
      </c>
    </row>
    <row r="459" spans="1:4" ht="18" hidden="1">
      <c r="A459" s="10" t="s">
        <v>135</v>
      </c>
      <c r="B459" s="6"/>
      <c r="C459" s="6"/>
      <c r="D459" s="6">
        <f t="shared" si="7"/>
        <v>0</v>
      </c>
    </row>
    <row r="460" spans="1:4" ht="18" hidden="1">
      <c r="A460" s="10" t="s">
        <v>136</v>
      </c>
      <c r="B460" s="6"/>
      <c r="C460" s="6"/>
      <c r="D460" s="6">
        <f t="shared" si="7"/>
        <v>0</v>
      </c>
    </row>
    <row r="461" spans="1:4" ht="18" hidden="1">
      <c r="A461" s="8" t="s">
        <v>137</v>
      </c>
      <c r="B461" s="6"/>
      <c r="C461" s="6"/>
      <c r="D461" s="6">
        <f t="shared" si="7"/>
        <v>0</v>
      </c>
    </row>
    <row r="462" spans="1:4" ht="18" hidden="1">
      <c r="A462" s="9" t="s">
        <v>139</v>
      </c>
      <c r="B462" s="6"/>
      <c r="C462" s="6"/>
      <c r="D462" s="6">
        <f t="shared" si="7"/>
        <v>0</v>
      </c>
    </row>
    <row r="463" spans="1:4" ht="18" hidden="1">
      <c r="A463" s="12" t="s">
        <v>140</v>
      </c>
      <c r="B463" s="6"/>
      <c r="C463" s="6"/>
      <c r="D463" s="6">
        <f t="shared" si="7"/>
        <v>0</v>
      </c>
    </row>
    <row r="464" spans="1:4" ht="18" hidden="1">
      <c r="A464" s="11" t="s">
        <v>141</v>
      </c>
      <c r="B464" s="14"/>
      <c r="C464" s="14"/>
      <c r="D464" s="6">
        <f t="shared" si="7"/>
        <v>0</v>
      </c>
    </row>
    <row r="465" spans="1:4" ht="18" hidden="1">
      <c r="A465" s="11" t="s">
        <v>142</v>
      </c>
      <c r="B465" s="14"/>
      <c r="C465" s="14"/>
      <c r="D465" s="6">
        <f t="shared" si="7"/>
        <v>0</v>
      </c>
    </row>
    <row r="466" spans="1:4" ht="18" hidden="1">
      <c r="A466" s="11" t="s">
        <v>143</v>
      </c>
      <c r="B466" s="14"/>
      <c r="C466" s="14"/>
      <c r="D466" s="6">
        <f t="shared" si="7"/>
        <v>0</v>
      </c>
    </row>
    <row r="467" spans="1:4" ht="18" hidden="1">
      <c r="A467" s="11" t="s">
        <v>144</v>
      </c>
      <c r="B467" s="24"/>
      <c r="C467" s="24"/>
      <c r="D467" s="6">
        <f t="shared" si="7"/>
        <v>0</v>
      </c>
    </row>
    <row r="468" spans="1:4" ht="18" hidden="1">
      <c r="A468" s="25" t="s">
        <v>145</v>
      </c>
      <c r="B468" s="6"/>
      <c r="C468" s="6"/>
      <c r="D468" s="6">
        <f t="shared" si="7"/>
        <v>0</v>
      </c>
    </row>
    <row r="469" spans="1:4" ht="18" hidden="1">
      <c r="A469" s="11" t="s">
        <v>146</v>
      </c>
      <c r="B469" s="14"/>
      <c r="C469" s="14"/>
      <c r="D469" s="6">
        <f t="shared" si="7"/>
        <v>0</v>
      </c>
    </row>
    <row r="470" spans="1:4" ht="18" hidden="1">
      <c r="A470" s="8" t="s">
        <v>147</v>
      </c>
      <c r="B470" s="6"/>
      <c r="C470" s="6"/>
      <c r="D470" s="6">
        <f t="shared" si="7"/>
        <v>0</v>
      </c>
    </row>
    <row r="471" spans="1:4" ht="18" hidden="1">
      <c r="A471" s="8" t="s">
        <v>148</v>
      </c>
      <c r="B471" s="6"/>
      <c r="C471" s="6"/>
      <c r="D471" s="6">
        <f t="shared" si="7"/>
        <v>0</v>
      </c>
    </row>
    <row r="472" spans="1:4" ht="18">
      <c r="A472" s="8" t="s">
        <v>150</v>
      </c>
      <c r="B472" s="6">
        <v>85</v>
      </c>
      <c r="C472" s="6">
        <v>14000</v>
      </c>
      <c r="D472" s="6">
        <f t="shared" si="7"/>
        <v>1190000</v>
      </c>
    </row>
    <row r="473" spans="1:4" ht="18" hidden="1">
      <c r="A473" s="15" t="s">
        <v>151</v>
      </c>
      <c r="B473" s="6"/>
      <c r="C473" s="6"/>
      <c r="D473" s="6">
        <f t="shared" si="7"/>
        <v>0</v>
      </c>
    </row>
    <row r="474" spans="1:4" ht="18" hidden="1">
      <c r="A474" s="11" t="s">
        <v>152</v>
      </c>
      <c r="B474" s="6"/>
      <c r="C474" s="6"/>
      <c r="D474" s="6">
        <f t="shared" si="7"/>
        <v>0</v>
      </c>
    </row>
    <row r="475" spans="1:4" ht="18" hidden="1">
      <c r="A475" s="11" t="s">
        <v>153</v>
      </c>
      <c r="B475" s="6"/>
      <c r="C475" s="6"/>
      <c r="D475" s="6">
        <f t="shared" si="7"/>
        <v>0</v>
      </c>
    </row>
    <row r="476" spans="1:4" ht="18" hidden="1">
      <c r="A476" s="8" t="s">
        <v>154</v>
      </c>
      <c r="B476" s="6"/>
      <c r="C476" s="6"/>
      <c r="D476" s="6">
        <f t="shared" si="7"/>
        <v>0</v>
      </c>
    </row>
    <row r="477" spans="1:4" ht="18" hidden="1">
      <c r="A477" s="8" t="s">
        <v>363</v>
      </c>
      <c r="B477" s="6"/>
      <c r="C477" s="6"/>
      <c r="D477" s="6">
        <f t="shared" si="7"/>
        <v>0</v>
      </c>
    </row>
    <row r="478" spans="1:4" ht="18" hidden="1">
      <c r="A478" s="8" t="s">
        <v>156</v>
      </c>
      <c r="B478" s="14"/>
      <c r="C478" s="14"/>
      <c r="D478" s="6">
        <f t="shared" si="7"/>
        <v>0</v>
      </c>
    </row>
    <row r="479" spans="1:4" ht="18" hidden="1">
      <c r="A479" s="8" t="s">
        <v>157</v>
      </c>
      <c r="B479" s="14"/>
      <c r="C479" s="14"/>
      <c r="D479" s="6">
        <f t="shared" si="7"/>
        <v>0</v>
      </c>
    </row>
    <row r="480" spans="1:4" ht="18" hidden="1">
      <c r="A480" s="8" t="s">
        <v>158</v>
      </c>
      <c r="B480" s="6"/>
      <c r="C480" s="6"/>
      <c r="D480" s="6">
        <f t="shared" si="7"/>
        <v>0</v>
      </c>
    </row>
    <row r="481" spans="1:4" ht="18" hidden="1">
      <c r="A481" s="8" t="s">
        <v>159</v>
      </c>
      <c r="B481" s="14"/>
      <c r="C481" s="14"/>
      <c r="D481" s="6">
        <f t="shared" si="7"/>
        <v>0</v>
      </c>
    </row>
    <row r="482" spans="1:4" ht="18" hidden="1">
      <c r="A482" s="8" t="s">
        <v>160</v>
      </c>
      <c r="B482" s="14"/>
      <c r="C482" s="14"/>
      <c r="D482" s="6">
        <f t="shared" si="7"/>
        <v>0</v>
      </c>
    </row>
    <row r="483" spans="1:4" ht="18" hidden="1">
      <c r="A483" s="8" t="s">
        <v>161</v>
      </c>
      <c r="B483" s="14"/>
      <c r="C483" s="14"/>
      <c r="D483" s="6">
        <f t="shared" si="7"/>
        <v>0</v>
      </c>
    </row>
    <row r="484" spans="1:4" ht="18" hidden="1">
      <c r="A484" s="8" t="s">
        <v>162</v>
      </c>
      <c r="B484" s="14"/>
      <c r="C484" s="14"/>
      <c r="D484" s="6">
        <f t="shared" si="7"/>
        <v>0</v>
      </c>
    </row>
    <row r="485" spans="1:4" ht="18" hidden="1">
      <c r="A485" s="8" t="s">
        <v>163</v>
      </c>
      <c r="B485" s="14"/>
      <c r="C485" s="14"/>
      <c r="D485" s="6">
        <f t="shared" si="7"/>
        <v>0</v>
      </c>
    </row>
    <row r="486" spans="1:4" ht="18" hidden="1">
      <c r="A486" s="8" t="s">
        <v>164</v>
      </c>
      <c r="B486" s="14"/>
      <c r="C486" s="14"/>
      <c r="D486" s="6">
        <f t="shared" si="7"/>
        <v>0</v>
      </c>
    </row>
    <row r="487" spans="1:4" ht="18" hidden="1">
      <c r="A487" s="8" t="s">
        <v>165</v>
      </c>
      <c r="B487" s="14"/>
      <c r="C487" s="14"/>
      <c r="D487" s="6">
        <f t="shared" si="7"/>
        <v>0</v>
      </c>
    </row>
    <row r="488" spans="1:4" ht="18" hidden="1">
      <c r="A488" s="8" t="s">
        <v>166</v>
      </c>
      <c r="B488" s="14"/>
      <c r="C488" s="14"/>
      <c r="D488" s="6">
        <f t="shared" si="7"/>
        <v>0</v>
      </c>
    </row>
    <row r="489" spans="1:4" ht="18" hidden="1">
      <c r="A489" s="8" t="s">
        <v>167</v>
      </c>
      <c r="B489" s="6"/>
      <c r="C489" s="6"/>
      <c r="D489" s="6">
        <f t="shared" si="7"/>
        <v>0</v>
      </c>
    </row>
    <row r="490" spans="1:4" ht="18" hidden="1">
      <c r="A490" s="8" t="s">
        <v>364</v>
      </c>
      <c r="B490" s="6"/>
      <c r="C490" s="6"/>
      <c r="D490" s="6">
        <f t="shared" si="7"/>
        <v>0</v>
      </c>
    </row>
    <row r="491" spans="1:4" ht="18" hidden="1">
      <c r="A491" s="8" t="s">
        <v>168</v>
      </c>
      <c r="B491" s="6"/>
      <c r="C491" s="6"/>
      <c r="D491" s="6">
        <f t="shared" si="7"/>
        <v>0</v>
      </c>
    </row>
    <row r="492" spans="1:4" ht="18">
      <c r="A492" s="8" t="s">
        <v>169</v>
      </c>
      <c r="B492" s="6">
        <v>4</v>
      </c>
      <c r="C492" s="6">
        <v>10000</v>
      </c>
      <c r="D492" s="6">
        <f t="shared" si="7"/>
        <v>40000</v>
      </c>
    </row>
    <row r="493" spans="1:4" ht="18" hidden="1">
      <c r="A493" s="8" t="s">
        <v>170</v>
      </c>
      <c r="B493" s="6"/>
      <c r="C493" s="6"/>
      <c r="D493" s="6">
        <f t="shared" si="7"/>
        <v>0</v>
      </c>
    </row>
    <row r="494" spans="1:4" ht="18" hidden="1">
      <c r="A494" s="15" t="s">
        <v>171</v>
      </c>
      <c r="B494" s="6"/>
      <c r="C494" s="6"/>
      <c r="D494" s="6">
        <f t="shared" si="7"/>
        <v>0</v>
      </c>
    </row>
    <row r="495" spans="1:4" ht="18" hidden="1">
      <c r="A495" s="8" t="s">
        <v>172</v>
      </c>
      <c r="B495" s="6"/>
      <c r="C495" s="6"/>
      <c r="D495" s="6">
        <f t="shared" si="7"/>
        <v>0</v>
      </c>
    </row>
    <row r="496" spans="1:4" ht="18" hidden="1">
      <c r="A496" s="8" t="s">
        <v>173</v>
      </c>
      <c r="B496" s="6"/>
      <c r="C496" s="6"/>
      <c r="D496" s="6">
        <f t="shared" si="7"/>
        <v>0</v>
      </c>
    </row>
    <row r="497" spans="1:4" ht="18">
      <c r="A497" s="8" t="s">
        <v>174</v>
      </c>
      <c r="B497" s="6">
        <v>8</v>
      </c>
      <c r="C497" s="6">
        <v>8000</v>
      </c>
      <c r="D497" s="6">
        <f t="shared" si="7"/>
        <v>64000</v>
      </c>
    </row>
    <row r="498" spans="1:4" ht="18" hidden="1">
      <c r="A498" s="8" t="s">
        <v>175</v>
      </c>
      <c r="B498" s="6"/>
      <c r="C498" s="6"/>
      <c r="D498" s="6">
        <f t="shared" si="7"/>
        <v>0</v>
      </c>
    </row>
    <row r="499" spans="1:4" ht="18" hidden="1">
      <c r="A499" s="8" t="s">
        <v>176</v>
      </c>
      <c r="B499" s="14"/>
      <c r="C499" s="14"/>
      <c r="D499" s="6">
        <f t="shared" si="7"/>
        <v>0</v>
      </c>
    </row>
    <row r="500" spans="1:4" ht="18" hidden="1">
      <c r="A500" s="16" t="s">
        <v>177</v>
      </c>
      <c r="B500" s="14"/>
      <c r="C500" s="14"/>
      <c r="D500" s="6">
        <f t="shared" si="7"/>
        <v>0</v>
      </c>
    </row>
    <row r="501" spans="1:4" ht="18" hidden="1">
      <c r="A501" s="8" t="s">
        <v>178</v>
      </c>
      <c r="B501" s="14"/>
      <c r="C501" s="14"/>
      <c r="D501" s="6">
        <f t="shared" si="7"/>
        <v>0</v>
      </c>
    </row>
    <row r="502" spans="1:4" ht="18" hidden="1">
      <c r="A502" s="8" t="s">
        <v>180</v>
      </c>
      <c r="B502" s="6"/>
      <c r="C502" s="6"/>
      <c r="D502" s="6">
        <f t="shared" si="7"/>
        <v>0</v>
      </c>
    </row>
    <row r="503" spans="1:4" ht="18" hidden="1">
      <c r="A503" s="15" t="s">
        <v>181</v>
      </c>
      <c r="B503" s="6"/>
      <c r="C503" s="6"/>
      <c r="D503" s="6">
        <f t="shared" si="7"/>
        <v>0</v>
      </c>
    </row>
    <row r="504" spans="1:4" ht="18">
      <c r="A504" s="8" t="s">
        <v>365</v>
      </c>
      <c r="B504" s="6">
        <v>250</v>
      </c>
      <c r="C504" s="6">
        <v>6500</v>
      </c>
      <c r="D504" s="6">
        <f t="shared" si="7"/>
        <v>1625000</v>
      </c>
    </row>
    <row r="505" spans="1:4" ht="18" hidden="1">
      <c r="A505" s="11" t="s">
        <v>182</v>
      </c>
      <c r="B505" s="6"/>
      <c r="C505" s="6"/>
      <c r="D505" s="6">
        <f t="shared" si="7"/>
        <v>0</v>
      </c>
    </row>
    <row r="506" spans="1:4" ht="18" hidden="1">
      <c r="A506" s="8" t="s">
        <v>183</v>
      </c>
      <c r="B506" s="6"/>
      <c r="C506" s="6"/>
      <c r="D506" s="6">
        <f t="shared" si="7"/>
        <v>0</v>
      </c>
    </row>
    <row r="507" spans="1:4" ht="18" hidden="1">
      <c r="A507" s="8" t="s">
        <v>185</v>
      </c>
      <c r="B507" s="6"/>
      <c r="C507" s="6"/>
      <c r="D507" s="6">
        <f t="shared" si="7"/>
        <v>0</v>
      </c>
    </row>
    <row r="508" spans="1:4" ht="18" hidden="1">
      <c r="A508" s="8" t="s">
        <v>186</v>
      </c>
      <c r="B508" s="6"/>
      <c r="C508" s="6"/>
      <c r="D508" s="6">
        <f t="shared" si="7"/>
        <v>0</v>
      </c>
    </row>
    <row r="509" spans="1:4" ht="18" hidden="1">
      <c r="A509" s="18" t="s">
        <v>187</v>
      </c>
      <c r="B509" s="6"/>
      <c r="C509" s="6"/>
      <c r="D509" s="6">
        <f t="shared" si="7"/>
        <v>0</v>
      </c>
    </row>
    <row r="510" spans="1:4" ht="18" hidden="1">
      <c r="A510" s="8" t="s">
        <v>188</v>
      </c>
      <c r="B510" s="6"/>
      <c r="C510" s="6"/>
      <c r="D510" s="6">
        <f t="shared" si="7"/>
        <v>0</v>
      </c>
    </row>
    <row r="511" spans="1:4" ht="18" hidden="1">
      <c r="A511" s="28" t="s">
        <v>189</v>
      </c>
      <c r="B511" s="29"/>
      <c r="C511" s="29"/>
      <c r="D511" s="6">
        <f t="shared" si="7"/>
        <v>0</v>
      </c>
    </row>
    <row r="512" spans="1:4" ht="18" hidden="1">
      <c r="A512" s="10" t="s">
        <v>190</v>
      </c>
      <c r="B512" s="6"/>
      <c r="C512" s="6"/>
      <c r="D512" s="6">
        <f t="shared" si="7"/>
        <v>0</v>
      </c>
    </row>
    <row r="513" spans="1:4" ht="18" hidden="1">
      <c r="A513" s="8" t="s">
        <v>191</v>
      </c>
      <c r="B513" s="6"/>
      <c r="C513" s="6"/>
      <c r="D513" s="6">
        <f t="shared" si="7"/>
        <v>0</v>
      </c>
    </row>
    <row r="514" spans="1:4" ht="18" hidden="1">
      <c r="A514" s="8" t="s">
        <v>192</v>
      </c>
      <c r="B514" s="6"/>
      <c r="C514" s="6"/>
      <c r="D514" s="6">
        <f t="shared" si="7"/>
        <v>0</v>
      </c>
    </row>
    <row r="515" spans="1:4" ht="18" hidden="1">
      <c r="A515" s="11" t="s">
        <v>193</v>
      </c>
      <c r="B515" s="6"/>
      <c r="C515" s="6"/>
      <c r="D515" s="6">
        <f t="shared" si="7"/>
        <v>0</v>
      </c>
    </row>
    <row r="516" spans="1:4" ht="18" hidden="1">
      <c r="A516" s="8" t="s">
        <v>194</v>
      </c>
      <c r="B516" s="6"/>
      <c r="C516" s="6"/>
      <c r="D516" s="6">
        <f t="shared" ref="D516:D579" si="8">B516*C516</f>
        <v>0</v>
      </c>
    </row>
    <row r="517" spans="1:4" ht="18" hidden="1">
      <c r="A517" s="8" t="s">
        <v>195</v>
      </c>
      <c r="B517" s="6"/>
      <c r="C517" s="6"/>
      <c r="D517" s="6">
        <f t="shared" si="8"/>
        <v>0</v>
      </c>
    </row>
    <row r="518" spans="1:4" ht="18" hidden="1">
      <c r="A518" s="11" t="s">
        <v>196</v>
      </c>
      <c r="B518" s="6"/>
      <c r="C518" s="6"/>
      <c r="D518" s="6">
        <f t="shared" si="8"/>
        <v>0</v>
      </c>
    </row>
    <row r="519" spans="1:4" ht="18" hidden="1">
      <c r="A519" s="11" t="s">
        <v>197</v>
      </c>
      <c r="B519" s="6"/>
      <c r="C519" s="6"/>
      <c r="D519" s="6">
        <f t="shared" si="8"/>
        <v>0</v>
      </c>
    </row>
    <row r="520" spans="1:4" ht="18">
      <c r="A520" s="11" t="s">
        <v>198</v>
      </c>
      <c r="B520" s="6">
        <v>840</v>
      </c>
      <c r="C520" s="6">
        <v>6800</v>
      </c>
      <c r="D520" s="6">
        <f t="shared" si="8"/>
        <v>5712000</v>
      </c>
    </row>
    <row r="521" spans="1:4" ht="18" hidden="1">
      <c r="A521" s="8" t="s">
        <v>199</v>
      </c>
      <c r="B521" s="6"/>
      <c r="C521" s="6"/>
      <c r="D521" s="6">
        <f t="shared" si="8"/>
        <v>0</v>
      </c>
    </row>
    <row r="522" spans="1:4" ht="18" hidden="1">
      <c r="A522" s="11" t="s">
        <v>200</v>
      </c>
      <c r="B522" s="6"/>
      <c r="C522" s="6"/>
      <c r="D522" s="6">
        <f t="shared" si="8"/>
        <v>0</v>
      </c>
    </row>
    <row r="523" spans="1:4" ht="18" hidden="1">
      <c r="A523" s="11" t="s">
        <v>201</v>
      </c>
      <c r="B523" s="6"/>
      <c r="C523" s="6"/>
      <c r="D523" s="6">
        <f t="shared" si="8"/>
        <v>0</v>
      </c>
    </row>
    <row r="524" spans="1:4" ht="18" hidden="1">
      <c r="A524" s="11" t="s">
        <v>202</v>
      </c>
      <c r="B524" s="6"/>
      <c r="C524" s="6"/>
      <c r="D524" s="6">
        <f t="shared" si="8"/>
        <v>0</v>
      </c>
    </row>
    <row r="525" spans="1:4" ht="18" hidden="1">
      <c r="A525" s="8" t="s">
        <v>203</v>
      </c>
      <c r="B525" s="6"/>
      <c r="C525" s="6"/>
      <c r="D525" s="6">
        <f t="shared" si="8"/>
        <v>0</v>
      </c>
    </row>
    <row r="526" spans="1:4" ht="18" hidden="1">
      <c r="A526" s="15" t="s">
        <v>204</v>
      </c>
      <c r="B526" s="6"/>
      <c r="C526" s="6"/>
      <c r="D526" s="6">
        <f t="shared" si="8"/>
        <v>0</v>
      </c>
    </row>
    <row r="527" spans="1:4" ht="18" hidden="1">
      <c r="A527" s="15" t="s">
        <v>205</v>
      </c>
      <c r="B527" s="6"/>
      <c r="C527" s="6"/>
      <c r="D527" s="6">
        <f t="shared" si="8"/>
        <v>0</v>
      </c>
    </row>
    <row r="528" spans="1:4" ht="18" hidden="1">
      <c r="A528" s="15" t="s">
        <v>206</v>
      </c>
      <c r="B528" s="6"/>
      <c r="C528" s="6"/>
      <c r="D528" s="6">
        <f t="shared" si="8"/>
        <v>0</v>
      </c>
    </row>
    <row r="529" spans="1:4" ht="18" hidden="1">
      <c r="A529" s="15" t="s">
        <v>207</v>
      </c>
      <c r="B529" s="6"/>
      <c r="C529" s="6"/>
      <c r="D529" s="6">
        <f t="shared" si="8"/>
        <v>0</v>
      </c>
    </row>
    <row r="530" spans="1:4" ht="18" hidden="1">
      <c r="A530" s="11" t="s">
        <v>208</v>
      </c>
      <c r="B530" s="6"/>
      <c r="C530" s="6"/>
      <c r="D530" s="6">
        <f t="shared" si="8"/>
        <v>0</v>
      </c>
    </row>
    <row r="531" spans="1:4" ht="18" hidden="1">
      <c r="A531" s="8" t="s">
        <v>209</v>
      </c>
      <c r="B531" s="6"/>
      <c r="C531" s="6"/>
      <c r="D531" s="6">
        <f t="shared" si="8"/>
        <v>0</v>
      </c>
    </row>
    <row r="532" spans="1:4" ht="18" hidden="1">
      <c r="A532" s="30" t="s">
        <v>210</v>
      </c>
      <c r="B532" s="6"/>
      <c r="C532" s="6"/>
      <c r="D532" s="6">
        <f t="shared" si="8"/>
        <v>0</v>
      </c>
    </row>
    <row r="533" spans="1:4" ht="18" hidden="1">
      <c r="A533" s="30" t="s">
        <v>211</v>
      </c>
      <c r="B533" s="6"/>
      <c r="C533" s="6"/>
      <c r="D533" s="6">
        <f t="shared" si="8"/>
        <v>0</v>
      </c>
    </row>
    <row r="534" spans="1:4" ht="18" hidden="1">
      <c r="A534" s="30" t="s">
        <v>212</v>
      </c>
      <c r="B534" s="6"/>
      <c r="C534" s="6"/>
      <c r="D534" s="6">
        <f t="shared" si="8"/>
        <v>0</v>
      </c>
    </row>
    <row r="535" spans="1:4" ht="18" hidden="1">
      <c r="A535" s="30" t="s">
        <v>213</v>
      </c>
      <c r="B535" s="6"/>
      <c r="C535" s="6"/>
      <c r="D535" s="6">
        <f t="shared" si="8"/>
        <v>0</v>
      </c>
    </row>
    <row r="536" spans="1:4" ht="18" hidden="1">
      <c r="A536" s="8" t="s">
        <v>214</v>
      </c>
      <c r="B536" s="6"/>
      <c r="C536" s="6"/>
      <c r="D536" s="6">
        <f t="shared" si="8"/>
        <v>0</v>
      </c>
    </row>
    <row r="537" spans="1:4" ht="18" hidden="1">
      <c r="A537" s="31" t="s">
        <v>215</v>
      </c>
      <c r="B537" s="6"/>
      <c r="C537" s="6"/>
      <c r="D537" s="6">
        <f t="shared" si="8"/>
        <v>0</v>
      </c>
    </row>
    <row r="538" spans="1:4" ht="18" hidden="1">
      <c r="A538" s="8" t="s">
        <v>216</v>
      </c>
      <c r="B538" s="6"/>
      <c r="C538" s="6"/>
      <c r="D538" s="6">
        <f t="shared" si="8"/>
        <v>0</v>
      </c>
    </row>
    <row r="539" spans="1:4" ht="18" hidden="1">
      <c r="A539" s="11" t="s">
        <v>217</v>
      </c>
      <c r="B539" s="6"/>
      <c r="C539" s="6"/>
      <c r="D539" s="6">
        <f t="shared" si="8"/>
        <v>0</v>
      </c>
    </row>
    <row r="540" spans="1:4" ht="18" hidden="1">
      <c r="A540" s="8" t="s">
        <v>366</v>
      </c>
      <c r="B540" s="6"/>
      <c r="C540" s="6"/>
      <c r="D540" s="6">
        <f t="shared" si="8"/>
        <v>0</v>
      </c>
    </row>
    <row r="541" spans="1:4" ht="18" hidden="1">
      <c r="A541" s="8" t="s">
        <v>218</v>
      </c>
      <c r="B541" s="6"/>
      <c r="C541" s="6"/>
      <c r="D541" s="6">
        <f t="shared" si="8"/>
        <v>0</v>
      </c>
    </row>
    <row r="542" spans="1:4" ht="18">
      <c r="A542" s="8" t="s">
        <v>219</v>
      </c>
      <c r="B542" s="6">
        <f>70+270</f>
        <v>340</v>
      </c>
      <c r="C542" s="6">
        <v>14000</v>
      </c>
      <c r="D542" s="6">
        <f t="shared" si="8"/>
        <v>4760000</v>
      </c>
    </row>
    <row r="543" spans="1:4" ht="18" hidden="1">
      <c r="A543" s="32" t="s">
        <v>220</v>
      </c>
      <c r="B543" s="6"/>
      <c r="C543" s="6"/>
      <c r="D543" s="6">
        <f t="shared" si="8"/>
        <v>0</v>
      </c>
    </row>
    <row r="544" spans="1:4" ht="18" hidden="1">
      <c r="A544" s="32" t="s">
        <v>221</v>
      </c>
      <c r="B544" s="6"/>
      <c r="C544" s="6"/>
      <c r="D544" s="6">
        <f t="shared" si="8"/>
        <v>0</v>
      </c>
    </row>
    <row r="545" spans="1:4" ht="18" hidden="1">
      <c r="A545" s="8" t="s">
        <v>222</v>
      </c>
      <c r="B545" s="6"/>
      <c r="C545" s="6"/>
      <c r="D545" s="6">
        <f t="shared" si="8"/>
        <v>0</v>
      </c>
    </row>
    <row r="546" spans="1:4" ht="18" hidden="1">
      <c r="A546" s="10" t="s">
        <v>223</v>
      </c>
      <c r="B546" s="6"/>
      <c r="C546" s="6"/>
      <c r="D546" s="6">
        <f t="shared" si="8"/>
        <v>0</v>
      </c>
    </row>
    <row r="547" spans="1:4" ht="18" hidden="1">
      <c r="A547" s="8" t="s">
        <v>224</v>
      </c>
      <c r="B547" s="6"/>
      <c r="C547" s="6"/>
      <c r="D547" s="6">
        <f t="shared" si="8"/>
        <v>0</v>
      </c>
    </row>
    <row r="548" spans="1:4" ht="18" hidden="1">
      <c r="A548" s="10" t="s">
        <v>367</v>
      </c>
      <c r="B548" s="6"/>
      <c r="C548" s="6"/>
      <c r="D548" s="6">
        <f t="shared" si="8"/>
        <v>0</v>
      </c>
    </row>
    <row r="549" spans="1:4" ht="18" hidden="1">
      <c r="A549" s="8" t="s">
        <v>225</v>
      </c>
      <c r="B549" s="6"/>
      <c r="C549" s="6"/>
      <c r="D549" s="6">
        <f t="shared" si="8"/>
        <v>0</v>
      </c>
    </row>
    <row r="550" spans="1:4" ht="18" hidden="1">
      <c r="A550" s="8" t="s">
        <v>226</v>
      </c>
      <c r="B550" s="6"/>
      <c r="C550" s="6"/>
      <c r="D550" s="6">
        <f t="shared" si="8"/>
        <v>0</v>
      </c>
    </row>
    <row r="551" spans="1:4" ht="18" hidden="1">
      <c r="A551" s="8" t="s">
        <v>368</v>
      </c>
      <c r="B551" s="6"/>
      <c r="C551" s="6"/>
      <c r="D551" s="6">
        <f t="shared" si="8"/>
        <v>0</v>
      </c>
    </row>
    <row r="552" spans="1:4" ht="18" hidden="1">
      <c r="A552" s="8" t="s">
        <v>369</v>
      </c>
      <c r="B552" s="6"/>
      <c r="C552" s="6"/>
      <c r="D552" s="6">
        <f t="shared" si="8"/>
        <v>0</v>
      </c>
    </row>
    <row r="553" spans="1:4" ht="18">
      <c r="A553" s="8" t="s">
        <v>227</v>
      </c>
      <c r="B553" s="6">
        <v>18</v>
      </c>
      <c r="C553" s="6">
        <v>22000</v>
      </c>
      <c r="D553" s="6">
        <f t="shared" si="8"/>
        <v>396000</v>
      </c>
    </row>
    <row r="554" spans="1:4" ht="18" hidden="1">
      <c r="A554" s="33" t="s">
        <v>228</v>
      </c>
      <c r="B554" s="6"/>
      <c r="C554" s="6"/>
      <c r="D554" s="6">
        <f t="shared" si="8"/>
        <v>0</v>
      </c>
    </row>
    <row r="555" spans="1:4" ht="18" hidden="1">
      <c r="A555" s="8" t="s">
        <v>229</v>
      </c>
      <c r="B555" s="6"/>
      <c r="C555" s="6"/>
      <c r="D555" s="6">
        <f t="shared" si="8"/>
        <v>0</v>
      </c>
    </row>
    <row r="556" spans="1:4" ht="18">
      <c r="A556" s="8" t="s">
        <v>230</v>
      </c>
      <c r="B556" s="6">
        <v>220</v>
      </c>
      <c r="C556" s="6">
        <v>16000</v>
      </c>
      <c r="D556" s="6">
        <f t="shared" si="8"/>
        <v>3520000</v>
      </c>
    </row>
    <row r="557" spans="1:4" ht="18" hidden="1">
      <c r="A557" s="8" t="s">
        <v>231</v>
      </c>
      <c r="B557" s="6"/>
      <c r="C557" s="6"/>
      <c r="D557" s="6">
        <f t="shared" si="8"/>
        <v>0</v>
      </c>
    </row>
    <row r="558" spans="1:4" ht="18" hidden="1">
      <c r="A558" s="8" t="s">
        <v>370</v>
      </c>
      <c r="B558" s="6"/>
      <c r="C558" s="6"/>
      <c r="D558" s="6">
        <f t="shared" si="8"/>
        <v>0</v>
      </c>
    </row>
    <row r="559" spans="1:4" ht="18" hidden="1">
      <c r="A559" s="8" t="s">
        <v>232</v>
      </c>
      <c r="B559" s="6"/>
      <c r="C559" s="6"/>
      <c r="D559" s="6">
        <f t="shared" si="8"/>
        <v>0</v>
      </c>
    </row>
    <row r="560" spans="1:4" ht="18" hidden="1">
      <c r="A560" s="15" t="s">
        <v>233</v>
      </c>
      <c r="B560" s="6"/>
      <c r="C560" s="6"/>
      <c r="D560" s="6">
        <f t="shared" si="8"/>
        <v>0</v>
      </c>
    </row>
    <row r="561" spans="1:4" ht="18" hidden="1">
      <c r="A561" s="15" t="s">
        <v>234</v>
      </c>
      <c r="B561" s="6"/>
      <c r="C561" s="6"/>
      <c r="D561" s="6">
        <f t="shared" si="8"/>
        <v>0</v>
      </c>
    </row>
    <row r="562" spans="1:4" ht="18" hidden="1">
      <c r="A562" s="15" t="s">
        <v>235</v>
      </c>
      <c r="B562" s="6"/>
      <c r="C562" s="6"/>
      <c r="D562" s="6">
        <f t="shared" si="8"/>
        <v>0</v>
      </c>
    </row>
    <row r="563" spans="1:4" ht="18" hidden="1">
      <c r="A563" s="15" t="s">
        <v>236</v>
      </c>
      <c r="B563" s="6"/>
      <c r="C563" s="6"/>
      <c r="D563" s="6">
        <f t="shared" si="8"/>
        <v>0</v>
      </c>
    </row>
    <row r="564" spans="1:4" ht="18" hidden="1">
      <c r="A564" s="8" t="s">
        <v>237</v>
      </c>
      <c r="B564" s="6"/>
      <c r="C564" s="6"/>
      <c r="D564" s="6">
        <f t="shared" si="8"/>
        <v>0</v>
      </c>
    </row>
    <row r="565" spans="1:4" ht="18" hidden="1">
      <c r="A565" s="8" t="s">
        <v>238</v>
      </c>
      <c r="B565" s="6"/>
      <c r="C565" s="6"/>
      <c r="D565" s="6">
        <f t="shared" si="8"/>
        <v>0</v>
      </c>
    </row>
    <row r="566" spans="1:4" ht="18" hidden="1">
      <c r="A566" s="15" t="s">
        <v>239</v>
      </c>
      <c r="B566" s="6"/>
      <c r="C566" s="6"/>
      <c r="D566" s="6">
        <f t="shared" si="8"/>
        <v>0</v>
      </c>
    </row>
    <row r="567" spans="1:4" ht="18" hidden="1">
      <c r="A567" s="15" t="s">
        <v>240</v>
      </c>
      <c r="B567" s="6"/>
      <c r="C567" s="6"/>
      <c r="D567" s="6">
        <f t="shared" si="8"/>
        <v>0</v>
      </c>
    </row>
    <row r="568" spans="1:4" ht="18" hidden="1">
      <c r="A568" s="10" t="s">
        <v>241</v>
      </c>
      <c r="B568" s="6"/>
      <c r="C568" s="6"/>
      <c r="D568" s="6">
        <f t="shared" si="8"/>
        <v>0</v>
      </c>
    </row>
    <row r="569" spans="1:4" ht="18" hidden="1">
      <c r="A569" s="11" t="s">
        <v>242</v>
      </c>
      <c r="B569" s="6"/>
      <c r="C569" s="6"/>
      <c r="D569" s="6">
        <f t="shared" si="8"/>
        <v>0</v>
      </c>
    </row>
    <row r="570" spans="1:4" ht="18" hidden="1">
      <c r="A570" s="19" t="s">
        <v>371</v>
      </c>
      <c r="B570" s="6"/>
      <c r="C570" s="6"/>
      <c r="D570" s="6">
        <f t="shared" si="8"/>
        <v>0</v>
      </c>
    </row>
    <row r="571" spans="1:4" ht="18" hidden="1">
      <c r="A571" s="19" t="s">
        <v>372</v>
      </c>
      <c r="B571" s="6"/>
      <c r="C571" s="6"/>
      <c r="D571" s="6">
        <f t="shared" si="8"/>
        <v>0</v>
      </c>
    </row>
    <row r="572" spans="1:4" ht="18" hidden="1">
      <c r="A572" s="10" t="s">
        <v>247</v>
      </c>
      <c r="B572" s="6"/>
      <c r="C572" s="6"/>
      <c r="D572" s="6">
        <f t="shared" si="8"/>
        <v>0</v>
      </c>
    </row>
    <row r="573" spans="1:4" ht="18" hidden="1">
      <c r="A573" s="8" t="s">
        <v>252</v>
      </c>
      <c r="B573" s="6"/>
      <c r="C573" s="6"/>
      <c r="D573" s="6">
        <f t="shared" si="8"/>
        <v>0</v>
      </c>
    </row>
    <row r="574" spans="1:4" ht="18" hidden="1">
      <c r="A574" s="8" t="s">
        <v>253</v>
      </c>
      <c r="B574" s="6"/>
      <c r="C574" s="6"/>
      <c r="D574" s="6">
        <f t="shared" si="8"/>
        <v>0</v>
      </c>
    </row>
    <row r="575" spans="1:4" ht="18" hidden="1">
      <c r="A575" s="12" t="s">
        <v>254</v>
      </c>
      <c r="B575" s="6"/>
      <c r="C575" s="6"/>
      <c r="D575" s="6">
        <f t="shared" si="8"/>
        <v>0</v>
      </c>
    </row>
    <row r="576" spans="1:4" ht="18" hidden="1">
      <c r="A576" s="12" t="s">
        <v>255</v>
      </c>
      <c r="B576" s="6"/>
      <c r="C576" s="6"/>
      <c r="D576" s="6">
        <f t="shared" si="8"/>
        <v>0</v>
      </c>
    </row>
    <row r="577" spans="1:4" ht="18" hidden="1">
      <c r="A577" s="30" t="s">
        <v>256</v>
      </c>
      <c r="B577" s="6"/>
      <c r="C577" s="6"/>
      <c r="D577" s="6">
        <f t="shared" si="8"/>
        <v>0</v>
      </c>
    </row>
    <row r="578" spans="1:4" ht="18" hidden="1">
      <c r="A578" s="8" t="s">
        <v>257</v>
      </c>
      <c r="B578" s="6"/>
      <c r="C578" s="6"/>
      <c r="D578" s="6">
        <f t="shared" si="8"/>
        <v>0</v>
      </c>
    </row>
    <row r="579" spans="1:4" ht="18" hidden="1">
      <c r="A579" s="8" t="s">
        <v>258</v>
      </c>
      <c r="B579" s="6"/>
      <c r="C579" s="6"/>
      <c r="D579" s="6">
        <f t="shared" si="8"/>
        <v>0</v>
      </c>
    </row>
    <row r="580" spans="1:4" ht="18" hidden="1">
      <c r="A580" s="8" t="s">
        <v>259</v>
      </c>
      <c r="B580" s="14"/>
      <c r="C580" s="14"/>
      <c r="D580" s="6">
        <f t="shared" ref="D580:D643" si="9">B580*C580</f>
        <v>0</v>
      </c>
    </row>
    <row r="581" spans="1:4" ht="18" hidden="1">
      <c r="A581" s="30" t="s">
        <v>260</v>
      </c>
      <c r="B581" s="6"/>
      <c r="C581" s="6"/>
      <c r="D581" s="6">
        <f t="shared" si="9"/>
        <v>0</v>
      </c>
    </row>
    <row r="582" spans="1:4" ht="18" hidden="1">
      <c r="A582" s="8" t="s">
        <v>261</v>
      </c>
      <c r="B582" s="14"/>
      <c r="C582" s="14"/>
      <c r="D582" s="6">
        <f t="shared" si="9"/>
        <v>0</v>
      </c>
    </row>
    <row r="583" spans="1:4" ht="18" hidden="1">
      <c r="A583" s="8" t="s">
        <v>262</v>
      </c>
      <c r="B583" s="6"/>
      <c r="C583" s="6"/>
      <c r="D583" s="6">
        <f t="shared" si="9"/>
        <v>0</v>
      </c>
    </row>
    <row r="584" spans="1:4" ht="18" hidden="1">
      <c r="A584" s="10" t="s">
        <v>264</v>
      </c>
      <c r="B584" s="6"/>
      <c r="C584" s="6"/>
      <c r="D584" s="6">
        <f t="shared" si="9"/>
        <v>0</v>
      </c>
    </row>
    <row r="585" spans="1:4" ht="18">
      <c r="A585" s="8" t="s">
        <v>265</v>
      </c>
      <c r="B585" s="6">
        <v>30</v>
      </c>
      <c r="C585" s="6">
        <v>24000</v>
      </c>
      <c r="D585" s="6">
        <f t="shared" si="9"/>
        <v>720000</v>
      </c>
    </row>
    <row r="586" spans="1:4" ht="18" hidden="1">
      <c r="A586" s="8" t="s">
        <v>266</v>
      </c>
      <c r="B586" s="6"/>
      <c r="C586" s="6"/>
      <c r="D586" s="6">
        <f t="shared" si="9"/>
        <v>0</v>
      </c>
    </row>
    <row r="587" spans="1:4" ht="18" hidden="1">
      <c r="A587" s="8" t="s">
        <v>267</v>
      </c>
      <c r="B587" s="6"/>
      <c r="C587" s="6"/>
      <c r="D587" s="6">
        <f t="shared" si="9"/>
        <v>0</v>
      </c>
    </row>
    <row r="588" spans="1:4" ht="18" hidden="1">
      <c r="A588" s="8" t="s">
        <v>268</v>
      </c>
      <c r="B588" s="6"/>
      <c r="C588" s="6"/>
      <c r="D588" s="6">
        <f t="shared" si="9"/>
        <v>0</v>
      </c>
    </row>
    <row r="589" spans="1:4" ht="18" hidden="1">
      <c r="A589" s="8" t="s">
        <v>269</v>
      </c>
      <c r="B589" s="6"/>
      <c r="C589" s="6"/>
      <c r="D589" s="6">
        <f t="shared" si="9"/>
        <v>0</v>
      </c>
    </row>
    <row r="590" spans="1:4" ht="18" hidden="1">
      <c r="A590" s="15" t="s">
        <v>270</v>
      </c>
      <c r="B590" s="6"/>
      <c r="C590" s="6"/>
      <c r="D590" s="6">
        <f t="shared" si="9"/>
        <v>0</v>
      </c>
    </row>
    <row r="591" spans="1:4" ht="18" hidden="1">
      <c r="A591" s="19" t="s">
        <v>271</v>
      </c>
      <c r="B591" s="6"/>
      <c r="C591" s="6"/>
      <c r="D591" s="6">
        <f t="shared" si="9"/>
        <v>0</v>
      </c>
    </row>
    <row r="592" spans="1:4" ht="18" hidden="1">
      <c r="A592" s="19" t="s">
        <v>272</v>
      </c>
      <c r="B592" s="6"/>
      <c r="C592" s="6"/>
      <c r="D592" s="6">
        <f t="shared" si="9"/>
        <v>0</v>
      </c>
    </row>
    <row r="593" spans="1:4" ht="18">
      <c r="A593" s="8" t="s">
        <v>273</v>
      </c>
      <c r="B593" s="6">
        <v>30</v>
      </c>
      <c r="C593" s="6">
        <v>29000</v>
      </c>
      <c r="D593" s="6">
        <f t="shared" si="9"/>
        <v>870000</v>
      </c>
    </row>
    <row r="594" spans="1:4" ht="18" hidden="1">
      <c r="A594" s="8" t="s">
        <v>274</v>
      </c>
      <c r="B594" s="6"/>
      <c r="C594" s="6"/>
      <c r="D594" s="6">
        <f t="shared" si="9"/>
        <v>0</v>
      </c>
    </row>
    <row r="595" spans="1:4" ht="18" hidden="1">
      <c r="A595" s="8" t="s">
        <v>275</v>
      </c>
      <c r="B595" s="6"/>
      <c r="C595" s="6"/>
      <c r="D595" s="6">
        <f t="shared" si="9"/>
        <v>0</v>
      </c>
    </row>
    <row r="596" spans="1:4" ht="18" hidden="1">
      <c r="A596" s="8" t="s">
        <v>276</v>
      </c>
      <c r="B596" s="6"/>
      <c r="C596" s="6"/>
      <c r="D596" s="6">
        <f t="shared" si="9"/>
        <v>0</v>
      </c>
    </row>
    <row r="597" spans="1:4" ht="18">
      <c r="A597" s="8" t="s">
        <v>277</v>
      </c>
      <c r="B597" s="6">
        <v>20</v>
      </c>
      <c r="C597" s="6">
        <v>18000</v>
      </c>
      <c r="D597" s="6">
        <f t="shared" si="9"/>
        <v>360000</v>
      </c>
    </row>
    <row r="598" spans="1:4" ht="18" hidden="1">
      <c r="A598" s="8" t="s">
        <v>278</v>
      </c>
      <c r="B598" s="6"/>
      <c r="C598" s="6"/>
      <c r="D598" s="6">
        <f t="shared" si="9"/>
        <v>0</v>
      </c>
    </row>
    <row r="599" spans="1:4" ht="18" hidden="1">
      <c r="A599" s="8" t="s">
        <v>279</v>
      </c>
      <c r="B599" s="6"/>
      <c r="C599" s="6"/>
      <c r="D599" s="6">
        <f t="shared" si="9"/>
        <v>0</v>
      </c>
    </row>
    <row r="600" spans="1:4" ht="18" hidden="1">
      <c r="A600" s="8" t="s">
        <v>280</v>
      </c>
      <c r="B600" s="14"/>
      <c r="C600" s="14"/>
      <c r="D600" s="6">
        <f t="shared" si="9"/>
        <v>0</v>
      </c>
    </row>
    <row r="601" spans="1:4" ht="18" hidden="1">
      <c r="A601" s="12" t="s">
        <v>281</v>
      </c>
      <c r="B601" s="6"/>
      <c r="C601" s="6"/>
      <c r="D601" s="6">
        <f t="shared" si="9"/>
        <v>0</v>
      </c>
    </row>
    <row r="602" spans="1:4" ht="18" hidden="1">
      <c r="A602" s="8" t="s">
        <v>282</v>
      </c>
      <c r="B602" s="6"/>
      <c r="C602" s="6"/>
      <c r="D602" s="6">
        <f t="shared" si="9"/>
        <v>0</v>
      </c>
    </row>
    <row r="603" spans="1:4" ht="18" hidden="1">
      <c r="A603" s="10" t="s">
        <v>373</v>
      </c>
      <c r="B603" s="6"/>
      <c r="C603" s="6"/>
      <c r="D603" s="6">
        <f t="shared" si="9"/>
        <v>0</v>
      </c>
    </row>
    <row r="604" spans="1:4" ht="18" hidden="1">
      <c r="A604" s="10" t="s">
        <v>283</v>
      </c>
      <c r="B604" s="6"/>
      <c r="C604" s="6"/>
      <c r="D604" s="6">
        <f t="shared" si="9"/>
        <v>0</v>
      </c>
    </row>
    <row r="605" spans="1:4" ht="18" hidden="1">
      <c r="A605" s="8" t="s">
        <v>284</v>
      </c>
      <c r="B605" s="6"/>
      <c r="C605" s="6"/>
      <c r="D605" s="6">
        <f t="shared" si="9"/>
        <v>0</v>
      </c>
    </row>
    <row r="606" spans="1:4" ht="18" hidden="1">
      <c r="A606" s="8" t="s">
        <v>374</v>
      </c>
      <c r="B606" s="6"/>
      <c r="C606" s="6"/>
      <c r="D606" s="6">
        <f t="shared" si="9"/>
        <v>0</v>
      </c>
    </row>
    <row r="607" spans="1:4" ht="18" hidden="1">
      <c r="A607" s="8" t="s">
        <v>285</v>
      </c>
      <c r="B607" s="6"/>
      <c r="C607" s="6"/>
      <c r="D607" s="6">
        <f t="shared" si="9"/>
        <v>0</v>
      </c>
    </row>
    <row r="608" spans="1:4" ht="18" hidden="1">
      <c r="A608" s="8" t="s">
        <v>375</v>
      </c>
      <c r="B608" s="6"/>
      <c r="C608" s="6"/>
      <c r="D608" s="6">
        <f t="shared" si="9"/>
        <v>0</v>
      </c>
    </row>
    <row r="609" spans="1:4" ht="18" hidden="1">
      <c r="A609" s="8" t="s">
        <v>287</v>
      </c>
      <c r="B609" s="6"/>
      <c r="C609" s="6"/>
      <c r="D609" s="6">
        <f t="shared" si="9"/>
        <v>0</v>
      </c>
    </row>
    <row r="610" spans="1:4" ht="18" hidden="1">
      <c r="A610" s="8" t="s">
        <v>288</v>
      </c>
      <c r="B610" s="6"/>
      <c r="C610" s="6"/>
      <c r="D610" s="6">
        <f t="shared" si="9"/>
        <v>0</v>
      </c>
    </row>
    <row r="611" spans="1:4" ht="18" hidden="1">
      <c r="A611" s="8" t="s">
        <v>289</v>
      </c>
      <c r="B611" s="6"/>
      <c r="C611" s="6"/>
      <c r="D611" s="6">
        <f t="shared" si="9"/>
        <v>0</v>
      </c>
    </row>
    <row r="612" spans="1:4" ht="18" hidden="1">
      <c r="A612" s="30" t="s">
        <v>291</v>
      </c>
      <c r="B612" s="6"/>
      <c r="C612" s="6"/>
      <c r="D612" s="6">
        <f t="shared" si="9"/>
        <v>0</v>
      </c>
    </row>
    <row r="613" spans="1:4" ht="18" hidden="1">
      <c r="A613" s="8" t="s">
        <v>292</v>
      </c>
      <c r="B613" s="6"/>
      <c r="C613" s="6"/>
      <c r="D613" s="6">
        <f t="shared" si="9"/>
        <v>0</v>
      </c>
    </row>
    <row r="614" spans="1:4" ht="18" hidden="1">
      <c r="A614" s="30" t="s">
        <v>293</v>
      </c>
      <c r="B614" s="6"/>
      <c r="C614" s="6"/>
      <c r="D614" s="6">
        <f t="shared" si="9"/>
        <v>0</v>
      </c>
    </row>
    <row r="615" spans="1:4" ht="18" hidden="1">
      <c r="A615" s="10" t="s">
        <v>376</v>
      </c>
      <c r="B615" s="6"/>
      <c r="C615" s="6"/>
      <c r="D615" s="6">
        <f t="shared" si="9"/>
        <v>0</v>
      </c>
    </row>
    <row r="616" spans="1:4" ht="18" hidden="1">
      <c r="A616" s="30" t="s">
        <v>294</v>
      </c>
      <c r="B616" s="6"/>
      <c r="C616" s="6"/>
      <c r="D616" s="6">
        <f t="shared" si="9"/>
        <v>0</v>
      </c>
    </row>
    <row r="617" spans="1:4" ht="18" hidden="1">
      <c r="A617" s="11" t="s">
        <v>295</v>
      </c>
      <c r="B617" s="14"/>
      <c r="C617" s="14"/>
      <c r="D617" s="6">
        <f t="shared" si="9"/>
        <v>0</v>
      </c>
    </row>
    <row r="618" spans="1:4" ht="18" hidden="1">
      <c r="A618" s="15" t="s">
        <v>299</v>
      </c>
      <c r="B618" s="6"/>
      <c r="C618" s="6"/>
      <c r="D618" s="6">
        <f t="shared" si="9"/>
        <v>0</v>
      </c>
    </row>
    <row r="619" spans="1:4" ht="18" hidden="1">
      <c r="A619" s="15" t="s">
        <v>300</v>
      </c>
      <c r="B619" s="6"/>
      <c r="C619" s="6"/>
      <c r="D619" s="6">
        <f t="shared" si="9"/>
        <v>0</v>
      </c>
    </row>
    <row r="620" spans="1:4" ht="18" hidden="1">
      <c r="A620" s="15" t="s">
        <v>301</v>
      </c>
      <c r="B620" s="6"/>
      <c r="C620" s="6"/>
      <c r="D620" s="6">
        <f t="shared" si="9"/>
        <v>0</v>
      </c>
    </row>
    <row r="621" spans="1:4" ht="18">
      <c r="A621" s="8" t="s">
        <v>302</v>
      </c>
      <c r="B621" s="6">
        <v>25</v>
      </c>
      <c r="C621" s="6">
        <v>10000</v>
      </c>
      <c r="D621" s="6">
        <f t="shared" si="9"/>
        <v>250000</v>
      </c>
    </row>
    <row r="622" spans="1:4" ht="18" hidden="1">
      <c r="A622" s="15" t="s">
        <v>303</v>
      </c>
      <c r="B622" s="6"/>
      <c r="C622" s="6"/>
      <c r="D622" s="6">
        <f t="shared" si="9"/>
        <v>0</v>
      </c>
    </row>
    <row r="623" spans="1:4" ht="18" hidden="1">
      <c r="A623" s="8" t="s">
        <v>304</v>
      </c>
      <c r="B623" s="6"/>
      <c r="C623" s="6"/>
      <c r="D623" s="6">
        <f t="shared" si="9"/>
        <v>0</v>
      </c>
    </row>
    <row r="624" spans="1:4" ht="18">
      <c r="A624" s="8" t="s">
        <v>305</v>
      </c>
      <c r="B624" s="6">
        <v>20</v>
      </c>
      <c r="C624" s="6">
        <v>7000</v>
      </c>
      <c r="D624" s="6">
        <f t="shared" si="9"/>
        <v>140000</v>
      </c>
    </row>
    <row r="625" spans="1:4" ht="18" hidden="1">
      <c r="A625" s="15" t="s">
        <v>306</v>
      </c>
      <c r="B625" s="6"/>
      <c r="C625" s="6"/>
      <c r="D625" s="6">
        <f t="shared" si="9"/>
        <v>0</v>
      </c>
    </row>
    <row r="626" spans="1:4" ht="18" hidden="1">
      <c r="A626" s="23" t="s">
        <v>307</v>
      </c>
      <c r="B626" s="6"/>
      <c r="C626" s="6"/>
      <c r="D626" s="6">
        <f t="shared" si="9"/>
        <v>0</v>
      </c>
    </row>
    <row r="627" spans="1:4" ht="18" hidden="1">
      <c r="A627" s="8" t="s">
        <v>308</v>
      </c>
      <c r="B627" s="6"/>
      <c r="C627" s="6"/>
      <c r="D627" s="6">
        <f t="shared" si="9"/>
        <v>0</v>
      </c>
    </row>
    <row r="628" spans="1:4" ht="18" hidden="1">
      <c r="A628" s="12" t="s">
        <v>309</v>
      </c>
      <c r="B628" s="6"/>
      <c r="C628" s="6"/>
      <c r="D628" s="6">
        <f t="shared" si="9"/>
        <v>0</v>
      </c>
    </row>
    <row r="629" spans="1:4" ht="18" hidden="1">
      <c r="A629" s="11" t="s">
        <v>311</v>
      </c>
      <c r="B629" s="6"/>
      <c r="C629" s="6"/>
      <c r="D629" s="6">
        <f t="shared" si="9"/>
        <v>0</v>
      </c>
    </row>
    <row r="630" spans="1:4" ht="18" hidden="1">
      <c r="A630" s="15" t="s">
        <v>312</v>
      </c>
      <c r="B630" s="6"/>
      <c r="C630" s="6"/>
      <c r="D630" s="6">
        <f t="shared" si="9"/>
        <v>0</v>
      </c>
    </row>
    <row r="631" spans="1:4" ht="18" hidden="1">
      <c r="A631" s="12" t="s">
        <v>313</v>
      </c>
      <c r="B631" s="6"/>
      <c r="C631" s="6"/>
      <c r="D631" s="6">
        <f t="shared" si="9"/>
        <v>0</v>
      </c>
    </row>
    <row r="632" spans="1:4" ht="18" hidden="1">
      <c r="A632" s="8" t="s">
        <v>314</v>
      </c>
      <c r="B632" s="6"/>
      <c r="C632" s="6"/>
      <c r="D632" s="6">
        <f t="shared" si="9"/>
        <v>0</v>
      </c>
    </row>
    <row r="633" spans="1:4" ht="18" hidden="1">
      <c r="A633" s="15" t="s">
        <v>315</v>
      </c>
      <c r="B633" s="6"/>
      <c r="C633" s="6"/>
      <c r="D633" s="6">
        <f t="shared" si="9"/>
        <v>0</v>
      </c>
    </row>
    <row r="634" spans="1:4" ht="18" hidden="1">
      <c r="A634" s="11" t="s">
        <v>377</v>
      </c>
      <c r="B634" s="6"/>
      <c r="C634" s="6"/>
      <c r="D634" s="6">
        <f t="shared" si="9"/>
        <v>0</v>
      </c>
    </row>
    <row r="635" spans="1:4" ht="18" hidden="1">
      <c r="A635" s="8" t="s">
        <v>378</v>
      </c>
      <c r="B635" s="6"/>
      <c r="C635" s="6"/>
      <c r="D635" s="6">
        <f t="shared" si="9"/>
        <v>0</v>
      </c>
    </row>
    <row r="636" spans="1:4" ht="18" hidden="1">
      <c r="A636" s="10" t="s">
        <v>318</v>
      </c>
      <c r="B636" s="6"/>
      <c r="C636" s="6"/>
      <c r="D636" s="6">
        <f t="shared" si="9"/>
        <v>0</v>
      </c>
    </row>
    <row r="637" spans="1:4" ht="18" hidden="1">
      <c r="A637" s="8" t="s">
        <v>379</v>
      </c>
      <c r="B637" s="6"/>
      <c r="C637" s="6"/>
      <c r="D637" s="6">
        <f t="shared" si="9"/>
        <v>0</v>
      </c>
    </row>
    <row r="638" spans="1:4" ht="18" hidden="1">
      <c r="A638" s="11" t="s">
        <v>319</v>
      </c>
      <c r="B638" s="6"/>
      <c r="C638" s="6"/>
      <c r="D638" s="6">
        <f t="shared" si="9"/>
        <v>0</v>
      </c>
    </row>
    <row r="639" spans="1:4" ht="18" hidden="1">
      <c r="A639" s="11" t="s">
        <v>320</v>
      </c>
      <c r="B639" s="6"/>
      <c r="C639" s="6"/>
      <c r="D639" s="6">
        <f t="shared" si="9"/>
        <v>0</v>
      </c>
    </row>
    <row r="640" spans="1:4" ht="18" hidden="1">
      <c r="A640" s="8" t="s">
        <v>321</v>
      </c>
      <c r="B640" s="6"/>
      <c r="C640" s="6"/>
      <c r="D640" s="6">
        <f t="shared" si="9"/>
        <v>0</v>
      </c>
    </row>
    <row r="641" spans="1:4" ht="18" hidden="1">
      <c r="A641" s="8" t="s">
        <v>322</v>
      </c>
      <c r="B641" s="6"/>
      <c r="C641" s="6"/>
      <c r="D641" s="6">
        <f t="shared" si="9"/>
        <v>0</v>
      </c>
    </row>
    <row r="642" spans="1:4" ht="18" hidden="1">
      <c r="A642" s="8" t="s">
        <v>323</v>
      </c>
      <c r="B642" s="6"/>
      <c r="C642" s="6"/>
      <c r="D642" s="6">
        <f t="shared" si="9"/>
        <v>0</v>
      </c>
    </row>
    <row r="643" spans="1:4" ht="18" hidden="1">
      <c r="A643" s="12" t="s">
        <v>324</v>
      </c>
      <c r="B643" s="6"/>
      <c r="C643" s="6"/>
      <c r="D643" s="6">
        <f t="shared" si="9"/>
        <v>0</v>
      </c>
    </row>
    <row r="644" spans="1:4" ht="18" hidden="1">
      <c r="A644" s="12" t="s">
        <v>325</v>
      </c>
      <c r="B644" s="6"/>
      <c r="C644" s="6"/>
      <c r="D644" s="6">
        <f t="shared" ref="D644:D671" si="10">B644*C644</f>
        <v>0</v>
      </c>
    </row>
    <row r="645" spans="1:4" ht="18" hidden="1">
      <c r="A645" s="19" t="s">
        <v>326</v>
      </c>
      <c r="B645" s="6"/>
      <c r="C645" s="6"/>
      <c r="D645" s="6">
        <f t="shared" si="10"/>
        <v>0</v>
      </c>
    </row>
    <row r="646" spans="1:4" ht="18" hidden="1">
      <c r="A646" s="12" t="s">
        <v>327</v>
      </c>
      <c r="B646" s="6"/>
      <c r="C646" s="6"/>
      <c r="D646" s="6">
        <f t="shared" si="10"/>
        <v>0</v>
      </c>
    </row>
    <row r="647" spans="1:4" ht="18" hidden="1">
      <c r="A647" s="8" t="s">
        <v>328</v>
      </c>
      <c r="B647" s="6"/>
      <c r="C647" s="6"/>
      <c r="D647" s="6">
        <f t="shared" si="10"/>
        <v>0</v>
      </c>
    </row>
    <row r="648" spans="1:4" ht="18" hidden="1">
      <c r="A648" s="8" t="s">
        <v>329</v>
      </c>
      <c r="B648" s="6"/>
      <c r="C648" s="6"/>
      <c r="D648" s="6">
        <f t="shared" si="10"/>
        <v>0</v>
      </c>
    </row>
    <row r="649" spans="1:4" ht="18" hidden="1">
      <c r="A649" s="8" t="s">
        <v>330</v>
      </c>
      <c r="B649" s="6"/>
      <c r="C649" s="6"/>
      <c r="D649" s="6">
        <f t="shared" si="10"/>
        <v>0</v>
      </c>
    </row>
    <row r="650" spans="1:4" ht="18" hidden="1">
      <c r="A650" s="8" t="s">
        <v>331</v>
      </c>
      <c r="B650" s="6"/>
      <c r="C650" s="6"/>
      <c r="D650" s="6">
        <f t="shared" si="10"/>
        <v>0</v>
      </c>
    </row>
    <row r="651" spans="1:4" ht="18" hidden="1">
      <c r="A651" s="19" t="s">
        <v>332</v>
      </c>
      <c r="B651" s="6"/>
      <c r="C651" s="6"/>
      <c r="D651" s="6">
        <f t="shared" si="10"/>
        <v>0</v>
      </c>
    </row>
    <row r="652" spans="1:4" ht="18" hidden="1">
      <c r="A652" s="8" t="s">
        <v>333</v>
      </c>
      <c r="B652" s="6"/>
      <c r="C652" s="6"/>
      <c r="D652" s="6">
        <f t="shared" si="10"/>
        <v>0</v>
      </c>
    </row>
    <row r="653" spans="1:4" ht="18" hidden="1">
      <c r="A653" s="8" t="s">
        <v>334</v>
      </c>
      <c r="B653" s="6"/>
      <c r="C653" s="6"/>
      <c r="D653" s="6">
        <f t="shared" si="10"/>
        <v>0</v>
      </c>
    </row>
    <row r="654" spans="1:4" ht="18" hidden="1">
      <c r="A654" s="11" t="s">
        <v>335</v>
      </c>
      <c r="B654" s="6"/>
      <c r="C654" s="6"/>
      <c r="D654" s="6">
        <f t="shared" si="10"/>
        <v>0</v>
      </c>
    </row>
    <row r="655" spans="1:4" ht="18" hidden="1">
      <c r="A655" s="8" t="s">
        <v>336</v>
      </c>
      <c r="B655" s="34"/>
      <c r="C655" s="34"/>
      <c r="D655" s="6">
        <f t="shared" si="10"/>
        <v>0</v>
      </c>
    </row>
    <row r="656" spans="1:4" ht="18" hidden="1">
      <c r="A656" s="8" t="s">
        <v>337</v>
      </c>
      <c r="B656" s="6"/>
      <c r="C656" s="6"/>
      <c r="D656" s="6">
        <f t="shared" si="10"/>
        <v>0</v>
      </c>
    </row>
    <row r="657" spans="1:4" ht="18" hidden="1">
      <c r="A657" s="8" t="s">
        <v>338</v>
      </c>
      <c r="B657" s="6"/>
      <c r="C657" s="6"/>
      <c r="D657" s="6">
        <f t="shared" si="10"/>
        <v>0</v>
      </c>
    </row>
    <row r="658" spans="1:4" ht="18" hidden="1">
      <c r="A658" s="19" t="s">
        <v>339</v>
      </c>
      <c r="B658" s="6"/>
      <c r="C658" s="6"/>
      <c r="D658" s="6">
        <f t="shared" si="10"/>
        <v>0</v>
      </c>
    </row>
    <row r="659" spans="1:4" ht="18" hidden="1">
      <c r="A659" s="19" t="s">
        <v>340</v>
      </c>
      <c r="B659" s="6"/>
      <c r="C659" s="6"/>
      <c r="D659" s="6">
        <f t="shared" si="10"/>
        <v>0</v>
      </c>
    </row>
    <row r="660" spans="1:4" ht="18" hidden="1">
      <c r="A660" s="8" t="s">
        <v>341</v>
      </c>
      <c r="B660" s="6"/>
      <c r="C660" s="6"/>
      <c r="D660" s="6">
        <f t="shared" si="10"/>
        <v>0</v>
      </c>
    </row>
    <row r="661" spans="1:4" ht="18" hidden="1">
      <c r="A661" s="8" t="s">
        <v>342</v>
      </c>
      <c r="B661" s="6"/>
      <c r="C661" s="6"/>
      <c r="D661" s="6">
        <f t="shared" si="10"/>
        <v>0</v>
      </c>
    </row>
    <row r="662" spans="1:4" ht="18" hidden="1">
      <c r="A662" s="19" t="s">
        <v>343</v>
      </c>
      <c r="B662" s="6"/>
      <c r="C662" s="6"/>
      <c r="D662" s="6">
        <f t="shared" si="10"/>
        <v>0</v>
      </c>
    </row>
    <row r="663" spans="1:4" ht="18" hidden="1">
      <c r="A663" s="8" t="s">
        <v>344</v>
      </c>
      <c r="B663" s="6"/>
      <c r="C663" s="6"/>
      <c r="D663" s="6">
        <f t="shared" si="10"/>
        <v>0</v>
      </c>
    </row>
    <row r="664" spans="1:4" ht="18" hidden="1">
      <c r="A664" s="8" t="s">
        <v>345</v>
      </c>
      <c r="B664" s="6"/>
      <c r="C664" s="6"/>
      <c r="D664" s="6">
        <f t="shared" si="10"/>
        <v>0</v>
      </c>
    </row>
    <row r="665" spans="1:4" ht="18" hidden="1">
      <c r="A665" s="8" t="s">
        <v>346</v>
      </c>
      <c r="B665" s="6"/>
      <c r="C665" s="6"/>
      <c r="D665" s="6">
        <f t="shared" si="10"/>
        <v>0</v>
      </c>
    </row>
    <row r="666" spans="1:4" ht="18" hidden="1">
      <c r="A666" s="8" t="s">
        <v>347</v>
      </c>
      <c r="B666" s="6"/>
      <c r="C666" s="6"/>
      <c r="D666" s="6">
        <f t="shared" si="10"/>
        <v>0</v>
      </c>
    </row>
    <row r="667" spans="1:4" ht="18" hidden="1">
      <c r="A667" s="8" t="s">
        <v>348</v>
      </c>
      <c r="B667" s="6"/>
      <c r="C667" s="6"/>
      <c r="D667" s="6">
        <f t="shared" si="10"/>
        <v>0</v>
      </c>
    </row>
    <row r="668" spans="1:4" ht="18" hidden="1">
      <c r="A668" s="8" t="s">
        <v>349</v>
      </c>
      <c r="B668" s="6"/>
      <c r="C668" s="6"/>
      <c r="D668" s="6">
        <f t="shared" si="10"/>
        <v>0</v>
      </c>
    </row>
    <row r="669" spans="1:4" ht="18" hidden="1">
      <c r="A669" s="8" t="s">
        <v>350</v>
      </c>
      <c r="B669" s="6"/>
      <c r="C669" s="6"/>
      <c r="D669" s="6">
        <f t="shared" si="10"/>
        <v>0</v>
      </c>
    </row>
    <row r="670" spans="1:4" ht="18" hidden="1">
      <c r="A670" s="8" t="s">
        <v>351</v>
      </c>
      <c r="B670" s="6"/>
      <c r="C670" s="6"/>
      <c r="D670" s="6">
        <f t="shared" si="10"/>
        <v>0</v>
      </c>
    </row>
    <row r="671" spans="1:4" ht="18" hidden="1">
      <c r="A671" s="10" t="s">
        <v>353</v>
      </c>
      <c r="B671" s="6"/>
      <c r="C671" s="6"/>
      <c r="D671" s="6">
        <f t="shared" si="10"/>
        <v>0</v>
      </c>
    </row>
    <row r="672" spans="1:4" ht="17.399999999999999">
      <c r="A672" s="35"/>
      <c r="B672" s="36">
        <f>SUM(B345:B671)</f>
        <v>5464</v>
      </c>
      <c r="C672" s="36"/>
      <c r="D672" s="36">
        <f t="shared" ref="D672" si="11">SUM(D345:D671)</f>
        <v>67177000</v>
      </c>
    </row>
    <row r="674" spans="4:4">
      <c r="D674" s="190">
        <f>D672+D340</f>
        <v>121628500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9000000}">
    <filterColumn colId="1">
      <customFilters>
        <customFilter operator="notEqual" val="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397"/>
  <sheetViews>
    <sheetView topLeftCell="A343" workbookViewId="0">
      <selection activeCell="D397" sqref="D397"/>
    </sheetView>
  </sheetViews>
  <sheetFormatPr defaultColWidth="8.88671875" defaultRowHeight="14.4"/>
  <cols>
    <col min="1" max="1" width="40.44140625" customWidth="1"/>
    <col min="3" max="3" width="13.44140625" customWidth="1"/>
    <col min="4" max="4" width="21.33203125" customWidth="1"/>
  </cols>
  <sheetData>
    <row r="1" spans="1:4">
      <c r="A1" s="151" t="s">
        <v>397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56" t="s">
        <v>82</v>
      </c>
      <c r="B3" s="157">
        <f>5+25+13</f>
        <v>43</v>
      </c>
      <c r="C3" s="157">
        <v>10000</v>
      </c>
      <c r="D3" s="158">
        <f>B3*C3</f>
        <v>430000</v>
      </c>
    </row>
    <row r="4" spans="1:4" ht="18" hidden="1">
      <c r="A4" s="159" t="s">
        <v>83</v>
      </c>
      <c r="B4" s="157"/>
      <c r="C4" s="157"/>
      <c r="D4" s="158">
        <f t="shared" ref="D4:D67" si="0">B4*C4</f>
        <v>0</v>
      </c>
    </row>
    <row r="5" spans="1:4" ht="18" hidden="1">
      <c r="A5" s="156" t="s">
        <v>84</v>
      </c>
      <c r="B5" s="157"/>
      <c r="C5" s="157"/>
      <c r="D5" s="158">
        <f t="shared" si="0"/>
        <v>0</v>
      </c>
    </row>
    <row r="6" spans="1:4" ht="18" hidden="1">
      <c r="A6" s="156" t="s">
        <v>85</v>
      </c>
      <c r="B6" s="157"/>
      <c r="C6" s="157"/>
      <c r="D6" s="158">
        <f t="shared" si="0"/>
        <v>0</v>
      </c>
    </row>
    <row r="7" spans="1:4" ht="18" hidden="1">
      <c r="A7" s="156" t="s">
        <v>86</v>
      </c>
      <c r="B7" s="157"/>
      <c r="C7" s="157"/>
      <c r="D7" s="158">
        <f t="shared" si="0"/>
        <v>0</v>
      </c>
    </row>
    <row r="8" spans="1:4" ht="18" hidden="1">
      <c r="A8" s="160" t="s">
        <v>87</v>
      </c>
      <c r="B8" s="157"/>
      <c r="C8" s="157"/>
      <c r="D8" s="158">
        <f t="shared" si="0"/>
        <v>0</v>
      </c>
    </row>
    <row r="9" spans="1:4" ht="18" hidden="1">
      <c r="A9" s="161" t="s">
        <v>88</v>
      </c>
      <c r="B9" s="157"/>
      <c r="C9" s="157"/>
      <c r="D9" s="158">
        <f t="shared" si="0"/>
        <v>0</v>
      </c>
    </row>
    <row r="10" spans="1:4" ht="18" hidden="1">
      <c r="A10" s="156" t="s">
        <v>96</v>
      </c>
      <c r="B10" s="162"/>
      <c r="C10" s="162"/>
      <c r="D10" s="158">
        <f t="shared" si="0"/>
        <v>0</v>
      </c>
    </row>
    <row r="11" spans="1:4" ht="18" hidden="1">
      <c r="A11" s="156" t="s">
        <v>97</v>
      </c>
      <c r="B11" s="162"/>
      <c r="C11" s="162"/>
      <c r="D11" s="158">
        <f t="shared" si="0"/>
        <v>0</v>
      </c>
    </row>
    <row r="12" spans="1:4" ht="18" hidden="1">
      <c r="A12" s="156" t="s">
        <v>98</v>
      </c>
      <c r="B12" s="162"/>
      <c r="C12" s="162"/>
      <c r="D12" s="158">
        <f t="shared" si="0"/>
        <v>0</v>
      </c>
    </row>
    <row r="13" spans="1:4" ht="18" hidden="1">
      <c r="A13" s="161" t="s">
        <v>110</v>
      </c>
      <c r="B13" s="157"/>
      <c r="C13" s="157"/>
      <c r="D13" s="158">
        <f t="shared" si="0"/>
        <v>0</v>
      </c>
    </row>
    <row r="14" spans="1:4" ht="18" hidden="1">
      <c r="A14" s="161" t="s">
        <v>111</v>
      </c>
      <c r="B14" s="157"/>
      <c r="C14" s="157"/>
      <c r="D14" s="158">
        <f t="shared" si="0"/>
        <v>0</v>
      </c>
    </row>
    <row r="15" spans="1:4" ht="18" hidden="1">
      <c r="A15" s="161" t="s">
        <v>113</v>
      </c>
      <c r="B15" s="162"/>
      <c r="C15" s="162"/>
      <c r="D15" s="158">
        <f t="shared" si="0"/>
        <v>0</v>
      </c>
    </row>
    <row r="16" spans="1:4" ht="18" hidden="1">
      <c r="A16" s="159" t="s">
        <v>114</v>
      </c>
      <c r="B16" s="157"/>
      <c r="C16" s="157"/>
      <c r="D16" s="158">
        <f t="shared" si="0"/>
        <v>0</v>
      </c>
    </row>
    <row r="17" spans="1:4" ht="18" hidden="1">
      <c r="A17" s="163" t="s">
        <v>115</v>
      </c>
      <c r="B17" s="157"/>
      <c r="C17" s="157"/>
      <c r="D17" s="158">
        <f t="shared" si="0"/>
        <v>0</v>
      </c>
    </row>
    <row r="18" spans="1:4" ht="18" hidden="1">
      <c r="A18" s="159" t="s">
        <v>131</v>
      </c>
      <c r="B18" s="157"/>
      <c r="C18" s="157"/>
      <c r="D18" s="158">
        <f t="shared" si="0"/>
        <v>0</v>
      </c>
    </row>
    <row r="19" spans="1:4" ht="18" hidden="1">
      <c r="A19" s="163" t="s">
        <v>132</v>
      </c>
      <c r="B19" s="157"/>
      <c r="C19" s="157"/>
      <c r="D19" s="158">
        <f t="shared" si="0"/>
        <v>0</v>
      </c>
    </row>
    <row r="20" spans="1:4" ht="18" hidden="1">
      <c r="A20" s="161" t="s">
        <v>124</v>
      </c>
      <c r="B20" s="157"/>
      <c r="C20" s="157"/>
      <c r="D20" s="158">
        <f t="shared" si="0"/>
        <v>0</v>
      </c>
    </row>
    <row r="21" spans="1:4" ht="18" hidden="1">
      <c r="A21" s="161" t="s">
        <v>125</v>
      </c>
      <c r="B21" s="157"/>
      <c r="C21" s="157"/>
      <c r="D21" s="158">
        <f t="shared" si="0"/>
        <v>0</v>
      </c>
    </row>
    <row r="22" spans="1:4" ht="18" hidden="1">
      <c r="A22" s="161" t="s">
        <v>126</v>
      </c>
      <c r="B22" s="157"/>
      <c r="C22" s="157"/>
      <c r="D22" s="158">
        <f t="shared" si="0"/>
        <v>0</v>
      </c>
    </row>
    <row r="23" spans="1:4" ht="18" hidden="1">
      <c r="A23" s="159" t="s">
        <v>264</v>
      </c>
      <c r="B23" s="157"/>
      <c r="C23" s="157"/>
      <c r="D23" s="158">
        <f t="shared" si="0"/>
        <v>0</v>
      </c>
    </row>
    <row r="24" spans="1:4" ht="18">
      <c r="A24" s="161" t="s">
        <v>265</v>
      </c>
      <c r="B24" s="157">
        <f>18+13+13+5+40-20</f>
        <v>69</v>
      </c>
      <c r="C24" s="157">
        <v>24000</v>
      </c>
      <c r="D24" s="158">
        <f t="shared" si="0"/>
        <v>1656000</v>
      </c>
    </row>
    <row r="25" spans="1:4" ht="18" hidden="1">
      <c r="A25" s="161" t="s">
        <v>266</v>
      </c>
      <c r="B25" s="157"/>
      <c r="C25" s="157"/>
      <c r="D25" s="158">
        <f t="shared" si="0"/>
        <v>0</v>
      </c>
    </row>
    <row r="26" spans="1:4" ht="18" hidden="1">
      <c r="A26" s="161" t="s">
        <v>267</v>
      </c>
      <c r="B26" s="157"/>
      <c r="C26" s="157"/>
      <c r="D26" s="158">
        <f t="shared" si="0"/>
        <v>0</v>
      </c>
    </row>
    <row r="27" spans="1:4" ht="18">
      <c r="A27" s="161" t="s">
        <v>268</v>
      </c>
      <c r="B27" s="157">
        <v>2</v>
      </c>
      <c r="C27" s="157">
        <v>10000</v>
      </c>
      <c r="D27" s="158">
        <f t="shared" si="0"/>
        <v>20000</v>
      </c>
    </row>
    <row r="28" spans="1:4" ht="18" hidden="1">
      <c r="A28" s="161" t="s">
        <v>269</v>
      </c>
      <c r="B28" s="157"/>
      <c r="C28" s="157"/>
      <c r="D28" s="158">
        <f t="shared" si="0"/>
        <v>0</v>
      </c>
    </row>
    <row r="29" spans="1:4" ht="18">
      <c r="A29" s="161" t="s">
        <v>273</v>
      </c>
      <c r="B29" s="157">
        <f>37+40-20</f>
        <v>57</v>
      </c>
      <c r="C29" s="157">
        <v>29000</v>
      </c>
      <c r="D29" s="158">
        <f t="shared" si="0"/>
        <v>1653000</v>
      </c>
    </row>
    <row r="30" spans="1:4" ht="18" hidden="1">
      <c r="A30" s="161" t="s">
        <v>274</v>
      </c>
      <c r="B30" s="157"/>
      <c r="C30" s="157"/>
      <c r="D30" s="158">
        <f t="shared" si="0"/>
        <v>0</v>
      </c>
    </row>
    <row r="31" spans="1:4" ht="18" hidden="1">
      <c r="A31" s="161" t="s">
        <v>275</v>
      </c>
      <c r="B31" s="157"/>
      <c r="C31" s="157"/>
      <c r="D31" s="158">
        <f t="shared" si="0"/>
        <v>0</v>
      </c>
    </row>
    <row r="32" spans="1:4" ht="18" hidden="1">
      <c r="A32" s="161" t="s">
        <v>276</v>
      </c>
      <c r="B32" s="157"/>
      <c r="C32" s="157"/>
      <c r="D32" s="158">
        <f t="shared" si="0"/>
        <v>0</v>
      </c>
    </row>
    <row r="33" spans="1:4" ht="18">
      <c r="A33" s="161" t="s">
        <v>277</v>
      </c>
      <c r="B33" s="157">
        <f>8+6+10-20</f>
        <v>4</v>
      </c>
      <c r="C33" s="157">
        <v>18000</v>
      </c>
      <c r="D33" s="158">
        <f t="shared" si="0"/>
        <v>72000</v>
      </c>
    </row>
    <row r="34" spans="1:4" ht="18" hidden="1">
      <c r="A34" s="161" t="s">
        <v>278</v>
      </c>
      <c r="B34" s="157"/>
      <c r="C34" s="157"/>
      <c r="D34" s="158">
        <f t="shared" si="0"/>
        <v>0</v>
      </c>
    </row>
    <row r="35" spans="1:4" ht="18" hidden="1">
      <c r="A35" s="161" t="s">
        <v>279</v>
      </c>
      <c r="B35" s="157"/>
      <c r="C35" s="157"/>
      <c r="D35" s="158">
        <f t="shared" si="0"/>
        <v>0</v>
      </c>
    </row>
    <row r="36" spans="1:4" ht="18">
      <c r="A36" s="161" t="s">
        <v>150</v>
      </c>
      <c r="B36" s="157">
        <f>12+20+28+30-60</f>
        <v>30</v>
      </c>
      <c r="C36" s="157">
        <v>14000</v>
      </c>
      <c r="D36" s="158">
        <f t="shared" si="0"/>
        <v>420000</v>
      </c>
    </row>
    <row r="37" spans="1:4" ht="18" hidden="1">
      <c r="A37" s="164" t="s">
        <v>151</v>
      </c>
      <c r="B37" s="157"/>
      <c r="C37" s="157"/>
      <c r="D37" s="158">
        <f t="shared" si="0"/>
        <v>0</v>
      </c>
    </row>
    <row r="38" spans="1:4" ht="18" hidden="1">
      <c r="A38" s="161" t="s">
        <v>192</v>
      </c>
      <c r="B38" s="157"/>
      <c r="C38" s="157"/>
      <c r="D38" s="158">
        <f t="shared" si="0"/>
        <v>0</v>
      </c>
    </row>
    <row r="39" spans="1:4" ht="18" hidden="1">
      <c r="A39" s="156" t="s">
        <v>208</v>
      </c>
      <c r="B39" s="157"/>
      <c r="C39" s="157"/>
      <c r="D39" s="158">
        <f t="shared" si="0"/>
        <v>0</v>
      </c>
    </row>
    <row r="40" spans="1:4" ht="18" hidden="1">
      <c r="A40" s="161" t="s">
        <v>334</v>
      </c>
      <c r="B40" s="157"/>
      <c r="C40" s="157"/>
      <c r="D40" s="158">
        <f t="shared" si="0"/>
        <v>0</v>
      </c>
    </row>
    <row r="41" spans="1:4" ht="18" hidden="1">
      <c r="A41" s="161" t="s">
        <v>227</v>
      </c>
      <c r="B41" s="157"/>
      <c r="C41" s="157"/>
      <c r="D41" s="158">
        <f t="shared" si="0"/>
        <v>0</v>
      </c>
    </row>
    <row r="42" spans="1:4" ht="18" hidden="1">
      <c r="A42" s="165" t="s">
        <v>228</v>
      </c>
      <c r="B42" s="157"/>
      <c r="C42" s="157"/>
      <c r="D42" s="158">
        <f t="shared" si="0"/>
        <v>0</v>
      </c>
    </row>
    <row r="43" spans="1:4" ht="18" hidden="1">
      <c r="A43" s="161" t="s">
        <v>229</v>
      </c>
      <c r="B43" s="157"/>
      <c r="C43" s="157"/>
      <c r="D43" s="158">
        <f t="shared" si="0"/>
        <v>0</v>
      </c>
    </row>
    <row r="44" spans="1:4" ht="18">
      <c r="A44" s="161" t="s">
        <v>230</v>
      </c>
      <c r="B44" s="157">
        <f>140+140+80+50-300</f>
        <v>110</v>
      </c>
      <c r="C44" s="157">
        <v>15000</v>
      </c>
      <c r="D44" s="158">
        <f t="shared" si="0"/>
        <v>1650000</v>
      </c>
    </row>
    <row r="45" spans="1:4" ht="18" hidden="1">
      <c r="A45" s="161" t="s">
        <v>231</v>
      </c>
      <c r="B45" s="157"/>
      <c r="C45" s="157"/>
      <c r="D45" s="158">
        <f t="shared" si="0"/>
        <v>0</v>
      </c>
    </row>
    <row r="46" spans="1:4" ht="18" hidden="1">
      <c r="A46" s="161" t="s">
        <v>232</v>
      </c>
      <c r="B46" s="157"/>
      <c r="C46" s="157"/>
      <c r="D46" s="158">
        <f t="shared" si="0"/>
        <v>0</v>
      </c>
    </row>
    <row r="47" spans="1:4" ht="18">
      <c r="A47" s="161" t="s">
        <v>117</v>
      </c>
      <c r="B47" s="157">
        <v>250</v>
      </c>
      <c r="C47" s="157">
        <v>7000</v>
      </c>
      <c r="D47" s="158">
        <f t="shared" si="0"/>
        <v>1750000</v>
      </c>
    </row>
    <row r="48" spans="1:4" ht="18" hidden="1">
      <c r="A48" s="166" t="s">
        <v>118</v>
      </c>
      <c r="B48" s="157"/>
      <c r="C48" s="157"/>
      <c r="D48" s="158">
        <f t="shared" si="0"/>
        <v>0</v>
      </c>
    </row>
    <row r="49" spans="1:4" ht="18" hidden="1">
      <c r="A49" s="159" t="s">
        <v>121</v>
      </c>
      <c r="B49" s="157"/>
      <c r="C49" s="157"/>
      <c r="D49" s="158">
        <f t="shared" si="0"/>
        <v>0</v>
      </c>
    </row>
    <row r="50" spans="1:4" ht="18" hidden="1">
      <c r="A50" s="161" t="s">
        <v>123</v>
      </c>
      <c r="B50" s="157"/>
      <c r="C50" s="157"/>
      <c r="D50" s="158">
        <f t="shared" si="0"/>
        <v>0</v>
      </c>
    </row>
    <row r="51" spans="1:4" ht="18" hidden="1">
      <c r="A51" s="161" t="s">
        <v>18</v>
      </c>
      <c r="B51" s="157"/>
      <c r="C51" s="157"/>
      <c r="D51" s="158">
        <f t="shared" si="0"/>
        <v>0</v>
      </c>
    </row>
    <row r="52" spans="1:4" ht="18" hidden="1">
      <c r="A52" s="161" t="s">
        <v>19</v>
      </c>
      <c r="B52" s="157"/>
      <c r="C52" s="157"/>
      <c r="D52" s="158">
        <f t="shared" si="0"/>
        <v>0</v>
      </c>
    </row>
    <row r="53" spans="1:4" ht="18" hidden="1">
      <c r="A53" s="156" t="s">
        <v>20</v>
      </c>
      <c r="B53" s="157"/>
      <c r="C53" s="157"/>
      <c r="D53" s="158">
        <f t="shared" si="0"/>
        <v>0</v>
      </c>
    </row>
    <row r="54" spans="1:4" ht="18" hidden="1">
      <c r="A54" s="161" t="s">
        <v>180</v>
      </c>
      <c r="B54" s="157"/>
      <c r="C54" s="157"/>
      <c r="D54" s="158">
        <f t="shared" si="0"/>
        <v>0</v>
      </c>
    </row>
    <row r="55" spans="1:4" ht="18" hidden="1">
      <c r="A55" s="164" t="s">
        <v>181</v>
      </c>
      <c r="B55" s="157"/>
      <c r="C55" s="157"/>
      <c r="D55" s="158">
        <f t="shared" si="0"/>
        <v>0</v>
      </c>
    </row>
    <row r="56" spans="1:4" ht="18" hidden="1">
      <c r="A56" s="159" t="s">
        <v>190</v>
      </c>
      <c r="B56" s="157"/>
      <c r="C56" s="157"/>
      <c r="D56" s="158">
        <f t="shared" si="0"/>
        <v>0</v>
      </c>
    </row>
    <row r="57" spans="1:4" ht="18" hidden="1">
      <c r="A57" s="161" t="s">
        <v>214</v>
      </c>
      <c r="B57" s="157"/>
      <c r="C57" s="157"/>
      <c r="D57" s="158">
        <f t="shared" si="0"/>
        <v>0</v>
      </c>
    </row>
    <row r="58" spans="1:4" ht="18" hidden="1">
      <c r="A58" s="167" t="s">
        <v>384</v>
      </c>
      <c r="B58" s="157"/>
      <c r="C58" s="157"/>
      <c r="D58" s="158">
        <f t="shared" si="0"/>
        <v>0</v>
      </c>
    </row>
    <row r="59" spans="1:4" ht="18" hidden="1">
      <c r="A59" s="161" t="s">
        <v>252</v>
      </c>
      <c r="B59" s="157"/>
      <c r="C59" s="157"/>
      <c r="D59" s="158">
        <f t="shared" si="0"/>
        <v>0</v>
      </c>
    </row>
    <row r="60" spans="1:4" ht="18" hidden="1">
      <c r="A60" s="161" t="s">
        <v>253</v>
      </c>
      <c r="B60" s="157"/>
      <c r="C60" s="157"/>
      <c r="D60" s="158">
        <f t="shared" si="0"/>
        <v>0</v>
      </c>
    </row>
    <row r="61" spans="1:4" ht="18" hidden="1">
      <c r="A61" s="156" t="s">
        <v>28</v>
      </c>
      <c r="B61" s="157"/>
      <c r="C61" s="157"/>
      <c r="D61" s="158">
        <f t="shared" si="0"/>
        <v>0</v>
      </c>
    </row>
    <row r="62" spans="1:4" ht="18" hidden="1">
      <c r="A62" s="168" t="s">
        <v>29</v>
      </c>
      <c r="B62" s="157"/>
      <c r="C62" s="157"/>
      <c r="D62" s="158">
        <f t="shared" si="0"/>
        <v>0</v>
      </c>
    </row>
    <row r="63" spans="1:4" ht="18" hidden="1">
      <c r="A63" s="161" t="s">
        <v>188</v>
      </c>
      <c r="B63" s="157"/>
      <c r="C63" s="157"/>
      <c r="D63" s="158">
        <f t="shared" si="0"/>
        <v>0</v>
      </c>
    </row>
    <row r="64" spans="1:4" ht="18">
      <c r="A64" s="169" t="s">
        <v>189</v>
      </c>
      <c r="B64" s="170">
        <v>7</v>
      </c>
      <c r="C64" s="170">
        <v>18000</v>
      </c>
      <c r="D64" s="158">
        <f t="shared" si="0"/>
        <v>126000</v>
      </c>
    </row>
    <row r="65" spans="1:4" ht="18" hidden="1">
      <c r="A65" s="161" t="s">
        <v>35</v>
      </c>
      <c r="B65" s="157"/>
      <c r="C65" s="157"/>
      <c r="D65" s="158">
        <f t="shared" si="0"/>
        <v>0</v>
      </c>
    </row>
    <row r="66" spans="1:4" ht="18" hidden="1">
      <c r="A66" s="159" t="s">
        <v>36</v>
      </c>
      <c r="B66" s="162"/>
      <c r="C66" s="162"/>
      <c r="D66" s="158">
        <f t="shared" si="0"/>
        <v>0</v>
      </c>
    </row>
    <row r="67" spans="1:4" ht="18" hidden="1">
      <c r="A67" s="156" t="s">
        <v>37</v>
      </c>
      <c r="B67" s="157"/>
      <c r="C67" s="157"/>
      <c r="D67" s="158">
        <f t="shared" si="0"/>
        <v>0</v>
      </c>
    </row>
    <row r="68" spans="1:4" ht="18">
      <c r="A68" s="156" t="s">
        <v>46</v>
      </c>
      <c r="B68" s="157">
        <v>2</v>
      </c>
      <c r="C68" s="157">
        <v>11000</v>
      </c>
      <c r="D68" s="158">
        <f t="shared" ref="D68:D131" si="1">B68*C68</f>
        <v>22000</v>
      </c>
    </row>
    <row r="69" spans="1:4" ht="18">
      <c r="A69" s="161" t="s">
        <v>216</v>
      </c>
      <c r="B69" s="157">
        <f>140+300+65+20</f>
        <v>525</v>
      </c>
      <c r="C69" s="157">
        <v>19000</v>
      </c>
      <c r="D69" s="158">
        <f t="shared" si="1"/>
        <v>9975000</v>
      </c>
    </row>
    <row r="70" spans="1:4" ht="18">
      <c r="A70" s="156" t="s">
        <v>217</v>
      </c>
      <c r="B70" s="157">
        <v>200</v>
      </c>
      <c r="C70" s="157">
        <v>19000</v>
      </c>
      <c r="D70" s="158">
        <f t="shared" si="1"/>
        <v>3800000</v>
      </c>
    </row>
    <row r="71" spans="1:4" ht="18" hidden="1">
      <c r="A71" s="161" t="s">
        <v>218</v>
      </c>
      <c r="B71" s="157"/>
      <c r="C71" s="157"/>
      <c r="D71" s="158">
        <f t="shared" si="1"/>
        <v>0</v>
      </c>
    </row>
    <row r="72" spans="1:4" ht="18">
      <c r="A72" s="161" t="s">
        <v>288</v>
      </c>
      <c r="B72" s="157">
        <v>8</v>
      </c>
      <c r="C72" s="157">
        <v>14000</v>
      </c>
      <c r="D72" s="158">
        <f t="shared" si="1"/>
        <v>112000</v>
      </c>
    </row>
    <row r="73" spans="1:4" ht="18" hidden="1">
      <c r="A73" s="161" t="s">
        <v>289</v>
      </c>
      <c r="B73" s="157"/>
      <c r="C73" s="157"/>
      <c r="D73" s="158">
        <f t="shared" si="1"/>
        <v>0</v>
      </c>
    </row>
    <row r="74" spans="1:4" ht="18">
      <c r="A74" s="171" t="s">
        <v>6</v>
      </c>
      <c r="B74" s="157">
        <v>13</v>
      </c>
      <c r="C74" s="157">
        <v>14000</v>
      </c>
      <c r="D74" s="158">
        <f t="shared" si="1"/>
        <v>182000</v>
      </c>
    </row>
    <row r="75" spans="1:4" ht="18" hidden="1">
      <c r="A75" s="172" t="s">
        <v>8</v>
      </c>
      <c r="B75" s="157"/>
      <c r="C75" s="157"/>
      <c r="D75" s="158">
        <f t="shared" si="1"/>
        <v>0</v>
      </c>
    </row>
    <row r="76" spans="1:4" ht="18" hidden="1">
      <c r="A76" s="171" t="s">
        <v>10</v>
      </c>
      <c r="B76" s="157"/>
      <c r="C76" s="157"/>
      <c r="D76" s="158">
        <f t="shared" si="1"/>
        <v>0</v>
      </c>
    </row>
    <row r="77" spans="1:4" ht="18" hidden="1">
      <c r="A77" s="164" t="s">
        <v>75</v>
      </c>
      <c r="B77" s="157"/>
      <c r="C77" s="157"/>
      <c r="D77" s="158">
        <f t="shared" si="1"/>
        <v>0</v>
      </c>
    </row>
    <row r="78" spans="1:4" ht="18" hidden="1">
      <c r="A78" s="173" t="s">
        <v>313</v>
      </c>
      <c r="B78" s="157"/>
      <c r="C78" s="157"/>
      <c r="D78" s="158">
        <f t="shared" si="1"/>
        <v>0</v>
      </c>
    </row>
    <row r="79" spans="1:4" ht="18" hidden="1">
      <c r="A79" s="173" t="s">
        <v>324</v>
      </c>
      <c r="B79" s="157"/>
      <c r="C79" s="157"/>
      <c r="D79" s="158">
        <f t="shared" si="1"/>
        <v>0</v>
      </c>
    </row>
    <row r="80" spans="1:4" ht="18" hidden="1">
      <c r="A80" s="173" t="s">
        <v>325</v>
      </c>
      <c r="B80" s="157"/>
      <c r="C80" s="157"/>
      <c r="D80" s="158">
        <f t="shared" si="1"/>
        <v>0</v>
      </c>
    </row>
    <row r="81" spans="1:4" ht="18" hidden="1">
      <c r="A81" s="173" t="s">
        <v>327</v>
      </c>
      <c r="B81" s="157"/>
      <c r="C81" s="157"/>
      <c r="D81" s="158">
        <f t="shared" si="1"/>
        <v>0</v>
      </c>
    </row>
    <row r="82" spans="1:4" ht="18" hidden="1">
      <c r="A82" s="161" t="s">
        <v>336</v>
      </c>
      <c r="B82" s="174"/>
      <c r="C82" s="174"/>
      <c r="D82" s="158">
        <f t="shared" si="1"/>
        <v>0</v>
      </c>
    </row>
    <row r="83" spans="1:4" ht="18" hidden="1">
      <c r="A83" s="161" t="s">
        <v>99</v>
      </c>
      <c r="B83" s="157"/>
      <c r="C83" s="157"/>
      <c r="D83" s="158">
        <f t="shared" si="1"/>
        <v>0</v>
      </c>
    </row>
    <row r="84" spans="1:4" ht="18">
      <c r="A84" s="161" t="s">
        <v>100</v>
      </c>
      <c r="B84" s="157">
        <v>8</v>
      </c>
      <c r="C84" s="157">
        <v>19000</v>
      </c>
      <c r="D84" s="158">
        <f t="shared" si="1"/>
        <v>152000</v>
      </c>
    </row>
    <row r="85" spans="1:4" ht="18" hidden="1">
      <c r="A85" s="161" t="s">
        <v>101</v>
      </c>
      <c r="B85" s="157"/>
      <c r="C85" s="157"/>
      <c r="D85" s="158">
        <f t="shared" si="1"/>
        <v>0</v>
      </c>
    </row>
    <row r="86" spans="1:4" ht="18" hidden="1">
      <c r="A86" s="161" t="s">
        <v>102</v>
      </c>
      <c r="B86" s="157"/>
      <c r="C86" s="157"/>
      <c r="D86" s="158">
        <f t="shared" si="1"/>
        <v>0</v>
      </c>
    </row>
    <row r="87" spans="1:4" ht="18" hidden="1">
      <c r="A87" s="161" t="s">
        <v>103</v>
      </c>
      <c r="B87" s="157"/>
      <c r="C87" s="157"/>
      <c r="D87" s="158">
        <f t="shared" si="1"/>
        <v>0</v>
      </c>
    </row>
    <row r="88" spans="1:4" ht="18">
      <c r="A88" s="161" t="s">
        <v>191</v>
      </c>
      <c r="B88" s="157">
        <v>1</v>
      </c>
      <c r="C88" s="157">
        <v>45000</v>
      </c>
      <c r="D88" s="158">
        <f t="shared" si="1"/>
        <v>45000</v>
      </c>
    </row>
    <row r="89" spans="1:4" ht="18" hidden="1">
      <c r="A89" s="175" t="s">
        <v>251</v>
      </c>
      <c r="B89" s="157"/>
      <c r="C89" s="157"/>
      <c r="D89" s="158">
        <f t="shared" si="1"/>
        <v>0</v>
      </c>
    </row>
    <row r="90" spans="1:4" ht="18" hidden="1">
      <c r="A90" s="161" t="s">
        <v>257</v>
      </c>
      <c r="B90" s="157"/>
      <c r="C90" s="157"/>
      <c r="D90" s="158">
        <f t="shared" si="1"/>
        <v>0</v>
      </c>
    </row>
    <row r="91" spans="1:4" ht="18" hidden="1">
      <c r="A91" s="161" t="s">
        <v>258</v>
      </c>
      <c r="B91" s="157"/>
      <c r="C91" s="157"/>
      <c r="D91" s="158">
        <f t="shared" si="1"/>
        <v>0</v>
      </c>
    </row>
    <row r="92" spans="1:4" ht="18" hidden="1">
      <c r="A92" s="161" t="s">
        <v>280</v>
      </c>
      <c r="B92" s="162"/>
      <c r="C92" s="162"/>
      <c r="D92" s="158">
        <f t="shared" si="1"/>
        <v>0</v>
      </c>
    </row>
    <row r="93" spans="1:4" ht="18" hidden="1">
      <c r="A93" s="173" t="s">
        <v>281</v>
      </c>
      <c r="B93" s="157"/>
      <c r="C93" s="157"/>
      <c r="D93" s="158">
        <f t="shared" si="1"/>
        <v>0</v>
      </c>
    </row>
    <row r="94" spans="1:4" ht="18" hidden="1">
      <c r="A94" s="156" t="s">
        <v>311</v>
      </c>
      <c r="B94" s="157"/>
      <c r="C94" s="157"/>
      <c r="D94" s="158">
        <f t="shared" si="1"/>
        <v>0</v>
      </c>
    </row>
    <row r="95" spans="1:4" ht="18" hidden="1">
      <c r="A95" s="164" t="s">
        <v>312</v>
      </c>
      <c r="B95" s="157"/>
      <c r="C95" s="157"/>
      <c r="D95" s="158">
        <f t="shared" si="1"/>
        <v>0</v>
      </c>
    </row>
    <row r="96" spans="1:4" ht="18" hidden="1">
      <c r="A96" s="161" t="s">
        <v>137</v>
      </c>
      <c r="B96" s="157"/>
      <c r="C96" s="157"/>
      <c r="D96" s="158">
        <f t="shared" si="1"/>
        <v>0</v>
      </c>
    </row>
    <row r="97" spans="1:4" ht="18" hidden="1">
      <c r="A97" s="164" t="s">
        <v>53</v>
      </c>
      <c r="B97" s="157"/>
      <c r="C97" s="157"/>
      <c r="D97" s="158">
        <f t="shared" si="1"/>
        <v>0</v>
      </c>
    </row>
    <row r="98" spans="1:4" ht="18" hidden="1">
      <c r="A98" s="161" t="s">
        <v>55</v>
      </c>
      <c r="B98" s="157"/>
      <c r="C98" s="157"/>
      <c r="D98" s="158">
        <f t="shared" si="1"/>
        <v>0</v>
      </c>
    </row>
    <row r="99" spans="1:4" ht="18" hidden="1">
      <c r="A99" s="161" t="s">
        <v>56</v>
      </c>
      <c r="B99" s="157"/>
      <c r="C99" s="157"/>
      <c r="D99" s="158">
        <f t="shared" si="1"/>
        <v>0</v>
      </c>
    </row>
    <row r="100" spans="1:4" ht="18" hidden="1">
      <c r="A100" s="164" t="s">
        <v>299</v>
      </c>
      <c r="B100" s="157"/>
      <c r="C100" s="157"/>
      <c r="D100" s="158">
        <f t="shared" si="1"/>
        <v>0</v>
      </c>
    </row>
    <row r="101" spans="1:4" ht="18" hidden="1">
      <c r="A101" s="164" t="s">
        <v>300</v>
      </c>
      <c r="B101" s="157"/>
      <c r="C101" s="157"/>
      <c r="D101" s="158">
        <f t="shared" si="1"/>
        <v>0</v>
      </c>
    </row>
    <row r="102" spans="1:4" ht="18" hidden="1">
      <c r="A102" s="176" t="s">
        <v>301</v>
      </c>
      <c r="B102" s="157"/>
      <c r="C102" s="157"/>
      <c r="D102" s="158">
        <f t="shared" si="1"/>
        <v>0</v>
      </c>
    </row>
    <row r="103" spans="1:4" ht="18" hidden="1">
      <c r="A103" s="177" t="s">
        <v>156</v>
      </c>
      <c r="B103" s="162"/>
      <c r="C103" s="162"/>
      <c r="D103" s="158">
        <f t="shared" si="1"/>
        <v>0</v>
      </c>
    </row>
    <row r="104" spans="1:4" ht="18" hidden="1">
      <c r="A104" s="177" t="s">
        <v>157</v>
      </c>
      <c r="B104" s="162"/>
      <c r="C104" s="162"/>
      <c r="D104" s="158">
        <f t="shared" si="1"/>
        <v>0</v>
      </c>
    </row>
    <row r="105" spans="1:4" ht="18" hidden="1">
      <c r="A105" s="161" t="s">
        <v>159</v>
      </c>
      <c r="B105" s="162"/>
      <c r="C105" s="162"/>
      <c r="D105" s="158">
        <f t="shared" si="1"/>
        <v>0</v>
      </c>
    </row>
    <row r="106" spans="1:4" ht="18" hidden="1">
      <c r="A106" s="161" t="s">
        <v>160</v>
      </c>
      <c r="B106" s="162"/>
      <c r="C106" s="162"/>
      <c r="D106" s="158">
        <f t="shared" si="1"/>
        <v>0</v>
      </c>
    </row>
    <row r="107" spans="1:4" ht="18" hidden="1">
      <c r="A107" s="161" t="s">
        <v>161</v>
      </c>
      <c r="B107" s="162"/>
      <c r="C107" s="162"/>
      <c r="D107" s="158">
        <f t="shared" si="1"/>
        <v>0</v>
      </c>
    </row>
    <row r="108" spans="1:4" ht="18" hidden="1">
      <c r="A108" s="161" t="s">
        <v>162</v>
      </c>
      <c r="B108" s="162"/>
      <c r="C108" s="162"/>
      <c r="D108" s="158">
        <f t="shared" si="1"/>
        <v>0</v>
      </c>
    </row>
    <row r="109" spans="1:4" ht="18" hidden="1">
      <c r="A109" s="161" t="s">
        <v>164</v>
      </c>
      <c r="B109" s="162"/>
      <c r="C109" s="162"/>
      <c r="D109" s="158">
        <f t="shared" si="1"/>
        <v>0</v>
      </c>
    </row>
    <row r="110" spans="1:4" ht="18" hidden="1">
      <c r="A110" s="161" t="s">
        <v>165</v>
      </c>
      <c r="B110" s="162"/>
      <c r="C110" s="162"/>
      <c r="D110" s="158">
        <f t="shared" si="1"/>
        <v>0</v>
      </c>
    </row>
    <row r="111" spans="1:4" ht="18" hidden="1">
      <c r="A111" s="161" t="s">
        <v>166</v>
      </c>
      <c r="B111" s="162"/>
      <c r="C111" s="162"/>
      <c r="D111" s="158">
        <f t="shared" si="1"/>
        <v>0</v>
      </c>
    </row>
    <row r="112" spans="1:4" ht="18" hidden="1">
      <c r="A112" s="161" t="s">
        <v>176</v>
      </c>
      <c r="B112" s="162"/>
      <c r="C112" s="162"/>
      <c r="D112" s="158">
        <f t="shared" si="1"/>
        <v>0</v>
      </c>
    </row>
    <row r="113" spans="1:4" ht="18" hidden="1">
      <c r="A113" s="161" t="s">
        <v>177</v>
      </c>
      <c r="B113" s="162"/>
      <c r="C113" s="162"/>
      <c r="D113" s="158">
        <f t="shared" si="1"/>
        <v>0</v>
      </c>
    </row>
    <row r="114" spans="1:4" ht="18" hidden="1">
      <c r="A114" s="161" t="s">
        <v>178</v>
      </c>
      <c r="B114" s="162"/>
      <c r="C114" s="162"/>
      <c r="D114" s="158">
        <f t="shared" si="1"/>
        <v>0</v>
      </c>
    </row>
    <row r="115" spans="1:4" ht="18" hidden="1">
      <c r="A115" s="156" t="s">
        <v>42</v>
      </c>
      <c r="B115" s="157"/>
      <c r="C115" s="157"/>
      <c r="D115" s="158">
        <f t="shared" si="1"/>
        <v>0</v>
      </c>
    </row>
    <row r="116" spans="1:4" ht="18">
      <c r="A116" s="156" t="s">
        <v>65</v>
      </c>
      <c r="B116" s="157">
        <f>40+480+360+100+60-300</f>
        <v>740</v>
      </c>
      <c r="C116" s="157">
        <v>16000</v>
      </c>
      <c r="D116" s="158">
        <f t="shared" si="1"/>
        <v>11840000</v>
      </c>
    </row>
    <row r="117" spans="1:4" ht="18">
      <c r="A117" s="161" t="s">
        <v>76</v>
      </c>
      <c r="B117" s="157">
        <f>50+130-55</f>
        <v>125</v>
      </c>
      <c r="C117" s="157">
        <v>13000</v>
      </c>
      <c r="D117" s="158">
        <f t="shared" si="1"/>
        <v>1625000</v>
      </c>
    </row>
    <row r="118" spans="1:4" ht="18" hidden="1">
      <c r="A118" s="161" t="s">
        <v>89</v>
      </c>
      <c r="B118" s="157"/>
      <c r="C118" s="157"/>
      <c r="D118" s="158">
        <f t="shared" si="1"/>
        <v>0</v>
      </c>
    </row>
    <row r="119" spans="1:4" ht="18" hidden="1">
      <c r="A119" s="161" t="s">
        <v>23</v>
      </c>
      <c r="B119" s="157"/>
      <c r="C119" s="157"/>
      <c r="D119" s="158">
        <f t="shared" si="1"/>
        <v>0</v>
      </c>
    </row>
    <row r="120" spans="1:4" ht="18" hidden="1">
      <c r="A120" s="161" t="s">
        <v>286</v>
      </c>
      <c r="B120" s="157"/>
      <c r="C120" s="157"/>
      <c r="D120" s="158">
        <f t="shared" si="1"/>
        <v>0</v>
      </c>
    </row>
    <row r="121" spans="1:4" ht="18">
      <c r="A121" s="161" t="s">
        <v>27</v>
      </c>
      <c r="B121" s="157">
        <f>1500+330+40-100-1000</f>
        <v>770</v>
      </c>
      <c r="C121" s="157">
        <v>13000</v>
      </c>
      <c r="D121" s="158">
        <f t="shared" si="1"/>
        <v>10010000</v>
      </c>
    </row>
    <row r="122" spans="1:4" ht="18" hidden="1">
      <c r="A122" s="161" t="s">
        <v>51</v>
      </c>
      <c r="B122" s="157"/>
      <c r="C122" s="157"/>
      <c r="D122" s="158">
        <f t="shared" si="1"/>
        <v>0</v>
      </c>
    </row>
    <row r="123" spans="1:4" ht="18" hidden="1">
      <c r="A123" s="159" t="s">
        <v>61</v>
      </c>
      <c r="B123" s="157"/>
      <c r="C123" s="157"/>
      <c r="D123" s="158">
        <f t="shared" si="1"/>
        <v>0</v>
      </c>
    </row>
    <row r="124" spans="1:4" ht="18" hidden="1">
      <c r="A124" s="173" t="s">
        <v>62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61" t="s">
        <v>163</v>
      </c>
      <c r="B131" s="162"/>
      <c r="C131" s="162"/>
      <c r="D131" s="158">
        <f t="shared" si="1"/>
        <v>0</v>
      </c>
    </row>
    <row r="132" spans="1:4" ht="18" hidden="1">
      <c r="A132" s="164" t="s">
        <v>233</v>
      </c>
      <c r="B132" s="157"/>
      <c r="C132" s="157"/>
      <c r="D132" s="158">
        <f t="shared" ref="D132:D195" si="2">B132*C132</f>
        <v>0</v>
      </c>
    </row>
    <row r="133" spans="1:4" ht="18" hidden="1">
      <c r="A133" s="164" t="s">
        <v>234</v>
      </c>
      <c r="B133" s="157"/>
      <c r="C133" s="157"/>
      <c r="D133" s="158">
        <f t="shared" si="2"/>
        <v>0</v>
      </c>
    </row>
    <row r="134" spans="1:4" ht="18">
      <c r="A134" s="164" t="s">
        <v>235</v>
      </c>
      <c r="B134" s="157">
        <v>1.8</v>
      </c>
      <c r="C134" s="157">
        <v>45000</v>
      </c>
      <c r="D134" s="158">
        <f t="shared" si="2"/>
        <v>81000</v>
      </c>
    </row>
    <row r="135" spans="1:4" ht="18" hidden="1">
      <c r="A135" s="164" t="s">
        <v>236</v>
      </c>
      <c r="B135" s="157"/>
      <c r="C135" s="157"/>
      <c r="D135" s="158">
        <f t="shared" si="2"/>
        <v>0</v>
      </c>
    </row>
    <row r="136" spans="1:4" ht="18" hidden="1">
      <c r="A136" s="161" t="s">
        <v>237</v>
      </c>
      <c r="B136" s="157"/>
      <c r="C136" s="157"/>
      <c r="D136" s="158">
        <f t="shared" si="2"/>
        <v>0</v>
      </c>
    </row>
    <row r="137" spans="1:4" ht="18" hidden="1">
      <c r="A137" s="161" t="s">
        <v>238</v>
      </c>
      <c r="B137" s="157"/>
      <c r="C137" s="157"/>
      <c r="D137" s="158">
        <f t="shared" si="2"/>
        <v>0</v>
      </c>
    </row>
    <row r="138" spans="1:4" ht="18" hidden="1">
      <c r="A138" s="164" t="s">
        <v>239</v>
      </c>
      <c r="B138" s="157"/>
      <c r="C138" s="157"/>
      <c r="D138" s="158">
        <f t="shared" si="2"/>
        <v>0</v>
      </c>
    </row>
    <row r="139" spans="1:4" ht="18" hidden="1">
      <c r="A139" s="164" t="s">
        <v>240</v>
      </c>
      <c r="B139" s="157"/>
      <c r="C139" s="157"/>
      <c r="D139" s="158">
        <f t="shared" si="2"/>
        <v>0</v>
      </c>
    </row>
    <row r="140" spans="1:4" ht="18" hidden="1">
      <c r="A140" s="161" t="s">
        <v>259</v>
      </c>
      <c r="B140" s="162"/>
      <c r="C140" s="162"/>
      <c r="D140" s="158">
        <f t="shared" si="2"/>
        <v>0</v>
      </c>
    </row>
    <row r="141" spans="1:4" ht="18" hidden="1">
      <c r="A141" s="161" t="s">
        <v>261</v>
      </c>
      <c r="B141" s="162"/>
      <c r="C141" s="162"/>
      <c r="D141" s="158">
        <f t="shared" si="2"/>
        <v>0</v>
      </c>
    </row>
    <row r="142" spans="1:4" ht="18" hidden="1">
      <c r="A142" s="156" t="s">
        <v>295</v>
      </c>
      <c r="B142" s="162"/>
      <c r="C142" s="162"/>
      <c r="D142" s="158">
        <f t="shared" si="2"/>
        <v>0</v>
      </c>
    </row>
    <row r="143" spans="1:4" ht="18" hidden="1">
      <c r="A143" s="156" t="s">
        <v>296</v>
      </c>
      <c r="B143" s="157"/>
      <c r="C143" s="157"/>
      <c r="D143" s="158">
        <f t="shared" si="2"/>
        <v>0</v>
      </c>
    </row>
    <row r="144" spans="1:4" ht="18">
      <c r="A144" s="161" t="s">
        <v>308</v>
      </c>
      <c r="B144" s="157">
        <v>7</v>
      </c>
      <c r="C144" s="157">
        <v>10500</v>
      </c>
      <c r="D144" s="158">
        <f t="shared" si="2"/>
        <v>73500</v>
      </c>
    </row>
    <row r="145" spans="1:4" ht="18" hidden="1">
      <c r="A145" s="173" t="s">
        <v>309</v>
      </c>
      <c r="B145" s="157"/>
      <c r="C145" s="157"/>
      <c r="D145" s="158">
        <f t="shared" si="2"/>
        <v>0</v>
      </c>
    </row>
    <row r="146" spans="1:4" ht="18" hidden="1">
      <c r="A146" s="156" t="s">
        <v>319</v>
      </c>
      <c r="B146" s="157"/>
      <c r="C146" s="157"/>
      <c r="D146" s="158">
        <f t="shared" si="2"/>
        <v>0</v>
      </c>
    </row>
    <row r="147" spans="1:4" ht="18">
      <c r="A147" s="161" t="s">
        <v>219</v>
      </c>
      <c r="B147" s="157">
        <f>30+220+400-400</f>
        <v>250</v>
      </c>
      <c r="C147" s="157">
        <v>14000</v>
      </c>
      <c r="D147" s="158">
        <f t="shared" si="2"/>
        <v>3500000</v>
      </c>
    </row>
    <row r="148" spans="1:4" ht="18" hidden="1">
      <c r="A148" s="175" t="s">
        <v>220</v>
      </c>
      <c r="B148" s="157"/>
      <c r="C148" s="157"/>
      <c r="D148" s="158">
        <f t="shared" si="2"/>
        <v>0</v>
      </c>
    </row>
    <row r="149" spans="1:4" ht="18" hidden="1">
      <c r="A149" s="175" t="s">
        <v>221</v>
      </c>
      <c r="B149" s="157"/>
      <c r="C149" s="157"/>
      <c r="D149" s="158">
        <f t="shared" si="2"/>
        <v>0</v>
      </c>
    </row>
    <row r="150" spans="1:4" ht="18" hidden="1">
      <c r="A150" s="161" t="s">
        <v>52</v>
      </c>
      <c r="B150" s="157"/>
      <c r="C150" s="157"/>
      <c r="D150" s="158">
        <f t="shared" si="2"/>
        <v>0</v>
      </c>
    </row>
    <row r="151" spans="1:4" ht="18" hidden="1">
      <c r="A151" s="161" t="s">
        <v>292</v>
      </c>
      <c r="B151" s="157"/>
      <c r="C151" s="157"/>
      <c r="D151" s="158">
        <f t="shared" si="2"/>
        <v>0</v>
      </c>
    </row>
    <row r="152" spans="1:4" ht="18" hidden="1">
      <c r="A152" s="161" t="s">
        <v>66</v>
      </c>
      <c r="B152" s="157"/>
      <c r="C152" s="157"/>
      <c r="D152" s="158">
        <f t="shared" si="2"/>
        <v>0</v>
      </c>
    </row>
    <row r="153" spans="1:4" ht="18" hidden="1">
      <c r="A153" s="164" t="s">
        <v>67</v>
      </c>
      <c r="B153" s="157"/>
      <c r="C153" s="157"/>
      <c r="D153" s="158">
        <f t="shared" si="2"/>
        <v>0</v>
      </c>
    </row>
    <row r="154" spans="1:4" ht="18">
      <c r="A154" s="164" t="s">
        <v>69</v>
      </c>
      <c r="B154" s="157">
        <v>38</v>
      </c>
      <c r="C154" s="157">
        <v>6900</v>
      </c>
      <c r="D154" s="158">
        <f t="shared" si="2"/>
        <v>262200</v>
      </c>
    </row>
    <row r="155" spans="1:4" ht="18" hidden="1">
      <c r="A155" s="164" t="s">
        <v>70</v>
      </c>
      <c r="B155" s="157"/>
      <c r="C155" s="157"/>
      <c r="D155" s="158">
        <f t="shared" si="2"/>
        <v>0</v>
      </c>
    </row>
    <row r="156" spans="1:4" ht="18" hidden="1">
      <c r="A156" s="161" t="s">
        <v>71</v>
      </c>
      <c r="B156" s="157"/>
      <c r="C156" s="157"/>
      <c r="D156" s="158">
        <f t="shared" si="2"/>
        <v>0</v>
      </c>
    </row>
    <row r="157" spans="1:4" ht="18" hidden="1">
      <c r="A157" s="159" t="s">
        <v>72</v>
      </c>
      <c r="B157" s="157"/>
      <c r="C157" s="157"/>
      <c r="D157" s="158">
        <f t="shared" si="2"/>
        <v>0</v>
      </c>
    </row>
    <row r="158" spans="1:4" ht="18" hidden="1">
      <c r="A158" s="180" t="s">
        <v>73</v>
      </c>
      <c r="B158" s="157"/>
      <c r="C158" s="157"/>
      <c r="D158" s="158">
        <f t="shared" si="2"/>
        <v>0</v>
      </c>
    </row>
    <row r="159" spans="1:4" ht="18" hidden="1">
      <c r="A159" s="161" t="s">
        <v>74</v>
      </c>
      <c r="B159" s="157"/>
      <c r="C159" s="157"/>
      <c r="D159" s="158">
        <f t="shared" si="2"/>
        <v>0</v>
      </c>
    </row>
    <row r="160" spans="1:4" ht="18" hidden="1">
      <c r="A160" s="161" t="s">
        <v>78</v>
      </c>
      <c r="B160" s="157"/>
      <c r="C160" s="157"/>
      <c r="D160" s="158">
        <f t="shared" si="2"/>
        <v>0</v>
      </c>
    </row>
    <row r="161" spans="1:4" ht="18" hidden="1">
      <c r="A161" s="161" t="s">
        <v>79</v>
      </c>
      <c r="B161" s="157"/>
      <c r="C161" s="157"/>
      <c r="D161" s="158">
        <f t="shared" si="2"/>
        <v>0</v>
      </c>
    </row>
    <row r="162" spans="1:4" ht="18" hidden="1">
      <c r="A162" s="160" t="s">
        <v>80</v>
      </c>
      <c r="B162" s="157"/>
      <c r="C162" s="157"/>
      <c r="D162" s="158">
        <f t="shared" si="2"/>
        <v>0</v>
      </c>
    </row>
    <row r="163" spans="1:4" ht="18" hidden="1">
      <c r="A163" s="161" t="s">
        <v>155</v>
      </c>
      <c r="B163" s="157"/>
      <c r="C163" s="157"/>
      <c r="D163" s="158">
        <f t="shared" si="2"/>
        <v>0</v>
      </c>
    </row>
    <row r="164" spans="1:4" ht="18" hidden="1">
      <c r="A164" s="161" t="s">
        <v>167</v>
      </c>
      <c r="B164" s="157"/>
      <c r="C164" s="157"/>
      <c r="D164" s="158">
        <f t="shared" si="2"/>
        <v>0</v>
      </c>
    </row>
    <row r="165" spans="1:4" ht="18" hidden="1">
      <c r="A165" s="161" t="s">
        <v>168</v>
      </c>
      <c r="B165" s="157"/>
      <c r="C165" s="157"/>
      <c r="D165" s="158">
        <f t="shared" si="2"/>
        <v>0</v>
      </c>
    </row>
    <row r="166" spans="1:4" ht="18" hidden="1">
      <c r="A166" s="161" t="s">
        <v>169</v>
      </c>
      <c r="B166" s="157"/>
      <c r="C166" s="157"/>
      <c r="D166" s="158">
        <f t="shared" si="2"/>
        <v>0</v>
      </c>
    </row>
    <row r="167" spans="1:4" ht="18" hidden="1">
      <c r="A167" s="161" t="s">
        <v>170</v>
      </c>
      <c r="B167" s="157"/>
      <c r="C167" s="157"/>
      <c r="D167" s="158">
        <f t="shared" si="2"/>
        <v>0</v>
      </c>
    </row>
    <row r="168" spans="1:4" ht="18" hidden="1">
      <c r="A168" s="164" t="s">
        <v>171</v>
      </c>
      <c r="B168" s="157"/>
      <c r="C168" s="157"/>
      <c r="D168" s="158">
        <f t="shared" si="2"/>
        <v>0</v>
      </c>
    </row>
    <row r="169" spans="1:4" ht="18">
      <c r="A169" s="161" t="s">
        <v>90</v>
      </c>
      <c r="B169" s="157">
        <f>60+30+65-150</f>
        <v>5</v>
      </c>
      <c r="C169" s="157">
        <v>25000</v>
      </c>
      <c r="D169" s="158">
        <f t="shared" si="2"/>
        <v>125000</v>
      </c>
    </row>
    <row r="170" spans="1:4" ht="18" hidden="1">
      <c r="A170" s="173" t="s">
        <v>91</v>
      </c>
      <c r="B170" s="157"/>
      <c r="C170" s="157"/>
      <c r="D170" s="158">
        <f t="shared" si="2"/>
        <v>0</v>
      </c>
    </row>
    <row r="171" spans="1:4" ht="18">
      <c r="A171" s="161" t="s">
        <v>92</v>
      </c>
      <c r="B171" s="157">
        <v>18</v>
      </c>
      <c r="C171" s="157">
        <v>27000</v>
      </c>
      <c r="D171" s="158">
        <f t="shared" si="2"/>
        <v>486000</v>
      </c>
    </row>
    <row r="172" spans="1:4" ht="18">
      <c r="A172" s="161" t="s">
        <v>94</v>
      </c>
      <c r="B172" s="157">
        <v>5</v>
      </c>
      <c r="C172" s="157">
        <v>22000</v>
      </c>
      <c r="D172" s="158">
        <f t="shared" si="2"/>
        <v>110000</v>
      </c>
    </row>
    <row r="173" spans="1:4" ht="18" hidden="1">
      <c r="A173" s="161" t="s">
        <v>95</v>
      </c>
      <c r="B173" s="157"/>
      <c r="C173" s="157"/>
      <c r="D173" s="158">
        <f t="shared" si="2"/>
        <v>0</v>
      </c>
    </row>
    <row r="174" spans="1:4" ht="18" hidden="1">
      <c r="A174" s="173" t="s">
        <v>109</v>
      </c>
      <c r="B174" s="157"/>
      <c r="C174" s="157"/>
      <c r="D174" s="158">
        <f t="shared" si="2"/>
        <v>0</v>
      </c>
    </row>
    <row r="175" spans="1:4" ht="18" hidden="1">
      <c r="A175" s="161" t="s">
        <v>321</v>
      </c>
      <c r="B175" s="157"/>
      <c r="C175" s="157"/>
      <c r="D175" s="158">
        <f t="shared" si="2"/>
        <v>0</v>
      </c>
    </row>
    <row r="176" spans="1:4" ht="18" hidden="1">
      <c r="A176" s="156" t="s">
        <v>335</v>
      </c>
      <c r="B176" s="157"/>
      <c r="C176" s="157"/>
      <c r="D176" s="158">
        <f t="shared" si="2"/>
        <v>0</v>
      </c>
    </row>
    <row r="177" spans="1:4" ht="18" hidden="1">
      <c r="A177" s="161" t="s">
        <v>338</v>
      </c>
      <c r="B177" s="157"/>
      <c r="C177" s="157"/>
      <c r="D177" s="158">
        <f t="shared" si="2"/>
        <v>0</v>
      </c>
    </row>
    <row r="178" spans="1:4" ht="18" hidden="1">
      <c r="A178" s="163" t="s">
        <v>106</v>
      </c>
      <c r="B178" s="157"/>
      <c r="C178" s="157"/>
      <c r="D178" s="158">
        <f t="shared" si="2"/>
        <v>0</v>
      </c>
    </row>
    <row r="179" spans="1:4" ht="18" hidden="1">
      <c r="A179" s="163" t="s">
        <v>107</v>
      </c>
      <c r="B179" s="157"/>
      <c r="C179" s="157"/>
      <c r="D179" s="158">
        <f t="shared" si="2"/>
        <v>0</v>
      </c>
    </row>
    <row r="180" spans="1:4" ht="18" hidden="1">
      <c r="A180" s="159" t="s">
        <v>108</v>
      </c>
      <c r="B180" s="157"/>
      <c r="C180" s="157"/>
      <c r="D180" s="158">
        <f t="shared" si="2"/>
        <v>0</v>
      </c>
    </row>
    <row r="181" spans="1:4" ht="18" hidden="1">
      <c r="A181" s="156" t="s">
        <v>196</v>
      </c>
      <c r="B181" s="157"/>
      <c r="C181" s="157"/>
      <c r="D181" s="158">
        <f t="shared" si="2"/>
        <v>0</v>
      </c>
    </row>
    <row r="182" spans="1:4" ht="18" hidden="1">
      <c r="A182" s="156" t="s">
        <v>197</v>
      </c>
      <c r="B182" s="157"/>
      <c r="C182" s="157"/>
      <c r="D182" s="158">
        <f t="shared" si="2"/>
        <v>0</v>
      </c>
    </row>
    <row r="183" spans="1:4" ht="18">
      <c r="A183" s="156" t="s">
        <v>198</v>
      </c>
      <c r="B183" s="157">
        <f>480+30+710-500</f>
        <v>720</v>
      </c>
      <c r="C183" s="157">
        <v>6800</v>
      </c>
      <c r="D183" s="158">
        <f t="shared" si="2"/>
        <v>4896000</v>
      </c>
    </row>
    <row r="184" spans="1:4" ht="18">
      <c r="A184" s="161" t="s">
        <v>199</v>
      </c>
      <c r="B184" s="157">
        <v>30</v>
      </c>
      <c r="C184" s="157">
        <v>3000</v>
      </c>
      <c r="D184" s="158">
        <f t="shared" si="2"/>
        <v>90000</v>
      </c>
    </row>
    <row r="185" spans="1:4" ht="18" hidden="1">
      <c r="A185" s="156" t="s">
        <v>200</v>
      </c>
      <c r="B185" s="157"/>
      <c r="C185" s="157"/>
      <c r="D185" s="158">
        <f t="shared" si="2"/>
        <v>0</v>
      </c>
    </row>
    <row r="186" spans="1:4" ht="18">
      <c r="A186" s="156" t="s">
        <v>201</v>
      </c>
      <c r="B186" s="157">
        <v>20</v>
      </c>
      <c r="C186" s="157">
        <v>20000</v>
      </c>
      <c r="D186" s="158">
        <f t="shared" si="2"/>
        <v>400000</v>
      </c>
    </row>
    <row r="187" spans="1:4" ht="18" hidden="1">
      <c r="A187" s="156" t="s">
        <v>202</v>
      </c>
      <c r="B187" s="157"/>
      <c r="C187" s="157"/>
      <c r="D187" s="158">
        <f t="shared" si="2"/>
        <v>0</v>
      </c>
    </row>
    <row r="188" spans="1:4" ht="18" hidden="1">
      <c r="A188" s="161" t="s">
        <v>203</v>
      </c>
      <c r="B188" s="157"/>
      <c r="C188" s="157"/>
      <c r="D188" s="158">
        <f t="shared" si="2"/>
        <v>0</v>
      </c>
    </row>
    <row r="189" spans="1:4" ht="18">
      <c r="A189" s="161" t="s">
        <v>225</v>
      </c>
      <c r="B189" s="157">
        <v>5</v>
      </c>
      <c r="C189" s="157">
        <v>12000</v>
      </c>
      <c r="D189" s="158">
        <f t="shared" si="2"/>
        <v>60000</v>
      </c>
    </row>
    <row r="190" spans="1:4" ht="18" hidden="1">
      <c r="A190" s="161" t="s">
        <v>226</v>
      </c>
      <c r="B190" s="157"/>
      <c r="C190" s="157"/>
      <c r="D190" s="158">
        <f t="shared" si="2"/>
        <v>0</v>
      </c>
    </row>
    <row r="191" spans="1:4" ht="18" hidden="1">
      <c r="A191" s="161" t="s">
        <v>119</v>
      </c>
      <c r="B191" s="157"/>
      <c r="C191" s="157"/>
      <c r="D191" s="158">
        <f t="shared" si="2"/>
        <v>0</v>
      </c>
    </row>
    <row r="192" spans="1:4" ht="18" hidden="1">
      <c r="A192" s="161" t="s">
        <v>120</v>
      </c>
      <c r="B192" s="157"/>
      <c r="C192" s="157"/>
      <c r="D192" s="158">
        <f t="shared" si="2"/>
        <v>0</v>
      </c>
    </row>
    <row r="193" spans="1:4" ht="18" hidden="1">
      <c r="A193" s="161" t="s">
        <v>104</v>
      </c>
      <c r="B193" s="157"/>
      <c r="C193" s="157"/>
      <c r="D193" s="158">
        <f t="shared" si="2"/>
        <v>0</v>
      </c>
    </row>
    <row r="194" spans="1:4" ht="18" hidden="1">
      <c r="A194" s="163" t="s">
        <v>105</v>
      </c>
      <c r="B194" s="157"/>
      <c r="C194" s="157"/>
      <c r="D194" s="158">
        <f t="shared" si="2"/>
        <v>0</v>
      </c>
    </row>
    <row r="195" spans="1:4" ht="18" hidden="1">
      <c r="A195" s="171" t="s">
        <v>11</v>
      </c>
      <c r="B195" s="157"/>
      <c r="C195" s="157"/>
      <c r="D195" s="158">
        <f t="shared" si="2"/>
        <v>0</v>
      </c>
    </row>
    <row r="196" spans="1:4" ht="18" hidden="1">
      <c r="A196" s="161" t="s">
        <v>12</v>
      </c>
      <c r="B196" s="157"/>
      <c r="C196" s="157"/>
      <c r="D196" s="158">
        <f t="shared" ref="D196:D259" si="3">B196*C196</f>
        <v>0</v>
      </c>
    </row>
    <row r="197" spans="1:4" ht="18" hidden="1">
      <c r="A197" s="171" t="s">
        <v>15</v>
      </c>
      <c r="B197" s="157"/>
      <c r="C197" s="157"/>
      <c r="D197" s="158">
        <f t="shared" si="3"/>
        <v>0</v>
      </c>
    </row>
    <row r="198" spans="1:4" ht="18" hidden="1">
      <c r="A198" s="156" t="s">
        <v>182</v>
      </c>
      <c r="B198" s="157"/>
      <c r="C198" s="157"/>
      <c r="D198" s="158">
        <f t="shared" si="3"/>
        <v>0</v>
      </c>
    </row>
    <row r="199" spans="1:4" ht="18">
      <c r="A199" s="161" t="s">
        <v>183</v>
      </c>
      <c r="B199" s="157">
        <v>135</v>
      </c>
      <c r="C199" s="181">
        <v>6500</v>
      </c>
      <c r="D199" s="158">
        <f t="shared" si="3"/>
        <v>877500</v>
      </c>
    </row>
    <row r="200" spans="1:4" ht="18" hidden="1">
      <c r="A200" s="182" t="s">
        <v>184</v>
      </c>
      <c r="B200" s="157"/>
      <c r="C200" s="157"/>
      <c r="D200" s="158">
        <f t="shared" si="3"/>
        <v>0</v>
      </c>
    </row>
    <row r="201" spans="1:4" ht="18">
      <c r="A201" s="161" t="s">
        <v>185</v>
      </c>
      <c r="B201" s="157">
        <v>6</v>
      </c>
      <c r="C201" s="157">
        <v>11000</v>
      </c>
      <c r="D201" s="158">
        <f t="shared" si="3"/>
        <v>66000</v>
      </c>
    </row>
    <row r="202" spans="1:4" ht="18" hidden="1">
      <c r="A202" s="161" t="s">
        <v>186</v>
      </c>
      <c r="B202" s="157"/>
      <c r="C202" s="157"/>
      <c r="D202" s="158">
        <f t="shared" si="3"/>
        <v>0</v>
      </c>
    </row>
    <row r="203" spans="1:4" ht="18" hidden="1">
      <c r="A203" s="160" t="s">
        <v>187</v>
      </c>
      <c r="B203" s="157"/>
      <c r="C203" s="157"/>
      <c r="D203" s="158">
        <f t="shared" si="3"/>
        <v>0</v>
      </c>
    </row>
    <row r="204" spans="1:4" ht="18" hidden="1">
      <c r="A204" s="156" t="s">
        <v>242</v>
      </c>
      <c r="B204" s="157"/>
      <c r="C204" s="157"/>
      <c r="D204" s="158">
        <f t="shared" si="3"/>
        <v>0</v>
      </c>
    </row>
    <row r="205" spans="1:4" ht="18" hidden="1">
      <c r="A205" s="156" t="s">
        <v>22</v>
      </c>
      <c r="B205" s="157"/>
      <c r="C205" s="157"/>
      <c r="D205" s="158">
        <f t="shared" si="3"/>
        <v>0</v>
      </c>
    </row>
    <row r="206" spans="1:4" ht="18" hidden="1">
      <c r="A206" s="159" t="s">
        <v>112</v>
      </c>
      <c r="B206" s="157"/>
      <c r="C206" s="157"/>
      <c r="D206" s="158">
        <f t="shared" si="3"/>
        <v>0</v>
      </c>
    </row>
    <row r="207" spans="1:4" ht="18" hidden="1">
      <c r="A207" s="161" t="s">
        <v>127</v>
      </c>
      <c r="B207" s="157"/>
      <c r="C207" s="157"/>
      <c r="D207" s="158">
        <f t="shared" si="3"/>
        <v>0</v>
      </c>
    </row>
    <row r="208" spans="1:4" ht="18" hidden="1">
      <c r="A208" s="161" t="s">
        <v>128</v>
      </c>
      <c r="B208" s="157"/>
      <c r="C208" s="157"/>
      <c r="D208" s="158">
        <f t="shared" si="3"/>
        <v>0</v>
      </c>
    </row>
    <row r="209" spans="1:4" ht="18" hidden="1">
      <c r="A209" s="161" t="s">
        <v>129</v>
      </c>
      <c r="B209" s="157"/>
      <c r="C209" s="157"/>
      <c r="D209" s="158">
        <f t="shared" si="3"/>
        <v>0</v>
      </c>
    </row>
    <row r="210" spans="1:4" ht="18" hidden="1">
      <c r="A210" s="161" t="s">
        <v>130</v>
      </c>
      <c r="B210" s="157"/>
      <c r="C210" s="157"/>
      <c r="D210" s="158">
        <f t="shared" si="3"/>
        <v>0</v>
      </c>
    </row>
    <row r="211" spans="1:4" ht="18" hidden="1">
      <c r="A211" s="161" t="s">
        <v>138</v>
      </c>
      <c r="B211" s="157"/>
      <c r="C211" s="157"/>
      <c r="D211" s="158">
        <f t="shared" si="3"/>
        <v>0</v>
      </c>
    </row>
    <row r="212" spans="1:4" ht="18" hidden="1">
      <c r="A212" s="161" t="s">
        <v>149</v>
      </c>
      <c r="B212" s="157"/>
      <c r="C212" s="157"/>
      <c r="D212" s="158">
        <f t="shared" si="3"/>
        <v>0</v>
      </c>
    </row>
    <row r="213" spans="1:4" ht="18" hidden="1">
      <c r="A213" s="156" t="s">
        <v>152</v>
      </c>
      <c r="B213" s="157"/>
      <c r="C213" s="157"/>
      <c r="D213" s="158">
        <f t="shared" si="3"/>
        <v>0</v>
      </c>
    </row>
    <row r="214" spans="1:4" ht="18" hidden="1">
      <c r="A214" s="156" t="s">
        <v>153</v>
      </c>
      <c r="B214" s="157"/>
      <c r="C214" s="157"/>
      <c r="D214" s="158">
        <f t="shared" si="3"/>
        <v>0</v>
      </c>
    </row>
    <row r="215" spans="1:4" ht="18" hidden="1">
      <c r="A215" s="161" t="s">
        <v>154</v>
      </c>
      <c r="B215" s="157"/>
      <c r="C215" s="157"/>
      <c r="D215" s="158">
        <f t="shared" si="3"/>
        <v>0</v>
      </c>
    </row>
    <row r="216" spans="1:4" ht="18" hidden="1">
      <c r="A216" s="161" t="s">
        <v>222</v>
      </c>
      <c r="B216" s="157"/>
      <c r="C216" s="157"/>
      <c r="D216" s="158">
        <f t="shared" si="3"/>
        <v>0</v>
      </c>
    </row>
    <row r="217" spans="1:4" ht="18">
      <c r="A217" s="159" t="s">
        <v>223</v>
      </c>
      <c r="B217" s="157">
        <v>2</v>
      </c>
      <c r="C217" s="157">
        <v>35000</v>
      </c>
      <c r="D217" s="158">
        <f t="shared" si="3"/>
        <v>70000</v>
      </c>
    </row>
    <row r="218" spans="1:4" ht="18" hidden="1">
      <c r="A218" s="161" t="s">
        <v>224</v>
      </c>
      <c r="B218" s="157"/>
      <c r="C218" s="157"/>
      <c r="D218" s="158">
        <f t="shared" si="3"/>
        <v>0</v>
      </c>
    </row>
    <row r="219" spans="1:4" ht="18" hidden="1">
      <c r="A219" s="159" t="s">
        <v>245</v>
      </c>
      <c r="B219" s="157"/>
      <c r="C219" s="157"/>
      <c r="D219" s="158">
        <f t="shared" si="3"/>
        <v>0</v>
      </c>
    </row>
    <row r="220" spans="1:4" ht="18">
      <c r="A220" s="161" t="s">
        <v>262</v>
      </c>
      <c r="B220" s="157">
        <v>5</v>
      </c>
      <c r="C220" s="157">
        <v>14000</v>
      </c>
      <c r="D220" s="158">
        <f t="shared" si="3"/>
        <v>70000</v>
      </c>
    </row>
    <row r="221" spans="1:4" ht="18" hidden="1">
      <c r="A221" s="159" t="s">
        <v>263</v>
      </c>
      <c r="B221" s="157"/>
      <c r="C221" s="157"/>
      <c r="D221" s="158">
        <f t="shared" si="3"/>
        <v>0</v>
      </c>
    </row>
    <row r="222" spans="1:4" ht="18" hidden="1">
      <c r="A222" s="161" t="s">
        <v>282</v>
      </c>
      <c r="B222" s="157"/>
      <c r="C222" s="157"/>
      <c r="D222" s="158">
        <f t="shared" si="3"/>
        <v>0</v>
      </c>
    </row>
    <row r="223" spans="1:4" ht="18" hidden="1">
      <c r="A223" s="161" t="s">
        <v>285</v>
      </c>
      <c r="B223" s="157"/>
      <c r="C223" s="157"/>
      <c r="D223" s="158">
        <f t="shared" si="3"/>
        <v>0</v>
      </c>
    </row>
    <row r="224" spans="1:4" ht="18" hidden="1">
      <c r="A224" s="159" t="s">
        <v>297</v>
      </c>
      <c r="B224" s="157"/>
      <c r="C224" s="157"/>
      <c r="D224" s="158">
        <f t="shared" si="3"/>
        <v>0</v>
      </c>
    </row>
    <row r="225" spans="1:4" ht="18" hidden="1">
      <c r="A225" s="161" t="s">
        <v>314</v>
      </c>
      <c r="B225" s="157"/>
      <c r="C225" s="157"/>
      <c r="D225" s="158">
        <f t="shared" si="3"/>
        <v>0</v>
      </c>
    </row>
    <row r="226" spans="1:4" ht="18" hidden="1">
      <c r="A226" s="164" t="s">
        <v>315</v>
      </c>
      <c r="B226" s="157"/>
      <c r="C226" s="157"/>
      <c r="D226" s="158">
        <f t="shared" si="3"/>
        <v>0</v>
      </c>
    </row>
    <row r="227" spans="1:4" ht="18" hidden="1">
      <c r="A227" s="159" t="s">
        <v>16</v>
      </c>
      <c r="B227" s="157"/>
      <c r="C227" s="157"/>
      <c r="D227" s="158">
        <f t="shared" si="3"/>
        <v>0</v>
      </c>
    </row>
    <row r="228" spans="1:4" ht="18" hidden="1">
      <c r="A228" s="161" t="s">
        <v>47</v>
      </c>
      <c r="B228" s="157"/>
      <c r="C228" s="157"/>
      <c r="D228" s="158">
        <f t="shared" si="3"/>
        <v>0</v>
      </c>
    </row>
    <row r="229" spans="1:4" ht="18" hidden="1">
      <c r="A229" s="161" t="s">
        <v>48</v>
      </c>
      <c r="B229" s="157"/>
      <c r="C229" s="157"/>
      <c r="D229" s="158">
        <f t="shared" si="3"/>
        <v>0</v>
      </c>
    </row>
    <row r="230" spans="1:4" ht="18" hidden="1">
      <c r="A230" s="159" t="s">
        <v>50</v>
      </c>
      <c r="B230" s="162"/>
      <c r="C230" s="162"/>
      <c r="D230" s="158">
        <f t="shared" si="3"/>
        <v>0</v>
      </c>
    </row>
    <row r="231" spans="1:4" ht="18" hidden="1">
      <c r="A231" s="164" t="s">
        <v>270</v>
      </c>
      <c r="B231" s="157"/>
      <c r="C231" s="157"/>
      <c r="D231" s="158">
        <f t="shared" si="3"/>
        <v>0</v>
      </c>
    </row>
    <row r="232" spans="1:4" ht="18" hidden="1">
      <c r="A232" s="163" t="s">
        <v>271</v>
      </c>
      <c r="B232" s="157"/>
      <c r="C232" s="157"/>
      <c r="D232" s="158">
        <f t="shared" si="3"/>
        <v>0</v>
      </c>
    </row>
    <row r="233" spans="1:4" ht="18" hidden="1">
      <c r="A233" s="163" t="s">
        <v>272</v>
      </c>
      <c r="B233" s="157"/>
      <c r="C233" s="157"/>
      <c r="D233" s="158">
        <f t="shared" si="3"/>
        <v>0</v>
      </c>
    </row>
    <row r="234" spans="1:4" ht="18">
      <c r="A234" s="159" t="s">
        <v>283</v>
      </c>
      <c r="B234" s="157">
        <v>6</v>
      </c>
      <c r="C234" s="157">
        <v>12000</v>
      </c>
      <c r="D234" s="158">
        <f t="shared" si="3"/>
        <v>72000</v>
      </c>
    </row>
    <row r="235" spans="1:4" ht="18" hidden="1">
      <c r="A235" s="161" t="s">
        <v>284</v>
      </c>
      <c r="B235" s="157"/>
      <c r="C235" s="157"/>
      <c r="D235" s="158">
        <f t="shared" si="3"/>
        <v>0</v>
      </c>
    </row>
    <row r="236" spans="1:4" ht="18" hidden="1">
      <c r="A236" s="161" t="s">
        <v>287</v>
      </c>
      <c r="B236" s="157"/>
      <c r="C236" s="157"/>
      <c r="D236" s="158">
        <f t="shared" si="3"/>
        <v>0</v>
      </c>
    </row>
    <row r="237" spans="1:4" ht="18" hidden="1">
      <c r="A237" s="159" t="s">
        <v>298</v>
      </c>
      <c r="B237" s="157"/>
      <c r="C237" s="157"/>
      <c r="D237" s="158">
        <f t="shared" si="3"/>
        <v>0</v>
      </c>
    </row>
    <row r="238" spans="1:4" ht="18" hidden="1">
      <c r="A238" s="156" t="s">
        <v>193</v>
      </c>
      <c r="B238" s="157"/>
      <c r="C238" s="157"/>
      <c r="D238" s="158">
        <f t="shared" si="3"/>
        <v>0</v>
      </c>
    </row>
    <row r="239" spans="1:4" ht="18" hidden="1">
      <c r="A239" s="161" t="s">
        <v>194</v>
      </c>
      <c r="B239" s="157"/>
      <c r="C239" s="157"/>
      <c r="D239" s="158">
        <f t="shared" si="3"/>
        <v>0</v>
      </c>
    </row>
    <row r="240" spans="1:4" ht="18" hidden="1">
      <c r="A240" s="161" t="s">
        <v>195</v>
      </c>
      <c r="B240" s="157"/>
      <c r="C240" s="157"/>
      <c r="D240" s="158">
        <f t="shared" si="3"/>
        <v>0</v>
      </c>
    </row>
    <row r="241" spans="1:4" ht="18" hidden="1">
      <c r="A241" s="156" t="s">
        <v>320</v>
      </c>
      <c r="B241" s="157"/>
      <c r="C241" s="157"/>
      <c r="D241" s="158">
        <f t="shared" si="3"/>
        <v>0</v>
      </c>
    </row>
    <row r="242" spans="1:4" ht="18" hidden="1">
      <c r="A242" s="161" t="s">
        <v>322</v>
      </c>
      <c r="B242" s="157"/>
      <c r="C242" s="157"/>
      <c r="D242" s="158">
        <f t="shared" si="3"/>
        <v>0</v>
      </c>
    </row>
    <row r="243" spans="1:4" ht="18" hidden="1">
      <c r="A243" s="161" t="s">
        <v>323</v>
      </c>
      <c r="B243" s="157"/>
      <c r="C243" s="157"/>
      <c r="D243" s="158">
        <f t="shared" si="3"/>
        <v>0</v>
      </c>
    </row>
    <row r="244" spans="1:4" ht="18" hidden="1">
      <c r="A244" s="163" t="s">
        <v>326</v>
      </c>
      <c r="B244" s="157"/>
      <c r="C244" s="157"/>
      <c r="D244" s="158">
        <f t="shared" si="3"/>
        <v>0</v>
      </c>
    </row>
    <row r="245" spans="1:4" ht="18" hidden="1">
      <c r="A245" s="161" t="s">
        <v>328</v>
      </c>
      <c r="B245" s="157"/>
      <c r="C245" s="157"/>
      <c r="D245" s="158">
        <f t="shared" si="3"/>
        <v>0</v>
      </c>
    </row>
    <row r="246" spans="1:4" ht="18" hidden="1">
      <c r="A246" s="161" t="s">
        <v>329</v>
      </c>
      <c r="B246" s="157"/>
      <c r="C246" s="157"/>
      <c r="D246" s="158">
        <f t="shared" si="3"/>
        <v>0</v>
      </c>
    </row>
    <row r="247" spans="1:4" ht="18" hidden="1">
      <c r="A247" s="161" t="s">
        <v>330</v>
      </c>
      <c r="B247" s="157"/>
      <c r="C247" s="157"/>
      <c r="D247" s="158">
        <f t="shared" si="3"/>
        <v>0</v>
      </c>
    </row>
    <row r="248" spans="1:4" ht="18" hidden="1">
      <c r="A248" s="161" t="s">
        <v>331</v>
      </c>
      <c r="B248" s="157"/>
      <c r="C248" s="157"/>
      <c r="D248" s="158">
        <f t="shared" si="3"/>
        <v>0</v>
      </c>
    </row>
    <row r="249" spans="1:4" ht="18" hidden="1">
      <c r="A249" s="163" t="s">
        <v>332</v>
      </c>
      <c r="B249" s="157"/>
      <c r="C249" s="157"/>
      <c r="D249" s="158">
        <f t="shared" si="3"/>
        <v>0</v>
      </c>
    </row>
    <row r="250" spans="1:4" ht="18" hidden="1">
      <c r="A250" s="161" t="s">
        <v>333</v>
      </c>
      <c r="B250" s="157"/>
      <c r="C250" s="157"/>
      <c r="D250" s="158">
        <f t="shared" si="3"/>
        <v>0</v>
      </c>
    </row>
    <row r="251" spans="1:4" ht="18" hidden="1">
      <c r="A251" s="161" t="s">
        <v>337</v>
      </c>
      <c r="B251" s="157"/>
      <c r="C251" s="157"/>
      <c r="D251" s="158">
        <f t="shared" si="3"/>
        <v>0</v>
      </c>
    </row>
    <row r="252" spans="1:4" ht="18" hidden="1">
      <c r="A252" s="163" t="s">
        <v>339</v>
      </c>
      <c r="B252" s="157"/>
      <c r="C252" s="157"/>
      <c r="D252" s="158">
        <f t="shared" si="3"/>
        <v>0</v>
      </c>
    </row>
    <row r="253" spans="1:4" ht="18" hidden="1">
      <c r="A253" s="163" t="s">
        <v>340</v>
      </c>
      <c r="B253" s="157"/>
      <c r="C253" s="157"/>
      <c r="D253" s="158">
        <f t="shared" si="3"/>
        <v>0</v>
      </c>
    </row>
    <row r="254" spans="1:4" ht="18" hidden="1">
      <c r="A254" s="161" t="s">
        <v>341</v>
      </c>
      <c r="B254" s="157"/>
      <c r="C254" s="157"/>
      <c r="D254" s="158">
        <f t="shared" si="3"/>
        <v>0</v>
      </c>
    </row>
    <row r="255" spans="1:4" ht="18" hidden="1">
      <c r="A255" s="161" t="s">
        <v>342</v>
      </c>
      <c r="B255" s="157"/>
      <c r="C255" s="157"/>
      <c r="D255" s="158">
        <f t="shared" si="3"/>
        <v>0</v>
      </c>
    </row>
    <row r="256" spans="1:4" ht="18" hidden="1">
      <c r="A256" s="163" t="s">
        <v>343</v>
      </c>
      <c r="B256" s="157"/>
      <c r="C256" s="157"/>
      <c r="D256" s="158">
        <f t="shared" si="3"/>
        <v>0</v>
      </c>
    </row>
    <row r="257" spans="1:4" ht="18" hidden="1">
      <c r="A257" s="161" t="s">
        <v>344</v>
      </c>
      <c r="B257" s="157"/>
      <c r="C257" s="157"/>
      <c r="D257" s="158">
        <f t="shared" si="3"/>
        <v>0</v>
      </c>
    </row>
    <row r="258" spans="1:4" ht="18" hidden="1">
      <c r="A258" s="161" t="s">
        <v>345</v>
      </c>
      <c r="B258" s="157"/>
      <c r="C258" s="157"/>
      <c r="D258" s="158">
        <f t="shared" si="3"/>
        <v>0</v>
      </c>
    </row>
    <row r="259" spans="1:4" ht="18" hidden="1">
      <c r="A259" s="161" t="s">
        <v>346</v>
      </c>
      <c r="B259" s="157"/>
      <c r="C259" s="157"/>
      <c r="D259" s="158">
        <f t="shared" si="3"/>
        <v>0</v>
      </c>
    </row>
    <row r="260" spans="1:4" ht="18" hidden="1">
      <c r="A260" s="161" t="s">
        <v>347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348</v>
      </c>
      <c r="B261" s="157"/>
      <c r="C261" s="157"/>
      <c r="D261" s="158">
        <f t="shared" si="4"/>
        <v>0</v>
      </c>
    </row>
    <row r="262" spans="1:4" ht="18" hidden="1">
      <c r="A262" s="161" t="s">
        <v>349</v>
      </c>
      <c r="B262" s="157"/>
      <c r="C262" s="157"/>
      <c r="D262" s="158">
        <f t="shared" si="4"/>
        <v>0</v>
      </c>
    </row>
    <row r="263" spans="1:4" ht="18" hidden="1">
      <c r="A263" s="161" t="s">
        <v>350</v>
      </c>
      <c r="B263" s="157"/>
      <c r="C263" s="157"/>
      <c r="D263" s="158">
        <f t="shared" si="4"/>
        <v>0</v>
      </c>
    </row>
    <row r="264" spans="1:4" ht="18" hidden="1">
      <c r="A264" s="161" t="s">
        <v>351</v>
      </c>
      <c r="B264" s="157"/>
      <c r="C264" s="157"/>
      <c r="D264" s="158">
        <f t="shared" si="4"/>
        <v>0</v>
      </c>
    </row>
    <row r="265" spans="1:4" ht="18">
      <c r="A265" s="161" t="s">
        <v>302</v>
      </c>
      <c r="B265" s="157">
        <v>20</v>
      </c>
      <c r="C265" s="157">
        <v>10000</v>
      </c>
      <c r="D265" s="158">
        <f t="shared" si="4"/>
        <v>200000</v>
      </c>
    </row>
    <row r="266" spans="1:4" ht="18" hidden="1">
      <c r="A266" s="164" t="s">
        <v>303</v>
      </c>
      <c r="B266" s="157"/>
      <c r="C266" s="157"/>
      <c r="D266" s="158">
        <f t="shared" si="4"/>
        <v>0</v>
      </c>
    </row>
    <row r="267" spans="1:4" ht="18" hidden="1">
      <c r="A267" s="161" t="s">
        <v>304</v>
      </c>
      <c r="B267" s="157"/>
      <c r="C267" s="157"/>
      <c r="D267" s="158">
        <f t="shared" si="4"/>
        <v>0</v>
      </c>
    </row>
    <row r="268" spans="1:4" ht="18" hidden="1">
      <c r="A268" s="161" t="s">
        <v>30</v>
      </c>
      <c r="B268" s="157"/>
      <c r="C268" s="157"/>
      <c r="D268" s="158">
        <f t="shared" si="4"/>
        <v>0</v>
      </c>
    </row>
    <row r="269" spans="1:4" ht="18" hidden="1">
      <c r="A269" s="161" t="s">
        <v>31</v>
      </c>
      <c r="B269" s="157"/>
      <c r="C269" s="157"/>
      <c r="D269" s="158">
        <f t="shared" si="4"/>
        <v>0</v>
      </c>
    </row>
    <row r="270" spans="1:4" ht="18">
      <c r="A270" s="161" t="s">
        <v>32</v>
      </c>
      <c r="B270" s="157">
        <f>15+45+35+15+15-30</f>
        <v>95</v>
      </c>
      <c r="C270" s="157">
        <v>13000</v>
      </c>
      <c r="D270" s="158">
        <f t="shared" si="4"/>
        <v>1235000</v>
      </c>
    </row>
    <row r="271" spans="1:4" ht="18" hidden="1">
      <c r="A271" s="161" t="s">
        <v>33</v>
      </c>
      <c r="B271" s="157"/>
      <c r="C271" s="157"/>
      <c r="D271" s="158">
        <f t="shared" si="4"/>
        <v>0</v>
      </c>
    </row>
    <row r="272" spans="1:4" ht="18" hidden="1">
      <c r="A272" s="161" t="s">
        <v>34</v>
      </c>
      <c r="B272" s="157"/>
      <c r="C272" s="157"/>
      <c r="D272" s="158">
        <f t="shared" si="4"/>
        <v>0</v>
      </c>
    </row>
    <row r="273" spans="1:4" ht="18">
      <c r="A273" s="161" t="s">
        <v>58</v>
      </c>
      <c r="B273" s="157">
        <v>32</v>
      </c>
      <c r="C273" s="157">
        <v>27000</v>
      </c>
      <c r="D273" s="158">
        <f t="shared" si="4"/>
        <v>864000</v>
      </c>
    </row>
    <row r="274" spans="1:4" ht="18" hidden="1">
      <c r="A274" s="161" t="s">
        <v>59</v>
      </c>
      <c r="B274" s="157"/>
      <c r="C274" s="157"/>
      <c r="D274" s="158">
        <f t="shared" si="4"/>
        <v>0</v>
      </c>
    </row>
    <row r="275" spans="1:4" ht="18" hidden="1">
      <c r="A275" s="173" t="s">
        <v>60</v>
      </c>
      <c r="B275" s="157"/>
      <c r="C275" s="157"/>
      <c r="D275" s="158">
        <f t="shared" si="4"/>
        <v>0</v>
      </c>
    </row>
    <row r="276" spans="1:4" ht="18" hidden="1">
      <c r="A276" s="161" t="s">
        <v>63</v>
      </c>
      <c r="B276" s="157"/>
      <c r="C276" s="157"/>
      <c r="D276" s="158">
        <f t="shared" si="4"/>
        <v>0</v>
      </c>
    </row>
    <row r="277" spans="1:4" ht="18" hidden="1">
      <c r="A277" s="161" t="s">
        <v>64</v>
      </c>
      <c r="B277" s="157"/>
      <c r="C277" s="157"/>
      <c r="D277" s="158">
        <f t="shared" si="4"/>
        <v>0</v>
      </c>
    </row>
    <row r="278" spans="1:4" ht="18" hidden="1">
      <c r="A278" s="183" t="s">
        <v>145</v>
      </c>
      <c r="B278" s="157"/>
      <c r="C278" s="157"/>
      <c r="D278" s="158">
        <f t="shared" si="4"/>
        <v>0</v>
      </c>
    </row>
    <row r="279" spans="1:4" ht="18" hidden="1">
      <c r="A279" s="156" t="s">
        <v>146</v>
      </c>
      <c r="B279" s="162"/>
      <c r="C279" s="162"/>
      <c r="D279" s="158">
        <f t="shared" si="4"/>
        <v>0</v>
      </c>
    </row>
    <row r="280" spans="1:4" ht="18" hidden="1">
      <c r="A280" s="161" t="s">
        <v>147</v>
      </c>
      <c r="B280" s="157"/>
      <c r="C280" s="157"/>
      <c r="D280" s="158">
        <f t="shared" si="4"/>
        <v>0</v>
      </c>
    </row>
    <row r="281" spans="1:4" ht="18" hidden="1">
      <c r="A281" s="161" t="s">
        <v>148</v>
      </c>
      <c r="B281" s="157"/>
      <c r="C281" s="157"/>
      <c r="D281" s="158">
        <f t="shared" si="4"/>
        <v>0</v>
      </c>
    </row>
    <row r="282" spans="1:4" ht="18">
      <c r="A282" s="161" t="s">
        <v>305</v>
      </c>
      <c r="B282" s="157">
        <v>11</v>
      </c>
      <c r="C282" s="157">
        <v>7000</v>
      </c>
      <c r="D282" s="158">
        <f t="shared" si="4"/>
        <v>77000</v>
      </c>
    </row>
    <row r="283" spans="1:4" ht="18" hidden="1">
      <c r="A283" s="164" t="s">
        <v>306</v>
      </c>
      <c r="B283" s="157"/>
      <c r="C283" s="157"/>
      <c r="D283" s="158">
        <f t="shared" si="4"/>
        <v>0</v>
      </c>
    </row>
    <row r="284" spans="1:4" ht="18" hidden="1">
      <c r="A284" s="161" t="s">
        <v>24</v>
      </c>
      <c r="B284" s="157"/>
      <c r="C284" s="157"/>
      <c r="D284" s="158">
        <f t="shared" si="4"/>
        <v>0</v>
      </c>
    </row>
    <row r="285" spans="1:4" ht="18">
      <c r="A285" s="173" t="s">
        <v>25</v>
      </c>
      <c r="B285" s="157">
        <f>80+15+12</f>
        <v>107</v>
      </c>
      <c r="C285" s="157">
        <v>4000</v>
      </c>
      <c r="D285" s="158">
        <f t="shared" si="4"/>
        <v>428000</v>
      </c>
    </row>
    <row r="286" spans="1:4" ht="18" hidden="1">
      <c r="A286" s="159" t="s">
        <v>26</v>
      </c>
      <c r="B286" s="157"/>
      <c r="C286" s="184"/>
      <c r="D286" s="158">
        <f t="shared" si="4"/>
        <v>0</v>
      </c>
    </row>
    <row r="287" spans="1:4" ht="18" hidden="1">
      <c r="A287" s="161" t="s">
        <v>172</v>
      </c>
      <c r="B287" s="157"/>
      <c r="C287" s="157"/>
      <c r="D287" s="158">
        <f t="shared" si="4"/>
        <v>0</v>
      </c>
    </row>
    <row r="288" spans="1:4" ht="18" hidden="1">
      <c r="A288" s="161" t="s">
        <v>173</v>
      </c>
      <c r="B288" s="157"/>
      <c r="C288" s="157"/>
      <c r="D288" s="158">
        <f t="shared" si="4"/>
        <v>0</v>
      </c>
    </row>
    <row r="289" spans="1:4" ht="18" hidden="1">
      <c r="A289" s="161" t="s">
        <v>174</v>
      </c>
      <c r="B289" s="157"/>
      <c r="C289" s="157"/>
      <c r="D289" s="158">
        <f t="shared" si="4"/>
        <v>0</v>
      </c>
    </row>
    <row r="290" spans="1:4" ht="18" hidden="1">
      <c r="A290" s="161" t="s">
        <v>175</v>
      </c>
      <c r="B290" s="157"/>
      <c r="C290" s="157"/>
      <c r="D290" s="158">
        <f t="shared" si="4"/>
        <v>0</v>
      </c>
    </row>
    <row r="291" spans="1:4" ht="18" hidden="1">
      <c r="A291" s="178" t="s">
        <v>13</v>
      </c>
      <c r="B291" s="157"/>
      <c r="C291" s="157"/>
      <c r="D291" s="158">
        <f t="shared" si="4"/>
        <v>0</v>
      </c>
    </row>
    <row r="292" spans="1:4" ht="18" hidden="1">
      <c r="A292" s="171" t="s">
        <v>14</v>
      </c>
      <c r="B292" s="157"/>
      <c r="C292" s="157"/>
      <c r="D292" s="158">
        <f t="shared" si="4"/>
        <v>0</v>
      </c>
    </row>
    <row r="293" spans="1:4" ht="18" hidden="1">
      <c r="A293" s="159" t="s">
        <v>38</v>
      </c>
      <c r="B293" s="157"/>
      <c r="C293" s="157"/>
      <c r="D293" s="158">
        <f t="shared" si="4"/>
        <v>0</v>
      </c>
    </row>
    <row r="294" spans="1:4" ht="18" hidden="1">
      <c r="A294" s="159" t="s">
        <v>40</v>
      </c>
      <c r="B294" s="157"/>
      <c r="C294" s="157"/>
      <c r="D294" s="158">
        <f t="shared" si="4"/>
        <v>0</v>
      </c>
    </row>
    <row r="295" spans="1:4" ht="18" hidden="1">
      <c r="A295" s="159" t="s">
        <v>41</v>
      </c>
      <c r="B295" s="157"/>
      <c r="C295" s="157"/>
      <c r="D295" s="158">
        <f t="shared" si="4"/>
        <v>0</v>
      </c>
    </row>
    <row r="296" spans="1:4" ht="18" hidden="1">
      <c r="A296" s="159" t="s">
        <v>43</v>
      </c>
      <c r="B296" s="157"/>
      <c r="C296" s="157"/>
      <c r="D296" s="158">
        <f t="shared" si="4"/>
        <v>0</v>
      </c>
    </row>
    <row r="297" spans="1:4" ht="18" hidden="1">
      <c r="A297" s="159" t="s">
        <v>44</v>
      </c>
      <c r="B297" s="157"/>
      <c r="C297" s="157"/>
      <c r="D297" s="158">
        <f t="shared" si="4"/>
        <v>0</v>
      </c>
    </row>
    <row r="298" spans="1:4" ht="18" hidden="1">
      <c r="A298" s="159" t="s">
        <v>45</v>
      </c>
      <c r="B298" s="157"/>
      <c r="C298" s="157"/>
      <c r="D298" s="158">
        <f t="shared" si="4"/>
        <v>0</v>
      </c>
    </row>
    <row r="299" spans="1:4" ht="18" hidden="1">
      <c r="A299" s="185" t="s">
        <v>77</v>
      </c>
      <c r="B299" s="157"/>
      <c r="C299" s="157"/>
      <c r="D299" s="158">
        <f t="shared" si="4"/>
        <v>0</v>
      </c>
    </row>
    <row r="300" spans="1:4" ht="18" hidden="1">
      <c r="A300" s="156" t="s">
        <v>81</v>
      </c>
      <c r="B300" s="157"/>
      <c r="C300" s="157"/>
      <c r="D300" s="158">
        <f t="shared" si="4"/>
        <v>0</v>
      </c>
    </row>
    <row r="301" spans="1:4" ht="18" hidden="1">
      <c r="A301" s="159" t="s">
        <v>116</v>
      </c>
      <c r="B301" s="157"/>
      <c r="C301" s="157"/>
      <c r="D301" s="158">
        <f t="shared" si="4"/>
        <v>0</v>
      </c>
    </row>
    <row r="302" spans="1:4" ht="18" hidden="1">
      <c r="A302" s="186" t="s">
        <v>122</v>
      </c>
      <c r="B302" s="157"/>
      <c r="C302" s="157"/>
      <c r="D302" s="158">
        <f t="shared" si="4"/>
        <v>0</v>
      </c>
    </row>
    <row r="303" spans="1:4" ht="18" hidden="1">
      <c r="A303" s="161" t="s">
        <v>133</v>
      </c>
      <c r="B303" s="157"/>
      <c r="C303" s="157"/>
      <c r="D303" s="158">
        <f t="shared" si="4"/>
        <v>0</v>
      </c>
    </row>
    <row r="304" spans="1:4" ht="18" hidden="1">
      <c r="A304" s="159" t="s">
        <v>135</v>
      </c>
      <c r="B304" s="157"/>
      <c r="C304" s="157"/>
      <c r="D304" s="158">
        <f t="shared" si="4"/>
        <v>0</v>
      </c>
    </row>
    <row r="305" spans="1:4" ht="18" hidden="1">
      <c r="A305" s="159" t="s">
        <v>136</v>
      </c>
      <c r="B305" s="157"/>
      <c r="C305" s="157"/>
      <c r="D305" s="158">
        <f t="shared" si="4"/>
        <v>0</v>
      </c>
    </row>
    <row r="306" spans="1:4" ht="18" hidden="1">
      <c r="A306" s="161" t="s">
        <v>158</v>
      </c>
      <c r="B306" s="157"/>
      <c r="C306" s="157"/>
      <c r="D306" s="158">
        <f t="shared" si="4"/>
        <v>0</v>
      </c>
    </row>
    <row r="307" spans="1:4" ht="18" hidden="1">
      <c r="A307" s="161" t="s">
        <v>179</v>
      </c>
      <c r="B307" s="157"/>
      <c r="C307" s="157"/>
      <c r="D307" s="158">
        <f t="shared" si="4"/>
        <v>0</v>
      </c>
    </row>
    <row r="308" spans="1:4" ht="18" hidden="1">
      <c r="A308" s="164" t="s">
        <v>204</v>
      </c>
      <c r="B308" s="157"/>
      <c r="C308" s="157"/>
      <c r="D308" s="158">
        <f t="shared" si="4"/>
        <v>0</v>
      </c>
    </row>
    <row r="309" spans="1:4" ht="18" hidden="1">
      <c r="A309" s="164" t="s">
        <v>205</v>
      </c>
      <c r="B309" s="157"/>
      <c r="C309" s="157"/>
      <c r="D309" s="158">
        <f t="shared" si="4"/>
        <v>0</v>
      </c>
    </row>
    <row r="310" spans="1:4" ht="18" hidden="1">
      <c r="A310" s="164" t="s">
        <v>206</v>
      </c>
      <c r="B310" s="157"/>
      <c r="C310" s="157"/>
      <c r="D310" s="158">
        <f t="shared" si="4"/>
        <v>0</v>
      </c>
    </row>
    <row r="311" spans="1:4" ht="18" hidden="1">
      <c r="A311" s="164" t="s">
        <v>207</v>
      </c>
      <c r="B311" s="157"/>
      <c r="C311" s="157"/>
      <c r="D311" s="158">
        <f t="shared" si="4"/>
        <v>0</v>
      </c>
    </row>
    <row r="312" spans="1:4" ht="18" hidden="1">
      <c r="A312" s="161" t="s">
        <v>209</v>
      </c>
      <c r="B312" s="157"/>
      <c r="C312" s="157"/>
      <c r="D312" s="158">
        <f t="shared" si="4"/>
        <v>0</v>
      </c>
    </row>
    <row r="313" spans="1:4" ht="18" hidden="1">
      <c r="A313" s="187" t="s">
        <v>210</v>
      </c>
      <c r="B313" s="157"/>
      <c r="C313" s="157"/>
      <c r="D313" s="158">
        <f t="shared" si="4"/>
        <v>0</v>
      </c>
    </row>
    <row r="314" spans="1:4" ht="18" hidden="1">
      <c r="A314" s="187" t="s">
        <v>211</v>
      </c>
      <c r="B314" s="157"/>
      <c r="C314" s="157"/>
      <c r="D314" s="158">
        <f t="shared" si="4"/>
        <v>0</v>
      </c>
    </row>
    <row r="315" spans="1:4" ht="18" hidden="1">
      <c r="A315" s="187" t="s">
        <v>212</v>
      </c>
      <c r="B315" s="157"/>
      <c r="C315" s="157"/>
      <c r="D315" s="158">
        <f t="shared" si="4"/>
        <v>0</v>
      </c>
    </row>
    <row r="316" spans="1:4" ht="18" hidden="1">
      <c r="A316" s="187" t="s">
        <v>213</v>
      </c>
      <c r="B316" s="157"/>
      <c r="C316" s="157"/>
      <c r="D316" s="158">
        <f t="shared" si="4"/>
        <v>0</v>
      </c>
    </row>
    <row r="317" spans="1:4" ht="18" hidden="1">
      <c r="A317" s="159" t="s">
        <v>241</v>
      </c>
      <c r="B317" s="157"/>
      <c r="C317" s="157"/>
      <c r="D317" s="158">
        <f t="shared" si="4"/>
        <v>0</v>
      </c>
    </row>
    <row r="318" spans="1:4" ht="18" hidden="1">
      <c r="A318" s="159" t="s">
        <v>243</v>
      </c>
      <c r="B318" s="157"/>
      <c r="C318" s="157"/>
      <c r="D318" s="158">
        <f t="shared" si="4"/>
        <v>0</v>
      </c>
    </row>
    <row r="319" spans="1:4" ht="18" hidden="1">
      <c r="A319" s="164" t="s">
        <v>244</v>
      </c>
      <c r="B319" s="157"/>
      <c r="C319" s="157"/>
      <c r="D319" s="158">
        <f t="shared" si="4"/>
        <v>0</v>
      </c>
    </row>
    <row r="320" spans="1:4" ht="18" hidden="1">
      <c r="A320" s="159" t="s">
        <v>246</v>
      </c>
      <c r="B320" s="157"/>
      <c r="C320" s="157"/>
      <c r="D320" s="158">
        <f t="shared" si="4"/>
        <v>0</v>
      </c>
    </row>
    <row r="321" spans="1:4" ht="18" hidden="1">
      <c r="A321" s="159" t="s">
        <v>247</v>
      </c>
      <c r="B321" s="157"/>
      <c r="C321" s="157"/>
      <c r="D321" s="158">
        <f t="shared" si="4"/>
        <v>0</v>
      </c>
    </row>
    <row r="322" spans="1:4" ht="18" hidden="1">
      <c r="A322" s="161" t="s">
        <v>248</v>
      </c>
      <c r="B322" s="157"/>
      <c r="C322" s="157"/>
      <c r="D322" s="158">
        <f t="shared" si="4"/>
        <v>0</v>
      </c>
    </row>
    <row r="323" spans="1:4" ht="18" hidden="1">
      <c r="A323" s="161" t="s">
        <v>249</v>
      </c>
      <c r="B323" s="157"/>
      <c r="C323" s="157"/>
      <c r="D323" s="158">
        <f t="shared" si="4"/>
        <v>0</v>
      </c>
    </row>
    <row r="324" spans="1:4" ht="18" hidden="1">
      <c r="A324" s="159" t="s">
        <v>250</v>
      </c>
      <c r="B324" s="157"/>
      <c r="C324" s="157"/>
      <c r="D324" s="158">
        <f t="shared" ref="D324:D387" si="5">B324*C324</f>
        <v>0</v>
      </c>
    </row>
    <row r="325" spans="1:4" ht="18" hidden="1">
      <c r="A325" s="173" t="s">
        <v>254</v>
      </c>
      <c r="B325" s="157"/>
      <c r="C325" s="157"/>
      <c r="D325" s="158">
        <f t="shared" si="5"/>
        <v>0</v>
      </c>
    </row>
    <row r="326" spans="1:4" ht="18" hidden="1">
      <c r="A326" s="173" t="s">
        <v>255</v>
      </c>
      <c r="B326" s="157"/>
      <c r="C326" s="157"/>
      <c r="D326" s="158">
        <f t="shared" si="5"/>
        <v>0</v>
      </c>
    </row>
    <row r="327" spans="1:4" ht="18" hidden="1">
      <c r="A327" s="187" t="s">
        <v>256</v>
      </c>
      <c r="B327" s="157"/>
      <c r="C327" s="157"/>
      <c r="D327" s="158">
        <f t="shared" si="5"/>
        <v>0</v>
      </c>
    </row>
    <row r="328" spans="1:4" ht="18" hidden="1">
      <c r="A328" s="187" t="s">
        <v>260</v>
      </c>
      <c r="B328" s="157"/>
      <c r="C328" s="157"/>
      <c r="D328" s="158">
        <f t="shared" si="5"/>
        <v>0</v>
      </c>
    </row>
    <row r="329" spans="1:4" ht="18" hidden="1">
      <c r="A329" s="161" t="s">
        <v>290</v>
      </c>
      <c r="B329" s="157"/>
      <c r="C329" s="157"/>
      <c r="D329" s="158">
        <f t="shared" si="5"/>
        <v>0</v>
      </c>
    </row>
    <row r="330" spans="1:4" ht="18" hidden="1">
      <c r="A330" s="187" t="s">
        <v>291</v>
      </c>
      <c r="B330" s="157"/>
      <c r="C330" s="157"/>
      <c r="D330" s="158">
        <f t="shared" si="5"/>
        <v>0</v>
      </c>
    </row>
    <row r="331" spans="1:4" ht="18" hidden="1">
      <c r="A331" s="187" t="s">
        <v>293</v>
      </c>
      <c r="B331" s="157"/>
      <c r="C331" s="157"/>
      <c r="D331" s="158">
        <f t="shared" si="5"/>
        <v>0</v>
      </c>
    </row>
    <row r="332" spans="1:4" ht="18" hidden="1">
      <c r="A332" s="187" t="s">
        <v>294</v>
      </c>
      <c r="B332" s="157"/>
      <c r="C332" s="157"/>
      <c r="D332" s="158">
        <f t="shared" si="5"/>
        <v>0</v>
      </c>
    </row>
    <row r="333" spans="1:4" ht="18" hidden="1">
      <c r="A333" s="186" t="s">
        <v>307</v>
      </c>
      <c r="B333" s="157"/>
      <c r="C333" s="157"/>
      <c r="D333" s="158">
        <f t="shared" si="5"/>
        <v>0</v>
      </c>
    </row>
    <row r="334" spans="1:4" ht="18" hidden="1">
      <c r="A334" s="173" t="s">
        <v>310</v>
      </c>
      <c r="B334" s="157"/>
      <c r="C334" s="157"/>
      <c r="D334" s="158">
        <f t="shared" si="5"/>
        <v>0</v>
      </c>
    </row>
    <row r="335" spans="1:4" ht="18" hidden="1">
      <c r="A335" s="161" t="s">
        <v>316</v>
      </c>
      <c r="B335" s="157"/>
      <c r="C335" s="157"/>
      <c r="D335" s="158">
        <f t="shared" si="5"/>
        <v>0</v>
      </c>
    </row>
    <row r="336" spans="1:4" ht="18" hidden="1">
      <c r="A336" s="161" t="s">
        <v>317</v>
      </c>
      <c r="B336" s="157"/>
      <c r="C336" s="157"/>
      <c r="D336" s="158">
        <f t="shared" si="5"/>
        <v>0</v>
      </c>
    </row>
    <row r="337" spans="1:4" ht="18" hidden="1">
      <c r="A337" s="159" t="s">
        <v>318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4482.8</v>
      </c>
      <c r="C340" s="189"/>
      <c r="D340" s="158">
        <f>SUM(D3:D285)</f>
        <v>59583200</v>
      </c>
    </row>
    <row r="341" spans="1:4" ht="18" hidden="1">
      <c r="D341" s="158">
        <f t="shared" si="5"/>
        <v>0</v>
      </c>
    </row>
    <row r="342" spans="1:4" ht="18">
      <c r="A342" s="151" t="s">
        <v>398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56" t="s">
        <v>97</v>
      </c>
      <c r="B345" s="162"/>
      <c r="C345" s="162"/>
      <c r="D345" s="158">
        <f t="shared" si="5"/>
        <v>0</v>
      </c>
    </row>
    <row r="346" spans="1:4" ht="18" hidden="1">
      <c r="A346" s="161" t="s">
        <v>124</v>
      </c>
      <c r="B346" s="157"/>
      <c r="C346" s="157"/>
      <c r="D346" s="158">
        <f t="shared" si="5"/>
        <v>0</v>
      </c>
    </row>
    <row r="347" spans="1:4" ht="18">
      <c r="A347" s="161" t="s">
        <v>265</v>
      </c>
      <c r="B347" s="157">
        <v>20</v>
      </c>
      <c r="C347" s="157">
        <v>24000</v>
      </c>
      <c r="D347" s="158">
        <f t="shared" si="5"/>
        <v>480000</v>
      </c>
    </row>
    <row r="348" spans="1:4" ht="18">
      <c r="A348" s="161" t="s">
        <v>273</v>
      </c>
      <c r="B348" s="157">
        <v>20</v>
      </c>
      <c r="C348" s="157">
        <v>29000</v>
      </c>
      <c r="D348" s="158">
        <f t="shared" si="5"/>
        <v>580000</v>
      </c>
    </row>
    <row r="349" spans="1:4" ht="18">
      <c r="A349" s="161" t="s">
        <v>277</v>
      </c>
      <c r="B349" s="157">
        <v>20</v>
      </c>
      <c r="C349" s="157">
        <v>18000</v>
      </c>
      <c r="D349" s="158">
        <f t="shared" si="5"/>
        <v>360000</v>
      </c>
    </row>
    <row r="350" spans="1:4" ht="18">
      <c r="A350" s="161" t="s">
        <v>150</v>
      </c>
      <c r="B350" s="157">
        <v>60</v>
      </c>
      <c r="C350" s="157">
        <v>14000</v>
      </c>
      <c r="D350" s="158">
        <f t="shared" si="5"/>
        <v>840000</v>
      </c>
    </row>
    <row r="351" spans="1:4" ht="18">
      <c r="A351" s="161" t="s">
        <v>227</v>
      </c>
      <c r="B351" s="157">
        <v>15</v>
      </c>
      <c r="C351" s="157">
        <v>22000</v>
      </c>
      <c r="D351" s="158">
        <f t="shared" si="5"/>
        <v>330000</v>
      </c>
    </row>
    <row r="352" spans="1:4" ht="18">
      <c r="A352" s="161" t="s">
        <v>230</v>
      </c>
      <c r="B352" s="157">
        <v>300</v>
      </c>
      <c r="C352" s="157">
        <v>16000</v>
      </c>
      <c r="D352" s="158">
        <f t="shared" si="5"/>
        <v>4800000</v>
      </c>
    </row>
    <row r="353" spans="1:4" ht="18" hidden="1">
      <c r="A353" s="161" t="s">
        <v>117</v>
      </c>
      <c r="B353" s="157"/>
      <c r="C353" s="157"/>
      <c r="D353" s="158">
        <f t="shared" si="5"/>
        <v>0</v>
      </c>
    </row>
    <row r="354" spans="1:4" ht="18">
      <c r="A354" s="161" t="s">
        <v>19</v>
      </c>
      <c r="B354" s="157">
        <v>5</v>
      </c>
      <c r="C354" s="157">
        <v>10000</v>
      </c>
      <c r="D354" s="158">
        <f t="shared" si="5"/>
        <v>50000</v>
      </c>
    </row>
    <row r="355" spans="1:4" ht="18" hidden="1">
      <c r="A355" s="161" t="s">
        <v>366</v>
      </c>
      <c r="B355" s="157"/>
      <c r="C355" s="157"/>
      <c r="D355" s="158">
        <f t="shared" si="5"/>
        <v>0</v>
      </c>
    </row>
    <row r="356" spans="1:4" ht="18" hidden="1">
      <c r="A356" s="161" t="s">
        <v>288</v>
      </c>
      <c r="B356" s="157"/>
      <c r="C356" s="157"/>
      <c r="D356" s="158">
        <f t="shared" si="5"/>
        <v>0</v>
      </c>
    </row>
    <row r="357" spans="1:4" ht="18" hidden="1">
      <c r="A357" s="171" t="s">
        <v>6</v>
      </c>
      <c r="B357" s="157"/>
      <c r="C357" s="157"/>
      <c r="D357" s="158">
        <f t="shared" si="5"/>
        <v>0</v>
      </c>
    </row>
    <row r="358" spans="1:4" ht="18" hidden="1">
      <c r="A358" s="161" t="s">
        <v>100</v>
      </c>
      <c r="B358" s="157"/>
      <c r="C358" s="157"/>
      <c r="D358" s="158">
        <f t="shared" si="5"/>
        <v>0</v>
      </c>
    </row>
    <row r="359" spans="1:4" ht="18">
      <c r="A359" s="161" t="s">
        <v>137</v>
      </c>
      <c r="B359" s="157">
        <v>24</v>
      </c>
      <c r="C359" s="157">
        <v>10000</v>
      </c>
      <c r="D359" s="158">
        <f t="shared" si="5"/>
        <v>240000</v>
      </c>
    </row>
    <row r="360" spans="1:4" ht="18" hidden="1">
      <c r="A360" s="161" t="s">
        <v>55</v>
      </c>
      <c r="B360" s="157"/>
      <c r="C360" s="157"/>
      <c r="D360" s="158">
        <f t="shared" si="5"/>
        <v>0</v>
      </c>
    </row>
    <row r="361" spans="1:4" ht="18">
      <c r="A361" s="156" t="s">
        <v>65</v>
      </c>
      <c r="B361" s="157">
        <v>300</v>
      </c>
      <c r="C361" s="157">
        <v>16000</v>
      </c>
      <c r="D361" s="158">
        <f t="shared" si="5"/>
        <v>4800000</v>
      </c>
    </row>
    <row r="362" spans="1:4" ht="18">
      <c r="A362" s="161" t="s">
        <v>27</v>
      </c>
      <c r="B362" s="157">
        <v>1000</v>
      </c>
      <c r="C362" s="157">
        <v>13000</v>
      </c>
      <c r="D362" s="158">
        <f t="shared" si="5"/>
        <v>13000000</v>
      </c>
    </row>
    <row r="363" spans="1:4" ht="18" hidden="1">
      <c r="A363" s="161" t="s">
        <v>238</v>
      </c>
      <c r="B363" s="157"/>
      <c r="C363" s="157"/>
      <c r="D363" s="158">
        <f t="shared" si="5"/>
        <v>0</v>
      </c>
    </row>
    <row r="364" spans="1:4" ht="18" hidden="1">
      <c r="A364" s="161" t="s">
        <v>308</v>
      </c>
      <c r="B364" s="157"/>
      <c r="C364" s="157"/>
      <c r="D364" s="158">
        <f t="shared" si="5"/>
        <v>0</v>
      </c>
    </row>
    <row r="365" spans="1:4" ht="18">
      <c r="A365" s="161" t="s">
        <v>219</v>
      </c>
      <c r="B365" s="157">
        <v>400</v>
      </c>
      <c r="C365" s="157">
        <v>14000</v>
      </c>
      <c r="D365" s="158">
        <f t="shared" si="5"/>
        <v>5600000</v>
      </c>
    </row>
    <row r="366" spans="1:4" ht="18" hidden="1">
      <c r="A366" s="161" t="s">
        <v>292</v>
      </c>
      <c r="B366" s="157"/>
      <c r="C366" s="157"/>
      <c r="D366" s="158">
        <f t="shared" si="5"/>
        <v>0</v>
      </c>
    </row>
    <row r="367" spans="1:4" ht="18" hidden="1">
      <c r="A367" s="164" t="s">
        <v>67</v>
      </c>
      <c r="B367" s="157"/>
      <c r="C367" s="157"/>
      <c r="D367" s="158">
        <f t="shared" si="5"/>
        <v>0</v>
      </c>
    </row>
    <row r="368" spans="1:4" ht="18" hidden="1">
      <c r="A368" s="164" t="s">
        <v>70</v>
      </c>
      <c r="B368" s="157"/>
      <c r="C368" s="157"/>
      <c r="D368" s="158">
        <f t="shared" si="5"/>
        <v>0</v>
      </c>
    </row>
    <row r="369" spans="1:4" ht="18">
      <c r="A369" s="161" t="s">
        <v>169</v>
      </c>
      <c r="B369" s="157">
        <v>30</v>
      </c>
      <c r="C369" s="157">
        <v>10000</v>
      </c>
      <c r="D369" s="158">
        <f t="shared" si="5"/>
        <v>300000</v>
      </c>
    </row>
    <row r="370" spans="1:4" ht="18">
      <c r="A370" s="161" t="s">
        <v>90</v>
      </c>
      <c r="B370" s="157">
        <v>150</v>
      </c>
      <c r="C370" s="157">
        <v>25000</v>
      </c>
      <c r="D370" s="158">
        <f t="shared" si="5"/>
        <v>3750000</v>
      </c>
    </row>
    <row r="371" spans="1:4" ht="18" hidden="1">
      <c r="A371" s="161" t="s">
        <v>95</v>
      </c>
      <c r="B371" s="157"/>
      <c r="C371" s="157"/>
      <c r="D371" s="158">
        <f t="shared" si="5"/>
        <v>0</v>
      </c>
    </row>
    <row r="372" spans="1:4" ht="18">
      <c r="A372" s="156" t="s">
        <v>198</v>
      </c>
      <c r="B372" s="157">
        <v>500</v>
      </c>
      <c r="C372" s="157">
        <v>6800</v>
      </c>
      <c r="D372" s="158">
        <f t="shared" si="5"/>
        <v>3400000</v>
      </c>
    </row>
    <row r="373" spans="1:4" ht="18" hidden="1">
      <c r="A373" s="161" t="s">
        <v>368</v>
      </c>
      <c r="B373" s="157"/>
      <c r="C373" s="157"/>
      <c r="D373" s="158">
        <f t="shared" si="5"/>
        <v>0</v>
      </c>
    </row>
    <row r="374" spans="1:4" ht="18" hidden="1">
      <c r="A374" s="161" t="s">
        <v>119</v>
      </c>
      <c r="B374" s="157"/>
      <c r="C374" s="157"/>
      <c r="D374" s="158">
        <f t="shared" si="5"/>
        <v>0</v>
      </c>
    </row>
    <row r="375" spans="1:4" ht="18" hidden="1">
      <c r="A375" s="161" t="s">
        <v>104</v>
      </c>
      <c r="B375" s="157"/>
      <c r="C375" s="157"/>
      <c r="D375" s="158">
        <f t="shared" si="5"/>
        <v>0</v>
      </c>
    </row>
    <row r="376" spans="1:4" ht="18">
      <c r="A376" s="171" t="s">
        <v>11</v>
      </c>
      <c r="B376" s="157">
        <v>50</v>
      </c>
      <c r="C376" s="157">
        <v>6500</v>
      </c>
      <c r="D376" s="158">
        <f t="shared" si="5"/>
        <v>325000</v>
      </c>
    </row>
    <row r="377" spans="1:4" ht="18">
      <c r="A377" s="161" t="s">
        <v>365</v>
      </c>
      <c r="B377" s="157">
        <v>345</v>
      </c>
      <c r="C377" s="157">
        <v>6500</v>
      </c>
      <c r="D377" s="158">
        <f t="shared" si="5"/>
        <v>2242500</v>
      </c>
    </row>
    <row r="378" spans="1:4" ht="18" hidden="1">
      <c r="A378" s="156" t="s">
        <v>182</v>
      </c>
      <c r="B378" s="157"/>
      <c r="C378" s="157"/>
      <c r="D378" s="158">
        <f t="shared" si="5"/>
        <v>0</v>
      </c>
    </row>
    <row r="379" spans="1:4" ht="18" hidden="1">
      <c r="A379" s="161" t="s">
        <v>362</v>
      </c>
      <c r="B379" s="157"/>
      <c r="C379" s="157"/>
      <c r="D379" s="158">
        <f t="shared" si="5"/>
        <v>0</v>
      </c>
    </row>
    <row r="380" spans="1:4" ht="18" hidden="1">
      <c r="A380" s="159" t="s">
        <v>373</v>
      </c>
      <c r="B380" s="157"/>
      <c r="C380" s="157"/>
      <c r="D380" s="158">
        <f t="shared" si="5"/>
        <v>0</v>
      </c>
    </row>
    <row r="381" spans="1:4" ht="18" hidden="1">
      <c r="A381" s="161" t="s">
        <v>328</v>
      </c>
      <c r="B381" s="157"/>
      <c r="C381" s="157"/>
      <c r="D381" s="158">
        <f t="shared" si="5"/>
        <v>0</v>
      </c>
    </row>
    <row r="382" spans="1:4" ht="18" hidden="1">
      <c r="A382" s="161" t="s">
        <v>331</v>
      </c>
      <c r="B382" s="157"/>
      <c r="C382" s="157"/>
      <c r="D382" s="158">
        <f t="shared" si="5"/>
        <v>0</v>
      </c>
    </row>
    <row r="383" spans="1:4" ht="18" hidden="1">
      <c r="A383" s="161" t="s">
        <v>344</v>
      </c>
      <c r="B383" s="157"/>
      <c r="C383" s="157"/>
      <c r="D383" s="158">
        <f t="shared" si="5"/>
        <v>0</v>
      </c>
    </row>
    <row r="384" spans="1:4" ht="18" hidden="1">
      <c r="A384" s="161" t="s">
        <v>347</v>
      </c>
      <c r="B384" s="157"/>
      <c r="C384" s="157"/>
      <c r="D384" s="158">
        <f t="shared" si="5"/>
        <v>0</v>
      </c>
    </row>
    <row r="385" spans="1:4" ht="18" hidden="1">
      <c r="A385" s="161" t="s">
        <v>350</v>
      </c>
      <c r="B385" s="157"/>
      <c r="C385" s="157"/>
      <c r="D385" s="158">
        <f t="shared" si="5"/>
        <v>0</v>
      </c>
    </row>
    <row r="386" spans="1:4" ht="18" hidden="1">
      <c r="A386" s="161" t="s">
        <v>302</v>
      </c>
      <c r="B386" s="157"/>
      <c r="C386" s="157"/>
      <c r="D386" s="158">
        <f t="shared" si="5"/>
        <v>0</v>
      </c>
    </row>
    <row r="387" spans="1:4" ht="18">
      <c r="A387" s="161" t="s">
        <v>32</v>
      </c>
      <c r="B387" s="157">
        <v>30</v>
      </c>
      <c r="C387" s="157">
        <v>13000</v>
      </c>
      <c r="D387" s="158">
        <f t="shared" si="5"/>
        <v>390000</v>
      </c>
    </row>
    <row r="388" spans="1:4" ht="18" hidden="1">
      <c r="A388" s="161" t="s">
        <v>63</v>
      </c>
      <c r="B388" s="157"/>
      <c r="C388" s="157"/>
      <c r="D388" s="158">
        <f t="shared" ref="D388:D394" si="6">B388*C388</f>
        <v>0</v>
      </c>
    </row>
    <row r="389" spans="1:4" ht="18" hidden="1">
      <c r="A389" s="161" t="s">
        <v>147</v>
      </c>
      <c r="B389" s="157"/>
      <c r="C389" s="157"/>
      <c r="D389" s="158">
        <f t="shared" si="6"/>
        <v>0</v>
      </c>
    </row>
    <row r="390" spans="1:4" ht="18" hidden="1">
      <c r="A390" s="161" t="s">
        <v>305</v>
      </c>
      <c r="B390" s="157"/>
      <c r="C390" s="157"/>
      <c r="D390" s="158">
        <f t="shared" si="6"/>
        <v>0</v>
      </c>
    </row>
    <row r="391" spans="1:4" ht="18" hidden="1">
      <c r="A391" s="161" t="s">
        <v>24</v>
      </c>
      <c r="B391" s="157"/>
      <c r="C391" s="157"/>
      <c r="D391" s="158">
        <f t="shared" si="6"/>
        <v>0</v>
      </c>
    </row>
    <row r="392" spans="1:4" ht="18" hidden="1">
      <c r="A392" s="161" t="s">
        <v>174</v>
      </c>
      <c r="B392" s="157"/>
      <c r="C392" s="157"/>
      <c r="D392" s="158">
        <f t="shared" si="6"/>
        <v>0</v>
      </c>
    </row>
    <row r="393" spans="1:4" ht="18" hidden="1">
      <c r="A393" s="159" t="s">
        <v>241</v>
      </c>
      <c r="B393" s="157"/>
      <c r="C393" s="157"/>
      <c r="D393" s="158">
        <f t="shared" si="6"/>
        <v>0</v>
      </c>
    </row>
    <row r="394" spans="1:4" ht="18" hidden="1">
      <c r="A394" s="163" t="s">
        <v>371</v>
      </c>
      <c r="B394" s="157"/>
      <c r="C394" s="157"/>
      <c r="D394" s="158">
        <f t="shared" si="6"/>
        <v>0</v>
      </c>
    </row>
    <row r="395" spans="1:4" ht="17.399999999999999">
      <c r="A395" s="188"/>
      <c r="B395" s="189">
        <v>3269</v>
      </c>
      <c r="C395" s="189"/>
      <c r="D395" s="189">
        <f>SUM(D347:D387)</f>
        <v>41487500</v>
      </c>
    </row>
    <row r="397" spans="1:4">
      <c r="D397" s="190">
        <f>D395+D340</f>
        <v>101070700</v>
      </c>
    </row>
  </sheetData>
  <protectedRanges>
    <protectedRange password="CF71" sqref="B3:C339 B1:D2" name="tho"/>
    <protectedRange password="CF71" sqref="D3:D394" name="tho_2"/>
    <protectedRange password="CF71" sqref="B342:C344" name="tho_1"/>
    <protectedRange password="CF71" sqref="B345:C345" name="tho_3"/>
    <protectedRange password="CF71" sqref="B346:C346" name="tho_4"/>
    <protectedRange password="CF71" sqref="B347:C347" name="tho_5"/>
    <protectedRange password="CF71" sqref="B348:C348" name="tho_6"/>
    <protectedRange password="CF71" sqref="B349:C349" name="tho_7"/>
    <protectedRange password="CF71" sqref="B350:C350" name="tho_8"/>
    <protectedRange password="CF71" sqref="B351:C351" name="tho_9"/>
    <protectedRange password="CF71" sqref="B352:C352" name="tho_10"/>
    <protectedRange password="CF71" sqref="B353:C353" name="tho_11"/>
    <protectedRange password="CF71" sqref="B354:C354" name="tho_12"/>
    <protectedRange password="CF71" sqref="B355:C355" name="tho_13"/>
    <protectedRange password="CF71" sqref="B356:C356" name="tho_14"/>
    <protectedRange password="CF71" sqref="B357:C357" name="tho_15"/>
    <protectedRange password="CF71" sqref="B358:C358" name="tho_16"/>
    <protectedRange password="CF71" sqref="B359:C359" name="tho_17"/>
    <protectedRange password="CF71" sqref="B360:C360" name="tho_18"/>
    <protectedRange password="CF71" sqref="B361:C361" name="tho_19"/>
    <protectedRange password="CF71" sqref="B362:C362" name="tho_20"/>
    <protectedRange password="CF71" sqref="B363:C363" name="tho_21"/>
    <protectedRange password="CF71" sqref="B364:C364" name="tho_22"/>
    <protectedRange password="CF71" sqref="B365:C365" name="tho_23"/>
    <protectedRange password="CF71" sqref="B366:C366" name="tho_24"/>
    <protectedRange password="CF71" sqref="B367:C367" name="tho_25"/>
    <protectedRange password="CF71" sqref="B368:C368" name="tho_26"/>
    <protectedRange password="CF71" sqref="B369:C369" name="tho_27"/>
    <protectedRange password="CF71" sqref="B370:C370" name="tho_28"/>
    <protectedRange password="CF71" sqref="B371:C371" name="tho_29"/>
    <protectedRange password="CF71" sqref="B372:C372" name="tho_30"/>
    <protectedRange password="CF71" sqref="B373:C373" name="tho_31"/>
    <protectedRange password="CF71" sqref="B374:C374" name="tho_32"/>
    <protectedRange password="CF71" sqref="B375:C375" name="tho_33"/>
    <protectedRange password="CF71" sqref="B376:C376" name="tho_34"/>
    <protectedRange password="CF71" sqref="B377:C378" name="tho_35"/>
    <protectedRange password="CF71" sqref="B379:C379" name="tho_36"/>
    <protectedRange password="CF71" sqref="B380:C380" name="tho_37"/>
    <protectedRange password="CF71" sqref="B381:C381" name="tho_38"/>
    <protectedRange password="CF71" sqref="B382:C382" name="tho_39"/>
    <protectedRange password="CF71" sqref="B383:C383" name="tho_40"/>
    <protectedRange password="CF71" sqref="B384:C384" name="tho_41"/>
    <protectedRange password="CF71" sqref="B385:C385" name="tho_42"/>
    <protectedRange password="CF71" sqref="B386:C386" name="tho_43"/>
    <protectedRange password="CF71" sqref="B387:C387" name="tho_44"/>
    <protectedRange password="CF71" sqref="B388:C388" name="tho_45"/>
    <protectedRange password="CF71" sqref="B389:C389" name="tho_46"/>
    <protectedRange password="CF71" sqref="B390:C390" name="tho_47"/>
    <protectedRange password="CF71" sqref="B391:C391" name="tho_48"/>
    <protectedRange password="CF71" sqref="B392:C392" name="tho_49"/>
    <protectedRange password="CF71" sqref="B393:C394" name="tho_50"/>
  </protectedRanges>
  <autoFilter ref="A2:D395" xr:uid="{00000000-0009-0000-0000-00000A000000}">
    <filterColumn colId="1">
      <customFilters>
        <customFilter operator="notEqual" val=" "/>
      </customFilters>
    </filterColumn>
  </autoFilter>
  <mergeCells count="1">
    <mergeCell ref="A343:A3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674"/>
  <sheetViews>
    <sheetView topLeftCell="A348" workbookViewId="0">
      <selection activeCell="D674" sqref="D674"/>
    </sheetView>
  </sheetViews>
  <sheetFormatPr defaultRowHeight="14.4"/>
  <cols>
    <col min="1" max="1" width="32.44140625" customWidth="1"/>
    <col min="3" max="3" width="12.6640625" customWidth="1"/>
    <col min="4" max="4" width="18.44140625" customWidth="1"/>
  </cols>
  <sheetData>
    <row r="1" spans="1:4">
      <c r="A1" s="151" t="s">
        <v>399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v>5</v>
      </c>
      <c r="C3" s="157">
        <v>14000</v>
      </c>
      <c r="D3" s="158">
        <f>B3*C3</f>
        <v>70000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f>5+15</f>
        <v>20</v>
      </c>
      <c r="C15" s="157">
        <v>18000</v>
      </c>
      <c r="D15" s="158">
        <f t="shared" si="0"/>
        <v>360000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f>22+60</f>
        <v>82</v>
      </c>
      <c r="C18" s="157">
        <v>4000</v>
      </c>
      <c r="D18" s="158">
        <f t="shared" si="0"/>
        <v>328000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f>-1000+1148+280</f>
        <v>428</v>
      </c>
      <c r="C20" s="157">
        <v>13000</v>
      </c>
      <c r="D20" s="158">
        <f t="shared" si="0"/>
        <v>5564000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-30+45+30+40</f>
        <v>85</v>
      </c>
      <c r="C25" s="157">
        <v>9000</v>
      </c>
      <c r="D25" s="158">
        <f t="shared" si="0"/>
        <v>765000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f>13+80</f>
        <v>93</v>
      </c>
      <c r="C28" s="157">
        <v>12500</v>
      </c>
      <c r="D28" s="158">
        <f t="shared" si="0"/>
        <v>1162500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v>12</v>
      </c>
      <c r="C38" s="157">
        <v>11000</v>
      </c>
      <c r="D38" s="158">
        <f t="shared" si="0"/>
        <v>132000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 hidden="1">
      <c r="A54" s="156" t="s">
        <v>65</v>
      </c>
      <c r="B54" s="157"/>
      <c r="C54" s="157"/>
      <c r="D54" s="158">
        <f t="shared" si="0"/>
        <v>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80</v>
      </c>
      <c r="C64" s="157">
        <v>13000</v>
      </c>
      <c r="D64" s="158">
        <f t="shared" si="0"/>
        <v>1040000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f>80+80</f>
        <v>160</v>
      </c>
      <c r="C80" s="157">
        <v>27000</v>
      </c>
      <c r="D80" s="158">
        <f t="shared" si="1"/>
        <v>4320000</v>
      </c>
    </row>
    <row r="81" spans="1:4" ht="18">
      <c r="A81" s="161" t="s">
        <v>94</v>
      </c>
      <c r="B81" s="157">
        <v>15</v>
      </c>
      <c r="C81" s="157">
        <v>22000</v>
      </c>
      <c r="D81" s="158">
        <f t="shared" si="1"/>
        <v>330000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>
      <c r="A91" s="161" t="s">
        <v>104</v>
      </c>
      <c r="B91" s="157">
        <v>4</v>
      </c>
      <c r="C91" s="157">
        <v>7000</v>
      </c>
      <c r="D91" s="158">
        <f t="shared" si="1"/>
        <v>28000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>
      <c r="A111" s="161" t="s">
        <v>124</v>
      </c>
      <c r="B111" s="157">
        <v>8</v>
      </c>
      <c r="C111" s="157">
        <v>15000</v>
      </c>
      <c r="D111" s="158">
        <f t="shared" si="1"/>
        <v>120000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-60+60+20+17+20</f>
        <v>57</v>
      </c>
      <c r="C136" s="157">
        <v>14000</v>
      </c>
      <c r="D136" s="158">
        <f t="shared" si="2"/>
        <v>798000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>
      <c r="A138" s="156" t="s">
        <v>152</v>
      </c>
      <c r="B138" s="157">
        <v>2</v>
      </c>
      <c r="C138" s="157">
        <v>42000</v>
      </c>
      <c r="D138" s="158">
        <f t="shared" si="2"/>
        <v>84000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>
      <c r="A149" s="161" t="s">
        <v>163</v>
      </c>
      <c r="B149" s="162">
        <v>0.5</v>
      </c>
      <c r="C149" s="162">
        <v>60000</v>
      </c>
      <c r="D149" s="158">
        <f t="shared" si="2"/>
        <v>30000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>
      <c r="A169" s="161" t="s">
        <v>183</v>
      </c>
      <c r="B169" s="157">
        <f>20</f>
        <v>20</v>
      </c>
      <c r="C169" s="181">
        <v>6000</v>
      </c>
      <c r="D169" s="158">
        <f t="shared" si="2"/>
        <v>120000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65</v>
      </c>
      <c r="C171" s="157">
        <v>11000</v>
      </c>
      <c r="D171" s="158">
        <f t="shared" si="2"/>
        <v>715000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-500+830+40+500</f>
        <v>870</v>
      </c>
      <c r="C184" s="157">
        <v>6800</v>
      </c>
      <c r="D184" s="158">
        <f t="shared" si="2"/>
        <v>5916000</v>
      </c>
    </row>
    <row r="185" spans="1:4" ht="18">
      <c r="A185" s="161" t="s">
        <v>199</v>
      </c>
      <c r="B185" s="157">
        <f>36+30</f>
        <v>66</v>
      </c>
      <c r="C185" s="157">
        <v>3000</v>
      </c>
      <c r="D185" s="158">
        <f t="shared" si="2"/>
        <v>198000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80+20+140+50</f>
        <v>290</v>
      </c>
      <c r="C202" s="157">
        <v>19000</v>
      </c>
      <c r="D202" s="158">
        <f t="shared" si="3"/>
        <v>5510000</v>
      </c>
    </row>
    <row r="203" spans="1:4" ht="18">
      <c r="A203" s="156" t="s">
        <v>217</v>
      </c>
      <c r="B203" s="157">
        <v>140</v>
      </c>
      <c r="C203" s="157">
        <v>19000</v>
      </c>
      <c r="D203" s="158">
        <f t="shared" si="3"/>
        <v>2660000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-400+520+180</f>
        <v>300</v>
      </c>
      <c r="C205" s="157">
        <v>14000</v>
      </c>
      <c r="D205" s="158">
        <f t="shared" si="3"/>
        <v>4200000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-300+110+7+10+40+20+335</f>
        <v>222</v>
      </c>
      <c r="C216" s="157">
        <v>16000</v>
      </c>
      <c r="D216" s="158">
        <f t="shared" si="3"/>
        <v>3552000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11/0.5</f>
        <v>22</v>
      </c>
      <c r="C218" s="157">
        <v>13000</v>
      </c>
      <c r="D218" s="158">
        <f t="shared" si="3"/>
        <v>286000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 hidden="1">
      <c r="A248" s="161" t="s">
        <v>262</v>
      </c>
      <c r="B248" s="157"/>
      <c r="C248" s="157"/>
      <c r="D248" s="158">
        <f t="shared" si="3"/>
        <v>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-20+3+20+50+40</f>
        <v>93</v>
      </c>
      <c r="C251" s="157">
        <v>23000</v>
      </c>
      <c r="D251" s="158">
        <f t="shared" si="3"/>
        <v>2139000</v>
      </c>
    </row>
    <row r="252" spans="1:4" ht="18" hidden="1">
      <c r="A252" s="161" t="s">
        <v>266</v>
      </c>
      <c r="B252" s="157"/>
      <c r="C252" s="157"/>
      <c r="D252" s="158">
        <f t="shared" si="3"/>
        <v>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>
      <c r="A254" s="161" t="s">
        <v>268</v>
      </c>
      <c r="B254" s="157">
        <v>12</v>
      </c>
      <c r="C254" s="157">
        <v>9000</v>
      </c>
      <c r="D254" s="158">
        <f t="shared" si="3"/>
        <v>108000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-20+30+20+20</f>
        <v>50</v>
      </c>
      <c r="C259" s="157">
        <v>28000</v>
      </c>
      <c r="D259" s="158">
        <f t="shared" si="3"/>
        <v>1400000</v>
      </c>
    </row>
    <row r="260" spans="1:4" ht="18" hidden="1">
      <c r="A260" s="161" t="s">
        <v>274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9+8+32+8</f>
        <v>57</v>
      </c>
      <c r="C263" s="157">
        <v>16000</v>
      </c>
      <c r="D263" s="158">
        <f t="shared" si="4"/>
        <v>912000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>
      <c r="A269" s="159" t="s">
        <v>283</v>
      </c>
      <c r="B269" s="157">
        <v>16</v>
      </c>
      <c r="C269" s="157">
        <v>35000</v>
      </c>
      <c r="D269" s="158">
        <f t="shared" si="4"/>
        <v>560000</v>
      </c>
    </row>
    <row r="270" spans="1:4" ht="18">
      <c r="A270" s="161" t="s">
        <v>284</v>
      </c>
      <c r="B270" s="157">
        <v>19</v>
      </c>
      <c r="C270" s="157">
        <v>12000</v>
      </c>
      <c r="D270" s="158">
        <f t="shared" si="4"/>
        <v>228000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f>15+10</f>
        <v>25</v>
      </c>
      <c r="C274" s="157">
        <v>14000</v>
      </c>
      <c r="D274" s="158">
        <f t="shared" si="4"/>
        <v>350000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f>12+2+3</f>
        <v>17</v>
      </c>
      <c r="C288" s="157">
        <v>10000</v>
      </c>
      <c r="D288" s="158">
        <f t="shared" si="4"/>
        <v>170000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f>17+15+12</f>
        <v>44</v>
      </c>
      <c r="C291" s="157">
        <v>7000</v>
      </c>
      <c r="D291" s="158">
        <f t="shared" si="4"/>
        <v>308000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 hidden="1">
      <c r="A294" s="161" t="s">
        <v>308</v>
      </c>
      <c r="B294" s="157"/>
      <c r="C294" s="157"/>
      <c r="D294" s="158">
        <f t="shared" si="4"/>
        <v>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3379.5</v>
      </c>
      <c r="C340" s="189"/>
      <c r="D340" s="158">
        <f>SUM(D3:D291)</f>
        <v>44463500</v>
      </c>
    </row>
    <row r="341" spans="1:4" ht="18" hidden="1">
      <c r="D341" s="158">
        <f t="shared" si="5"/>
        <v>0</v>
      </c>
    </row>
    <row r="342" spans="1:4" ht="18">
      <c r="A342" s="151" t="s">
        <v>400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f>320+10</f>
        <v>330</v>
      </c>
      <c r="C348" s="157">
        <v>7300</v>
      </c>
      <c r="D348" s="158">
        <f t="shared" si="5"/>
        <v>2409000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12</v>
      </c>
      <c r="C355" s="157">
        <v>10000</v>
      </c>
      <c r="D355" s="158">
        <f t="shared" si="5"/>
        <v>120000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13000</v>
      </c>
      <c r="D362" s="158">
        <f t="shared" si="5"/>
        <v>13000000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9000</v>
      </c>
      <c r="D367" s="158">
        <f t="shared" si="5"/>
        <v>270000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f>180+15</f>
        <v>195</v>
      </c>
      <c r="C389" s="157">
        <v>16000</v>
      </c>
      <c r="D389" s="158">
        <f t="shared" si="6"/>
        <v>3120000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120</v>
      </c>
      <c r="C414" s="157">
        <v>25000</v>
      </c>
      <c r="D414" s="158">
        <f t="shared" si="6"/>
        <v>3000000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>
      <c r="A442" s="161" t="s">
        <v>117</v>
      </c>
      <c r="B442" s="157">
        <f>170+80</f>
        <v>250</v>
      </c>
      <c r="C442" s="157">
        <v>7000</v>
      </c>
      <c r="D442" s="158">
        <f t="shared" si="6"/>
        <v>1750000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 hidden="1">
      <c r="A449" s="161" t="s">
        <v>124</v>
      </c>
      <c r="B449" s="157"/>
      <c r="C449" s="157"/>
      <c r="D449" s="158">
        <f t="shared" si="6"/>
        <v>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 hidden="1">
      <c r="A461" s="161" t="s">
        <v>137</v>
      </c>
      <c r="B461" s="157"/>
      <c r="C461" s="157"/>
      <c r="D461" s="158">
        <f t="shared" si="7"/>
        <v>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14000</v>
      </c>
      <c r="D472" s="158">
        <f t="shared" si="7"/>
        <v>840000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>
      <c r="A492" s="161" t="s">
        <v>169</v>
      </c>
      <c r="B492" s="157">
        <v>25</v>
      </c>
      <c r="C492" s="157">
        <v>8000</v>
      </c>
      <c r="D492" s="158">
        <f t="shared" si="7"/>
        <v>200000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>
      <c r="A497" s="161" t="s">
        <v>174</v>
      </c>
      <c r="B497" s="157">
        <v>10</v>
      </c>
      <c r="C497" s="157">
        <v>8000</v>
      </c>
      <c r="D497" s="158">
        <f t="shared" si="7"/>
        <v>80000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>
      <c r="A504" s="161" t="s">
        <v>365</v>
      </c>
      <c r="B504" s="157">
        <v>250</v>
      </c>
      <c r="C504" s="157">
        <v>6500</v>
      </c>
      <c r="D504" s="158">
        <f t="shared" si="7"/>
        <v>1625000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500</v>
      </c>
      <c r="C520" s="157">
        <v>6800</v>
      </c>
      <c r="D520" s="158">
        <f t="shared" si="8"/>
        <v>3400000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14000</v>
      </c>
      <c r="D542" s="158">
        <f t="shared" si="8"/>
        <v>5600000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>
      <c r="A568" s="159" t="s">
        <v>241</v>
      </c>
      <c r="B568" s="157">
        <v>37</v>
      </c>
      <c r="C568" s="157">
        <v>37000</v>
      </c>
      <c r="D568" s="158">
        <f t="shared" si="8"/>
        <v>1369000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23000</v>
      </c>
      <c r="D585" s="158">
        <f t="shared" si="9"/>
        <v>460000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28000</v>
      </c>
      <c r="D593" s="158">
        <f t="shared" si="9"/>
        <v>560000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16000</v>
      </c>
      <c r="D597" s="158">
        <f t="shared" si="9"/>
        <v>320000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3579</v>
      </c>
      <c r="C672" s="189"/>
      <c r="D672" s="189">
        <f t="shared" ref="D672" si="11">SUM(D345:D671)</f>
        <v>42623000</v>
      </c>
    </row>
    <row r="674" spans="4:4">
      <c r="D674" s="190">
        <f>D672+D340</f>
        <v>87086500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B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674"/>
  <sheetViews>
    <sheetView workbookViewId="0">
      <selection activeCell="D674" sqref="D674"/>
    </sheetView>
  </sheetViews>
  <sheetFormatPr defaultRowHeight="14.4"/>
  <cols>
    <col min="1" max="1" width="33.6640625" customWidth="1"/>
    <col min="3" max="3" width="14.44140625" customWidth="1"/>
    <col min="4" max="4" width="22.33203125" customWidth="1"/>
  </cols>
  <sheetData>
    <row r="1" spans="1:4">
      <c r="A1" s="151" t="s">
        <v>401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f>25+95</f>
        <v>120</v>
      </c>
      <c r="C3" s="157">
        <v>14000</v>
      </c>
      <c r="D3" s="158">
        <f>B3*C3</f>
        <v>1680000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8</v>
      </c>
      <c r="C15" s="157">
        <v>18000</v>
      </c>
      <c r="D15" s="158">
        <f t="shared" si="0"/>
        <v>144000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25</v>
      </c>
      <c r="C18" s="157">
        <v>4000</v>
      </c>
      <c r="D18" s="158">
        <f t="shared" si="0"/>
        <v>100000</v>
      </c>
    </row>
    <row r="19" spans="1:4" ht="18">
      <c r="A19" s="159" t="s">
        <v>26</v>
      </c>
      <c r="B19" s="157">
        <v>10</v>
      </c>
      <c r="C19" s="184">
        <v>14000</v>
      </c>
      <c r="D19" s="158">
        <f t="shared" si="0"/>
        <v>140000</v>
      </c>
    </row>
    <row r="20" spans="1:4" ht="18">
      <c r="A20" s="161" t="s">
        <v>27</v>
      </c>
      <c r="B20" s="157">
        <f>-1000+1262+580+370</f>
        <v>1212</v>
      </c>
      <c r="C20" s="157">
        <v>14000</v>
      </c>
      <c r="D20" s="158">
        <f t="shared" si="0"/>
        <v>16968000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-30+75+23</f>
        <v>68</v>
      </c>
      <c r="C25" s="157">
        <v>9000</v>
      </c>
      <c r="D25" s="158">
        <f t="shared" si="0"/>
        <v>612000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 hidden="1">
      <c r="A54" s="156" t="s">
        <v>65</v>
      </c>
      <c r="B54" s="157"/>
      <c r="C54" s="157"/>
      <c r="D54" s="158">
        <f t="shared" si="0"/>
        <v>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40</v>
      </c>
      <c r="C64" s="157">
        <v>14000</v>
      </c>
      <c r="D64" s="158">
        <f t="shared" si="0"/>
        <v>560000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-150+170</f>
        <v>20</v>
      </c>
      <c r="C78" s="157">
        <v>24000</v>
      </c>
      <c r="D78" s="158">
        <f t="shared" si="1"/>
        <v>480000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60</v>
      </c>
      <c r="C80" s="157">
        <v>26000</v>
      </c>
      <c r="D80" s="158">
        <f t="shared" si="1"/>
        <v>1560000</v>
      </c>
    </row>
    <row r="81" spans="1:4" ht="18">
      <c r="A81" s="161" t="s">
        <v>94</v>
      </c>
      <c r="B81" s="157">
        <v>10</v>
      </c>
      <c r="C81" s="157">
        <v>22000</v>
      </c>
      <c r="D81" s="158">
        <f t="shared" si="1"/>
        <v>220000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30</v>
      </c>
      <c r="C104" s="157">
        <v>7000</v>
      </c>
      <c r="D104" s="158">
        <f t="shared" si="1"/>
        <v>210000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-20+30</f>
        <v>10</v>
      </c>
      <c r="C123" s="157">
        <v>11000</v>
      </c>
      <c r="D123" s="158">
        <f t="shared" si="1"/>
        <v>110000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>
      <c r="A126" s="173" t="s">
        <v>140</v>
      </c>
      <c r="B126" s="157">
        <v>3</v>
      </c>
      <c r="C126" s="157">
        <v>14000</v>
      </c>
      <c r="D126" s="158">
        <f t="shared" si="1"/>
        <v>42000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2.5</v>
      </c>
      <c r="C132" s="162">
        <v>16000</v>
      </c>
      <c r="D132" s="158">
        <f t="shared" ref="D132:D195" si="2">B132*C132</f>
        <v>40000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-60+25+18+12+18</f>
        <v>13</v>
      </c>
      <c r="C136" s="157">
        <v>14000</v>
      </c>
      <c r="D136" s="158">
        <f t="shared" si="2"/>
        <v>182000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>
      <c r="A138" s="156" t="s">
        <v>152</v>
      </c>
      <c r="B138" s="157">
        <v>2</v>
      </c>
      <c r="C138" s="157">
        <v>42000</v>
      </c>
      <c r="D138" s="158">
        <f t="shared" si="2"/>
        <v>84000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>
      <c r="A159" s="161" t="s">
        <v>173</v>
      </c>
      <c r="B159" s="157">
        <v>2</v>
      </c>
      <c r="C159" s="157">
        <v>25000</v>
      </c>
      <c r="D159" s="158">
        <f t="shared" si="2"/>
        <v>50000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>
      <c r="A161" s="161" t="s">
        <v>175</v>
      </c>
      <c r="B161" s="157">
        <v>25</v>
      </c>
      <c r="C161" s="157">
        <v>8000</v>
      </c>
      <c r="D161" s="158">
        <f t="shared" si="2"/>
        <v>200000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22</v>
      </c>
      <c r="C171" s="157">
        <v>11000</v>
      </c>
      <c r="D171" s="158">
        <f t="shared" si="2"/>
        <v>242000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>
      <c r="A175" s="169" t="s">
        <v>189</v>
      </c>
      <c r="B175" s="170">
        <f>18+36</f>
        <v>54</v>
      </c>
      <c r="C175" s="170">
        <v>15000</v>
      </c>
      <c r="D175" s="158">
        <f t="shared" si="2"/>
        <v>810000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-500+540+140</f>
        <v>180</v>
      </c>
      <c r="C184" s="157">
        <v>6800</v>
      </c>
      <c r="D184" s="158">
        <f t="shared" si="2"/>
        <v>1224000</v>
      </c>
    </row>
    <row r="185" spans="1:4" ht="18" hidden="1">
      <c r="A185" s="161" t="s">
        <v>199</v>
      </c>
      <c r="B185" s="157"/>
      <c r="C185" s="157"/>
      <c r="D185" s="158">
        <f t="shared" si="2"/>
        <v>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300+290</f>
        <v>590</v>
      </c>
      <c r="C202" s="157">
        <v>19000</v>
      </c>
      <c r="D202" s="158">
        <f t="shared" si="3"/>
        <v>11210000</v>
      </c>
    </row>
    <row r="203" spans="1:4" ht="18">
      <c r="A203" s="156" t="s">
        <v>217</v>
      </c>
      <c r="B203" s="157">
        <f>46+100+110</f>
        <v>256</v>
      </c>
      <c r="C203" s="157">
        <v>19000</v>
      </c>
      <c r="D203" s="158">
        <f t="shared" si="3"/>
        <v>4864000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-400+690</f>
        <v>290</v>
      </c>
      <c r="C205" s="157">
        <v>14000</v>
      </c>
      <c r="D205" s="158">
        <f t="shared" si="3"/>
        <v>4060000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57</v>
      </c>
      <c r="C211" s="157">
        <v>12000</v>
      </c>
      <c r="D211" s="158">
        <f t="shared" si="3"/>
        <v>684000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-300+160+40+165</f>
        <v>65</v>
      </c>
      <c r="C216" s="157">
        <v>15000</v>
      </c>
      <c r="D216" s="158">
        <f t="shared" si="3"/>
        <v>975000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16</v>
      </c>
      <c r="C218" s="157">
        <v>14000</v>
      </c>
      <c r="D218" s="158">
        <f t="shared" si="3"/>
        <v>224000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 hidden="1">
      <c r="A248" s="161" t="s">
        <v>262</v>
      </c>
      <c r="B248" s="157"/>
      <c r="C248" s="157"/>
      <c r="D248" s="158">
        <f t="shared" si="3"/>
        <v>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-20+40+28</f>
        <v>48</v>
      </c>
      <c r="C251" s="157">
        <v>27000</v>
      </c>
      <c r="D251" s="158">
        <f t="shared" si="3"/>
        <v>1296000</v>
      </c>
    </row>
    <row r="252" spans="1:4" ht="18">
      <c r="A252" s="161" t="s">
        <v>266</v>
      </c>
      <c r="B252" s="157">
        <v>5</v>
      </c>
      <c r="C252" s="157">
        <v>22000</v>
      </c>
      <c r="D252" s="158">
        <f t="shared" si="3"/>
        <v>110000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-20+60</f>
        <v>40</v>
      </c>
      <c r="C259" s="157">
        <v>30000</v>
      </c>
      <c r="D259" s="158">
        <f t="shared" si="3"/>
        <v>1200000</v>
      </c>
    </row>
    <row r="260" spans="1:4" ht="18">
      <c r="A260" s="161" t="s">
        <v>274</v>
      </c>
      <c r="B260" s="157">
        <v>3</v>
      </c>
      <c r="C260" s="157">
        <v>22000</v>
      </c>
      <c r="D260" s="158">
        <f t="shared" ref="D260:D323" si="4">B260*C260</f>
        <v>66000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-20+20+26+12</f>
        <v>38</v>
      </c>
      <c r="C263" s="157">
        <v>16000</v>
      </c>
      <c r="D263" s="158">
        <f t="shared" si="4"/>
        <v>608000</v>
      </c>
    </row>
    <row r="264" spans="1:4" ht="18">
      <c r="A264" s="161" t="s">
        <v>278</v>
      </c>
      <c r="B264" s="157">
        <v>8</v>
      </c>
      <c r="C264" s="157">
        <v>14000</v>
      </c>
      <c r="D264" s="158">
        <f t="shared" si="4"/>
        <v>112000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 hidden="1">
      <c r="A274" s="161" t="s">
        <v>288</v>
      </c>
      <c r="B274" s="157"/>
      <c r="C274" s="157"/>
      <c r="D274" s="158">
        <f t="shared" si="4"/>
        <v>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25</v>
      </c>
      <c r="C288" s="157">
        <v>10000</v>
      </c>
      <c r="D288" s="158">
        <f t="shared" si="4"/>
        <v>250000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 hidden="1">
      <c r="A291" s="161" t="s">
        <v>305</v>
      </c>
      <c r="B291" s="157"/>
      <c r="C291" s="157"/>
      <c r="D291" s="158">
        <f t="shared" si="4"/>
        <v>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33</v>
      </c>
      <c r="C294" s="157">
        <v>10000</v>
      </c>
      <c r="D294" s="158">
        <f t="shared" si="4"/>
        <v>330000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>
      <c r="A327" s="161" t="s">
        <v>341</v>
      </c>
      <c r="B327" s="157">
        <v>10</v>
      </c>
      <c r="C327" s="157">
        <v>30000</v>
      </c>
      <c r="D327" s="158">
        <f t="shared" si="5"/>
        <v>300000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3400.5</v>
      </c>
      <c r="C340" s="189"/>
      <c r="D340" s="158">
        <f>SUM(D3:D327)</f>
        <v>51947000</v>
      </c>
    </row>
    <row r="341" spans="1:4" ht="18" hidden="1">
      <c r="D341" s="158">
        <f t="shared" si="5"/>
        <v>0</v>
      </c>
    </row>
    <row r="342" spans="1:4" ht="18">
      <c r="A342" s="151" t="s">
        <v>402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f>700+168+185</f>
        <v>1053</v>
      </c>
      <c r="C348" s="157">
        <v>4000</v>
      </c>
      <c r="D348" s="158">
        <f t="shared" si="5"/>
        <v>4212000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5"/>
        <v>14000000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9000</v>
      </c>
      <c r="D367" s="158">
        <f t="shared" si="5"/>
        <v>270000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>
      <c r="A387" s="161" t="s">
        <v>63</v>
      </c>
      <c r="B387" s="157">
        <v>5</v>
      </c>
      <c r="C387" s="157">
        <v>24000</v>
      </c>
      <c r="D387" s="158">
        <f t="shared" si="5"/>
        <v>120000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77</v>
      </c>
      <c r="C389" s="157">
        <v>17000</v>
      </c>
      <c r="D389" s="158">
        <f t="shared" si="6"/>
        <v>1309000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150</v>
      </c>
      <c r="C414" s="157">
        <v>24500</v>
      </c>
      <c r="D414" s="158">
        <f t="shared" si="6"/>
        <v>3675000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7</v>
      </c>
      <c r="C449" s="157">
        <v>15000</v>
      </c>
      <c r="D449" s="158">
        <f t="shared" si="6"/>
        <v>105000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14000</v>
      </c>
      <c r="D472" s="158">
        <f t="shared" si="7"/>
        <v>840000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>
      <c r="A492" s="161" t="s">
        <v>169</v>
      </c>
      <c r="B492" s="157">
        <v>9</v>
      </c>
      <c r="C492" s="157">
        <v>6000</v>
      </c>
      <c r="D492" s="158">
        <f t="shared" si="7"/>
        <v>54000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>
      <c r="A497" s="161" t="s">
        <v>174</v>
      </c>
      <c r="B497" s="157">
        <v>14</v>
      </c>
      <c r="C497" s="157">
        <v>8000</v>
      </c>
      <c r="D497" s="158">
        <f t="shared" si="7"/>
        <v>112000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>
      <c r="A504" s="161" t="s">
        <v>365</v>
      </c>
      <c r="B504" s="157">
        <v>87</v>
      </c>
      <c r="C504" s="157">
        <v>6500</v>
      </c>
      <c r="D504" s="158">
        <f t="shared" si="7"/>
        <v>565500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500</v>
      </c>
      <c r="C520" s="157">
        <v>6800</v>
      </c>
      <c r="D520" s="158">
        <f t="shared" si="8"/>
        <v>3400000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14000</v>
      </c>
      <c r="D542" s="158">
        <f t="shared" si="8"/>
        <v>5600000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>
      <c r="A568" s="159" t="s">
        <v>241</v>
      </c>
      <c r="B568" s="157">
        <v>20</v>
      </c>
      <c r="C568" s="157">
        <v>37000</v>
      </c>
      <c r="D568" s="158">
        <f t="shared" si="8"/>
        <v>740000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24000</v>
      </c>
      <c r="D585" s="158">
        <f t="shared" si="9"/>
        <v>480000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27000</v>
      </c>
      <c r="D593" s="158">
        <f t="shared" si="9"/>
        <v>540000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16000</v>
      </c>
      <c r="D597" s="158">
        <f t="shared" si="9"/>
        <v>320000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3792</v>
      </c>
      <c r="C672" s="189"/>
      <c r="D672" s="189">
        <f>SUM(D348:D597)</f>
        <v>41062500</v>
      </c>
    </row>
    <row r="674" spans="4:4">
      <c r="D674" s="190">
        <f>D672+D340</f>
        <v>93009500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C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674"/>
  <sheetViews>
    <sheetView topLeftCell="A385" workbookViewId="0">
      <selection activeCell="D674" sqref="D674"/>
    </sheetView>
  </sheetViews>
  <sheetFormatPr defaultRowHeight="14.4"/>
  <cols>
    <col min="1" max="1" width="34.44140625" customWidth="1"/>
    <col min="3" max="3" width="14.44140625" customWidth="1"/>
    <col min="4" max="4" width="25.88671875" customWidth="1"/>
  </cols>
  <sheetData>
    <row r="1" spans="1:4">
      <c r="A1" s="151" t="s">
        <v>403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v>17</v>
      </c>
      <c r="C3" s="157">
        <v>14000</v>
      </c>
      <c r="D3" s="158">
        <f>B3*C3</f>
        <v>238000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f>10+15</f>
        <v>25</v>
      </c>
      <c r="C15" s="157">
        <v>18000</v>
      </c>
      <c r="D15" s="158">
        <f t="shared" si="0"/>
        <v>450000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f>-1000+1200+450+210+60</f>
        <v>920</v>
      </c>
      <c r="C20" s="157">
        <v>14000</v>
      </c>
      <c r="D20" s="158">
        <f t="shared" si="0"/>
        <v>12880000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-30+25+12+50</f>
        <v>57</v>
      </c>
      <c r="C25" s="157">
        <v>9000</v>
      </c>
      <c r="D25" s="158">
        <f t="shared" si="0"/>
        <v>513000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v>24</v>
      </c>
      <c r="C28" s="157">
        <v>12500</v>
      </c>
      <c r="D28" s="158">
        <f t="shared" si="0"/>
        <v>300000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>
      <c r="A47" s="161" t="s">
        <v>58</v>
      </c>
      <c r="B47" s="157">
        <f>16+5</f>
        <v>21</v>
      </c>
      <c r="C47" s="157">
        <v>26000</v>
      </c>
      <c r="D47" s="158">
        <f t="shared" si="0"/>
        <v>546000</v>
      </c>
    </row>
    <row r="48" spans="1:4" ht="18">
      <c r="A48" s="180" t="s">
        <v>59</v>
      </c>
      <c r="B48" s="157">
        <v>35</v>
      </c>
      <c r="C48" s="157">
        <v>33000</v>
      </c>
      <c r="D48" s="158">
        <f t="shared" si="0"/>
        <v>1155000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-300+18+10+210+100</f>
        <v>38</v>
      </c>
      <c r="C54" s="157">
        <v>17000</v>
      </c>
      <c r="D54" s="158">
        <f t="shared" si="0"/>
        <v>646000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25</v>
      </c>
      <c r="C57" s="157">
        <v>6900</v>
      </c>
      <c r="D57" s="158">
        <f t="shared" si="0"/>
        <v>172500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4</v>
      </c>
      <c r="C61" s="157">
        <v>11500</v>
      </c>
      <c r="D61" s="158">
        <f t="shared" si="0"/>
        <v>46000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f>30+60+30</f>
        <v>120</v>
      </c>
      <c r="C64" s="157">
        <v>14000</v>
      </c>
      <c r="D64" s="158">
        <f t="shared" si="0"/>
        <v>1680000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21</v>
      </c>
      <c r="C70" s="157">
        <v>10000</v>
      </c>
      <c r="D70" s="158">
        <f t="shared" si="1"/>
        <v>210000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f>50+35</f>
        <v>85</v>
      </c>
      <c r="C80" s="157">
        <v>26000</v>
      </c>
      <c r="D80" s="158">
        <f t="shared" si="1"/>
        <v>2210000</v>
      </c>
    </row>
    <row r="81" spans="1:4" ht="18">
      <c r="A81" s="161" t="s">
        <v>94</v>
      </c>
      <c r="B81" s="157">
        <f>7+25</f>
        <v>32</v>
      </c>
      <c r="C81" s="157">
        <v>22000</v>
      </c>
      <c r="D81" s="158">
        <f t="shared" si="1"/>
        <v>704000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>
      <c r="A91" s="161" t="s">
        <v>104</v>
      </c>
      <c r="B91" s="157">
        <f>5+4</f>
        <v>9</v>
      </c>
      <c r="C91" s="157">
        <v>9000</v>
      </c>
      <c r="D91" s="158">
        <f t="shared" si="1"/>
        <v>81000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>
      <c r="A111" s="161" t="s">
        <v>124</v>
      </c>
      <c r="B111" s="157">
        <v>24</v>
      </c>
      <c r="C111" s="157">
        <v>15000</v>
      </c>
      <c r="D111" s="158">
        <f t="shared" si="1"/>
        <v>360000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-60+27+30+24</f>
        <v>21</v>
      </c>
      <c r="C136" s="157">
        <v>14000</v>
      </c>
      <c r="D136" s="158">
        <f t="shared" si="2"/>
        <v>294000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8</v>
      </c>
      <c r="C171" s="157">
        <v>11000</v>
      </c>
      <c r="D171" s="158">
        <f t="shared" si="2"/>
        <v>88000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>
      <c r="A175" s="169" t="s">
        <v>189</v>
      </c>
      <c r="B175" s="170">
        <v>36</v>
      </c>
      <c r="C175" s="170">
        <v>15000</v>
      </c>
      <c r="D175" s="158">
        <f t="shared" si="2"/>
        <v>540000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v>90</v>
      </c>
      <c r="C185" s="157">
        <v>3000</v>
      </c>
      <c r="D185" s="158">
        <f t="shared" si="2"/>
        <v>270000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120+60+120+30</f>
        <v>330</v>
      </c>
      <c r="C202" s="157">
        <v>19000</v>
      </c>
      <c r="D202" s="158">
        <f t="shared" si="3"/>
        <v>6270000</v>
      </c>
    </row>
    <row r="203" spans="1:4" ht="18">
      <c r="A203" s="156" t="s">
        <v>217</v>
      </c>
      <c r="B203" s="157">
        <f>20+100+60</f>
        <v>180</v>
      </c>
      <c r="C203" s="157">
        <v>19000</v>
      </c>
      <c r="D203" s="158">
        <f t="shared" si="3"/>
        <v>3420000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-400+60+140+140+25+260</f>
        <v>225</v>
      </c>
      <c r="C205" s="157">
        <v>14000</v>
      </c>
      <c r="D205" s="158">
        <f t="shared" si="3"/>
        <v>3150000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-300+255+75+100+10</f>
        <v>140</v>
      </c>
      <c r="C216" s="157">
        <v>15000</v>
      </c>
      <c r="D216" s="158">
        <f t="shared" si="3"/>
        <v>2100000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80+56</f>
        <v>136</v>
      </c>
      <c r="C218" s="157">
        <v>13000</v>
      </c>
      <c r="D218" s="158">
        <f t="shared" si="3"/>
        <v>1768000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9</v>
      </c>
      <c r="C248" s="157">
        <v>14000</v>
      </c>
      <c r="D248" s="158">
        <f t="shared" si="3"/>
        <v>126000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-20+8+45</f>
        <v>33</v>
      </c>
      <c r="C251" s="157">
        <v>27000</v>
      </c>
      <c r="D251" s="158">
        <f t="shared" si="3"/>
        <v>891000</v>
      </c>
    </row>
    <row r="252" spans="1:4" ht="18">
      <c r="A252" s="161" t="s">
        <v>266</v>
      </c>
      <c r="B252" s="157">
        <v>15</v>
      </c>
      <c r="C252" s="157">
        <v>22000</v>
      </c>
      <c r="D252" s="158">
        <f t="shared" si="3"/>
        <v>330000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-20+20+40</f>
        <v>40</v>
      </c>
      <c r="C259" s="157">
        <v>30000</v>
      </c>
      <c r="D259" s="158">
        <f t="shared" si="3"/>
        <v>1200000</v>
      </c>
    </row>
    <row r="260" spans="1:4" ht="18">
      <c r="A260" s="161" t="s">
        <v>274</v>
      </c>
      <c r="B260" s="157">
        <v>15</v>
      </c>
      <c r="C260" s="157">
        <v>22000</v>
      </c>
      <c r="D260" s="158">
        <f t="shared" ref="D260:D323" si="4">B260*C260</f>
        <v>330000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-20+20+5+40</f>
        <v>45</v>
      </c>
      <c r="C263" s="157">
        <v>16000</v>
      </c>
      <c r="D263" s="158">
        <f t="shared" si="4"/>
        <v>720000</v>
      </c>
    </row>
    <row r="264" spans="1:4" ht="18">
      <c r="A264" s="161" t="s">
        <v>278</v>
      </c>
      <c r="B264" s="157">
        <v>5</v>
      </c>
      <c r="C264" s="157">
        <v>14000</v>
      </c>
      <c r="D264" s="158">
        <f t="shared" si="4"/>
        <v>70000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>
      <c r="A270" s="161" t="s">
        <v>284</v>
      </c>
      <c r="B270" s="157">
        <v>4</v>
      </c>
      <c r="C270" s="157">
        <v>12000</v>
      </c>
      <c r="D270" s="158">
        <f t="shared" si="4"/>
        <v>48000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2</v>
      </c>
      <c r="C274" s="157">
        <v>14000</v>
      </c>
      <c r="D274" s="158">
        <f t="shared" si="4"/>
        <v>28000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21</v>
      </c>
      <c r="C288" s="157">
        <v>10000</v>
      </c>
      <c r="D288" s="158">
        <f t="shared" si="4"/>
        <v>210000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f>11+15</f>
        <v>26</v>
      </c>
      <c r="C291" s="157">
        <v>7000</v>
      </c>
      <c r="D291" s="158">
        <f t="shared" si="4"/>
        <v>182000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105</v>
      </c>
      <c r="C294" s="157">
        <v>10000</v>
      </c>
      <c r="D294" s="158">
        <f t="shared" si="4"/>
        <v>1050000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2943</v>
      </c>
      <c r="C340" s="189"/>
      <c r="D340" s="158">
        <f>SUM(D3:D294)</f>
        <v>45276500</v>
      </c>
    </row>
    <row r="341" spans="1:4" ht="18" hidden="1">
      <c r="D341" s="158">
        <f t="shared" si="5"/>
        <v>0</v>
      </c>
    </row>
    <row r="342" spans="1:4" ht="18">
      <c r="A342" s="151" t="s">
        <v>404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56" t="s">
        <v>82</v>
      </c>
      <c r="B345" s="157"/>
      <c r="C345" s="157"/>
      <c r="D345" s="158">
        <f t="shared" si="5"/>
        <v>0</v>
      </c>
    </row>
    <row r="346" spans="1:4" ht="18" hidden="1">
      <c r="A346" s="159" t="s">
        <v>83</v>
      </c>
      <c r="B346" s="157"/>
      <c r="C346" s="157"/>
      <c r="D346" s="158">
        <f t="shared" si="5"/>
        <v>0</v>
      </c>
    </row>
    <row r="347" spans="1:4" ht="18" hidden="1">
      <c r="A347" s="156" t="s">
        <v>84</v>
      </c>
      <c r="B347" s="157"/>
      <c r="C347" s="157"/>
      <c r="D347" s="158">
        <f t="shared" si="5"/>
        <v>0</v>
      </c>
    </row>
    <row r="348" spans="1:4" ht="18" hidden="1">
      <c r="A348" s="156" t="s">
        <v>85</v>
      </c>
      <c r="B348" s="157"/>
      <c r="C348" s="157"/>
      <c r="D348" s="158">
        <f t="shared" si="5"/>
        <v>0</v>
      </c>
    </row>
    <row r="349" spans="1:4" ht="18" hidden="1">
      <c r="A349" s="156" t="s">
        <v>86</v>
      </c>
      <c r="B349" s="157"/>
      <c r="C349" s="157"/>
      <c r="D349" s="158">
        <f t="shared" si="5"/>
        <v>0</v>
      </c>
    </row>
    <row r="350" spans="1:4" ht="18" hidden="1">
      <c r="A350" s="160" t="s">
        <v>87</v>
      </c>
      <c r="B350" s="157"/>
      <c r="C350" s="157"/>
      <c r="D350" s="158">
        <f t="shared" si="5"/>
        <v>0</v>
      </c>
    </row>
    <row r="351" spans="1:4" ht="18" hidden="1">
      <c r="A351" s="161" t="s">
        <v>88</v>
      </c>
      <c r="B351" s="157"/>
      <c r="C351" s="157"/>
      <c r="D351" s="158">
        <f t="shared" si="5"/>
        <v>0</v>
      </c>
    </row>
    <row r="352" spans="1:4" ht="18" hidden="1">
      <c r="A352" s="156" t="s">
        <v>96</v>
      </c>
      <c r="B352" s="162"/>
      <c r="C352" s="162"/>
      <c r="D352" s="158">
        <f t="shared" si="5"/>
        <v>0</v>
      </c>
    </row>
    <row r="353" spans="1:4" ht="18" hidden="1">
      <c r="A353" s="156" t="s">
        <v>97</v>
      </c>
      <c r="B353" s="162"/>
      <c r="C353" s="162"/>
      <c r="D353" s="158">
        <f t="shared" si="5"/>
        <v>0</v>
      </c>
    </row>
    <row r="354" spans="1:4" ht="18" hidden="1">
      <c r="A354" s="156" t="s">
        <v>98</v>
      </c>
      <c r="B354" s="162"/>
      <c r="C354" s="162"/>
      <c r="D354" s="158">
        <f t="shared" si="5"/>
        <v>0</v>
      </c>
    </row>
    <row r="355" spans="1:4" ht="18" hidden="1">
      <c r="A355" s="161" t="s">
        <v>110</v>
      </c>
      <c r="B355" s="157"/>
      <c r="C355" s="157"/>
      <c r="D355" s="158">
        <f t="shared" si="5"/>
        <v>0</v>
      </c>
    </row>
    <row r="356" spans="1:4" ht="18" hidden="1">
      <c r="A356" s="161" t="s">
        <v>111</v>
      </c>
      <c r="B356" s="157"/>
      <c r="C356" s="157"/>
      <c r="D356" s="158">
        <f t="shared" si="5"/>
        <v>0</v>
      </c>
    </row>
    <row r="357" spans="1:4" ht="18" hidden="1">
      <c r="A357" s="161" t="s">
        <v>113</v>
      </c>
      <c r="B357" s="162"/>
      <c r="C357" s="162"/>
      <c r="D357" s="158">
        <f t="shared" si="5"/>
        <v>0</v>
      </c>
    </row>
    <row r="358" spans="1:4" ht="18" hidden="1">
      <c r="A358" s="163" t="s">
        <v>115</v>
      </c>
      <c r="B358" s="157"/>
      <c r="C358" s="157"/>
      <c r="D358" s="158">
        <f t="shared" si="5"/>
        <v>0</v>
      </c>
    </row>
    <row r="359" spans="1:4" ht="18" hidden="1">
      <c r="A359" s="159" t="s">
        <v>131</v>
      </c>
      <c r="B359" s="157"/>
      <c r="C359" s="157"/>
      <c r="D359" s="158">
        <f t="shared" si="5"/>
        <v>0</v>
      </c>
    </row>
    <row r="360" spans="1:4" ht="18" hidden="1">
      <c r="A360" s="163" t="s">
        <v>132</v>
      </c>
      <c r="B360" s="157"/>
      <c r="C360" s="157"/>
      <c r="D360" s="158">
        <f t="shared" si="5"/>
        <v>0</v>
      </c>
    </row>
    <row r="361" spans="1:4" ht="18" hidden="1">
      <c r="A361" s="161" t="s">
        <v>124</v>
      </c>
      <c r="B361" s="157"/>
      <c r="C361" s="157"/>
      <c r="D361" s="158">
        <f t="shared" si="5"/>
        <v>0</v>
      </c>
    </row>
    <row r="362" spans="1:4" ht="18" hidden="1">
      <c r="A362" s="161" t="s">
        <v>125</v>
      </c>
      <c r="B362" s="157"/>
      <c r="C362" s="157"/>
      <c r="D362" s="158">
        <f t="shared" si="5"/>
        <v>0</v>
      </c>
    </row>
    <row r="363" spans="1:4" ht="18" hidden="1">
      <c r="A363" s="161" t="s">
        <v>126</v>
      </c>
      <c r="B363" s="157"/>
      <c r="C363" s="157"/>
      <c r="D363" s="158">
        <f t="shared" si="5"/>
        <v>0</v>
      </c>
    </row>
    <row r="364" spans="1:4" ht="18" hidden="1">
      <c r="A364" s="159" t="s">
        <v>264</v>
      </c>
      <c r="B364" s="157"/>
      <c r="C364" s="157"/>
      <c r="D364" s="158">
        <f t="shared" si="5"/>
        <v>0</v>
      </c>
    </row>
    <row r="365" spans="1:4" ht="18">
      <c r="A365" s="161" t="s">
        <v>265</v>
      </c>
      <c r="B365" s="157">
        <v>20</v>
      </c>
      <c r="C365" s="157">
        <v>27000</v>
      </c>
      <c r="D365" s="158">
        <f t="shared" si="5"/>
        <v>540000</v>
      </c>
    </row>
    <row r="366" spans="1:4" ht="18" hidden="1">
      <c r="A366" s="161" t="s">
        <v>266</v>
      </c>
      <c r="B366" s="157"/>
      <c r="C366" s="157"/>
      <c r="D366" s="158">
        <f t="shared" si="5"/>
        <v>0</v>
      </c>
    </row>
    <row r="367" spans="1:4" ht="18" hidden="1">
      <c r="A367" s="161" t="s">
        <v>267</v>
      </c>
      <c r="B367" s="157"/>
      <c r="C367" s="157"/>
      <c r="D367" s="158">
        <f t="shared" si="5"/>
        <v>0</v>
      </c>
    </row>
    <row r="368" spans="1:4" ht="18" hidden="1">
      <c r="A368" s="161" t="s">
        <v>268</v>
      </c>
      <c r="B368" s="157"/>
      <c r="C368" s="157"/>
      <c r="D368" s="158">
        <f t="shared" si="5"/>
        <v>0</v>
      </c>
    </row>
    <row r="369" spans="1:4" ht="18" hidden="1">
      <c r="A369" s="161" t="s">
        <v>269</v>
      </c>
      <c r="B369" s="157"/>
      <c r="C369" s="157"/>
      <c r="D369" s="158">
        <f t="shared" si="5"/>
        <v>0</v>
      </c>
    </row>
    <row r="370" spans="1:4" ht="18">
      <c r="A370" s="161" t="s">
        <v>273</v>
      </c>
      <c r="B370" s="157">
        <v>20</v>
      </c>
      <c r="C370" s="157">
        <v>30000</v>
      </c>
      <c r="D370" s="158">
        <f t="shared" si="5"/>
        <v>600000</v>
      </c>
    </row>
    <row r="371" spans="1:4" ht="18" hidden="1">
      <c r="A371" s="161" t="s">
        <v>274</v>
      </c>
      <c r="B371" s="157"/>
      <c r="C371" s="157"/>
      <c r="D371" s="158">
        <f t="shared" si="5"/>
        <v>0</v>
      </c>
    </row>
    <row r="372" spans="1:4" ht="18" hidden="1">
      <c r="A372" s="161" t="s">
        <v>275</v>
      </c>
      <c r="B372" s="157"/>
      <c r="C372" s="157"/>
      <c r="D372" s="158">
        <f t="shared" si="5"/>
        <v>0</v>
      </c>
    </row>
    <row r="373" spans="1:4" ht="18" hidden="1">
      <c r="A373" s="161" t="s">
        <v>276</v>
      </c>
      <c r="B373" s="157"/>
      <c r="C373" s="157"/>
      <c r="D373" s="158">
        <f t="shared" si="5"/>
        <v>0</v>
      </c>
    </row>
    <row r="374" spans="1:4" ht="18">
      <c r="A374" s="161" t="s">
        <v>277</v>
      </c>
      <c r="B374" s="157">
        <v>20</v>
      </c>
      <c r="C374" s="157">
        <v>16000</v>
      </c>
      <c r="D374" s="158">
        <f t="shared" si="5"/>
        <v>320000</v>
      </c>
    </row>
    <row r="375" spans="1:4" ht="18" hidden="1">
      <c r="A375" s="161" t="s">
        <v>278</v>
      </c>
      <c r="B375" s="157"/>
      <c r="C375" s="157"/>
      <c r="D375" s="158">
        <f t="shared" si="5"/>
        <v>0</v>
      </c>
    </row>
    <row r="376" spans="1:4" ht="18" hidden="1">
      <c r="A376" s="161" t="s">
        <v>279</v>
      </c>
      <c r="B376" s="157"/>
      <c r="C376" s="157"/>
      <c r="D376" s="158">
        <f t="shared" si="5"/>
        <v>0</v>
      </c>
    </row>
    <row r="377" spans="1:4" ht="18">
      <c r="A377" s="161" t="s">
        <v>150</v>
      </c>
      <c r="B377" s="157">
        <v>60</v>
      </c>
      <c r="C377" s="157">
        <v>14000</v>
      </c>
      <c r="D377" s="158">
        <f t="shared" si="5"/>
        <v>840000</v>
      </c>
    </row>
    <row r="378" spans="1:4" ht="18" hidden="1">
      <c r="A378" s="164" t="s">
        <v>151</v>
      </c>
      <c r="B378" s="157"/>
      <c r="C378" s="157"/>
      <c r="D378" s="158">
        <f t="shared" si="5"/>
        <v>0</v>
      </c>
    </row>
    <row r="379" spans="1:4" ht="18" hidden="1">
      <c r="A379" s="161" t="s">
        <v>192</v>
      </c>
      <c r="B379" s="157"/>
      <c r="C379" s="157"/>
      <c r="D379" s="158">
        <f t="shared" si="5"/>
        <v>0</v>
      </c>
    </row>
    <row r="380" spans="1:4" ht="18" hidden="1">
      <c r="A380" s="156" t="s">
        <v>208</v>
      </c>
      <c r="B380" s="157"/>
      <c r="C380" s="157"/>
      <c r="D380" s="158">
        <f t="shared" si="5"/>
        <v>0</v>
      </c>
    </row>
    <row r="381" spans="1:4" ht="18" hidden="1">
      <c r="A381" s="161" t="s">
        <v>334</v>
      </c>
      <c r="B381" s="157"/>
      <c r="C381" s="157"/>
      <c r="D381" s="158">
        <f t="shared" si="5"/>
        <v>0</v>
      </c>
    </row>
    <row r="382" spans="1:4" ht="18">
      <c r="A382" s="161" t="s">
        <v>227</v>
      </c>
      <c r="B382" s="157">
        <v>5</v>
      </c>
      <c r="C382" s="157">
        <v>23000</v>
      </c>
      <c r="D382" s="158">
        <f t="shared" si="5"/>
        <v>115000</v>
      </c>
    </row>
    <row r="383" spans="1:4" ht="18" hidden="1">
      <c r="A383" s="165" t="s">
        <v>228</v>
      </c>
      <c r="B383" s="157"/>
      <c r="C383" s="157"/>
      <c r="D383" s="158">
        <f t="shared" si="5"/>
        <v>0</v>
      </c>
    </row>
    <row r="384" spans="1:4" ht="18" hidden="1">
      <c r="A384" s="161" t="s">
        <v>229</v>
      </c>
      <c r="B384" s="157"/>
      <c r="C384" s="157"/>
      <c r="D384" s="158">
        <f t="shared" si="5"/>
        <v>0</v>
      </c>
    </row>
    <row r="385" spans="1:4" ht="18">
      <c r="A385" s="161" t="s">
        <v>230</v>
      </c>
      <c r="B385" s="157">
        <v>300</v>
      </c>
      <c r="C385" s="157">
        <v>15000</v>
      </c>
      <c r="D385" s="158">
        <f t="shared" si="5"/>
        <v>4500000</v>
      </c>
    </row>
    <row r="386" spans="1:4" ht="18" hidden="1">
      <c r="A386" s="161" t="s">
        <v>231</v>
      </c>
      <c r="B386" s="157"/>
      <c r="C386" s="157"/>
      <c r="D386" s="158">
        <f t="shared" si="5"/>
        <v>0</v>
      </c>
    </row>
    <row r="387" spans="1:4" ht="18" hidden="1">
      <c r="A387" s="161" t="s">
        <v>370</v>
      </c>
      <c r="B387" s="157"/>
      <c r="C387" s="157"/>
      <c r="D387" s="158">
        <f t="shared" si="5"/>
        <v>0</v>
      </c>
    </row>
    <row r="388" spans="1:4" ht="18" hidden="1">
      <c r="A388" s="161" t="s">
        <v>232</v>
      </c>
      <c r="B388" s="157"/>
      <c r="C388" s="157"/>
      <c r="D388" s="158">
        <f t="shared" ref="D388:D451" si="6">B388*C388</f>
        <v>0</v>
      </c>
    </row>
    <row r="389" spans="1:4" ht="18" hidden="1">
      <c r="A389" s="161" t="s">
        <v>117</v>
      </c>
      <c r="B389" s="157"/>
      <c r="C389" s="157"/>
      <c r="D389" s="158">
        <f t="shared" si="6"/>
        <v>0</v>
      </c>
    </row>
    <row r="390" spans="1:4" ht="18" hidden="1">
      <c r="A390" s="166" t="s">
        <v>118</v>
      </c>
      <c r="B390" s="157"/>
      <c r="C390" s="157"/>
      <c r="D390" s="158">
        <f t="shared" si="6"/>
        <v>0</v>
      </c>
    </row>
    <row r="391" spans="1:4" ht="18" hidden="1">
      <c r="A391" s="159" t="s">
        <v>121</v>
      </c>
      <c r="B391" s="157"/>
      <c r="C391" s="157"/>
      <c r="D391" s="158">
        <f t="shared" si="6"/>
        <v>0</v>
      </c>
    </row>
    <row r="392" spans="1:4" ht="18" hidden="1">
      <c r="A392" s="161" t="s">
        <v>123</v>
      </c>
      <c r="B392" s="157"/>
      <c r="C392" s="157"/>
      <c r="D392" s="158">
        <f t="shared" si="6"/>
        <v>0</v>
      </c>
    </row>
    <row r="393" spans="1:4" ht="18" hidden="1">
      <c r="A393" s="161" t="s">
        <v>18</v>
      </c>
      <c r="B393" s="157"/>
      <c r="C393" s="157"/>
      <c r="D393" s="158">
        <f t="shared" si="6"/>
        <v>0</v>
      </c>
    </row>
    <row r="394" spans="1:4" ht="18" hidden="1">
      <c r="A394" s="161" t="s">
        <v>19</v>
      </c>
      <c r="B394" s="157"/>
      <c r="C394" s="157"/>
      <c r="D394" s="158">
        <f t="shared" si="6"/>
        <v>0</v>
      </c>
    </row>
    <row r="395" spans="1:4" ht="18" hidden="1">
      <c r="A395" s="156" t="s">
        <v>20</v>
      </c>
      <c r="B395" s="157"/>
      <c r="C395" s="157"/>
      <c r="D395" s="158">
        <f t="shared" si="6"/>
        <v>0</v>
      </c>
    </row>
    <row r="396" spans="1:4" ht="18" hidden="1">
      <c r="A396" s="161" t="s">
        <v>180</v>
      </c>
      <c r="B396" s="157"/>
      <c r="C396" s="157"/>
      <c r="D396" s="158">
        <f t="shared" si="6"/>
        <v>0</v>
      </c>
    </row>
    <row r="397" spans="1:4" ht="18" hidden="1">
      <c r="A397" s="164" t="s">
        <v>181</v>
      </c>
      <c r="B397" s="157"/>
      <c r="C397" s="157"/>
      <c r="D397" s="158">
        <f t="shared" si="6"/>
        <v>0</v>
      </c>
    </row>
    <row r="398" spans="1:4" ht="18" hidden="1">
      <c r="A398" s="161" t="s">
        <v>214</v>
      </c>
      <c r="B398" s="157"/>
      <c r="C398" s="157"/>
      <c r="D398" s="158">
        <f t="shared" si="6"/>
        <v>0</v>
      </c>
    </row>
    <row r="399" spans="1:4" ht="18" hidden="1">
      <c r="A399" s="167" t="s">
        <v>215</v>
      </c>
      <c r="B399" s="157"/>
      <c r="C399" s="157"/>
      <c r="D399" s="158">
        <f t="shared" si="6"/>
        <v>0</v>
      </c>
    </row>
    <row r="400" spans="1:4" ht="18" hidden="1">
      <c r="A400" s="161" t="s">
        <v>252</v>
      </c>
      <c r="B400" s="157"/>
      <c r="C400" s="157"/>
      <c r="D400" s="158">
        <f t="shared" si="6"/>
        <v>0</v>
      </c>
    </row>
    <row r="401" spans="1:4" ht="18" hidden="1">
      <c r="A401" s="161" t="s">
        <v>253</v>
      </c>
      <c r="B401" s="157"/>
      <c r="C401" s="157"/>
      <c r="D401" s="158">
        <f t="shared" si="6"/>
        <v>0</v>
      </c>
    </row>
    <row r="402" spans="1:4" ht="18" hidden="1">
      <c r="A402" s="156" t="s">
        <v>28</v>
      </c>
      <c r="B402" s="157"/>
      <c r="C402" s="157"/>
      <c r="D402" s="158">
        <f t="shared" si="6"/>
        <v>0</v>
      </c>
    </row>
    <row r="403" spans="1:4" ht="18" hidden="1">
      <c r="A403" s="156" t="s">
        <v>29</v>
      </c>
      <c r="B403" s="157"/>
      <c r="C403" s="157"/>
      <c r="D403" s="158">
        <f t="shared" si="6"/>
        <v>0</v>
      </c>
    </row>
    <row r="404" spans="1:4" ht="18" hidden="1">
      <c r="A404" s="180" t="s">
        <v>188</v>
      </c>
      <c r="B404" s="157"/>
      <c r="C404" s="157"/>
      <c r="D404" s="158">
        <f t="shared" si="6"/>
        <v>0</v>
      </c>
    </row>
    <row r="405" spans="1:4" ht="18" hidden="1">
      <c r="A405" s="169" t="s">
        <v>189</v>
      </c>
      <c r="B405" s="170"/>
      <c r="C405" s="170"/>
      <c r="D405" s="158">
        <f t="shared" si="6"/>
        <v>0</v>
      </c>
    </row>
    <row r="406" spans="1:4" ht="18" hidden="1">
      <c r="A406" s="161" t="s">
        <v>35</v>
      </c>
      <c r="B406" s="157"/>
      <c r="C406" s="157"/>
      <c r="D406" s="158">
        <f t="shared" si="6"/>
        <v>0</v>
      </c>
    </row>
    <row r="407" spans="1:4" ht="18" hidden="1">
      <c r="A407" s="156" t="s">
        <v>37</v>
      </c>
      <c r="B407" s="157"/>
      <c r="C407" s="157"/>
      <c r="D407" s="158">
        <f t="shared" si="6"/>
        <v>0</v>
      </c>
    </row>
    <row r="408" spans="1:4" ht="18" hidden="1">
      <c r="A408" s="156" t="s">
        <v>46</v>
      </c>
      <c r="B408" s="157"/>
      <c r="C408" s="157"/>
      <c r="D408" s="158">
        <f t="shared" si="6"/>
        <v>0</v>
      </c>
    </row>
    <row r="409" spans="1:4" ht="18" hidden="1">
      <c r="A409" s="161" t="s">
        <v>216</v>
      </c>
      <c r="B409" s="157"/>
      <c r="C409" s="157"/>
      <c r="D409" s="158">
        <f t="shared" si="6"/>
        <v>0</v>
      </c>
    </row>
    <row r="410" spans="1:4" ht="18" hidden="1">
      <c r="A410" s="156" t="s">
        <v>217</v>
      </c>
      <c r="B410" s="157"/>
      <c r="C410" s="157"/>
      <c r="D410" s="158">
        <f t="shared" si="6"/>
        <v>0</v>
      </c>
    </row>
    <row r="411" spans="1:4" ht="18" hidden="1">
      <c r="A411" s="161" t="s">
        <v>366</v>
      </c>
      <c r="B411" s="157"/>
      <c r="C411" s="157"/>
      <c r="D411" s="158">
        <f t="shared" si="6"/>
        <v>0</v>
      </c>
    </row>
    <row r="412" spans="1:4" ht="18" hidden="1">
      <c r="A412" s="161" t="s">
        <v>218</v>
      </c>
      <c r="B412" s="157"/>
      <c r="C412" s="157"/>
      <c r="D412" s="158">
        <f t="shared" si="6"/>
        <v>0</v>
      </c>
    </row>
    <row r="413" spans="1:4" ht="18" hidden="1">
      <c r="A413" s="161" t="s">
        <v>288</v>
      </c>
      <c r="B413" s="157"/>
      <c r="C413" s="157"/>
      <c r="D413" s="158">
        <f t="shared" si="6"/>
        <v>0</v>
      </c>
    </row>
    <row r="414" spans="1:4" ht="18" hidden="1">
      <c r="A414" s="161" t="s">
        <v>289</v>
      </c>
      <c r="B414" s="157"/>
      <c r="C414" s="157"/>
      <c r="D414" s="158">
        <f t="shared" si="6"/>
        <v>0</v>
      </c>
    </row>
    <row r="415" spans="1:4" ht="18" hidden="1">
      <c r="A415" s="171" t="s">
        <v>6</v>
      </c>
      <c r="B415" s="157"/>
      <c r="C415" s="157"/>
      <c r="D415" s="158">
        <f t="shared" si="6"/>
        <v>0</v>
      </c>
    </row>
    <row r="416" spans="1:4" ht="18" hidden="1">
      <c r="A416" s="172" t="s">
        <v>8</v>
      </c>
      <c r="B416" s="157"/>
      <c r="C416" s="157"/>
      <c r="D416" s="158">
        <f t="shared" si="6"/>
        <v>0</v>
      </c>
    </row>
    <row r="417" spans="1:4" ht="18" hidden="1">
      <c r="A417" s="171" t="s">
        <v>10</v>
      </c>
      <c r="B417" s="157"/>
      <c r="C417" s="157"/>
      <c r="D417" s="158">
        <f t="shared" si="6"/>
        <v>0</v>
      </c>
    </row>
    <row r="418" spans="1:4" ht="18" hidden="1">
      <c r="A418" s="164" t="s">
        <v>75</v>
      </c>
      <c r="B418" s="157"/>
      <c r="C418" s="157"/>
      <c r="D418" s="158">
        <f t="shared" si="6"/>
        <v>0</v>
      </c>
    </row>
    <row r="419" spans="1:4" ht="18" hidden="1">
      <c r="A419" s="173" t="s">
        <v>313</v>
      </c>
      <c r="B419" s="157"/>
      <c r="C419" s="157"/>
      <c r="D419" s="158">
        <f t="shared" si="6"/>
        <v>0</v>
      </c>
    </row>
    <row r="420" spans="1:4" ht="18" hidden="1">
      <c r="A420" s="173" t="s">
        <v>324</v>
      </c>
      <c r="B420" s="157"/>
      <c r="C420" s="157"/>
      <c r="D420" s="158">
        <f t="shared" si="6"/>
        <v>0</v>
      </c>
    </row>
    <row r="421" spans="1:4" ht="18" hidden="1">
      <c r="A421" s="173" t="s">
        <v>325</v>
      </c>
      <c r="B421" s="157"/>
      <c r="C421" s="157"/>
      <c r="D421" s="158">
        <f t="shared" si="6"/>
        <v>0</v>
      </c>
    </row>
    <row r="422" spans="1:4" ht="18" hidden="1">
      <c r="A422" s="173" t="s">
        <v>327</v>
      </c>
      <c r="B422" s="157"/>
      <c r="C422" s="157"/>
      <c r="D422" s="158">
        <f t="shared" si="6"/>
        <v>0</v>
      </c>
    </row>
    <row r="423" spans="1:4" ht="18" hidden="1">
      <c r="A423" s="161" t="s">
        <v>336</v>
      </c>
      <c r="B423" s="174"/>
      <c r="C423" s="174"/>
      <c r="D423" s="158">
        <f t="shared" si="6"/>
        <v>0</v>
      </c>
    </row>
    <row r="424" spans="1:4" ht="18" hidden="1">
      <c r="A424" s="161" t="s">
        <v>99</v>
      </c>
      <c r="B424" s="157"/>
      <c r="C424" s="157"/>
      <c r="D424" s="158">
        <f t="shared" si="6"/>
        <v>0</v>
      </c>
    </row>
    <row r="425" spans="1:4" ht="18" hidden="1">
      <c r="A425" s="161" t="s">
        <v>100</v>
      </c>
      <c r="B425" s="157"/>
      <c r="C425" s="157"/>
      <c r="D425" s="158">
        <f t="shared" si="6"/>
        <v>0</v>
      </c>
    </row>
    <row r="426" spans="1:4" ht="18" hidden="1">
      <c r="A426" s="161" t="s">
        <v>101</v>
      </c>
      <c r="B426" s="157"/>
      <c r="C426" s="157"/>
      <c r="D426" s="158">
        <f t="shared" si="6"/>
        <v>0</v>
      </c>
    </row>
    <row r="427" spans="1:4" ht="18" hidden="1">
      <c r="A427" s="161" t="s">
        <v>102</v>
      </c>
      <c r="B427" s="157"/>
      <c r="C427" s="157"/>
      <c r="D427" s="158">
        <f t="shared" si="6"/>
        <v>0</v>
      </c>
    </row>
    <row r="428" spans="1:4" ht="18" hidden="1">
      <c r="A428" s="161" t="s">
        <v>103</v>
      </c>
      <c r="B428" s="157"/>
      <c r="C428" s="157"/>
      <c r="D428" s="158">
        <f t="shared" si="6"/>
        <v>0</v>
      </c>
    </row>
    <row r="429" spans="1:4" ht="18" hidden="1">
      <c r="A429" s="161" t="s">
        <v>191</v>
      </c>
      <c r="B429" s="157"/>
      <c r="C429" s="157"/>
      <c r="D429" s="158">
        <f t="shared" si="6"/>
        <v>0</v>
      </c>
    </row>
    <row r="430" spans="1:4" ht="18" hidden="1">
      <c r="A430" s="161" t="s">
        <v>257</v>
      </c>
      <c r="B430" s="157"/>
      <c r="C430" s="157"/>
      <c r="D430" s="158">
        <f t="shared" si="6"/>
        <v>0</v>
      </c>
    </row>
    <row r="431" spans="1:4" ht="18" hidden="1">
      <c r="A431" s="161" t="s">
        <v>258</v>
      </c>
      <c r="B431" s="157"/>
      <c r="C431" s="157"/>
      <c r="D431" s="158">
        <f t="shared" si="6"/>
        <v>0</v>
      </c>
    </row>
    <row r="432" spans="1:4" ht="18" hidden="1">
      <c r="A432" s="161" t="s">
        <v>280</v>
      </c>
      <c r="B432" s="162"/>
      <c r="C432" s="162"/>
      <c r="D432" s="158">
        <f t="shared" si="6"/>
        <v>0</v>
      </c>
    </row>
    <row r="433" spans="1:4" ht="18" hidden="1">
      <c r="A433" s="173" t="s">
        <v>281</v>
      </c>
      <c r="B433" s="157"/>
      <c r="C433" s="157"/>
      <c r="D433" s="158">
        <f t="shared" si="6"/>
        <v>0</v>
      </c>
    </row>
    <row r="434" spans="1:4" ht="18" hidden="1">
      <c r="A434" s="156" t="s">
        <v>311</v>
      </c>
      <c r="B434" s="157"/>
      <c r="C434" s="157"/>
      <c r="D434" s="158">
        <f t="shared" si="6"/>
        <v>0</v>
      </c>
    </row>
    <row r="435" spans="1:4" ht="18" hidden="1">
      <c r="A435" s="164" t="s">
        <v>312</v>
      </c>
      <c r="B435" s="157"/>
      <c r="C435" s="157"/>
      <c r="D435" s="158">
        <f t="shared" si="6"/>
        <v>0</v>
      </c>
    </row>
    <row r="436" spans="1:4" ht="18">
      <c r="A436" s="161" t="s">
        <v>137</v>
      </c>
      <c r="B436" s="157">
        <v>10</v>
      </c>
      <c r="C436" s="157">
        <v>11000</v>
      </c>
      <c r="D436" s="158">
        <f t="shared" si="6"/>
        <v>110000</v>
      </c>
    </row>
    <row r="437" spans="1:4" ht="18" hidden="1">
      <c r="A437" s="164" t="s">
        <v>53</v>
      </c>
      <c r="B437" s="157"/>
      <c r="C437" s="157"/>
      <c r="D437" s="158">
        <f t="shared" si="6"/>
        <v>0</v>
      </c>
    </row>
    <row r="438" spans="1:4" ht="18" hidden="1">
      <c r="A438" s="161" t="s">
        <v>55</v>
      </c>
      <c r="B438" s="157"/>
      <c r="C438" s="157"/>
      <c r="D438" s="158">
        <f t="shared" si="6"/>
        <v>0</v>
      </c>
    </row>
    <row r="439" spans="1:4" ht="18" hidden="1">
      <c r="A439" s="161" t="s">
        <v>56</v>
      </c>
      <c r="B439" s="157"/>
      <c r="C439" s="157"/>
      <c r="D439" s="158">
        <f t="shared" si="6"/>
        <v>0</v>
      </c>
    </row>
    <row r="440" spans="1:4" ht="18" hidden="1">
      <c r="A440" s="164" t="s">
        <v>300</v>
      </c>
      <c r="B440" s="157"/>
      <c r="C440" s="157"/>
      <c r="D440" s="158">
        <f t="shared" si="6"/>
        <v>0</v>
      </c>
    </row>
    <row r="441" spans="1:4" ht="18" hidden="1">
      <c r="A441" s="164" t="s">
        <v>301</v>
      </c>
      <c r="B441" s="157"/>
      <c r="C441" s="157"/>
      <c r="D441" s="158">
        <f t="shared" si="6"/>
        <v>0</v>
      </c>
    </row>
    <row r="442" spans="1:4" ht="18" hidden="1">
      <c r="A442" s="161" t="s">
        <v>156</v>
      </c>
      <c r="B442" s="162"/>
      <c r="C442" s="162"/>
      <c r="D442" s="158">
        <f t="shared" si="6"/>
        <v>0</v>
      </c>
    </row>
    <row r="443" spans="1:4" ht="18" hidden="1">
      <c r="A443" s="161" t="s">
        <v>157</v>
      </c>
      <c r="B443" s="162"/>
      <c r="C443" s="162"/>
      <c r="D443" s="158">
        <f t="shared" si="6"/>
        <v>0</v>
      </c>
    </row>
    <row r="444" spans="1:4" ht="18" hidden="1">
      <c r="A444" s="177" t="s">
        <v>159</v>
      </c>
      <c r="B444" s="162"/>
      <c r="C444" s="162"/>
      <c r="D444" s="158">
        <f t="shared" si="6"/>
        <v>0</v>
      </c>
    </row>
    <row r="445" spans="1:4" ht="18" hidden="1">
      <c r="A445" s="177" t="s">
        <v>160</v>
      </c>
      <c r="B445" s="162"/>
      <c r="C445" s="162"/>
      <c r="D445" s="158">
        <f t="shared" si="6"/>
        <v>0</v>
      </c>
    </row>
    <row r="446" spans="1:4" ht="18" hidden="1">
      <c r="A446" s="177" t="s">
        <v>161</v>
      </c>
      <c r="B446" s="162"/>
      <c r="C446" s="162"/>
      <c r="D446" s="158">
        <f t="shared" si="6"/>
        <v>0</v>
      </c>
    </row>
    <row r="447" spans="1:4" ht="18" hidden="1">
      <c r="A447" s="161" t="s">
        <v>162</v>
      </c>
      <c r="B447" s="162"/>
      <c r="C447" s="162"/>
      <c r="D447" s="158">
        <f t="shared" si="6"/>
        <v>0</v>
      </c>
    </row>
    <row r="448" spans="1:4" ht="18" hidden="1">
      <c r="A448" s="161" t="s">
        <v>164</v>
      </c>
      <c r="B448" s="162"/>
      <c r="C448" s="162"/>
      <c r="D448" s="158">
        <f t="shared" si="6"/>
        <v>0</v>
      </c>
    </row>
    <row r="449" spans="1:4" ht="18" hidden="1">
      <c r="A449" s="161" t="s">
        <v>165</v>
      </c>
      <c r="B449" s="162"/>
      <c r="C449" s="162"/>
      <c r="D449" s="158">
        <f t="shared" si="6"/>
        <v>0</v>
      </c>
    </row>
    <row r="450" spans="1:4" ht="18" hidden="1">
      <c r="A450" s="161" t="s">
        <v>166</v>
      </c>
      <c r="B450" s="162"/>
      <c r="C450" s="162"/>
      <c r="D450" s="158">
        <f t="shared" si="6"/>
        <v>0</v>
      </c>
    </row>
    <row r="451" spans="1:4" ht="18" hidden="1">
      <c r="A451" s="161" t="s">
        <v>176</v>
      </c>
      <c r="B451" s="162"/>
      <c r="C451" s="162"/>
      <c r="D451" s="158">
        <f t="shared" si="6"/>
        <v>0</v>
      </c>
    </row>
    <row r="452" spans="1:4" ht="18" hidden="1">
      <c r="A452" s="161" t="s">
        <v>177</v>
      </c>
      <c r="B452" s="162"/>
      <c r="C452" s="162"/>
      <c r="D452" s="158">
        <f t="shared" ref="D452:D515" si="7">B452*C452</f>
        <v>0</v>
      </c>
    </row>
    <row r="453" spans="1:4" ht="18" hidden="1">
      <c r="A453" s="161" t="s">
        <v>178</v>
      </c>
      <c r="B453" s="162"/>
      <c r="C453" s="162"/>
      <c r="D453" s="158">
        <f t="shared" si="7"/>
        <v>0</v>
      </c>
    </row>
    <row r="454" spans="1:4" ht="18">
      <c r="A454" s="156" t="s">
        <v>65</v>
      </c>
      <c r="B454" s="157">
        <v>300</v>
      </c>
      <c r="C454" s="157">
        <v>17000</v>
      </c>
      <c r="D454" s="158">
        <f t="shared" si="7"/>
        <v>5100000</v>
      </c>
    </row>
    <row r="455" spans="1:4" ht="18" hidden="1">
      <c r="A455" s="161" t="s">
        <v>76</v>
      </c>
      <c r="B455" s="157"/>
      <c r="C455" s="157"/>
      <c r="D455" s="158">
        <f t="shared" si="7"/>
        <v>0</v>
      </c>
    </row>
    <row r="456" spans="1:4" ht="18" hidden="1">
      <c r="A456" s="161" t="s">
        <v>89</v>
      </c>
      <c r="B456" s="157"/>
      <c r="C456" s="157"/>
      <c r="D456" s="158">
        <f t="shared" si="7"/>
        <v>0</v>
      </c>
    </row>
    <row r="457" spans="1:4" ht="18" hidden="1">
      <c r="A457" s="156" t="s">
        <v>357</v>
      </c>
      <c r="B457" s="157"/>
      <c r="C457" s="157"/>
      <c r="D457" s="158">
        <f t="shared" si="7"/>
        <v>0</v>
      </c>
    </row>
    <row r="458" spans="1:4" ht="18" hidden="1">
      <c r="A458" s="161" t="s">
        <v>23</v>
      </c>
      <c r="B458" s="157"/>
      <c r="C458" s="157"/>
      <c r="D458" s="158">
        <f t="shared" si="7"/>
        <v>0</v>
      </c>
    </row>
    <row r="459" spans="1:4" ht="18" hidden="1">
      <c r="A459" s="161" t="s">
        <v>375</v>
      </c>
      <c r="B459" s="157"/>
      <c r="C459" s="157"/>
      <c r="D459" s="158">
        <f t="shared" si="7"/>
        <v>0</v>
      </c>
    </row>
    <row r="460" spans="1:4" ht="18" hidden="1">
      <c r="A460" s="161" t="s">
        <v>379</v>
      </c>
      <c r="B460" s="157"/>
      <c r="C460" s="157"/>
      <c r="D460" s="158">
        <f t="shared" si="7"/>
        <v>0</v>
      </c>
    </row>
    <row r="461" spans="1:4" ht="18">
      <c r="A461" s="161" t="s">
        <v>27</v>
      </c>
      <c r="B461" s="157">
        <v>1000</v>
      </c>
      <c r="C461" s="157">
        <v>14000</v>
      </c>
      <c r="D461" s="158">
        <f t="shared" si="7"/>
        <v>14000000</v>
      </c>
    </row>
    <row r="462" spans="1:4" ht="18" hidden="1">
      <c r="A462" s="161" t="s">
        <v>51</v>
      </c>
      <c r="B462" s="157"/>
      <c r="C462" s="157"/>
      <c r="D462" s="158">
        <f t="shared" si="7"/>
        <v>0</v>
      </c>
    </row>
    <row r="463" spans="1:4" ht="18" hidden="1">
      <c r="A463" s="159" t="s">
        <v>61</v>
      </c>
      <c r="B463" s="157"/>
      <c r="C463" s="157"/>
      <c r="D463" s="158">
        <f t="shared" si="7"/>
        <v>0</v>
      </c>
    </row>
    <row r="464" spans="1:4" ht="18" hidden="1">
      <c r="A464" s="173" t="s">
        <v>62</v>
      </c>
      <c r="B464" s="157"/>
      <c r="C464" s="157"/>
      <c r="D464" s="158">
        <f t="shared" si="7"/>
        <v>0</v>
      </c>
    </row>
    <row r="465" spans="1:4" ht="18" hidden="1">
      <c r="A465" s="178" t="s">
        <v>139</v>
      </c>
      <c r="B465" s="157"/>
      <c r="C465" s="157"/>
      <c r="D465" s="158">
        <f t="shared" si="7"/>
        <v>0</v>
      </c>
    </row>
    <row r="466" spans="1:4" ht="18" hidden="1">
      <c r="A466" s="173" t="s">
        <v>140</v>
      </c>
      <c r="B466" s="157"/>
      <c r="C466" s="157"/>
      <c r="D466" s="158">
        <f t="shared" si="7"/>
        <v>0</v>
      </c>
    </row>
    <row r="467" spans="1:4" ht="18" hidden="1">
      <c r="A467" s="156" t="s">
        <v>141</v>
      </c>
      <c r="B467" s="162"/>
      <c r="C467" s="162"/>
      <c r="D467" s="158">
        <f t="shared" si="7"/>
        <v>0</v>
      </c>
    </row>
    <row r="468" spans="1:4" ht="18" hidden="1">
      <c r="A468" s="156" t="s">
        <v>142</v>
      </c>
      <c r="B468" s="162"/>
      <c r="C468" s="162"/>
      <c r="D468" s="158">
        <f t="shared" si="7"/>
        <v>0</v>
      </c>
    </row>
    <row r="469" spans="1:4" ht="18" hidden="1">
      <c r="A469" s="156" t="s">
        <v>143</v>
      </c>
      <c r="B469" s="162"/>
      <c r="C469" s="162"/>
      <c r="D469" s="158">
        <f t="shared" si="7"/>
        <v>0</v>
      </c>
    </row>
    <row r="470" spans="1:4" ht="18" hidden="1">
      <c r="A470" s="156" t="s">
        <v>144</v>
      </c>
      <c r="B470" s="179"/>
      <c r="C470" s="179"/>
      <c r="D470" s="158">
        <f t="shared" si="7"/>
        <v>0</v>
      </c>
    </row>
    <row r="471" spans="1:4" ht="18" hidden="1">
      <c r="A471" s="161" t="s">
        <v>163</v>
      </c>
      <c r="B471" s="162"/>
      <c r="C471" s="162"/>
      <c r="D471" s="158">
        <f t="shared" si="7"/>
        <v>0</v>
      </c>
    </row>
    <row r="472" spans="1:4" ht="18" hidden="1">
      <c r="A472" s="164" t="s">
        <v>233</v>
      </c>
      <c r="B472" s="157"/>
      <c r="C472" s="157"/>
      <c r="D472" s="158">
        <f t="shared" si="7"/>
        <v>0</v>
      </c>
    </row>
    <row r="473" spans="1:4" ht="18" hidden="1">
      <c r="A473" s="164" t="s">
        <v>234</v>
      </c>
      <c r="B473" s="157"/>
      <c r="C473" s="157"/>
      <c r="D473" s="158">
        <f t="shared" si="7"/>
        <v>0</v>
      </c>
    </row>
    <row r="474" spans="1:4" ht="18" hidden="1">
      <c r="A474" s="164" t="s">
        <v>235</v>
      </c>
      <c r="B474" s="157"/>
      <c r="C474" s="157"/>
      <c r="D474" s="158">
        <f t="shared" si="7"/>
        <v>0</v>
      </c>
    </row>
    <row r="475" spans="1:4" ht="18" hidden="1">
      <c r="A475" s="164" t="s">
        <v>236</v>
      </c>
      <c r="B475" s="157"/>
      <c r="C475" s="157"/>
      <c r="D475" s="158">
        <f t="shared" si="7"/>
        <v>0</v>
      </c>
    </row>
    <row r="476" spans="1:4" ht="18" hidden="1">
      <c r="A476" s="161" t="s">
        <v>237</v>
      </c>
      <c r="B476" s="157"/>
      <c r="C476" s="157"/>
      <c r="D476" s="158">
        <f t="shared" si="7"/>
        <v>0</v>
      </c>
    </row>
    <row r="477" spans="1:4" ht="18" hidden="1">
      <c r="A477" s="161" t="s">
        <v>238</v>
      </c>
      <c r="B477" s="157"/>
      <c r="C477" s="157"/>
      <c r="D477" s="158">
        <f t="shared" si="7"/>
        <v>0</v>
      </c>
    </row>
    <row r="478" spans="1:4" ht="18" hidden="1">
      <c r="A478" s="164" t="s">
        <v>239</v>
      </c>
      <c r="B478" s="157"/>
      <c r="C478" s="157"/>
      <c r="D478" s="158">
        <f t="shared" si="7"/>
        <v>0</v>
      </c>
    </row>
    <row r="479" spans="1:4" ht="18" hidden="1">
      <c r="A479" s="164" t="s">
        <v>240</v>
      </c>
      <c r="B479" s="157"/>
      <c r="C479" s="157"/>
      <c r="D479" s="158">
        <f t="shared" si="7"/>
        <v>0</v>
      </c>
    </row>
    <row r="480" spans="1:4" ht="18" hidden="1">
      <c r="A480" s="161" t="s">
        <v>259</v>
      </c>
      <c r="B480" s="162"/>
      <c r="C480" s="162"/>
      <c r="D480" s="158">
        <f t="shared" si="7"/>
        <v>0</v>
      </c>
    </row>
    <row r="481" spans="1:4" ht="18" hidden="1">
      <c r="A481" s="161" t="s">
        <v>261</v>
      </c>
      <c r="B481" s="162"/>
      <c r="C481" s="162"/>
      <c r="D481" s="158">
        <f t="shared" si="7"/>
        <v>0</v>
      </c>
    </row>
    <row r="482" spans="1:4" ht="18" hidden="1">
      <c r="A482" s="156" t="s">
        <v>295</v>
      </c>
      <c r="B482" s="162"/>
      <c r="C482" s="162"/>
      <c r="D482" s="158">
        <f t="shared" si="7"/>
        <v>0</v>
      </c>
    </row>
    <row r="483" spans="1:4" ht="18" hidden="1">
      <c r="A483" s="161" t="s">
        <v>308</v>
      </c>
      <c r="B483" s="157"/>
      <c r="C483" s="157"/>
      <c r="D483" s="158">
        <f t="shared" si="7"/>
        <v>0</v>
      </c>
    </row>
    <row r="484" spans="1:4" ht="18" hidden="1">
      <c r="A484" s="173" t="s">
        <v>309</v>
      </c>
      <c r="B484" s="157"/>
      <c r="C484" s="157"/>
      <c r="D484" s="158">
        <f t="shared" si="7"/>
        <v>0</v>
      </c>
    </row>
    <row r="485" spans="1:4" ht="18" hidden="1">
      <c r="A485" s="156" t="s">
        <v>319</v>
      </c>
      <c r="B485" s="157"/>
      <c r="C485" s="157"/>
      <c r="D485" s="158">
        <f t="shared" si="7"/>
        <v>0</v>
      </c>
    </row>
    <row r="486" spans="1:4" ht="18">
      <c r="A486" s="161" t="s">
        <v>219</v>
      </c>
      <c r="B486" s="157">
        <v>400</v>
      </c>
      <c r="C486" s="157">
        <v>14000</v>
      </c>
      <c r="D486" s="158">
        <f t="shared" si="7"/>
        <v>5600000</v>
      </c>
    </row>
    <row r="487" spans="1:4" ht="18" hidden="1">
      <c r="A487" s="175" t="s">
        <v>220</v>
      </c>
      <c r="B487" s="157"/>
      <c r="C487" s="157"/>
      <c r="D487" s="158">
        <f t="shared" si="7"/>
        <v>0</v>
      </c>
    </row>
    <row r="488" spans="1:4" ht="18" hidden="1">
      <c r="A488" s="175" t="s">
        <v>221</v>
      </c>
      <c r="B488" s="157"/>
      <c r="C488" s="157"/>
      <c r="D488" s="158">
        <f t="shared" si="7"/>
        <v>0</v>
      </c>
    </row>
    <row r="489" spans="1:4" ht="18" hidden="1">
      <c r="A489" s="161" t="s">
        <v>52</v>
      </c>
      <c r="B489" s="157"/>
      <c r="C489" s="157"/>
      <c r="D489" s="158">
        <f t="shared" si="7"/>
        <v>0</v>
      </c>
    </row>
    <row r="490" spans="1:4" ht="18" hidden="1">
      <c r="A490" s="161" t="s">
        <v>292</v>
      </c>
      <c r="B490" s="157"/>
      <c r="C490" s="157"/>
      <c r="D490" s="158">
        <f t="shared" si="7"/>
        <v>0</v>
      </c>
    </row>
    <row r="491" spans="1:4" ht="18" hidden="1">
      <c r="A491" s="161" t="s">
        <v>66</v>
      </c>
      <c r="B491" s="157"/>
      <c r="C491" s="157"/>
      <c r="D491" s="158">
        <f t="shared" si="7"/>
        <v>0</v>
      </c>
    </row>
    <row r="492" spans="1:4" ht="18" hidden="1">
      <c r="A492" s="164" t="s">
        <v>67</v>
      </c>
      <c r="B492" s="157"/>
      <c r="C492" s="157"/>
      <c r="D492" s="158">
        <f t="shared" si="7"/>
        <v>0</v>
      </c>
    </row>
    <row r="493" spans="1:4" ht="18" hidden="1">
      <c r="A493" s="164" t="s">
        <v>69</v>
      </c>
      <c r="B493" s="157"/>
      <c r="C493" s="157"/>
      <c r="D493" s="158">
        <f t="shared" si="7"/>
        <v>0</v>
      </c>
    </row>
    <row r="494" spans="1:4" ht="18" hidden="1">
      <c r="A494" s="164" t="s">
        <v>70</v>
      </c>
      <c r="B494" s="157"/>
      <c r="C494" s="157"/>
      <c r="D494" s="158">
        <f t="shared" si="7"/>
        <v>0</v>
      </c>
    </row>
    <row r="495" spans="1:4" ht="18" hidden="1">
      <c r="A495" s="161" t="s">
        <v>71</v>
      </c>
      <c r="B495" s="157"/>
      <c r="C495" s="157"/>
      <c r="D495" s="158">
        <f t="shared" si="7"/>
        <v>0</v>
      </c>
    </row>
    <row r="496" spans="1:4" ht="18" hidden="1">
      <c r="A496" s="159" t="s">
        <v>72</v>
      </c>
      <c r="B496" s="157"/>
      <c r="C496" s="157"/>
      <c r="D496" s="158">
        <f t="shared" si="7"/>
        <v>0</v>
      </c>
    </row>
    <row r="497" spans="1:4" ht="18" hidden="1">
      <c r="A497" s="161" t="s">
        <v>73</v>
      </c>
      <c r="B497" s="157"/>
      <c r="C497" s="157"/>
      <c r="D497" s="158">
        <f t="shared" si="7"/>
        <v>0</v>
      </c>
    </row>
    <row r="498" spans="1:4" ht="18" hidden="1">
      <c r="A498" s="161" t="s">
        <v>74</v>
      </c>
      <c r="B498" s="157"/>
      <c r="C498" s="157"/>
      <c r="D498" s="158">
        <f t="shared" si="7"/>
        <v>0</v>
      </c>
    </row>
    <row r="499" spans="1:4" ht="18" hidden="1">
      <c r="A499" s="161" t="s">
        <v>78</v>
      </c>
      <c r="B499" s="157"/>
      <c r="C499" s="157"/>
      <c r="D499" s="158">
        <f t="shared" si="7"/>
        <v>0</v>
      </c>
    </row>
    <row r="500" spans="1:4" ht="18" hidden="1">
      <c r="A500" s="180" t="s">
        <v>79</v>
      </c>
      <c r="B500" s="157"/>
      <c r="C500" s="157"/>
      <c r="D500" s="158">
        <f t="shared" si="7"/>
        <v>0</v>
      </c>
    </row>
    <row r="501" spans="1:4" ht="18" hidden="1">
      <c r="A501" s="160" t="s">
        <v>80</v>
      </c>
      <c r="B501" s="157"/>
      <c r="C501" s="157"/>
      <c r="D501" s="158">
        <f t="shared" si="7"/>
        <v>0</v>
      </c>
    </row>
    <row r="502" spans="1:4" ht="18" hidden="1">
      <c r="A502" s="161" t="s">
        <v>167</v>
      </c>
      <c r="B502" s="157"/>
      <c r="C502" s="157"/>
      <c r="D502" s="158">
        <f t="shared" si="7"/>
        <v>0</v>
      </c>
    </row>
    <row r="503" spans="1:4" ht="18" hidden="1">
      <c r="A503" s="161" t="s">
        <v>364</v>
      </c>
      <c r="B503" s="157"/>
      <c r="C503" s="157"/>
      <c r="D503" s="158">
        <f t="shared" si="7"/>
        <v>0</v>
      </c>
    </row>
    <row r="504" spans="1:4" ht="18" hidden="1">
      <c r="A504" s="161" t="s">
        <v>168</v>
      </c>
      <c r="B504" s="157"/>
      <c r="C504" s="157"/>
      <c r="D504" s="158">
        <f t="shared" si="7"/>
        <v>0</v>
      </c>
    </row>
    <row r="505" spans="1:4" ht="18" hidden="1">
      <c r="A505" s="161" t="s">
        <v>169</v>
      </c>
      <c r="B505" s="157"/>
      <c r="C505" s="157"/>
      <c r="D505" s="158">
        <f t="shared" si="7"/>
        <v>0</v>
      </c>
    </row>
    <row r="506" spans="1:4" ht="18" hidden="1">
      <c r="A506" s="161" t="s">
        <v>170</v>
      </c>
      <c r="B506" s="157"/>
      <c r="C506" s="157"/>
      <c r="D506" s="158">
        <f t="shared" si="7"/>
        <v>0</v>
      </c>
    </row>
    <row r="507" spans="1:4" ht="18" hidden="1">
      <c r="A507" s="164" t="s">
        <v>171</v>
      </c>
      <c r="B507" s="157"/>
      <c r="C507" s="157"/>
      <c r="D507" s="158">
        <f t="shared" si="7"/>
        <v>0</v>
      </c>
    </row>
    <row r="508" spans="1:4" ht="18">
      <c r="A508" s="161" t="s">
        <v>90</v>
      </c>
      <c r="B508" s="157">
        <v>130</v>
      </c>
      <c r="C508" s="157">
        <v>24500</v>
      </c>
      <c r="D508" s="158">
        <f t="shared" si="7"/>
        <v>3185000</v>
      </c>
    </row>
    <row r="509" spans="1:4" ht="18" hidden="1">
      <c r="A509" s="173" t="s">
        <v>91</v>
      </c>
      <c r="B509" s="157"/>
      <c r="C509" s="157"/>
      <c r="D509" s="158">
        <f t="shared" si="7"/>
        <v>0</v>
      </c>
    </row>
    <row r="510" spans="1:4" ht="18" hidden="1">
      <c r="A510" s="161" t="s">
        <v>92</v>
      </c>
      <c r="B510" s="157"/>
      <c r="C510" s="157"/>
      <c r="D510" s="158">
        <f t="shared" si="7"/>
        <v>0</v>
      </c>
    </row>
    <row r="511" spans="1:4" ht="18" hidden="1">
      <c r="A511" s="161" t="s">
        <v>94</v>
      </c>
      <c r="B511" s="157"/>
      <c r="C511" s="157"/>
      <c r="D511" s="158">
        <f t="shared" si="7"/>
        <v>0</v>
      </c>
    </row>
    <row r="512" spans="1:4" ht="18" hidden="1">
      <c r="A512" s="161" t="s">
        <v>95</v>
      </c>
      <c r="B512" s="157"/>
      <c r="C512" s="157"/>
      <c r="D512" s="158">
        <f t="shared" si="7"/>
        <v>0</v>
      </c>
    </row>
    <row r="513" spans="1:4" ht="18" hidden="1">
      <c r="A513" s="173" t="s">
        <v>109</v>
      </c>
      <c r="B513" s="157"/>
      <c r="C513" s="157"/>
      <c r="D513" s="158">
        <f t="shared" si="7"/>
        <v>0</v>
      </c>
    </row>
    <row r="514" spans="1:4" ht="18" hidden="1">
      <c r="A514" s="161" t="s">
        <v>321</v>
      </c>
      <c r="B514" s="157"/>
      <c r="C514" s="157"/>
      <c r="D514" s="158">
        <f t="shared" si="7"/>
        <v>0</v>
      </c>
    </row>
    <row r="515" spans="1:4" ht="18" hidden="1">
      <c r="A515" s="156" t="s">
        <v>335</v>
      </c>
      <c r="B515" s="157"/>
      <c r="C515" s="157"/>
      <c r="D515" s="158">
        <f t="shared" si="7"/>
        <v>0</v>
      </c>
    </row>
    <row r="516" spans="1:4" ht="18" hidden="1">
      <c r="A516" s="161" t="s">
        <v>338</v>
      </c>
      <c r="B516" s="157"/>
      <c r="C516" s="157"/>
      <c r="D516" s="158">
        <f t="shared" ref="D516:D579" si="8">B516*C516</f>
        <v>0</v>
      </c>
    </row>
    <row r="517" spans="1:4" ht="18" hidden="1">
      <c r="A517" s="163" t="s">
        <v>106</v>
      </c>
      <c r="B517" s="157"/>
      <c r="C517" s="157"/>
      <c r="D517" s="158">
        <f t="shared" si="8"/>
        <v>0</v>
      </c>
    </row>
    <row r="518" spans="1:4" ht="18" hidden="1">
      <c r="A518" s="163" t="s">
        <v>107</v>
      </c>
      <c r="B518" s="157"/>
      <c r="C518" s="157"/>
      <c r="D518" s="158">
        <f t="shared" si="8"/>
        <v>0</v>
      </c>
    </row>
    <row r="519" spans="1:4" ht="18" hidden="1">
      <c r="A519" s="159" t="s">
        <v>108</v>
      </c>
      <c r="B519" s="157"/>
      <c r="C519" s="157"/>
      <c r="D519" s="158">
        <f t="shared" si="8"/>
        <v>0</v>
      </c>
    </row>
    <row r="520" spans="1:4" ht="18" hidden="1">
      <c r="A520" s="156" t="s">
        <v>196</v>
      </c>
      <c r="B520" s="157"/>
      <c r="C520" s="157"/>
      <c r="D520" s="158">
        <f t="shared" si="8"/>
        <v>0</v>
      </c>
    </row>
    <row r="521" spans="1:4" ht="18" hidden="1">
      <c r="A521" s="156" t="s">
        <v>197</v>
      </c>
      <c r="B521" s="157"/>
      <c r="C521" s="157"/>
      <c r="D521" s="158">
        <f t="shared" si="8"/>
        <v>0</v>
      </c>
    </row>
    <row r="522" spans="1:4" ht="18">
      <c r="A522" s="156" t="s">
        <v>198</v>
      </c>
      <c r="B522" s="157">
        <v>360</v>
      </c>
      <c r="C522" s="157">
        <v>6800</v>
      </c>
      <c r="D522" s="158">
        <f t="shared" si="8"/>
        <v>2448000</v>
      </c>
    </row>
    <row r="523" spans="1:4" ht="18" hidden="1">
      <c r="A523" s="161" t="s">
        <v>199</v>
      </c>
      <c r="B523" s="157"/>
      <c r="C523" s="157"/>
      <c r="D523" s="158">
        <f t="shared" si="8"/>
        <v>0</v>
      </c>
    </row>
    <row r="524" spans="1:4" ht="18" hidden="1">
      <c r="A524" s="156" t="s">
        <v>200</v>
      </c>
      <c r="B524" s="157"/>
      <c r="C524" s="157"/>
      <c r="D524" s="158">
        <f t="shared" si="8"/>
        <v>0</v>
      </c>
    </row>
    <row r="525" spans="1:4" ht="18" hidden="1">
      <c r="A525" s="156" t="s">
        <v>201</v>
      </c>
      <c r="B525" s="157"/>
      <c r="C525" s="157"/>
      <c r="D525" s="158">
        <f t="shared" si="8"/>
        <v>0</v>
      </c>
    </row>
    <row r="526" spans="1:4" ht="18" hidden="1">
      <c r="A526" s="156" t="s">
        <v>202</v>
      </c>
      <c r="B526" s="157"/>
      <c r="C526" s="157"/>
      <c r="D526" s="158">
        <f t="shared" si="8"/>
        <v>0</v>
      </c>
    </row>
    <row r="527" spans="1:4" ht="18" hidden="1">
      <c r="A527" s="161" t="s">
        <v>203</v>
      </c>
      <c r="B527" s="157"/>
      <c r="C527" s="157"/>
      <c r="D527" s="158">
        <f t="shared" si="8"/>
        <v>0</v>
      </c>
    </row>
    <row r="528" spans="1:4" ht="18" hidden="1">
      <c r="A528" s="161" t="s">
        <v>225</v>
      </c>
      <c r="B528" s="157"/>
      <c r="C528" s="157"/>
      <c r="D528" s="158">
        <f t="shared" si="8"/>
        <v>0</v>
      </c>
    </row>
    <row r="529" spans="1:4" ht="18" hidden="1">
      <c r="A529" s="161" t="s">
        <v>226</v>
      </c>
      <c r="B529" s="157"/>
      <c r="C529" s="157"/>
      <c r="D529" s="158">
        <f t="shared" si="8"/>
        <v>0</v>
      </c>
    </row>
    <row r="530" spans="1:4" ht="18" hidden="1">
      <c r="A530" s="161" t="s">
        <v>368</v>
      </c>
      <c r="B530" s="157"/>
      <c r="C530" s="157"/>
      <c r="D530" s="158">
        <f t="shared" si="8"/>
        <v>0</v>
      </c>
    </row>
    <row r="531" spans="1:4" ht="18" hidden="1">
      <c r="A531" s="161" t="s">
        <v>369</v>
      </c>
      <c r="B531" s="157"/>
      <c r="C531" s="157"/>
      <c r="D531" s="158">
        <f t="shared" si="8"/>
        <v>0</v>
      </c>
    </row>
    <row r="532" spans="1:4" ht="18" hidden="1">
      <c r="A532" s="161" t="s">
        <v>119</v>
      </c>
      <c r="B532" s="157"/>
      <c r="C532" s="157"/>
      <c r="D532" s="158">
        <f t="shared" si="8"/>
        <v>0</v>
      </c>
    </row>
    <row r="533" spans="1:4" ht="18" hidden="1">
      <c r="A533" s="161" t="s">
        <v>120</v>
      </c>
      <c r="B533" s="157"/>
      <c r="C533" s="157"/>
      <c r="D533" s="158">
        <f t="shared" si="8"/>
        <v>0</v>
      </c>
    </row>
    <row r="534" spans="1:4" ht="18" hidden="1">
      <c r="A534" s="161" t="s">
        <v>104</v>
      </c>
      <c r="B534" s="157"/>
      <c r="C534" s="157"/>
      <c r="D534" s="158">
        <f t="shared" si="8"/>
        <v>0</v>
      </c>
    </row>
    <row r="535" spans="1:4" ht="18" hidden="1">
      <c r="A535" s="163" t="s">
        <v>105</v>
      </c>
      <c r="B535" s="157"/>
      <c r="C535" s="157"/>
      <c r="D535" s="158">
        <f t="shared" si="8"/>
        <v>0</v>
      </c>
    </row>
    <row r="536" spans="1:4" ht="18">
      <c r="A536" s="171" t="s">
        <v>11</v>
      </c>
      <c r="B536" s="157">
        <f>84+25</f>
        <v>109</v>
      </c>
      <c r="C536" s="157">
        <v>7300</v>
      </c>
      <c r="D536" s="158">
        <f t="shared" si="8"/>
        <v>795700</v>
      </c>
    </row>
    <row r="537" spans="1:4" ht="18" hidden="1">
      <c r="A537" s="161" t="s">
        <v>12</v>
      </c>
      <c r="B537" s="157"/>
      <c r="C537" s="157"/>
      <c r="D537" s="158">
        <f t="shared" si="8"/>
        <v>0</v>
      </c>
    </row>
    <row r="538" spans="1:4" ht="18" hidden="1">
      <c r="A538" s="171" t="s">
        <v>15</v>
      </c>
      <c r="B538" s="157"/>
      <c r="C538" s="157"/>
      <c r="D538" s="158">
        <f t="shared" si="8"/>
        <v>0</v>
      </c>
    </row>
    <row r="539" spans="1:4" ht="18">
      <c r="A539" s="161" t="s">
        <v>365</v>
      </c>
      <c r="B539" s="157">
        <v>23</v>
      </c>
      <c r="C539" s="157">
        <v>6500</v>
      </c>
      <c r="D539" s="158">
        <f t="shared" si="8"/>
        <v>149500</v>
      </c>
    </row>
    <row r="540" spans="1:4" ht="18" hidden="1">
      <c r="A540" s="156" t="s">
        <v>182</v>
      </c>
      <c r="B540" s="157"/>
      <c r="C540" s="157"/>
      <c r="D540" s="158">
        <f t="shared" si="8"/>
        <v>0</v>
      </c>
    </row>
    <row r="541" spans="1:4" ht="18" hidden="1">
      <c r="A541" s="161" t="s">
        <v>183</v>
      </c>
      <c r="B541" s="157"/>
      <c r="C541" s="157"/>
      <c r="D541" s="158">
        <f t="shared" si="8"/>
        <v>0</v>
      </c>
    </row>
    <row r="542" spans="1:4" ht="18" hidden="1">
      <c r="A542" s="161" t="s">
        <v>185</v>
      </c>
      <c r="B542" s="157"/>
      <c r="C542" s="157"/>
      <c r="D542" s="158">
        <f t="shared" si="8"/>
        <v>0</v>
      </c>
    </row>
    <row r="543" spans="1:4" ht="18" hidden="1">
      <c r="A543" s="161" t="s">
        <v>186</v>
      </c>
      <c r="B543" s="157"/>
      <c r="C543" s="157"/>
      <c r="D543" s="158">
        <f t="shared" si="8"/>
        <v>0</v>
      </c>
    </row>
    <row r="544" spans="1:4" ht="18" hidden="1">
      <c r="A544" s="160" t="s">
        <v>187</v>
      </c>
      <c r="B544" s="157"/>
      <c r="C544" s="157"/>
      <c r="D544" s="158">
        <f t="shared" si="8"/>
        <v>0</v>
      </c>
    </row>
    <row r="545" spans="1:4" ht="18" hidden="1">
      <c r="A545" s="156" t="s">
        <v>242</v>
      </c>
      <c r="B545" s="157"/>
      <c r="C545" s="157"/>
      <c r="D545" s="158">
        <f t="shared" si="8"/>
        <v>0</v>
      </c>
    </row>
    <row r="546" spans="1:4" ht="18" hidden="1">
      <c r="A546" s="156" t="s">
        <v>22</v>
      </c>
      <c r="B546" s="157"/>
      <c r="C546" s="157"/>
      <c r="D546" s="158">
        <f t="shared" si="8"/>
        <v>0</v>
      </c>
    </row>
    <row r="547" spans="1:4" ht="18" hidden="1">
      <c r="A547" s="159" t="s">
        <v>358</v>
      </c>
      <c r="B547" s="157"/>
      <c r="C547" s="157"/>
      <c r="D547" s="158">
        <f t="shared" si="8"/>
        <v>0</v>
      </c>
    </row>
    <row r="548" spans="1:4" ht="18" hidden="1">
      <c r="A548" s="159" t="s">
        <v>359</v>
      </c>
      <c r="B548" s="157"/>
      <c r="C548" s="157"/>
      <c r="D548" s="158">
        <f t="shared" si="8"/>
        <v>0</v>
      </c>
    </row>
    <row r="549" spans="1:4" ht="18" hidden="1">
      <c r="A549" s="159" t="s">
        <v>360</v>
      </c>
      <c r="B549" s="157"/>
      <c r="C549" s="157"/>
      <c r="D549" s="158">
        <f t="shared" si="8"/>
        <v>0</v>
      </c>
    </row>
    <row r="550" spans="1:4" ht="18" hidden="1">
      <c r="A550" s="159" t="s">
        <v>361</v>
      </c>
      <c r="B550" s="157"/>
      <c r="C550" s="157"/>
      <c r="D550" s="158">
        <f t="shared" si="8"/>
        <v>0</v>
      </c>
    </row>
    <row r="551" spans="1:4" ht="18" hidden="1">
      <c r="A551" s="161" t="s">
        <v>128</v>
      </c>
      <c r="B551" s="157"/>
      <c r="C551" s="157"/>
      <c r="D551" s="158">
        <f t="shared" si="8"/>
        <v>0</v>
      </c>
    </row>
    <row r="552" spans="1:4" ht="18" hidden="1">
      <c r="A552" s="161" t="s">
        <v>129</v>
      </c>
      <c r="B552" s="157"/>
      <c r="C552" s="157"/>
      <c r="D552" s="158">
        <f t="shared" si="8"/>
        <v>0</v>
      </c>
    </row>
    <row r="553" spans="1:4" ht="18" hidden="1">
      <c r="A553" s="161" t="s">
        <v>362</v>
      </c>
      <c r="B553" s="157"/>
      <c r="C553" s="157"/>
      <c r="D553" s="158">
        <f t="shared" si="8"/>
        <v>0</v>
      </c>
    </row>
    <row r="554" spans="1:4" ht="18" hidden="1">
      <c r="A554" s="161" t="s">
        <v>130</v>
      </c>
      <c r="B554" s="157"/>
      <c r="C554" s="157"/>
      <c r="D554" s="158">
        <f t="shared" si="8"/>
        <v>0</v>
      </c>
    </row>
    <row r="555" spans="1:4" ht="18" hidden="1">
      <c r="A555" s="156" t="s">
        <v>152</v>
      </c>
      <c r="B555" s="157"/>
      <c r="C555" s="157"/>
      <c r="D555" s="158">
        <f t="shared" si="8"/>
        <v>0</v>
      </c>
    </row>
    <row r="556" spans="1:4" ht="18" hidden="1">
      <c r="A556" s="156" t="s">
        <v>153</v>
      </c>
      <c r="B556" s="157"/>
      <c r="C556" s="157"/>
      <c r="D556" s="158">
        <f t="shared" si="8"/>
        <v>0</v>
      </c>
    </row>
    <row r="557" spans="1:4" ht="18" hidden="1">
      <c r="A557" s="161" t="s">
        <v>154</v>
      </c>
      <c r="B557" s="157"/>
      <c r="C557" s="157"/>
      <c r="D557" s="158">
        <f t="shared" si="8"/>
        <v>0</v>
      </c>
    </row>
    <row r="558" spans="1:4" ht="18" hidden="1">
      <c r="A558" s="161" t="s">
        <v>363</v>
      </c>
      <c r="B558" s="157"/>
      <c r="C558" s="157"/>
      <c r="D558" s="158">
        <f t="shared" si="8"/>
        <v>0</v>
      </c>
    </row>
    <row r="559" spans="1:4" ht="18" hidden="1">
      <c r="A559" s="161" t="s">
        <v>222</v>
      </c>
      <c r="B559" s="157"/>
      <c r="C559" s="157"/>
      <c r="D559" s="158">
        <f t="shared" si="8"/>
        <v>0</v>
      </c>
    </row>
    <row r="560" spans="1:4" ht="18" hidden="1">
      <c r="A560" s="159" t="s">
        <v>223</v>
      </c>
      <c r="B560" s="157"/>
      <c r="C560" s="157"/>
      <c r="D560" s="158">
        <f t="shared" si="8"/>
        <v>0</v>
      </c>
    </row>
    <row r="561" spans="1:4" ht="18" hidden="1">
      <c r="A561" s="161" t="s">
        <v>224</v>
      </c>
      <c r="B561" s="157"/>
      <c r="C561" s="157"/>
      <c r="D561" s="158">
        <f t="shared" si="8"/>
        <v>0</v>
      </c>
    </row>
    <row r="562" spans="1:4" ht="18" hidden="1">
      <c r="A562" s="159" t="s">
        <v>367</v>
      </c>
      <c r="B562" s="157"/>
      <c r="C562" s="157"/>
      <c r="D562" s="158">
        <f t="shared" si="8"/>
        <v>0</v>
      </c>
    </row>
    <row r="563" spans="1:4" ht="18" hidden="1">
      <c r="A563" s="161" t="s">
        <v>262</v>
      </c>
      <c r="B563" s="157"/>
      <c r="C563" s="157"/>
      <c r="D563" s="158">
        <f t="shared" si="8"/>
        <v>0</v>
      </c>
    </row>
    <row r="564" spans="1:4" ht="18" hidden="1">
      <c r="A564" s="161" t="s">
        <v>282</v>
      </c>
      <c r="B564" s="157"/>
      <c r="C564" s="157"/>
      <c r="D564" s="158">
        <f t="shared" si="8"/>
        <v>0</v>
      </c>
    </row>
    <row r="565" spans="1:4" ht="18" hidden="1">
      <c r="A565" s="161" t="s">
        <v>285</v>
      </c>
      <c r="B565" s="157"/>
      <c r="C565" s="157"/>
      <c r="D565" s="158">
        <f t="shared" si="8"/>
        <v>0</v>
      </c>
    </row>
    <row r="566" spans="1:4" ht="18" hidden="1">
      <c r="A566" s="161" t="s">
        <v>314</v>
      </c>
      <c r="B566" s="157"/>
      <c r="C566" s="157"/>
      <c r="D566" s="158">
        <f t="shared" si="8"/>
        <v>0</v>
      </c>
    </row>
    <row r="567" spans="1:4" ht="18" hidden="1">
      <c r="A567" s="164" t="s">
        <v>315</v>
      </c>
      <c r="B567" s="157"/>
      <c r="C567" s="157"/>
      <c r="D567" s="158">
        <f t="shared" si="8"/>
        <v>0</v>
      </c>
    </row>
    <row r="568" spans="1:4" ht="18" hidden="1">
      <c r="A568" s="156" t="s">
        <v>377</v>
      </c>
      <c r="B568" s="157"/>
      <c r="C568" s="157"/>
      <c r="D568" s="158">
        <f t="shared" si="8"/>
        <v>0</v>
      </c>
    </row>
    <row r="569" spans="1:4" ht="18" hidden="1">
      <c r="A569" s="159" t="s">
        <v>355</v>
      </c>
      <c r="B569" s="157"/>
      <c r="C569" s="157"/>
      <c r="D569" s="158">
        <f t="shared" si="8"/>
        <v>0</v>
      </c>
    </row>
    <row r="570" spans="1:4" ht="18" hidden="1">
      <c r="A570" s="161" t="s">
        <v>47</v>
      </c>
      <c r="B570" s="157"/>
      <c r="C570" s="157"/>
      <c r="D570" s="158">
        <f t="shared" si="8"/>
        <v>0</v>
      </c>
    </row>
    <row r="571" spans="1:4" ht="18" hidden="1">
      <c r="A571" s="161" t="s">
        <v>48</v>
      </c>
      <c r="B571" s="157"/>
      <c r="C571" s="157"/>
      <c r="D571" s="158">
        <f t="shared" si="8"/>
        <v>0</v>
      </c>
    </row>
    <row r="572" spans="1:4" ht="18" hidden="1">
      <c r="A572" s="159" t="s">
        <v>356</v>
      </c>
      <c r="B572" s="162"/>
      <c r="C572" s="162"/>
      <c r="D572" s="158">
        <f t="shared" si="8"/>
        <v>0</v>
      </c>
    </row>
    <row r="573" spans="1:4" ht="18" hidden="1">
      <c r="A573" s="159" t="s">
        <v>50</v>
      </c>
      <c r="B573" s="162"/>
      <c r="C573" s="162"/>
      <c r="D573" s="158">
        <f t="shared" si="8"/>
        <v>0</v>
      </c>
    </row>
    <row r="574" spans="1:4" ht="18" hidden="1">
      <c r="A574" s="164" t="s">
        <v>270</v>
      </c>
      <c r="B574" s="157"/>
      <c r="C574" s="157"/>
      <c r="D574" s="158">
        <f t="shared" si="8"/>
        <v>0</v>
      </c>
    </row>
    <row r="575" spans="1:4" ht="18" hidden="1">
      <c r="A575" s="163" t="s">
        <v>271</v>
      </c>
      <c r="B575" s="157"/>
      <c r="C575" s="157"/>
      <c r="D575" s="158">
        <f t="shared" si="8"/>
        <v>0</v>
      </c>
    </row>
    <row r="576" spans="1:4" ht="18" hidden="1">
      <c r="A576" s="163" t="s">
        <v>272</v>
      </c>
      <c r="B576" s="157"/>
      <c r="C576" s="157"/>
      <c r="D576" s="158">
        <f t="shared" si="8"/>
        <v>0</v>
      </c>
    </row>
    <row r="577" spans="1:4" ht="18" hidden="1">
      <c r="A577" s="159" t="s">
        <v>373</v>
      </c>
      <c r="B577" s="157"/>
      <c r="C577" s="157"/>
      <c r="D577" s="158">
        <f t="shared" si="8"/>
        <v>0</v>
      </c>
    </row>
    <row r="578" spans="1:4" ht="18" hidden="1">
      <c r="A578" s="159" t="s">
        <v>283</v>
      </c>
      <c r="B578" s="157"/>
      <c r="C578" s="157"/>
      <c r="D578" s="158">
        <f t="shared" si="8"/>
        <v>0</v>
      </c>
    </row>
    <row r="579" spans="1:4" ht="18" hidden="1">
      <c r="A579" s="161" t="s">
        <v>284</v>
      </c>
      <c r="B579" s="157"/>
      <c r="C579" s="157"/>
      <c r="D579" s="158">
        <f t="shared" si="8"/>
        <v>0</v>
      </c>
    </row>
    <row r="580" spans="1:4" ht="18" hidden="1">
      <c r="A580" s="161" t="s">
        <v>374</v>
      </c>
      <c r="B580" s="157"/>
      <c r="C580" s="157"/>
      <c r="D580" s="158">
        <f t="shared" ref="D580:D643" si="9">B580*C580</f>
        <v>0</v>
      </c>
    </row>
    <row r="581" spans="1:4" ht="18" hidden="1">
      <c r="A581" s="161" t="s">
        <v>287</v>
      </c>
      <c r="B581" s="157"/>
      <c r="C581" s="157"/>
      <c r="D581" s="158">
        <f t="shared" si="9"/>
        <v>0</v>
      </c>
    </row>
    <row r="582" spans="1:4" ht="18" hidden="1">
      <c r="A582" s="164" t="s">
        <v>299</v>
      </c>
      <c r="B582" s="157"/>
      <c r="C582" s="157"/>
      <c r="D582" s="158">
        <f t="shared" si="9"/>
        <v>0</v>
      </c>
    </row>
    <row r="583" spans="1:4" ht="18" hidden="1">
      <c r="A583" s="156" t="s">
        <v>193</v>
      </c>
      <c r="B583" s="157"/>
      <c r="C583" s="157"/>
      <c r="D583" s="158">
        <f t="shared" si="9"/>
        <v>0</v>
      </c>
    </row>
    <row r="584" spans="1:4" ht="18" hidden="1">
      <c r="A584" s="161" t="s">
        <v>194</v>
      </c>
      <c r="B584" s="157"/>
      <c r="C584" s="157"/>
      <c r="D584" s="158">
        <f t="shared" si="9"/>
        <v>0</v>
      </c>
    </row>
    <row r="585" spans="1:4" ht="18" hidden="1">
      <c r="A585" s="161" t="s">
        <v>195</v>
      </c>
      <c r="B585" s="157"/>
      <c r="C585" s="157"/>
      <c r="D585" s="158">
        <f t="shared" si="9"/>
        <v>0</v>
      </c>
    </row>
    <row r="586" spans="1:4" ht="18" hidden="1">
      <c r="A586" s="156" t="s">
        <v>320</v>
      </c>
      <c r="B586" s="157"/>
      <c r="C586" s="157"/>
      <c r="D586" s="158">
        <f t="shared" si="9"/>
        <v>0</v>
      </c>
    </row>
    <row r="587" spans="1:4" ht="18" hidden="1">
      <c r="A587" s="161" t="s">
        <v>322</v>
      </c>
      <c r="B587" s="157"/>
      <c r="C587" s="157"/>
      <c r="D587" s="158">
        <f t="shared" si="9"/>
        <v>0</v>
      </c>
    </row>
    <row r="588" spans="1:4" ht="18" hidden="1">
      <c r="A588" s="161" t="s">
        <v>323</v>
      </c>
      <c r="B588" s="157"/>
      <c r="C588" s="157"/>
      <c r="D588" s="158">
        <f t="shared" si="9"/>
        <v>0</v>
      </c>
    </row>
    <row r="589" spans="1:4" ht="18" hidden="1">
      <c r="A589" s="163" t="s">
        <v>326</v>
      </c>
      <c r="B589" s="157"/>
      <c r="C589" s="157"/>
      <c r="D589" s="158">
        <f t="shared" si="9"/>
        <v>0</v>
      </c>
    </row>
    <row r="590" spans="1:4" ht="18" hidden="1">
      <c r="A590" s="161" t="s">
        <v>328</v>
      </c>
      <c r="B590" s="157"/>
      <c r="C590" s="157"/>
      <c r="D590" s="158">
        <f t="shared" si="9"/>
        <v>0</v>
      </c>
    </row>
    <row r="591" spans="1:4" ht="18" hidden="1">
      <c r="A591" s="161" t="s">
        <v>329</v>
      </c>
      <c r="B591" s="157"/>
      <c r="C591" s="157"/>
      <c r="D591" s="158">
        <f t="shared" si="9"/>
        <v>0</v>
      </c>
    </row>
    <row r="592" spans="1:4" ht="18" hidden="1">
      <c r="A592" s="161" t="s">
        <v>330</v>
      </c>
      <c r="B592" s="157"/>
      <c r="C592" s="157"/>
      <c r="D592" s="158">
        <f t="shared" si="9"/>
        <v>0</v>
      </c>
    </row>
    <row r="593" spans="1:4" ht="18" hidden="1">
      <c r="A593" s="161" t="s">
        <v>331</v>
      </c>
      <c r="B593" s="157"/>
      <c r="C593" s="157"/>
      <c r="D593" s="158">
        <f t="shared" si="9"/>
        <v>0</v>
      </c>
    </row>
    <row r="594" spans="1:4" ht="18" hidden="1">
      <c r="A594" s="163" t="s">
        <v>332</v>
      </c>
      <c r="B594" s="157"/>
      <c r="C594" s="157"/>
      <c r="D594" s="158">
        <f t="shared" si="9"/>
        <v>0</v>
      </c>
    </row>
    <row r="595" spans="1:4" ht="18" hidden="1">
      <c r="A595" s="161" t="s">
        <v>333</v>
      </c>
      <c r="B595" s="157"/>
      <c r="C595" s="157"/>
      <c r="D595" s="158">
        <f t="shared" si="9"/>
        <v>0</v>
      </c>
    </row>
    <row r="596" spans="1:4" ht="18" hidden="1">
      <c r="A596" s="161" t="s">
        <v>337</v>
      </c>
      <c r="B596" s="157"/>
      <c r="C596" s="157"/>
      <c r="D596" s="158">
        <f t="shared" si="9"/>
        <v>0</v>
      </c>
    </row>
    <row r="597" spans="1:4" ht="18" hidden="1">
      <c r="A597" s="163" t="s">
        <v>339</v>
      </c>
      <c r="B597" s="157"/>
      <c r="C597" s="157"/>
      <c r="D597" s="158">
        <f t="shared" si="9"/>
        <v>0</v>
      </c>
    </row>
    <row r="598" spans="1:4" ht="18" hidden="1">
      <c r="A598" s="163" t="s">
        <v>340</v>
      </c>
      <c r="B598" s="157"/>
      <c r="C598" s="157"/>
      <c r="D598" s="158">
        <f t="shared" si="9"/>
        <v>0</v>
      </c>
    </row>
    <row r="599" spans="1:4" ht="18" hidden="1">
      <c r="A599" s="161" t="s">
        <v>341</v>
      </c>
      <c r="B599" s="157"/>
      <c r="C599" s="157"/>
      <c r="D599" s="158">
        <f t="shared" si="9"/>
        <v>0</v>
      </c>
    </row>
    <row r="600" spans="1:4" ht="18" hidden="1">
      <c r="A600" s="161" t="s">
        <v>342</v>
      </c>
      <c r="B600" s="157"/>
      <c r="C600" s="157"/>
      <c r="D600" s="158">
        <f t="shared" si="9"/>
        <v>0</v>
      </c>
    </row>
    <row r="601" spans="1:4" ht="18" hidden="1">
      <c r="A601" s="163" t="s">
        <v>343</v>
      </c>
      <c r="B601" s="157"/>
      <c r="C601" s="157"/>
      <c r="D601" s="158">
        <f t="shared" si="9"/>
        <v>0</v>
      </c>
    </row>
    <row r="602" spans="1:4" ht="18" hidden="1">
      <c r="A602" s="161" t="s">
        <v>344</v>
      </c>
      <c r="B602" s="157"/>
      <c r="C602" s="157"/>
      <c r="D602" s="158">
        <f t="shared" si="9"/>
        <v>0</v>
      </c>
    </row>
    <row r="603" spans="1:4" ht="18" hidden="1">
      <c r="A603" s="161" t="s">
        <v>345</v>
      </c>
      <c r="B603" s="157"/>
      <c r="C603" s="157"/>
      <c r="D603" s="158">
        <f t="shared" si="9"/>
        <v>0</v>
      </c>
    </row>
    <row r="604" spans="1:4" ht="18" hidden="1">
      <c r="A604" s="161" t="s">
        <v>346</v>
      </c>
      <c r="B604" s="157"/>
      <c r="C604" s="157"/>
      <c r="D604" s="158">
        <f t="shared" si="9"/>
        <v>0</v>
      </c>
    </row>
    <row r="605" spans="1:4" ht="18" hidden="1">
      <c r="A605" s="161" t="s">
        <v>347</v>
      </c>
      <c r="B605" s="157"/>
      <c r="C605" s="157"/>
      <c r="D605" s="158">
        <f t="shared" si="9"/>
        <v>0</v>
      </c>
    </row>
    <row r="606" spans="1:4" ht="18" hidden="1">
      <c r="A606" s="161" t="s">
        <v>348</v>
      </c>
      <c r="B606" s="157"/>
      <c r="C606" s="157"/>
      <c r="D606" s="158">
        <f t="shared" si="9"/>
        <v>0</v>
      </c>
    </row>
    <row r="607" spans="1:4" ht="18" hidden="1">
      <c r="A607" s="161" t="s">
        <v>349</v>
      </c>
      <c r="B607" s="157"/>
      <c r="C607" s="157"/>
      <c r="D607" s="158">
        <f t="shared" si="9"/>
        <v>0</v>
      </c>
    </row>
    <row r="608" spans="1:4" ht="18" hidden="1">
      <c r="A608" s="161" t="s">
        <v>350</v>
      </c>
      <c r="B608" s="157"/>
      <c r="C608" s="157"/>
      <c r="D608" s="158">
        <f t="shared" si="9"/>
        <v>0</v>
      </c>
    </row>
    <row r="609" spans="1:4" ht="18" hidden="1">
      <c r="A609" s="161" t="s">
        <v>351</v>
      </c>
      <c r="B609" s="157"/>
      <c r="C609" s="157"/>
      <c r="D609" s="158">
        <f t="shared" si="9"/>
        <v>0</v>
      </c>
    </row>
    <row r="610" spans="1:4" ht="18" hidden="1">
      <c r="A610" s="161" t="s">
        <v>302</v>
      </c>
      <c r="B610" s="157"/>
      <c r="C610" s="157"/>
      <c r="D610" s="158">
        <f t="shared" si="9"/>
        <v>0</v>
      </c>
    </row>
    <row r="611" spans="1:4" ht="18" hidden="1">
      <c r="A611" s="164" t="s">
        <v>303</v>
      </c>
      <c r="B611" s="157"/>
      <c r="C611" s="157"/>
      <c r="D611" s="158">
        <f t="shared" si="9"/>
        <v>0</v>
      </c>
    </row>
    <row r="612" spans="1:4" ht="18" hidden="1">
      <c r="A612" s="161" t="s">
        <v>304</v>
      </c>
      <c r="B612" s="157"/>
      <c r="C612" s="157"/>
      <c r="D612" s="158">
        <f t="shared" si="9"/>
        <v>0</v>
      </c>
    </row>
    <row r="613" spans="1:4" ht="18" hidden="1">
      <c r="A613" s="161" t="s">
        <v>30</v>
      </c>
      <c r="B613" s="157"/>
      <c r="C613" s="157"/>
      <c r="D613" s="158">
        <f t="shared" si="9"/>
        <v>0</v>
      </c>
    </row>
    <row r="614" spans="1:4" ht="18" hidden="1">
      <c r="A614" s="161" t="s">
        <v>31</v>
      </c>
      <c r="B614" s="157"/>
      <c r="C614" s="157"/>
      <c r="D614" s="158">
        <f t="shared" si="9"/>
        <v>0</v>
      </c>
    </row>
    <row r="615" spans="1:4" ht="18">
      <c r="A615" s="161" t="s">
        <v>32</v>
      </c>
      <c r="B615" s="157">
        <v>30</v>
      </c>
      <c r="C615" s="157">
        <v>9000</v>
      </c>
      <c r="D615" s="158">
        <f t="shared" si="9"/>
        <v>270000</v>
      </c>
    </row>
    <row r="616" spans="1:4" ht="18" hidden="1">
      <c r="A616" s="161" t="s">
        <v>33</v>
      </c>
      <c r="B616" s="157"/>
      <c r="C616" s="157"/>
      <c r="D616" s="158">
        <f t="shared" si="9"/>
        <v>0</v>
      </c>
    </row>
    <row r="617" spans="1:4" ht="18" hidden="1">
      <c r="A617" s="161" t="s">
        <v>34</v>
      </c>
      <c r="B617" s="157"/>
      <c r="C617" s="157"/>
      <c r="D617" s="158">
        <f t="shared" si="9"/>
        <v>0</v>
      </c>
    </row>
    <row r="618" spans="1:4" ht="18" hidden="1">
      <c r="A618" s="161" t="s">
        <v>58</v>
      </c>
      <c r="B618" s="157"/>
      <c r="C618" s="157"/>
      <c r="D618" s="158">
        <f t="shared" si="9"/>
        <v>0</v>
      </c>
    </row>
    <row r="619" spans="1:4" ht="18" hidden="1">
      <c r="A619" s="161" t="s">
        <v>59</v>
      </c>
      <c r="B619" s="157"/>
      <c r="C619" s="157"/>
      <c r="D619" s="158">
        <f t="shared" si="9"/>
        <v>0</v>
      </c>
    </row>
    <row r="620" spans="1:4" ht="18" hidden="1">
      <c r="A620" s="173" t="s">
        <v>60</v>
      </c>
      <c r="B620" s="157"/>
      <c r="C620" s="157"/>
      <c r="D620" s="158">
        <f t="shared" si="9"/>
        <v>0</v>
      </c>
    </row>
    <row r="621" spans="1:4" ht="18" hidden="1">
      <c r="A621" s="161" t="s">
        <v>63</v>
      </c>
      <c r="B621" s="157"/>
      <c r="C621" s="157"/>
      <c r="D621" s="158">
        <f t="shared" si="9"/>
        <v>0</v>
      </c>
    </row>
    <row r="622" spans="1:4" ht="18" hidden="1">
      <c r="A622" s="161" t="s">
        <v>64</v>
      </c>
      <c r="B622" s="157"/>
      <c r="C622" s="157"/>
      <c r="D622" s="158">
        <f t="shared" si="9"/>
        <v>0</v>
      </c>
    </row>
    <row r="623" spans="1:4" ht="18" hidden="1">
      <c r="A623" s="183" t="s">
        <v>145</v>
      </c>
      <c r="B623" s="157"/>
      <c r="C623" s="157"/>
      <c r="D623" s="158">
        <f t="shared" si="9"/>
        <v>0</v>
      </c>
    </row>
    <row r="624" spans="1:4" ht="18" hidden="1">
      <c r="A624" s="156" t="s">
        <v>146</v>
      </c>
      <c r="B624" s="162"/>
      <c r="C624" s="162"/>
      <c r="D624" s="158">
        <f t="shared" si="9"/>
        <v>0</v>
      </c>
    </row>
    <row r="625" spans="1:4" ht="18" hidden="1">
      <c r="A625" s="161" t="s">
        <v>147</v>
      </c>
      <c r="B625" s="157"/>
      <c r="C625" s="157"/>
      <c r="D625" s="158">
        <f t="shared" si="9"/>
        <v>0</v>
      </c>
    </row>
    <row r="626" spans="1:4" ht="18" hidden="1">
      <c r="A626" s="161" t="s">
        <v>148</v>
      </c>
      <c r="B626" s="157"/>
      <c r="C626" s="157"/>
      <c r="D626" s="158">
        <f t="shared" si="9"/>
        <v>0</v>
      </c>
    </row>
    <row r="627" spans="1:4" ht="18" hidden="1">
      <c r="A627" s="161" t="s">
        <v>305</v>
      </c>
      <c r="B627" s="157"/>
      <c r="C627" s="157"/>
      <c r="D627" s="158">
        <f t="shared" si="9"/>
        <v>0</v>
      </c>
    </row>
    <row r="628" spans="1:4" ht="18" hidden="1">
      <c r="A628" s="164" t="s">
        <v>306</v>
      </c>
      <c r="B628" s="157"/>
      <c r="C628" s="157"/>
      <c r="D628" s="158">
        <f t="shared" si="9"/>
        <v>0</v>
      </c>
    </row>
    <row r="629" spans="1:4" ht="18" hidden="1">
      <c r="A629" s="161" t="s">
        <v>24</v>
      </c>
      <c r="B629" s="157"/>
      <c r="C629" s="157"/>
      <c r="D629" s="158">
        <f t="shared" si="9"/>
        <v>0</v>
      </c>
    </row>
    <row r="630" spans="1:4" ht="18" hidden="1">
      <c r="A630" s="173" t="s">
        <v>25</v>
      </c>
      <c r="B630" s="157"/>
      <c r="C630" s="157"/>
      <c r="D630" s="158">
        <f t="shared" si="9"/>
        <v>0</v>
      </c>
    </row>
    <row r="631" spans="1:4" ht="18" hidden="1">
      <c r="A631" s="159" t="s">
        <v>26</v>
      </c>
      <c r="B631" s="157"/>
      <c r="C631" s="157"/>
      <c r="D631" s="158">
        <f t="shared" si="9"/>
        <v>0</v>
      </c>
    </row>
    <row r="632" spans="1:4" ht="18" hidden="1">
      <c r="A632" s="161" t="s">
        <v>172</v>
      </c>
      <c r="B632" s="157"/>
      <c r="C632" s="157"/>
      <c r="D632" s="158">
        <f t="shared" si="9"/>
        <v>0</v>
      </c>
    </row>
    <row r="633" spans="1:4" ht="18" hidden="1">
      <c r="A633" s="161" t="s">
        <v>173</v>
      </c>
      <c r="B633" s="157"/>
      <c r="C633" s="157"/>
      <c r="D633" s="158">
        <f t="shared" si="9"/>
        <v>0</v>
      </c>
    </row>
    <row r="634" spans="1:4" ht="18" hidden="1">
      <c r="A634" s="161" t="s">
        <v>174</v>
      </c>
      <c r="B634" s="157"/>
      <c r="C634" s="157"/>
      <c r="D634" s="158">
        <f t="shared" si="9"/>
        <v>0</v>
      </c>
    </row>
    <row r="635" spans="1:4" ht="18" hidden="1">
      <c r="A635" s="161" t="s">
        <v>175</v>
      </c>
      <c r="B635" s="157"/>
      <c r="C635" s="157"/>
      <c r="D635" s="158">
        <f t="shared" si="9"/>
        <v>0</v>
      </c>
    </row>
    <row r="636" spans="1:4" ht="18" hidden="1">
      <c r="A636" s="178" t="s">
        <v>13</v>
      </c>
      <c r="B636" s="157"/>
      <c r="C636" s="157"/>
      <c r="D636" s="158">
        <f t="shared" si="9"/>
        <v>0</v>
      </c>
    </row>
    <row r="637" spans="1:4" ht="18" hidden="1">
      <c r="A637" s="171" t="s">
        <v>14</v>
      </c>
      <c r="B637" s="157"/>
      <c r="C637" s="157"/>
      <c r="D637" s="158">
        <f t="shared" si="9"/>
        <v>0</v>
      </c>
    </row>
    <row r="638" spans="1:4" ht="18" hidden="1">
      <c r="A638" s="185" t="s">
        <v>77</v>
      </c>
      <c r="B638" s="157"/>
      <c r="C638" s="157"/>
      <c r="D638" s="158">
        <f t="shared" si="9"/>
        <v>0</v>
      </c>
    </row>
    <row r="639" spans="1:4" ht="18" hidden="1">
      <c r="A639" s="156" t="s">
        <v>81</v>
      </c>
      <c r="B639" s="157"/>
      <c r="C639" s="157"/>
      <c r="D639" s="158">
        <f t="shared" si="9"/>
        <v>0</v>
      </c>
    </row>
    <row r="640" spans="1:4" ht="18" hidden="1">
      <c r="A640" s="159" t="s">
        <v>116</v>
      </c>
      <c r="B640" s="157"/>
      <c r="C640" s="157"/>
      <c r="D640" s="158">
        <f t="shared" si="9"/>
        <v>0</v>
      </c>
    </row>
    <row r="641" spans="1:4" ht="18" hidden="1">
      <c r="A641" s="186" t="s">
        <v>122</v>
      </c>
      <c r="B641" s="157"/>
      <c r="C641" s="157"/>
      <c r="D641" s="158">
        <f t="shared" si="9"/>
        <v>0</v>
      </c>
    </row>
    <row r="642" spans="1:4" ht="18" hidden="1">
      <c r="A642" s="161" t="s">
        <v>133</v>
      </c>
      <c r="B642" s="157"/>
      <c r="C642" s="157"/>
      <c r="D642" s="158">
        <f t="shared" si="9"/>
        <v>0</v>
      </c>
    </row>
    <row r="643" spans="1:4" ht="18" hidden="1">
      <c r="A643" s="159" t="s">
        <v>135</v>
      </c>
      <c r="B643" s="157"/>
      <c r="C643" s="157"/>
      <c r="D643" s="158">
        <f t="shared" si="9"/>
        <v>0</v>
      </c>
    </row>
    <row r="644" spans="1:4" ht="18" hidden="1">
      <c r="A644" s="159" t="s">
        <v>136</v>
      </c>
      <c r="B644" s="157"/>
      <c r="C644" s="157"/>
      <c r="D644" s="158">
        <f t="shared" ref="D644:D671" si="10">B644*C644</f>
        <v>0</v>
      </c>
    </row>
    <row r="645" spans="1:4" ht="18" hidden="1">
      <c r="A645" s="161" t="s">
        <v>158</v>
      </c>
      <c r="B645" s="157"/>
      <c r="C645" s="157"/>
      <c r="D645" s="158">
        <f t="shared" si="10"/>
        <v>0</v>
      </c>
    </row>
    <row r="646" spans="1:4" ht="18" hidden="1">
      <c r="A646" s="159" t="s">
        <v>190</v>
      </c>
      <c r="B646" s="157"/>
      <c r="C646" s="157"/>
      <c r="D646" s="158">
        <f t="shared" si="10"/>
        <v>0</v>
      </c>
    </row>
    <row r="647" spans="1:4" ht="18" hidden="1">
      <c r="A647" s="164" t="s">
        <v>204</v>
      </c>
      <c r="B647" s="157"/>
      <c r="C647" s="157"/>
      <c r="D647" s="158">
        <f t="shared" si="10"/>
        <v>0</v>
      </c>
    </row>
    <row r="648" spans="1:4" ht="18" hidden="1">
      <c r="A648" s="164" t="s">
        <v>205</v>
      </c>
      <c r="B648" s="157"/>
      <c r="C648" s="157"/>
      <c r="D648" s="158">
        <f t="shared" si="10"/>
        <v>0</v>
      </c>
    </row>
    <row r="649" spans="1:4" ht="18" hidden="1">
      <c r="A649" s="164" t="s">
        <v>206</v>
      </c>
      <c r="B649" s="157"/>
      <c r="C649" s="157"/>
      <c r="D649" s="158">
        <f t="shared" si="10"/>
        <v>0</v>
      </c>
    </row>
    <row r="650" spans="1:4" ht="18" hidden="1">
      <c r="A650" s="164" t="s">
        <v>207</v>
      </c>
      <c r="B650" s="157"/>
      <c r="C650" s="157"/>
      <c r="D650" s="158">
        <f t="shared" si="10"/>
        <v>0</v>
      </c>
    </row>
    <row r="651" spans="1:4" ht="18" hidden="1">
      <c r="A651" s="161" t="s">
        <v>209</v>
      </c>
      <c r="B651" s="157"/>
      <c r="C651" s="157"/>
      <c r="D651" s="158">
        <f t="shared" si="10"/>
        <v>0</v>
      </c>
    </row>
    <row r="652" spans="1:4" ht="18" hidden="1">
      <c r="A652" s="187" t="s">
        <v>210</v>
      </c>
      <c r="B652" s="157"/>
      <c r="C652" s="157"/>
      <c r="D652" s="158">
        <f t="shared" si="10"/>
        <v>0</v>
      </c>
    </row>
    <row r="653" spans="1:4" ht="18" hidden="1">
      <c r="A653" s="187" t="s">
        <v>211</v>
      </c>
      <c r="B653" s="157"/>
      <c r="C653" s="157"/>
      <c r="D653" s="158">
        <f t="shared" si="10"/>
        <v>0</v>
      </c>
    </row>
    <row r="654" spans="1:4" ht="18" hidden="1">
      <c r="A654" s="187" t="s">
        <v>212</v>
      </c>
      <c r="B654" s="157"/>
      <c r="C654" s="157"/>
      <c r="D654" s="158">
        <f t="shared" si="10"/>
        <v>0</v>
      </c>
    </row>
    <row r="655" spans="1:4" ht="18" hidden="1">
      <c r="A655" s="187" t="s">
        <v>213</v>
      </c>
      <c r="B655" s="157"/>
      <c r="C655" s="157"/>
      <c r="D655" s="158">
        <f t="shared" si="10"/>
        <v>0</v>
      </c>
    </row>
    <row r="656" spans="1:4" ht="18">
      <c r="A656" s="159" t="s">
        <v>241</v>
      </c>
      <c r="B656" s="157">
        <v>6</v>
      </c>
      <c r="C656" s="157">
        <v>37000</v>
      </c>
      <c r="D656" s="158">
        <f t="shared" si="10"/>
        <v>222000</v>
      </c>
    </row>
    <row r="657" spans="1:4" ht="18" hidden="1">
      <c r="A657" s="163" t="s">
        <v>371</v>
      </c>
      <c r="B657" s="157"/>
      <c r="C657" s="157"/>
      <c r="D657" s="158">
        <f t="shared" si="10"/>
        <v>0</v>
      </c>
    </row>
    <row r="658" spans="1:4" ht="18" hidden="1">
      <c r="A658" s="163" t="s">
        <v>372</v>
      </c>
      <c r="B658" s="157"/>
      <c r="C658" s="157"/>
      <c r="D658" s="158">
        <f t="shared" si="10"/>
        <v>0</v>
      </c>
    </row>
    <row r="659" spans="1:4" ht="18" hidden="1">
      <c r="A659" s="159" t="s">
        <v>247</v>
      </c>
      <c r="B659" s="157"/>
      <c r="C659" s="157"/>
      <c r="D659" s="158">
        <f t="shared" si="10"/>
        <v>0</v>
      </c>
    </row>
    <row r="660" spans="1:4" ht="18" hidden="1">
      <c r="A660" s="173" t="s">
        <v>254</v>
      </c>
      <c r="B660" s="157"/>
      <c r="C660" s="157"/>
      <c r="D660" s="158">
        <f t="shared" si="10"/>
        <v>0</v>
      </c>
    </row>
    <row r="661" spans="1:4" ht="18" hidden="1">
      <c r="A661" s="173" t="s">
        <v>255</v>
      </c>
      <c r="B661" s="157"/>
      <c r="C661" s="157"/>
      <c r="D661" s="158">
        <f t="shared" si="10"/>
        <v>0</v>
      </c>
    </row>
    <row r="662" spans="1:4" ht="18" hidden="1">
      <c r="A662" s="187" t="s">
        <v>256</v>
      </c>
      <c r="B662" s="157"/>
      <c r="C662" s="157"/>
      <c r="D662" s="158">
        <f t="shared" si="10"/>
        <v>0</v>
      </c>
    </row>
    <row r="663" spans="1:4" ht="18" hidden="1">
      <c r="A663" s="187" t="s">
        <v>260</v>
      </c>
      <c r="B663" s="157"/>
      <c r="C663" s="157"/>
      <c r="D663" s="158">
        <f t="shared" si="10"/>
        <v>0</v>
      </c>
    </row>
    <row r="664" spans="1:4" ht="18" hidden="1">
      <c r="A664" s="187" t="s">
        <v>291</v>
      </c>
      <c r="B664" s="157"/>
      <c r="C664" s="157"/>
      <c r="D664" s="158">
        <f t="shared" si="10"/>
        <v>0</v>
      </c>
    </row>
    <row r="665" spans="1:4" ht="18" hidden="1">
      <c r="A665" s="187" t="s">
        <v>293</v>
      </c>
      <c r="B665" s="157"/>
      <c r="C665" s="157"/>
      <c r="D665" s="158">
        <f t="shared" si="10"/>
        <v>0</v>
      </c>
    </row>
    <row r="666" spans="1:4" ht="18" hidden="1">
      <c r="A666" s="159" t="s">
        <v>376</v>
      </c>
      <c r="B666" s="157"/>
      <c r="C666" s="157"/>
      <c r="D666" s="158">
        <f t="shared" si="10"/>
        <v>0</v>
      </c>
    </row>
    <row r="667" spans="1:4" ht="18" hidden="1">
      <c r="A667" s="187" t="s">
        <v>294</v>
      </c>
      <c r="B667" s="157"/>
      <c r="C667" s="157"/>
      <c r="D667" s="158">
        <f t="shared" si="10"/>
        <v>0</v>
      </c>
    </row>
    <row r="668" spans="1:4" ht="18" hidden="1">
      <c r="A668" s="186" t="s">
        <v>307</v>
      </c>
      <c r="B668" s="157"/>
      <c r="C668" s="157"/>
      <c r="D668" s="158">
        <f t="shared" si="10"/>
        <v>0</v>
      </c>
    </row>
    <row r="669" spans="1:4" ht="18" hidden="1">
      <c r="A669" s="161" t="s">
        <v>378</v>
      </c>
      <c r="B669" s="157"/>
      <c r="C669" s="157"/>
      <c r="D669" s="158">
        <f t="shared" si="10"/>
        <v>0</v>
      </c>
    </row>
    <row r="670" spans="1:4" ht="18" hidden="1">
      <c r="A670" s="159" t="s">
        <v>318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2793</v>
      </c>
      <c r="C672" s="189"/>
      <c r="D672" s="189">
        <f t="shared" ref="D672" si="11">SUM(D345:D671)</f>
        <v>38795200</v>
      </c>
    </row>
    <row r="674" spans="4:4">
      <c r="D674" s="190">
        <f>D672+D340</f>
        <v>84071700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D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674"/>
  <sheetViews>
    <sheetView topLeftCell="A380" workbookViewId="0">
      <selection activeCell="J585" sqref="J585"/>
    </sheetView>
  </sheetViews>
  <sheetFormatPr defaultRowHeight="14.4"/>
  <cols>
    <col min="1" max="1" width="36.109375" customWidth="1"/>
    <col min="3" max="3" width="14.44140625" customWidth="1"/>
    <col min="4" max="4" width="23.109375" customWidth="1"/>
  </cols>
  <sheetData>
    <row r="1" spans="1:4">
      <c r="A1" s="151" t="s">
        <v>405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f>5+11</f>
        <v>16</v>
      </c>
      <c r="C3" s="157">
        <v>14000</v>
      </c>
      <c r="D3" s="158">
        <f>B3*C3</f>
        <v>224000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5</v>
      </c>
      <c r="C15" s="157">
        <v>18000</v>
      </c>
      <c r="D15" s="158">
        <f t="shared" si="0"/>
        <v>90000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>
      <c r="A19" s="159" t="s">
        <v>26</v>
      </c>
      <c r="B19" s="157">
        <v>27</v>
      </c>
      <c r="C19" s="184">
        <v>14000</v>
      </c>
      <c r="D19" s="158">
        <f t="shared" si="0"/>
        <v>378000</v>
      </c>
    </row>
    <row r="20" spans="1:4" ht="18">
      <c r="A20" s="161" t="s">
        <v>27</v>
      </c>
      <c r="B20" s="157">
        <f>-1000+1970</f>
        <v>970</v>
      </c>
      <c r="C20" s="157">
        <v>14000</v>
      </c>
      <c r="D20" s="158">
        <f t="shared" si="0"/>
        <v>13580000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-30+15+10+35+30</f>
        <v>60</v>
      </c>
      <c r="C25" s="157">
        <v>90000</v>
      </c>
      <c r="D25" s="158">
        <f t="shared" si="0"/>
        <v>5400000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f>9+17+18</f>
        <v>44</v>
      </c>
      <c r="C28" s="157">
        <v>15500</v>
      </c>
      <c r="D28" s="158">
        <f t="shared" si="0"/>
        <v>682000</v>
      </c>
    </row>
    <row r="29" spans="1:4" ht="18">
      <c r="A29" s="159" t="s">
        <v>36</v>
      </c>
      <c r="B29" s="162">
        <v>9</v>
      </c>
      <c r="C29" s="162">
        <v>14500</v>
      </c>
      <c r="D29" s="158">
        <f t="shared" si="0"/>
        <v>130500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f>70+15+5-18-30</f>
        <v>42</v>
      </c>
      <c r="C38" s="157">
        <v>11000</v>
      </c>
      <c r="D38" s="158">
        <f t="shared" si="0"/>
        <v>462000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-300+80+260+20+260+340</f>
        <v>660</v>
      </c>
      <c r="C54" s="157">
        <v>17000</v>
      </c>
      <c r="D54" s="158">
        <f t="shared" si="0"/>
        <v>11220000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3</v>
      </c>
      <c r="C57" s="157">
        <v>6000</v>
      </c>
      <c r="D57" s="158">
        <f t="shared" si="0"/>
        <v>18000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28</v>
      </c>
      <c r="C64" s="157">
        <v>14000</v>
      </c>
      <c r="D64" s="158">
        <f t="shared" si="0"/>
        <v>392000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15</v>
      </c>
      <c r="C70" s="157">
        <v>10000</v>
      </c>
      <c r="D70" s="158">
        <f t="shared" si="1"/>
        <v>150000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80</v>
      </c>
      <c r="C80" s="157">
        <v>26000</v>
      </c>
      <c r="D80" s="158">
        <f t="shared" si="1"/>
        <v>2080000</v>
      </c>
    </row>
    <row r="81" spans="1:4" ht="18">
      <c r="A81" s="161" t="s">
        <v>94</v>
      </c>
      <c r="B81" s="157">
        <v>14</v>
      </c>
      <c r="C81" s="157">
        <v>22000</v>
      </c>
      <c r="D81" s="158">
        <f t="shared" si="1"/>
        <v>308000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>
      <c r="A91" s="161" t="s">
        <v>104</v>
      </c>
      <c r="B91" s="157">
        <v>19</v>
      </c>
      <c r="C91" s="157">
        <v>9000</v>
      </c>
      <c r="D91" s="158">
        <f t="shared" si="1"/>
        <v>171000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-20+25+5</f>
        <v>10</v>
      </c>
      <c r="C123" s="157">
        <v>11000</v>
      </c>
      <c r="D123" s="158">
        <f t="shared" si="1"/>
        <v>110000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>
      <c r="A126" s="173" t="s">
        <v>140</v>
      </c>
      <c r="B126" s="157">
        <v>6</v>
      </c>
      <c r="C126" s="157">
        <v>12000</v>
      </c>
      <c r="D126" s="158">
        <f t="shared" si="1"/>
        <v>72000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3</v>
      </c>
      <c r="C132" s="162">
        <v>16000</v>
      </c>
      <c r="D132" s="158">
        <f t="shared" ref="D132:D195" si="2">B132*C132</f>
        <v>48000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 hidden="1">
      <c r="A136" s="161" t="s">
        <v>150</v>
      </c>
      <c r="B136" s="157"/>
      <c r="C136" s="157"/>
      <c r="D136" s="158">
        <f t="shared" si="2"/>
        <v>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>
      <c r="A147" s="161" t="s">
        <v>161</v>
      </c>
      <c r="B147" s="162">
        <v>1</v>
      </c>
      <c r="C147" s="162">
        <v>80000</v>
      </c>
      <c r="D147" s="158">
        <f t="shared" si="2"/>
        <v>80000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>
      <c r="A151" s="161" t="s">
        <v>165</v>
      </c>
      <c r="B151" s="162">
        <v>1</v>
      </c>
      <c r="C151" s="162">
        <v>70000</v>
      </c>
      <c r="D151" s="158">
        <f t="shared" si="2"/>
        <v>70000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>
      <c r="A161" s="161" t="s">
        <v>175</v>
      </c>
      <c r="B161" s="157">
        <v>5</v>
      </c>
      <c r="C161" s="157">
        <v>8000</v>
      </c>
      <c r="D161" s="158">
        <f t="shared" si="2"/>
        <v>40000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>
      <c r="A163" s="161" t="s">
        <v>177</v>
      </c>
      <c r="B163" s="162">
        <v>1</v>
      </c>
      <c r="C163" s="162">
        <v>70000</v>
      </c>
      <c r="D163" s="158">
        <f t="shared" si="2"/>
        <v>70000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>
      <c r="A169" s="161" t="s">
        <v>183</v>
      </c>
      <c r="B169" s="157">
        <f>20+270+162+185</f>
        <v>637</v>
      </c>
      <c r="C169" s="181">
        <v>6500</v>
      </c>
      <c r="D169" s="158">
        <f t="shared" si="2"/>
        <v>4140500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25</v>
      </c>
      <c r="C171" s="157">
        <v>11000</v>
      </c>
      <c r="D171" s="158">
        <f t="shared" si="2"/>
        <v>275000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>
      <c r="A175" s="169" t="s">
        <v>189</v>
      </c>
      <c r="B175" s="170">
        <v>20</v>
      </c>
      <c r="C175" s="170">
        <v>15000</v>
      </c>
      <c r="D175" s="158">
        <f t="shared" si="2"/>
        <v>300000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v>110</v>
      </c>
      <c r="C185" s="157">
        <v>3000</v>
      </c>
      <c r="D185" s="158">
        <f t="shared" si="2"/>
        <v>330000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70+100</f>
        <v>170</v>
      </c>
      <c r="C202" s="157">
        <v>19000</v>
      </c>
      <c r="D202" s="158">
        <f t="shared" si="3"/>
        <v>3230000</v>
      </c>
    </row>
    <row r="203" spans="1:4" ht="18">
      <c r="A203" s="156" t="s">
        <v>217</v>
      </c>
      <c r="B203" s="157">
        <f>20+190</f>
        <v>210</v>
      </c>
      <c r="C203" s="157">
        <v>19000</v>
      </c>
      <c r="D203" s="158">
        <f t="shared" si="3"/>
        <v>3990000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-400+520+60+180</f>
        <v>360</v>
      </c>
      <c r="C205" s="157">
        <v>14500</v>
      </c>
      <c r="D205" s="158">
        <f t="shared" si="3"/>
        <v>5220000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-300+90+110+28+20+60+100</f>
        <v>108</v>
      </c>
      <c r="C216" s="157">
        <v>15000</v>
      </c>
      <c r="D216" s="158">
        <f t="shared" si="3"/>
        <v>1620000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30/0.5</f>
        <v>60</v>
      </c>
      <c r="C218" s="157">
        <v>13000</v>
      </c>
      <c r="D218" s="158">
        <f t="shared" si="3"/>
        <v>780000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10</v>
      </c>
      <c r="C248" s="157">
        <v>14000</v>
      </c>
      <c r="D248" s="158">
        <f t="shared" si="3"/>
        <v>140000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-20+38</f>
        <v>18</v>
      </c>
      <c r="C251" s="157">
        <v>27000</v>
      </c>
      <c r="D251" s="158">
        <f t="shared" si="3"/>
        <v>486000</v>
      </c>
    </row>
    <row r="252" spans="1:4" ht="18">
      <c r="A252" s="161" t="s">
        <v>266</v>
      </c>
      <c r="B252" s="157">
        <v>15</v>
      </c>
      <c r="C252" s="157">
        <v>24000</v>
      </c>
      <c r="D252" s="158">
        <f t="shared" si="3"/>
        <v>360000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-20+13+50</f>
        <v>43</v>
      </c>
      <c r="C259" s="157">
        <v>30000</v>
      </c>
      <c r="D259" s="158">
        <f t="shared" si="3"/>
        <v>1290000</v>
      </c>
    </row>
    <row r="260" spans="1:4" ht="18">
      <c r="A260" s="161" t="s">
        <v>274</v>
      </c>
      <c r="B260" s="157">
        <v>15</v>
      </c>
      <c r="C260" s="157">
        <v>24000</v>
      </c>
      <c r="D260" s="158">
        <f t="shared" ref="D260:D323" si="4">B260*C260</f>
        <v>360000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-20+30</f>
        <v>10</v>
      </c>
      <c r="C263" s="157">
        <v>16000</v>
      </c>
      <c r="D263" s="158">
        <f t="shared" si="4"/>
        <v>160000</v>
      </c>
    </row>
    <row r="264" spans="1:4" ht="18">
      <c r="A264" s="161" t="s">
        <v>278</v>
      </c>
      <c r="B264" s="157">
        <v>13</v>
      </c>
      <c r="C264" s="157">
        <v>14000</v>
      </c>
      <c r="D264" s="158">
        <f t="shared" si="4"/>
        <v>182000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15</v>
      </c>
      <c r="C274" s="157">
        <v>13000</v>
      </c>
      <c r="D274" s="158">
        <f t="shared" si="4"/>
        <v>195000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 hidden="1">
      <c r="A288" s="161" t="s">
        <v>302</v>
      </c>
      <c r="B288" s="157"/>
      <c r="C288" s="157"/>
      <c r="D288" s="158">
        <f t="shared" si="4"/>
        <v>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45</v>
      </c>
      <c r="C291" s="157">
        <v>8000</v>
      </c>
      <c r="D291" s="158">
        <f t="shared" si="4"/>
        <v>360000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17</v>
      </c>
      <c r="C294" s="157">
        <v>10000</v>
      </c>
      <c r="D294" s="158">
        <f t="shared" si="4"/>
        <v>170000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9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3920</v>
      </c>
      <c r="C340" s="189"/>
      <c r="D340" s="158">
        <f>SUM(D3:D294)</f>
        <v>59364000</v>
      </c>
    </row>
    <row r="341" spans="1:4" ht="18" hidden="1">
      <c r="D341" s="158">
        <f t="shared" si="5"/>
        <v>0</v>
      </c>
    </row>
    <row r="342" spans="1:4" ht="18">
      <c r="A342" s="151" t="s">
        <v>407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f>260+45+160</f>
        <v>465</v>
      </c>
      <c r="C348" s="157">
        <v>4000</v>
      </c>
      <c r="D348" s="158">
        <f t="shared" si="5"/>
        <v>1860000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10</v>
      </c>
      <c r="C355" s="157">
        <v>10000</v>
      </c>
      <c r="D355" s="158">
        <f t="shared" si="5"/>
        <v>100000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5"/>
        <v>14000000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9000</v>
      </c>
      <c r="D367" s="158">
        <f t="shared" si="5"/>
        <v>270000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>
      <c r="A380" s="161" t="s">
        <v>55</v>
      </c>
      <c r="B380" s="157">
        <v>10</v>
      </c>
      <c r="C380" s="157">
        <v>13000</v>
      </c>
      <c r="D380" s="158">
        <f t="shared" si="5"/>
        <v>130000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>
      <c r="A387" s="161" t="s">
        <v>63</v>
      </c>
      <c r="B387" s="157">
        <v>7</v>
      </c>
      <c r="C387" s="157">
        <v>24000</v>
      </c>
      <c r="D387" s="158">
        <f t="shared" si="5"/>
        <v>168000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17000</v>
      </c>
      <c r="D389" s="158">
        <f t="shared" si="5"/>
        <v>5100000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140</v>
      </c>
      <c r="C414" s="157">
        <v>24000</v>
      </c>
      <c r="D414" s="158">
        <f t="shared" si="6"/>
        <v>3360000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>
      <c r="A442" s="161" t="s">
        <v>117</v>
      </c>
      <c r="B442" s="157">
        <v>45</v>
      </c>
      <c r="C442" s="157">
        <v>8000</v>
      </c>
      <c r="D442" s="158">
        <f t="shared" si="6"/>
        <v>360000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>
      <c r="A444" s="177" t="s">
        <v>119</v>
      </c>
      <c r="B444" s="157">
        <v>5</v>
      </c>
      <c r="C444" s="157">
        <v>15000</v>
      </c>
      <c r="D444" s="158">
        <f t="shared" si="6"/>
        <v>75000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 hidden="1">
      <c r="A449" s="161" t="s">
        <v>124</v>
      </c>
      <c r="B449" s="157"/>
      <c r="C449" s="157"/>
      <c r="D449" s="158">
        <f t="shared" si="6"/>
        <v>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 hidden="1">
      <c r="A472" s="161" t="s">
        <v>150</v>
      </c>
      <c r="B472" s="157"/>
      <c r="C472" s="157"/>
      <c r="D472" s="158">
        <f t="shared" si="7"/>
        <v>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330</v>
      </c>
      <c r="C520" s="157">
        <v>6800</v>
      </c>
      <c r="D520" s="158">
        <f t="shared" si="8"/>
        <v>2244000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14500</v>
      </c>
      <c r="D542" s="158">
        <f t="shared" si="8"/>
        <v>5800000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>
      <c r="A551" s="161" t="s">
        <v>368</v>
      </c>
      <c r="B551" s="157">
        <f>20/0.5</f>
        <v>40</v>
      </c>
      <c r="C551" s="157">
        <v>12000</v>
      </c>
      <c r="D551" s="158">
        <f t="shared" si="8"/>
        <v>480000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>
      <c r="A553" s="161" t="s">
        <v>227</v>
      </c>
      <c r="B553" s="157">
        <v>5</v>
      </c>
      <c r="C553" s="157">
        <v>23000</v>
      </c>
      <c r="D553" s="158">
        <f t="shared" si="8"/>
        <v>115000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>
      <c r="A568" s="159" t="s">
        <v>241</v>
      </c>
      <c r="B568" s="157">
        <v>40</v>
      </c>
      <c r="C568" s="157">
        <v>37000</v>
      </c>
      <c r="D568" s="158">
        <f t="shared" si="8"/>
        <v>1480000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27000</v>
      </c>
      <c r="D585" s="158">
        <f t="shared" si="9"/>
        <v>540000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30000</v>
      </c>
      <c r="D593" s="158">
        <f t="shared" si="9"/>
        <v>600000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16000</v>
      </c>
      <c r="D597" s="158">
        <f t="shared" si="9"/>
        <v>320000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3207</v>
      </c>
      <c r="C672" s="189"/>
      <c r="D672" s="189">
        <f t="shared" ref="D672" si="11">SUM(D345:D671)</f>
        <v>41722000</v>
      </c>
    </row>
    <row r="674" spans="4:4">
      <c r="D674" s="190">
        <f>D672+D340</f>
        <v>101086000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E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485"/>
  <sheetViews>
    <sheetView topLeftCell="A181" workbookViewId="0">
      <selection activeCell="D485" sqref="D485"/>
    </sheetView>
  </sheetViews>
  <sheetFormatPr defaultRowHeight="14.4"/>
  <cols>
    <col min="1" max="1" width="38.109375" customWidth="1"/>
    <col min="3" max="3" width="15.33203125" customWidth="1"/>
    <col min="4" max="4" width="22.109375" customWidth="1"/>
  </cols>
  <sheetData>
    <row r="1" spans="1:4">
      <c r="A1" s="151" t="s">
        <v>406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56" t="s">
        <v>82</v>
      </c>
      <c r="B3" s="157">
        <v>12</v>
      </c>
      <c r="C3" s="157">
        <v>10000</v>
      </c>
      <c r="D3" s="158">
        <f>B3*C3</f>
        <v>120000</v>
      </c>
    </row>
    <row r="4" spans="1:4" ht="18" hidden="1">
      <c r="A4" s="159" t="s">
        <v>83</v>
      </c>
      <c r="B4" s="157"/>
      <c r="C4" s="157"/>
      <c r="D4" s="158">
        <f t="shared" ref="D4:D67" si="0">B4*C4</f>
        <v>0</v>
      </c>
    </row>
    <row r="5" spans="1:4" ht="18" hidden="1">
      <c r="A5" s="156" t="s">
        <v>84</v>
      </c>
      <c r="B5" s="157"/>
      <c r="C5" s="157"/>
      <c r="D5" s="158">
        <f t="shared" si="0"/>
        <v>0</v>
      </c>
    </row>
    <row r="6" spans="1:4" ht="18" hidden="1">
      <c r="A6" s="156" t="s">
        <v>86</v>
      </c>
      <c r="B6" s="157"/>
      <c r="C6" s="157"/>
      <c r="D6" s="158">
        <f t="shared" si="0"/>
        <v>0</v>
      </c>
    </row>
    <row r="7" spans="1:4" ht="18" hidden="1">
      <c r="A7" s="156" t="s">
        <v>96</v>
      </c>
      <c r="B7" s="162"/>
      <c r="C7" s="162"/>
      <c r="D7" s="158">
        <f t="shared" si="0"/>
        <v>0</v>
      </c>
    </row>
    <row r="8" spans="1:4" ht="18" hidden="1">
      <c r="A8" s="156" t="s">
        <v>98</v>
      </c>
      <c r="B8" s="162"/>
      <c r="C8" s="162"/>
      <c r="D8" s="158">
        <f t="shared" si="0"/>
        <v>0</v>
      </c>
    </row>
    <row r="9" spans="1:4" ht="18" hidden="1">
      <c r="A9" s="161" t="s">
        <v>110</v>
      </c>
      <c r="B9" s="157"/>
      <c r="C9" s="157"/>
      <c r="D9" s="158">
        <f t="shared" si="0"/>
        <v>0</v>
      </c>
    </row>
    <row r="10" spans="1:4" ht="18" hidden="1">
      <c r="A10" s="161" t="s">
        <v>111</v>
      </c>
      <c r="B10" s="157"/>
      <c r="C10" s="157"/>
      <c r="D10" s="158">
        <f t="shared" si="0"/>
        <v>0</v>
      </c>
    </row>
    <row r="11" spans="1:4" ht="18" hidden="1">
      <c r="A11" s="161" t="s">
        <v>113</v>
      </c>
      <c r="B11" s="162"/>
      <c r="C11" s="162"/>
      <c r="D11" s="158">
        <f t="shared" si="0"/>
        <v>0</v>
      </c>
    </row>
    <row r="12" spans="1:4" ht="18" hidden="1">
      <c r="A12" s="159" t="s">
        <v>114</v>
      </c>
      <c r="B12" s="157"/>
      <c r="C12" s="157"/>
      <c r="D12" s="158">
        <f t="shared" si="0"/>
        <v>0</v>
      </c>
    </row>
    <row r="13" spans="1:4" ht="18" hidden="1">
      <c r="A13" s="163" t="s">
        <v>115</v>
      </c>
      <c r="B13" s="157"/>
      <c r="C13" s="157"/>
      <c r="D13" s="158">
        <f t="shared" si="0"/>
        <v>0</v>
      </c>
    </row>
    <row r="14" spans="1:4" ht="18" hidden="1">
      <c r="A14" s="159" t="s">
        <v>131</v>
      </c>
      <c r="B14" s="157"/>
      <c r="C14" s="157"/>
      <c r="D14" s="158">
        <f t="shared" si="0"/>
        <v>0</v>
      </c>
    </row>
    <row r="15" spans="1:4" ht="18" hidden="1">
      <c r="A15" s="163" t="s">
        <v>132</v>
      </c>
      <c r="B15" s="157"/>
      <c r="C15" s="157"/>
      <c r="D15" s="158">
        <f t="shared" si="0"/>
        <v>0</v>
      </c>
    </row>
    <row r="16" spans="1:4" ht="18" hidden="1">
      <c r="A16" s="161" t="s">
        <v>124</v>
      </c>
      <c r="B16" s="157"/>
      <c r="C16" s="157"/>
      <c r="D16" s="158">
        <f t="shared" si="0"/>
        <v>0</v>
      </c>
    </row>
    <row r="17" spans="1:4" ht="18" hidden="1">
      <c r="A17" s="161" t="s">
        <v>126</v>
      </c>
      <c r="B17" s="157"/>
      <c r="C17" s="157"/>
      <c r="D17" s="158">
        <f t="shared" si="0"/>
        <v>0</v>
      </c>
    </row>
    <row r="18" spans="1:4" ht="18" hidden="1">
      <c r="A18" s="159" t="s">
        <v>264</v>
      </c>
      <c r="B18" s="157"/>
      <c r="C18" s="157"/>
      <c r="D18" s="158">
        <f t="shared" si="0"/>
        <v>0</v>
      </c>
    </row>
    <row r="19" spans="1:4" ht="18">
      <c r="A19" s="161" t="s">
        <v>265</v>
      </c>
      <c r="B19" s="157">
        <v>116</v>
      </c>
      <c r="C19" s="157">
        <v>27000</v>
      </c>
      <c r="D19" s="158">
        <f t="shared" si="0"/>
        <v>3132000</v>
      </c>
    </row>
    <row r="20" spans="1:4" ht="18">
      <c r="A20" s="161" t="s">
        <v>266</v>
      </c>
      <c r="B20" s="157">
        <v>3</v>
      </c>
      <c r="C20" s="157">
        <v>24000</v>
      </c>
      <c r="D20" s="158">
        <f t="shared" si="0"/>
        <v>72000</v>
      </c>
    </row>
    <row r="21" spans="1:4" ht="18" hidden="1">
      <c r="A21" s="161" t="s">
        <v>267</v>
      </c>
      <c r="B21" s="157"/>
      <c r="C21" s="157"/>
      <c r="D21" s="158">
        <f t="shared" si="0"/>
        <v>0</v>
      </c>
    </row>
    <row r="22" spans="1:4" ht="18" hidden="1">
      <c r="A22" s="161" t="s">
        <v>268</v>
      </c>
      <c r="B22" s="157"/>
      <c r="C22" s="157"/>
      <c r="D22" s="158">
        <f t="shared" si="0"/>
        <v>0</v>
      </c>
    </row>
    <row r="23" spans="1:4" ht="18">
      <c r="A23" s="161" t="s">
        <v>273</v>
      </c>
      <c r="B23" s="157">
        <v>64</v>
      </c>
      <c r="C23" s="157">
        <v>30000</v>
      </c>
      <c r="D23" s="158">
        <f t="shared" si="0"/>
        <v>1920000</v>
      </c>
    </row>
    <row r="24" spans="1:4" ht="18">
      <c r="A24" s="161" t="s">
        <v>274</v>
      </c>
      <c r="B24" s="157">
        <v>2</v>
      </c>
      <c r="C24" s="157">
        <v>24000</v>
      </c>
      <c r="D24" s="158">
        <f t="shared" si="0"/>
        <v>48000</v>
      </c>
    </row>
    <row r="25" spans="1:4" ht="18" hidden="1">
      <c r="A25" s="161" t="s">
        <v>275</v>
      </c>
      <c r="B25" s="157"/>
      <c r="C25" s="157"/>
      <c r="D25" s="158">
        <f t="shared" si="0"/>
        <v>0</v>
      </c>
    </row>
    <row r="26" spans="1:4" ht="18">
      <c r="A26" s="161" t="s">
        <v>277</v>
      </c>
      <c r="B26" s="157">
        <v>7</v>
      </c>
      <c r="C26" s="157">
        <v>16000</v>
      </c>
      <c r="D26" s="158">
        <f t="shared" si="0"/>
        <v>112000</v>
      </c>
    </row>
    <row r="27" spans="1:4" ht="18">
      <c r="A27" s="161" t="s">
        <v>278</v>
      </c>
      <c r="B27" s="157">
        <v>2</v>
      </c>
      <c r="C27" s="157">
        <v>14000</v>
      </c>
      <c r="D27" s="158">
        <f t="shared" si="0"/>
        <v>28000</v>
      </c>
    </row>
    <row r="28" spans="1:4" ht="18" hidden="1">
      <c r="A28" s="161" t="s">
        <v>279</v>
      </c>
      <c r="B28" s="157"/>
      <c r="C28" s="157"/>
      <c r="D28" s="158">
        <f t="shared" si="0"/>
        <v>0</v>
      </c>
    </row>
    <row r="29" spans="1:4" ht="18">
      <c r="A29" s="161" t="s">
        <v>150</v>
      </c>
      <c r="B29" s="157">
        <v>60</v>
      </c>
      <c r="C29" s="157">
        <v>14000</v>
      </c>
      <c r="D29" s="158">
        <f t="shared" si="0"/>
        <v>840000</v>
      </c>
    </row>
    <row r="30" spans="1:4" ht="18" hidden="1">
      <c r="A30" s="164" t="s">
        <v>151</v>
      </c>
      <c r="B30" s="157"/>
      <c r="C30" s="157"/>
      <c r="D30" s="158">
        <f t="shared" si="0"/>
        <v>0</v>
      </c>
    </row>
    <row r="31" spans="1:4" ht="18" hidden="1">
      <c r="A31" s="161" t="s">
        <v>334</v>
      </c>
      <c r="B31" s="157"/>
      <c r="C31" s="157"/>
      <c r="D31" s="158">
        <f t="shared" si="0"/>
        <v>0</v>
      </c>
    </row>
    <row r="32" spans="1:4" ht="18" hidden="1">
      <c r="A32" s="161" t="s">
        <v>227</v>
      </c>
      <c r="B32" s="157"/>
      <c r="C32" s="157"/>
      <c r="D32" s="158">
        <f t="shared" si="0"/>
        <v>0</v>
      </c>
    </row>
    <row r="33" spans="1:4" ht="18">
      <c r="A33" s="161" t="s">
        <v>230</v>
      </c>
      <c r="B33" s="157">
        <v>105</v>
      </c>
      <c r="C33" s="157">
        <v>15000</v>
      </c>
      <c r="D33" s="158">
        <f t="shared" si="0"/>
        <v>1575000</v>
      </c>
    </row>
    <row r="34" spans="1:4" ht="18" hidden="1">
      <c r="A34" s="161" t="s">
        <v>231</v>
      </c>
      <c r="B34" s="157"/>
      <c r="C34" s="157"/>
      <c r="D34" s="158">
        <f t="shared" si="0"/>
        <v>0</v>
      </c>
    </row>
    <row r="35" spans="1:4" ht="18">
      <c r="A35" s="161" t="s">
        <v>232</v>
      </c>
      <c r="B35" s="157">
        <v>60</v>
      </c>
      <c r="C35" s="157">
        <v>13000</v>
      </c>
      <c r="D35" s="158">
        <f t="shared" si="0"/>
        <v>780000</v>
      </c>
    </row>
    <row r="36" spans="1:4" ht="18" hidden="1">
      <c r="A36" s="161" t="s">
        <v>117</v>
      </c>
      <c r="B36" s="157"/>
      <c r="C36" s="157"/>
      <c r="D36" s="158">
        <f t="shared" si="0"/>
        <v>0</v>
      </c>
    </row>
    <row r="37" spans="1:4" ht="18" hidden="1">
      <c r="A37" s="161" t="s">
        <v>180</v>
      </c>
      <c r="B37" s="157"/>
      <c r="C37" s="157"/>
      <c r="D37" s="158">
        <f t="shared" si="0"/>
        <v>0</v>
      </c>
    </row>
    <row r="38" spans="1:4" ht="18" hidden="1">
      <c r="A38" s="159" t="s">
        <v>190</v>
      </c>
      <c r="B38" s="157"/>
      <c r="C38" s="157"/>
      <c r="D38" s="158">
        <f t="shared" si="0"/>
        <v>0</v>
      </c>
    </row>
    <row r="39" spans="1:4" ht="18">
      <c r="A39" s="167" t="s">
        <v>384</v>
      </c>
      <c r="B39" s="157">
        <v>1</v>
      </c>
      <c r="C39" s="157">
        <v>20000</v>
      </c>
      <c r="D39" s="158">
        <f t="shared" si="0"/>
        <v>20000</v>
      </c>
    </row>
    <row r="40" spans="1:4" ht="18" hidden="1">
      <c r="A40" s="168" t="s">
        <v>29</v>
      </c>
      <c r="B40" s="157"/>
      <c r="C40" s="157"/>
      <c r="D40" s="158">
        <f t="shared" si="0"/>
        <v>0</v>
      </c>
    </row>
    <row r="41" spans="1:4" ht="18" hidden="1">
      <c r="A41" s="161" t="s">
        <v>188</v>
      </c>
      <c r="B41" s="157"/>
      <c r="C41" s="157"/>
      <c r="D41" s="158">
        <f t="shared" si="0"/>
        <v>0</v>
      </c>
    </row>
    <row r="42" spans="1:4" ht="18" hidden="1">
      <c r="A42" s="169" t="s">
        <v>189</v>
      </c>
      <c r="B42" s="170"/>
      <c r="C42" s="170"/>
      <c r="D42" s="158">
        <f t="shared" si="0"/>
        <v>0</v>
      </c>
    </row>
    <row r="43" spans="1:4" ht="18">
      <c r="A43" s="161" t="s">
        <v>35</v>
      </c>
      <c r="B43" s="157">
        <v>60</v>
      </c>
      <c r="C43" s="157">
        <v>15500</v>
      </c>
      <c r="D43" s="158">
        <f t="shared" si="0"/>
        <v>930000</v>
      </c>
    </row>
    <row r="44" spans="1:4" ht="18">
      <c r="A44" s="159" t="s">
        <v>36</v>
      </c>
      <c r="B44" s="162">
        <v>35</v>
      </c>
      <c r="C44" s="162">
        <v>14500</v>
      </c>
      <c r="D44" s="158">
        <f t="shared" si="0"/>
        <v>507500</v>
      </c>
    </row>
    <row r="45" spans="1:4" ht="18">
      <c r="A45" s="156" t="s">
        <v>46</v>
      </c>
      <c r="B45" s="157">
        <v>71</v>
      </c>
      <c r="C45" s="157">
        <v>11000</v>
      </c>
      <c r="D45" s="158">
        <f t="shared" si="0"/>
        <v>781000</v>
      </c>
    </row>
    <row r="46" spans="1:4" ht="18">
      <c r="A46" s="161" t="s">
        <v>216</v>
      </c>
      <c r="B46" s="157">
        <v>520</v>
      </c>
      <c r="C46" s="157">
        <v>19000</v>
      </c>
      <c r="D46" s="158">
        <f t="shared" si="0"/>
        <v>9880000</v>
      </c>
    </row>
    <row r="47" spans="1:4" ht="18">
      <c r="A47" s="156" t="s">
        <v>217</v>
      </c>
      <c r="B47" s="157">
        <v>120</v>
      </c>
      <c r="C47" s="157">
        <v>19000</v>
      </c>
      <c r="D47" s="158">
        <f t="shared" si="0"/>
        <v>2280000</v>
      </c>
    </row>
    <row r="48" spans="1:4" ht="18" hidden="1">
      <c r="A48" s="161" t="s">
        <v>218</v>
      </c>
      <c r="B48" s="157"/>
      <c r="C48" s="157"/>
      <c r="D48" s="158">
        <f t="shared" si="0"/>
        <v>0</v>
      </c>
    </row>
    <row r="49" spans="1:4" ht="18">
      <c r="A49" s="161" t="s">
        <v>288</v>
      </c>
      <c r="B49" s="157">
        <v>8</v>
      </c>
      <c r="C49" s="157">
        <v>14000</v>
      </c>
      <c r="D49" s="158">
        <f t="shared" si="0"/>
        <v>112000</v>
      </c>
    </row>
    <row r="50" spans="1:4" ht="18" hidden="1">
      <c r="A50" s="161" t="s">
        <v>289</v>
      </c>
      <c r="B50" s="157"/>
      <c r="C50" s="157"/>
      <c r="D50" s="158">
        <f t="shared" si="0"/>
        <v>0</v>
      </c>
    </row>
    <row r="51" spans="1:4" ht="18" hidden="1">
      <c r="A51" s="171" t="s">
        <v>6</v>
      </c>
      <c r="B51" s="157"/>
      <c r="C51" s="157"/>
      <c r="D51" s="158">
        <f t="shared" si="0"/>
        <v>0</v>
      </c>
    </row>
    <row r="52" spans="1:4" ht="18" hidden="1">
      <c r="A52" s="171" t="s">
        <v>10</v>
      </c>
      <c r="B52" s="157"/>
      <c r="C52" s="157"/>
      <c r="D52" s="158">
        <f t="shared" si="0"/>
        <v>0</v>
      </c>
    </row>
    <row r="53" spans="1:4" ht="18" hidden="1">
      <c r="A53" s="164" t="s">
        <v>75</v>
      </c>
      <c r="B53" s="157"/>
      <c r="C53" s="157"/>
      <c r="D53" s="158">
        <f t="shared" si="0"/>
        <v>0</v>
      </c>
    </row>
    <row r="54" spans="1:4" ht="18" hidden="1">
      <c r="A54" s="173" t="s">
        <v>313</v>
      </c>
      <c r="B54" s="157"/>
      <c r="C54" s="157"/>
      <c r="D54" s="158">
        <f t="shared" si="0"/>
        <v>0</v>
      </c>
    </row>
    <row r="55" spans="1:4" ht="18" hidden="1">
      <c r="A55" s="173" t="s">
        <v>324</v>
      </c>
      <c r="B55" s="157"/>
      <c r="C55" s="157"/>
      <c r="D55" s="158">
        <f t="shared" si="0"/>
        <v>0</v>
      </c>
    </row>
    <row r="56" spans="1:4" ht="18" hidden="1">
      <c r="A56" s="173" t="s">
        <v>325</v>
      </c>
      <c r="B56" s="157"/>
      <c r="C56" s="157"/>
      <c r="D56" s="158">
        <f t="shared" si="0"/>
        <v>0</v>
      </c>
    </row>
    <row r="57" spans="1:4" ht="18" hidden="1">
      <c r="A57" s="161" t="s">
        <v>336</v>
      </c>
      <c r="B57" s="174"/>
      <c r="C57" s="174"/>
      <c r="D57" s="158">
        <f t="shared" si="0"/>
        <v>0</v>
      </c>
    </row>
    <row r="58" spans="1:4" ht="18">
      <c r="A58" s="161" t="s">
        <v>100</v>
      </c>
      <c r="B58" s="157">
        <v>56</v>
      </c>
      <c r="C58" s="157">
        <v>18000</v>
      </c>
      <c r="D58" s="158">
        <f t="shared" si="0"/>
        <v>1008000</v>
      </c>
    </row>
    <row r="59" spans="1:4" ht="18" hidden="1">
      <c r="A59" s="161" t="s">
        <v>101</v>
      </c>
      <c r="B59" s="157"/>
      <c r="C59" s="157"/>
      <c r="D59" s="158">
        <f t="shared" si="0"/>
        <v>0</v>
      </c>
    </row>
    <row r="60" spans="1:4" ht="18">
      <c r="A60" s="161" t="s">
        <v>191</v>
      </c>
      <c r="B60" s="157">
        <v>1</v>
      </c>
      <c r="C60" s="157">
        <v>45000</v>
      </c>
      <c r="D60" s="158">
        <f t="shared" si="0"/>
        <v>45000</v>
      </c>
    </row>
    <row r="61" spans="1:4" ht="18" hidden="1">
      <c r="A61" s="161" t="s">
        <v>258</v>
      </c>
      <c r="B61" s="157"/>
      <c r="C61" s="157"/>
      <c r="D61" s="158">
        <f t="shared" si="0"/>
        <v>0</v>
      </c>
    </row>
    <row r="62" spans="1:4" ht="18" hidden="1">
      <c r="A62" s="156" t="s">
        <v>311</v>
      </c>
      <c r="B62" s="157"/>
      <c r="C62" s="157"/>
      <c r="D62" s="158">
        <f t="shared" si="0"/>
        <v>0</v>
      </c>
    </row>
    <row r="63" spans="1:4" ht="18">
      <c r="A63" s="161" t="s">
        <v>137</v>
      </c>
      <c r="B63" s="157">
        <v>2</v>
      </c>
      <c r="C63" s="157">
        <v>11000</v>
      </c>
      <c r="D63" s="158">
        <f t="shared" si="0"/>
        <v>22000</v>
      </c>
    </row>
    <row r="64" spans="1:4" ht="18" hidden="1">
      <c r="A64" s="161" t="s">
        <v>55</v>
      </c>
      <c r="B64" s="157"/>
      <c r="C64" s="157"/>
      <c r="D64" s="158">
        <f t="shared" si="0"/>
        <v>0</v>
      </c>
    </row>
    <row r="65" spans="1:4" ht="18" hidden="1">
      <c r="A65" s="164" t="s">
        <v>299</v>
      </c>
      <c r="B65" s="157"/>
      <c r="C65" s="157"/>
      <c r="D65" s="158">
        <f t="shared" si="0"/>
        <v>0</v>
      </c>
    </row>
    <row r="66" spans="1:4" ht="18" hidden="1">
      <c r="A66" s="177" t="s">
        <v>156</v>
      </c>
      <c r="B66" s="162"/>
      <c r="C66" s="162"/>
      <c r="D66" s="158">
        <f t="shared" si="0"/>
        <v>0</v>
      </c>
    </row>
    <row r="67" spans="1:4" ht="18" hidden="1">
      <c r="A67" s="161" t="s">
        <v>159</v>
      </c>
      <c r="B67" s="162"/>
      <c r="C67" s="162"/>
      <c r="D67" s="158">
        <f t="shared" si="0"/>
        <v>0</v>
      </c>
    </row>
    <row r="68" spans="1:4" ht="18">
      <c r="A68" s="161" t="s">
        <v>161</v>
      </c>
      <c r="B68" s="162">
        <v>1</v>
      </c>
      <c r="C68" s="162">
        <v>80000</v>
      </c>
      <c r="D68" s="158">
        <f t="shared" ref="D68:D131" si="1">B68*C68</f>
        <v>80000</v>
      </c>
    </row>
    <row r="69" spans="1:4" ht="18" hidden="1">
      <c r="A69" s="161" t="s">
        <v>165</v>
      </c>
      <c r="B69" s="162"/>
      <c r="C69" s="162"/>
      <c r="D69" s="158">
        <f t="shared" si="1"/>
        <v>0</v>
      </c>
    </row>
    <row r="70" spans="1:4" ht="18">
      <c r="A70" s="161" t="s">
        <v>177</v>
      </c>
      <c r="B70" s="162">
        <v>1</v>
      </c>
      <c r="C70" s="162">
        <v>70000</v>
      </c>
      <c r="D70" s="158">
        <f t="shared" si="1"/>
        <v>70000</v>
      </c>
    </row>
    <row r="71" spans="1:4" ht="18">
      <c r="A71" s="156" t="s">
        <v>65</v>
      </c>
      <c r="B71" s="157">
        <v>420</v>
      </c>
      <c r="C71" s="157">
        <v>17000</v>
      </c>
      <c r="D71" s="158">
        <f t="shared" si="1"/>
        <v>7140000</v>
      </c>
    </row>
    <row r="72" spans="1:4" ht="18">
      <c r="A72" s="161" t="s">
        <v>76</v>
      </c>
      <c r="B72" s="157">
        <v>98</v>
      </c>
      <c r="C72" s="157">
        <v>14000</v>
      </c>
      <c r="D72" s="158">
        <f t="shared" si="1"/>
        <v>1372000</v>
      </c>
    </row>
    <row r="73" spans="1:4" ht="18">
      <c r="A73" s="161" t="s">
        <v>89</v>
      </c>
      <c r="B73" s="157">
        <v>28</v>
      </c>
      <c r="C73" s="157">
        <v>6800</v>
      </c>
      <c r="D73" s="158">
        <f t="shared" si="1"/>
        <v>190400</v>
      </c>
    </row>
    <row r="74" spans="1:4" ht="18">
      <c r="A74" s="161" t="s">
        <v>27</v>
      </c>
      <c r="B74" s="157">
        <v>1005</v>
      </c>
      <c r="C74" s="157">
        <v>14000</v>
      </c>
      <c r="D74" s="158">
        <f t="shared" si="1"/>
        <v>14070000</v>
      </c>
    </row>
    <row r="75" spans="1:4" ht="18" hidden="1">
      <c r="A75" s="159" t="s">
        <v>61</v>
      </c>
      <c r="B75" s="157"/>
      <c r="C75" s="157"/>
      <c r="D75" s="158">
        <f t="shared" si="1"/>
        <v>0</v>
      </c>
    </row>
    <row r="76" spans="1:4" ht="18" hidden="1">
      <c r="A76" s="173" t="s">
        <v>62</v>
      </c>
      <c r="B76" s="157"/>
      <c r="C76" s="157"/>
      <c r="D76" s="158">
        <f t="shared" si="1"/>
        <v>0</v>
      </c>
    </row>
    <row r="77" spans="1:4" ht="18" hidden="1">
      <c r="A77" s="178" t="s">
        <v>139</v>
      </c>
      <c r="B77" s="157"/>
      <c r="C77" s="157"/>
      <c r="D77" s="158">
        <f t="shared" si="1"/>
        <v>0</v>
      </c>
    </row>
    <row r="78" spans="1:4" ht="18" hidden="1">
      <c r="A78" s="173" t="s">
        <v>140</v>
      </c>
      <c r="B78" s="157"/>
      <c r="C78" s="157"/>
      <c r="D78" s="158">
        <f t="shared" si="1"/>
        <v>0</v>
      </c>
    </row>
    <row r="79" spans="1:4" ht="18" hidden="1">
      <c r="A79" s="156" t="s">
        <v>143</v>
      </c>
      <c r="B79" s="162"/>
      <c r="C79" s="162"/>
      <c r="D79" s="158">
        <f t="shared" si="1"/>
        <v>0</v>
      </c>
    </row>
    <row r="80" spans="1:4" ht="18" hidden="1">
      <c r="A80" s="164" t="s">
        <v>235</v>
      </c>
      <c r="B80" s="157"/>
      <c r="C80" s="157"/>
      <c r="D80" s="158">
        <f t="shared" si="1"/>
        <v>0</v>
      </c>
    </row>
    <row r="81" spans="1:4" ht="18" hidden="1">
      <c r="A81" s="164" t="s">
        <v>239</v>
      </c>
      <c r="B81" s="157"/>
      <c r="C81" s="157"/>
      <c r="D81" s="158">
        <f t="shared" si="1"/>
        <v>0</v>
      </c>
    </row>
    <row r="82" spans="1:4" ht="18" hidden="1">
      <c r="A82" s="156" t="s">
        <v>295</v>
      </c>
      <c r="B82" s="162"/>
      <c r="C82" s="162"/>
      <c r="D82" s="158">
        <f t="shared" si="1"/>
        <v>0</v>
      </c>
    </row>
    <row r="83" spans="1:4" ht="18" hidden="1">
      <c r="A83" s="156" t="s">
        <v>296</v>
      </c>
      <c r="B83" s="157"/>
      <c r="C83" s="157"/>
      <c r="D83" s="158">
        <f t="shared" si="1"/>
        <v>0</v>
      </c>
    </row>
    <row r="84" spans="1:4" ht="18">
      <c r="A84" s="161" t="s">
        <v>308</v>
      </c>
      <c r="B84" s="157">
        <v>18</v>
      </c>
      <c r="C84" s="157">
        <v>10000</v>
      </c>
      <c r="D84" s="158">
        <f t="shared" si="1"/>
        <v>180000</v>
      </c>
    </row>
    <row r="85" spans="1:4" ht="18">
      <c r="A85" s="161" t="s">
        <v>219</v>
      </c>
      <c r="B85" s="157">
        <v>275</v>
      </c>
      <c r="C85" s="157">
        <v>16500</v>
      </c>
      <c r="D85" s="158">
        <f t="shared" si="1"/>
        <v>4537500</v>
      </c>
    </row>
    <row r="86" spans="1:4" ht="18" hidden="1">
      <c r="A86" s="161" t="s">
        <v>52</v>
      </c>
      <c r="B86" s="157"/>
      <c r="C86" s="157"/>
      <c r="D86" s="158">
        <f t="shared" si="1"/>
        <v>0</v>
      </c>
    </row>
    <row r="87" spans="1:4" ht="18" hidden="1">
      <c r="A87" s="161" t="s">
        <v>66</v>
      </c>
      <c r="B87" s="157"/>
      <c r="C87" s="157"/>
      <c r="D87" s="158">
        <f t="shared" si="1"/>
        <v>0</v>
      </c>
    </row>
    <row r="88" spans="1:4" ht="18" hidden="1">
      <c r="A88" s="164" t="s">
        <v>69</v>
      </c>
      <c r="B88" s="157"/>
      <c r="C88" s="157"/>
      <c r="D88" s="158">
        <f t="shared" si="1"/>
        <v>0</v>
      </c>
    </row>
    <row r="89" spans="1:4" ht="18" hidden="1">
      <c r="A89" s="159" t="s">
        <v>72</v>
      </c>
      <c r="B89" s="157"/>
      <c r="C89" s="157"/>
      <c r="D89" s="158">
        <f t="shared" si="1"/>
        <v>0</v>
      </c>
    </row>
    <row r="90" spans="1:4" ht="18">
      <c r="A90" s="180" t="s">
        <v>73</v>
      </c>
      <c r="B90" s="157">
        <v>4</v>
      </c>
      <c r="C90" s="157">
        <v>10000</v>
      </c>
      <c r="D90" s="158">
        <f t="shared" si="1"/>
        <v>40000</v>
      </c>
    </row>
    <row r="91" spans="1:4" ht="18" hidden="1">
      <c r="A91" s="161" t="s">
        <v>74</v>
      </c>
      <c r="B91" s="157"/>
      <c r="C91" s="157"/>
      <c r="D91" s="158">
        <f t="shared" si="1"/>
        <v>0</v>
      </c>
    </row>
    <row r="92" spans="1:4" ht="18" hidden="1">
      <c r="A92" s="161" t="s">
        <v>79</v>
      </c>
      <c r="B92" s="157"/>
      <c r="C92" s="157"/>
      <c r="D92" s="158">
        <f t="shared" si="1"/>
        <v>0</v>
      </c>
    </row>
    <row r="93" spans="1:4" ht="18" hidden="1">
      <c r="A93" s="161" t="s">
        <v>168</v>
      </c>
      <c r="B93" s="157"/>
      <c r="C93" s="157"/>
      <c r="D93" s="158">
        <f t="shared" si="1"/>
        <v>0</v>
      </c>
    </row>
    <row r="94" spans="1:4" ht="18">
      <c r="A94" s="161" t="s">
        <v>170</v>
      </c>
      <c r="B94" s="157">
        <v>20</v>
      </c>
      <c r="C94" s="157">
        <v>8000</v>
      </c>
      <c r="D94" s="158">
        <f t="shared" si="1"/>
        <v>160000</v>
      </c>
    </row>
    <row r="95" spans="1:4" ht="18" hidden="1">
      <c r="A95" s="164" t="s">
        <v>171</v>
      </c>
      <c r="B95" s="157"/>
      <c r="C95" s="157"/>
      <c r="D95" s="158">
        <f t="shared" si="1"/>
        <v>0</v>
      </c>
    </row>
    <row r="96" spans="1:4" ht="18">
      <c r="A96" s="161" t="s">
        <v>90</v>
      </c>
      <c r="B96" s="157">
        <v>70</v>
      </c>
      <c r="C96" s="157">
        <v>24000</v>
      </c>
      <c r="D96" s="158">
        <f t="shared" si="1"/>
        <v>1680000</v>
      </c>
    </row>
    <row r="97" spans="1:4" ht="18" hidden="1">
      <c r="A97" s="173" t="s">
        <v>91</v>
      </c>
      <c r="B97" s="157"/>
      <c r="C97" s="157"/>
      <c r="D97" s="158">
        <f t="shared" si="1"/>
        <v>0</v>
      </c>
    </row>
    <row r="98" spans="1:4" ht="18">
      <c r="A98" s="161" t="s">
        <v>92</v>
      </c>
      <c r="B98" s="157">
        <v>195</v>
      </c>
      <c r="C98" s="157">
        <v>26000</v>
      </c>
      <c r="D98" s="158">
        <f t="shared" si="1"/>
        <v>5070000</v>
      </c>
    </row>
    <row r="99" spans="1:4" ht="18">
      <c r="A99" s="161" t="s">
        <v>94</v>
      </c>
      <c r="B99" s="157">
        <v>20</v>
      </c>
      <c r="C99" s="157">
        <v>22000</v>
      </c>
      <c r="D99" s="158">
        <f t="shared" si="1"/>
        <v>440000</v>
      </c>
    </row>
    <row r="100" spans="1:4" ht="18" hidden="1">
      <c r="A100" s="173" t="s">
        <v>109</v>
      </c>
      <c r="B100" s="157"/>
      <c r="C100" s="157"/>
      <c r="D100" s="158">
        <f t="shared" si="1"/>
        <v>0</v>
      </c>
    </row>
    <row r="101" spans="1:4" ht="18" hidden="1">
      <c r="A101" s="156" t="s">
        <v>335</v>
      </c>
      <c r="B101" s="157"/>
      <c r="C101" s="157"/>
      <c r="D101" s="158">
        <f t="shared" si="1"/>
        <v>0</v>
      </c>
    </row>
    <row r="102" spans="1:4" ht="18" hidden="1">
      <c r="A102" s="163" t="s">
        <v>107</v>
      </c>
      <c r="B102" s="157"/>
      <c r="C102" s="157"/>
      <c r="D102" s="158">
        <f t="shared" si="1"/>
        <v>0</v>
      </c>
    </row>
    <row r="103" spans="1:4" ht="18" hidden="1">
      <c r="A103" s="156" t="s">
        <v>198</v>
      </c>
      <c r="B103" s="157"/>
      <c r="C103" s="157"/>
      <c r="D103" s="158">
        <f t="shared" si="1"/>
        <v>0</v>
      </c>
    </row>
    <row r="104" spans="1:4" ht="18">
      <c r="A104" s="161" t="s">
        <v>199</v>
      </c>
      <c r="B104" s="157">
        <v>65</v>
      </c>
      <c r="C104" s="157">
        <v>3000</v>
      </c>
      <c r="D104" s="158">
        <f t="shared" si="1"/>
        <v>195000</v>
      </c>
    </row>
    <row r="105" spans="1:4" ht="18" hidden="1">
      <c r="A105" s="161" t="s">
        <v>225</v>
      </c>
      <c r="B105" s="157"/>
      <c r="C105" s="157"/>
      <c r="D105" s="158">
        <f t="shared" si="1"/>
        <v>0</v>
      </c>
    </row>
    <row r="106" spans="1:4" ht="18">
      <c r="A106" s="161" t="s">
        <v>226</v>
      </c>
      <c r="B106" s="157">
        <v>28</v>
      </c>
      <c r="C106" s="157">
        <v>12000</v>
      </c>
      <c r="D106" s="158">
        <f t="shared" si="1"/>
        <v>336000</v>
      </c>
    </row>
    <row r="107" spans="1:4" ht="18">
      <c r="A107" s="161" t="s">
        <v>104</v>
      </c>
      <c r="B107" s="157">
        <v>15</v>
      </c>
      <c r="C107" s="157">
        <v>9000</v>
      </c>
      <c r="D107" s="158">
        <f t="shared" si="1"/>
        <v>135000</v>
      </c>
    </row>
    <row r="108" spans="1:4" ht="18" hidden="1">
      <c r="A108" s="163" t="s">
        <v>105</v>
      </c>
      <c r="B108" s="157"/>
      <c r="C108" s="157"/>
      <c r="D108" s="158">
        <f t="shared" si="1"/>
        <v>0</v>
      </c>
    </row>
    <row r="109" spans="1:4" ht="18" hidden="1">
      <c r="A109" s="171" t="s">
        <v>11</v>
      </c>
      <c r="B109" s="157"/>
      <c r="C109" s="157"/>
      <c r="D109" s="158">
        <f t="shared" si="1"/>
        <v>0</v>
      </c>
    </row>
    <row r="110" spans="1:4" ht="18">
      <c r="A110" s="161" t="s">
        <v>183</v>
      </c>
      <c r="B110" s="157">
        <v>74</v>
      </c>
      <c r="C110" s="181">
        <v>6500</v>
      </c>
      <c r="D110" s="158">
        <f t="shared" si="1"/>
        <v>481000</v>
      </c>
    </row>
    <row r="111" spans="1:4" ht="18" hidden="1">
      <c r="A111" s="161" t="s">
        <v>186</v>
      </c>
      <c r="B111" s="157"/>
      <c r="C111" s="157"/>
      <c r="D111" s="158">
        <f t="shared" si="1"/>
        <v>0</v>
      </c>
    </row>
    <row r="112" spans="1:4" ht="18">
      <c r="A112" s="156" t="s">
        <v>22</v>
      </c>
      <c r="B112" s="157">
        <v>20</v>
      </c>
      <c r="C112" s="157">
        <v>18000</v>
      </c>
      <c r="D112" s="158">
        <f t="shared" si="1"/>
        <v>360000</v>
      </c>
    </row>
    <row r="113" spans="1:4" ht="18" hidden="1">
      <c r="A113" s="159" t="s">
        <v>112</v>
      </c>
      <c r="B113" s="157"/>
      <c r="C113" s="157"/>
      <c r="D113" s="158">
        <f t="shared" si="1"/>
        <v>0</v>
      </c>
    </row>
    <row r="114" spans="1:4" ht="18" hidden="1">
      <c r="A114" s="161" t="s">
        <v>222</v>
      </c>
      <c r="B114" s="157"/>
      <c r="C114" s="157"/>
      <c r="D114" s="158">
        <f t="shared" si="1"/>
        <v>0</v>
      </c>
    </row>
    <row r="115" spans="1:4" ht="18">
      <c r="A115" s="161" t="s">
        <v>262</v>
      </c>
      <c r="B115" s="157">
        <v>6</v>
      </c>
      <c r="C115" s="157">
        <v>14000</v>
      </c>
      <c r="D115" s="158">
        <f t="shared" si="1"/>
        <v>84000</v>
      </c>
    </row>
    <row r="116" spans="1:4" ht="18" hidden="1">
      <c r="A116" s="161" t="s">
        <v>47</v>
      </c>
      <c r="B116" s="157"/>
      <c r="C116" s="157"/>
      <c r="D116" s="158">
        <f t="shared" si="1"/>
        <v>0</v>
      </c>
    </row>
    <row r="117" spans="1:4" ht="18" hidden="1">
      <c r="A117" s="161" t="s">
        <v>48</v>
      </c>
      <c r="B117" s="157"/>
      <c r="C117" s="157"/>
      <c r="D117" s="158">
        <f t="shared" si="1"/>
        <v>0</v>
      </c>
    </row>
    <row r="118" spans="1:4" ht="18" hidden="1">
      <c r="A118" s="159" t="s">
        <v>50</v>
      </c>
      <c r="B118" s="162"/>
      <c r="C118" s="162"/>
      <c r="D118" s="158">
        <f t="shared" si="1"/>
        <v>0</v>
      </c>
    </row>
    <row r="119" spans="1:4" ht="18" hidden="1">
      <c r="A119" s="164" t="s">
        <v>270</v>
      </c>
      <c r="B119" s="157"/>
      <c r="C119" s="157"/>
      <c r="D119" s="158">
        <f t="shared" si="1"/>
        <v>0</v>
      </c>
    </row>
    <row r="120" spans="1:4" ht="18" hidden="1">
      <c r="A120" s="159" t="s">
        <v>283</v>
      </c>
      <c r="B120" s="157"/>
      <c r="C120" s="157"/>
      <c r="D120" s="158">
        <f t="shared" si="1"/>
        <v>0</v>
      </c>
    </row>
    <row r="121" spans="1:4" ht="18" hidden="1">
      <c r="A121" s="161" t="s">
        <v>284</v>
      </c>
      <c r="B121" s="157"/>
      <c r="C121" s="157"/>
      <c r="D121" s="158">
        <f t="shared" si="1"/>
        <v>0</v>
      </c>
    </row>
    <row r="122" spans="1:4" ht="18" hidden="1">
      <c r="A122" s="156" t="s">
        <v>320</v>
      </c>
      <c r="B122" s="157"/>
      <c r="C122" s="157"/>
      <c r="D122" s="158">
        <f t="shared" si="1"/>
        <v>0</v>
      </c>
    </row>
    <row r="123" spans="1:4" ht="18" hidden="1">
      <c r="A123" s="161" t="s">
        <v>323</v>
      </c>
      <c r="B123" s="157"/>
      <c r="C123" s="157"/>
      <c r="D123" s="158">
        <f t="shared" si="1"/>
        <v>0</v>
      </c>
    </row>
    <row r="124" spans="1:4" ht="18" hidden="1">
      <c r="A124" s="163" t="s">
        <v>326</v>
      </c>
      <c r="B124" s="157"/>
      <c r="C124" s="157"/>
      <c r="D124" s="158">
        <f t="shared" si="1"/>
        <v>0</v>
      </c>
    </row>
    <row r="125" spans="1:4" ht="18" hidden="1">
      <c r="A125" s="161" t="s">
        <v>329</v>
      </c>
      <c r="B125" s="157"/>
      <c r="C125" s="157"/>
      <c r="D125" s="158">
        <f t="shared" si="1"/>
        <v>0</v>
      </c>
    </row>
    <row r="126" spans="1:4" ht="18" hidden="1">
      <c r="A126" s="161" t="s">
        <v>330</v>
      </c>
      <c r="B126" s="157"/>
      <c r="C126" s="157"/>
      <c r="D126" s="158">
        <f t="shared" si="1"/>
        <v>0</v>
      </c>
    </row>
    <row r="127" spans="1:4" ht="18" hidden="1">
      <c r="A127" s="163" t="s">
        <v>332</v>
      </c>
      <c r="B127" s="157"/>
      <c r="C127" s="157"/>
      <c r="D127" s="158">
        <f t="shared" si="1"/>
        <v>0</v>
      </c>
    </row>
    <row r="128" spans="1:4" ht="18">
      <c r="A128" s="161" t="s">
        <v>341</v>
      </c>
      <c r="B128" s="157">
        <v>1</v>
      </c>
      <c r="C128" s="157">
        <v>30000</v>
      </c>
      <c r="D128" s="158">
        <f t="shared" si="1"/>
        <v>30000</v>
      </c>
    </row>
    <row r="129" spans="1:4" ht="18" hidden="1">
      <c r="A129" s="163" t="s">
        <v>343</v>
      </c>
      <c r="B129" s="157"/>
      <c r="C129" s="157"/>
      <c r="D129" s="158">
        <f t="shared" si="1"/>
        <v>0</v>
      </c>
    </row>
    <row r="130" spans="1:4" ht="18" hidden="1">
      <c r="A130" s="161" t="s">
        <v>345</v>
      </c>
      <c r="B130" s="157"/>
      <c r="C130" s="157"/>
      <c r="D130" s="158">
        <f t="shared" si="1"/>
        <v>0</v>
      </c>
    </row>
    <row r="131" spans="1:4" ht="18" hidden="1">
      <c r="A131" s="161" t="s">
        <v>348</v>
      </c>
      <c r="B131" s="157"/>
      <c r="C131" s="157"/>
      <c r="D131" s="158">
        <f t="shared" si="1"/>
        <v>0</v>
      </c>
    </row>
    <row r="132" spans="1:4" ht="18" hidden="1">
      <c r="A132" s="161" t="s">
        <v>349</v>
      </c>
      <c r="B132" s="157"/>
      <c r="C132" s="157"/>
      <c r="D132" s="158">
        <f t="shared" ref="D132:D195" si="2">B132*C132</f>
        <v>0</v>
      </c>
    </row>
    <row r="133" spans="1:4" ht="18">
      <c r="A133" s="161" t="s">
        <v>302</v>
      </c>
      <c r="B133" s="157">
        <v>11</v>
      </c>
      <c r="C133" s="157">
        <v>10000</v>
      </c>
      <c r="D133" s="158">
        <f t="shared" si="2"/>
        <v>110000</v>
      </c>
    </row>
    <row r="134" spans="1:4" ht="18">
      <c r="A134" s="161" t="s">
        <v>30</v>
      </c>
      <c r="B134" s="157">
        <v>5</v>
      </c>
      <c r="C134" s="157">
        <v>30000</v>
      </c>
      <c r="D134" s="158">
        <f t="shared" si="2"/>
        <v>150000</v>
      </c>
    </row>
    <row r="135" spans="1:4" ht="18">
      <c r="A135" s="161" t="s">
        <v>32</v>
      </c>
      <c r="B135" s="157">
        <v>65</v>
      </c>
      <c r="C135" s="157">
        <v>9000</v>
      </c>
      <c r="D135" s="158">
        <f t="shared" si="2"/>
        <v>585000</v>
      </c>
    </row>
    <row r="136" spans="1:4" ht="18" hidden="1">
      <c r="A136" s="161" t="s">
        <v>33</v>
      </c>
      <c r="B136" s="157"/>
      <c r="C136" s="157"/>
      <c r="D136" s="158">
        <f t="shared" si="2"/>
        <v>0</v>
      </c>
    </row>
    <row r="137" spans="1:4" ht="18">
      <c r="A137" s="161" t="s">
        <v>58</v>
      </c>
      <c r="B137" s="157">
        <v>64</v>
      </c>
      <c r="C137" s="157">
        <v>27000</v>
      </c>
      <c r="D137" s="158">
        <f t="shared" si="2"/>
        <v>1728000</v>
      </c>
    </row>
    <row r="138" spans="1:4" ht="18" hidden="1">
      <c r="A138" s="161" t="s">
        <v>59</v>
      </c>
      <c r="B138" s="157"/>
      <c r="C138" s="157"/>
      <c r="D138" s="158">
        <f t="shared" si="2"/>
        <v>0</v>
      </c>
    </row>
    <row r="139" spans="1:4" ht="18" hidden="1">
      <c r="A139" s="161" t="s">
        <v>64</v>
      </c>
      <c r="B139" s="157"/>
      <c r="C139" s="157"/>
      <c r="D139" s="158">
        <f t="shared" si="2"/>
        <v>0</v>
      </c>
    </row>
    <row r="140" spans="1:4" ht="18">
      <c r="A140" s="156" t="s">
        <v>146</v>
      </c>
      <c r="B140" s="162">
        <v>3.8</v>
      </c>
      <c r="C140" s="162">
        <v>16000</v>
      </c>
      <c r="D140" s="158">
        <f t="shared" si="2"/>
        <v>60800</v>
      </c>
    </row>
    <row r="141" spans="1:4" ht="18" hidden="1">
      <c r="A141" s="161" t="s">
        <v>147</v>
      </c>
      <c r="B141" s="157"/>
      <c r="C141" s="157"/>
      <c r="D141" s="158">
        <f t="shared" si="2"/>
        <v>0</v>
      </c>
    </row>
    <row r="142" spans="1:4" ht="18" hidden="1">
      <c r="A142" s="161" t="s">
        <v>305</v>
      </c>
      <c r="B142" s="157"/>
      <c r="C142" s="157"/>
      <c r="D142" s="158">
        <f t="shared" si="2"/>
        <v>0</v>
      </c>
    </row>
    <row r="143" spans="1:4" ht="18" hidden="1">
      <c r="A143" s="173" t="s">
        <v>25</v>
      </c>
      <c r="B143" s="157"/>
      <c r="C143" s="157"/>
      <c r="D143" s="158">
        <f t="shared" si="2"/>
        <v>0</v>
      </c>
    </row>
    <row r="144" spans="1:4" ht="18">
      <c r="A144" s="159" t="s">
        <v>26</v>
      </c>
      <c r="B144" s="157">
        <v>32</v>
      </c>
      <c r="C144" s="184">
        <v>14000</v>
      </c>
      <c r="D144" s="158">
        <f t="shared" si="2"/>
        <v>448000</v>
      </c>
    </row>
    <row r="145" spans="1:4" ht="18" hidden="1">
      <c r="A145" s="161" t="s">
        <v>173</v>
      </c>
      <c r="B145" s="157"/>
      <c r="C145" s="157"/>
      <c r="D145" s="158">
        <f t="shared" si="2"/>
        <v>0</v>
      </c>
    </row>
    <row r="146" spans="1:4" ht="18" hidden="1">
      <c r="A146" s="161" t="s">
        <v>175</v>
      </c>
      <c r="B146" s="157"/>
      <c r="C146" s="157"/>
      <c r="D146" s="158">
        <f t="shared" si="2"/>
        <v>0</v>
      </c>
    </row>
    <row r="147" spans="1:4" ht="18" hidden="1">
      <c r="A147" s="187" t="s">
        <v>213</v>
      </c>
      <c r="B147" s="157"/>
      <c r="C147" s="157"/>
      <c r="D147" s="158">
        <f t="shared" si="2"/>
        <v>0</v>
      </c>
    </row>
    <row r="148" spans="1:4" ht="18" hidden="1">
      <c r="A148" s="159" t="s">
        <v>246</v>
      </c>
      <c r="B148" s="157"/>
      <c r="C148" s="157"/>
      <c r="D148" s="158">
        <f t="shared" si="2"/>
        <v>0</v>
      </c>
    </row>
    <row r="149" spans="1:4" ht="18" hidden="1">
      <c r="A149" s="159" t="s">
        <v>247</v>
      </c>
      <c r="B149" s="157"/>
      <c r="C149" s="157"/>
      <c r="D149" s="158">
        <f t="shared" si="2"/>
        <v>0</v>
      </c>
    </row>
    <row r="150" spans="1:4" ht="18" hidden="1">
      <c r="A150" s="187" t="s">
        <v>291</v>
      </c>
      <c r="B150" s="157"/>
      <c r="C150" s="157"/>
      <c r="D150" s="158">
        <f t="shared" si="2"/>
        <v>0</v>
      </c>
    </row>
    <row r="151" spans="1:4" ht="18">
      <c r="A151" s="188"/>
      <c r="B151" s="189">
        <v>3894.8</v>
      </c>
      <c r="C151" s="189"/>
      <c r="D151" s="158">
        <f>SUM(D3:D144)</f>
        <v>63945200</v>
      </c>
    </row>
    <row r="152" spans="1:4" ht="18" hidden="1">
      <c r="D152" s="158">
        <f t="shared" si="2"/>
        <v>0</v>
      </c>
    </row>
    <row r="153" spans="1:4" ht="18">
      <c r="A153" s="151" t="s">
        <v>408</v>
      </c>
      <c r="B153" s="152"/>
      <c r="C153" s="152"/>
      <c r="D153" s="158"/>
    </row>
    <row r="154" spans="1:4" ht="26.4">
      <c r="A154" s="208" t="s">
        <v>381</v>
      </c>
      <c r="B154" s="154" t="s">
        <v>3</v>
      </c>
      <c r="C154" s="154" t="s">
        <v>4</v>
      </c>
      <c r="D154" s="158" t="s">
        <v>5</v>
      </c>
    </row>
    <row r="155" spans="1:4" ht="18" hidden="1">
      <c r="A155" s="209"/>
      <c r="B155" s="155"/>
      <c r="C155" s="155"/>
      <c r="D155" s="158">
        <f t="shared" si="2"/>
        <v>0</v>
      </c>
    </row>
    <row r="156" spans="1:4" ht="18" hidden="1">
      <c r="A156" s="156" t="s">
        <v>82</v>
      </c>
      <c r="B156" s="157"/>
      <c r="C156" s="157"/>
      <c r="D156" s="158">
        <f t="shared" si="2"/>
        <v>0</v>
      </c>
    </row>
    <row r="157" spans="1:4" ht="18" hidden="1">
      <c r="A157" s="159" t="s">
        <v>83</v>
      </c>
      <c r="B157" s="157"/>
      <c r="C157" s="157"/>
      <c r="D157" s="158">
        <f t="shared" si="2"/>
        <v>0</v>
      </c>
    </row>
    <row r="158" spans="1:4" ht="18" hidden="1">
      <c r="A158" s="156" t="s">
        <v>84</v>
      </c>
      <c r="B158" s="157"/>
      <c r="C158" s="157"/>
      <c r="D158" s="158">
        <f t="shared" si="2"/>
        <v>0</v>
      </c>
    </row>
    <row r="159" spans="1:4" ht="18" hidden="1">
      <c r="A159" s="156" t="s">
        <v>85</v>
      </c>
      <c r="B159" s="157"/>
      <c r="C159" s="157"/>
      <c r="D159" s="158">
        <f t="shared" si="2"/>
        <v>0</v>
      </c>
    </row>
    <row r="160" spans="1:4" ht="18" hidden="1">
      <c r="A160" s="156" t="s">
        <v>86</v>
      </c>
      <c r="B160" s="157"/>
      <c r="C160" s="157"/>
      <c r="D160" s="158">
        <f t="shared" si="2"/>
        <v>0</v>
      </c>
    </row>
    <row r="161" spans="1:4" ht="18" hidden="1">
      <c r="A161" s="160" t="s">
        <v>87</v>
      </c>
      <c r="B161" s="157"/>
      <c r="C161" s="157"/>
      <c r="D161" s="158">
        <f t="shared" si="2"/>
        <v>0</v>
      </c>
    </row>
    <row r="162" spans="1:4" ht="18" hidden="1">
      <c r="A162" s="161" t="s">
        <v>88</v>
      </c>
      <c r="B162" s="157"/>
      <c r="C162" s="157"/>
      <c r="D162" s="158">
        <f t="shared" si="2"/>
        <v>0</v>
      </c>
    </row>
    <row r="163" spans="1:4" ht="18" hidden="1">
      <c r="A163" s="156" t="s">
        <v>96</v>
      </c>
      <c r="B163" s="162"/>
      <c r="C163" s="162"/>
      <c r="D163" s="158">
        <f t="shared" si="2"/>
        <v>0</v>
      </c>
    </row>
    <row r="164" spans="1:4" ht="18" hidden="1">
      <c r="A164" s="156" t="s">
        <v>97</v>
      </c>
      <c r="B164" s="162"/>
      <c r="C164" s="162"/>
      <c r="D164" s="158">
        <f t="shared" si="2"/>
        <v>0</v>
      </c>
    </row>
    <row r="165" spans="1:4" ht="18" hidden="1">
      <c r="A165" s="156" t="s">
        <v>98</v>
      </c>
      <c r="B165" s="162"/>
      <c r="C165" s="162"/>
      <c r="D165" s="158">
        <f t="shared" si="2"/>
        <v>0</v>
      </c>
    </row>
    <row r="166" spans="1:4" ht="18" hidden="1">
      <c r="A166" s="161" t="s">
        <v>110</v>
      </c>
      <c r="B166" s="157"/>
      <c r="C166" s="157"/>
      <c r="D166" s="158">
        <f t="shared" si="2"/>
        <v>0</v>
      </c>
    </row>
    <row r="167" spans="1:4" ht="18" hidden="1">
      <c r="A167" s="161" t="s">
        <v>111</v>
      </c>
      <c r="B167" s="157"/>
      <c r="C167" s="157"/>
      <c r="D167" s="158">
        <f t="shared" si="2"/>
        <v>0</v>
      </c>
    </row>
    <row r="168" spans="1:4" ht="18" hidden="1">
      <c r="A168" s="161" t="s">
        <v>113</v>
      </c>
      <c r="B168" s="162"/>
      <c r="C168" s="162"/>
      <c r="D168" s="158">
        <f t="shared" si="2"/>
        <v>0</v>
      </c>
    </row>
    <row r="169" spans="1:4" ht="18" hidden="1">
      <c r="A169" s="163" t="s">
        <v>115</v>
      </c>
      <c r="B169" s="157"/>
      <c r="C169" s="157"/>
      <c r="D169" s="158">
        <f t="shared" si="2"/>
        <v>0</v>
      </c>
    </row>
    <row r="170" spans="1:4" ht="18" hidden="1">
      <c r="A170" s="159" t="s">
        <v>131</v>
      </c>
      <c r="B170" s="157"/>
      <c r="C170" s="157"/>
      <c r="D170" s="158">
        <f t="shared" si="2"/>
        <v>0</v>
      </c>
    </row>
    <row r="171" spans="1:4" ht="18" hidden="1">
      <c r="A171" s="163" t="s">
        <v>132</v>
      </c>
      <c r="B171" s="157"/>
      <c r="C171" s="157"/>
      <c r="D171" s="158">
        <f t="shared" si="2"/>
        <v>0</v>
      </c>
    </row>
    <row r="172" spans="1:4" ht="18" hidden="1">
      <c r="A172" s="161" t="s">
        <v>124</v>
      </c>
      <c r="B172" s="157"/>
      <c r="C172" s="157"/>
      <c r="D172" s="158">
        <f t="shared" si="2"/>
        <v>0</v>
      </c>
    </row>
    <row r="173" spans="1:4" ht="18" hidden="1">
      <c r="A173" s="161" t="s">
        <v>125</v>
      </c>
      <c r="B173" s="157"/>
      <c r="C173" s="157"/>
      <c r="D173" s="158">
        <f t="shared" si="2"/>
        <v>0</v>
      </c>
    </row>
    <row r="174" spans="1:4" ht="18" hidden="1">
      <c r="A174" s="161" t="s">
        <v>126</v>
      </c>
      <c r="B174" s="157"/>
      <c r="C174" s="157"/>
      <c r="D174" s="158">
        <f t="shared" si="2"/>
        <v>0</v>
      </c>
    </row>
    <row r="175" spans="1:4" ht="18" hidden="1">
      <c r="A175" s="159" t="s">
        <v>264</v>
      </c>
      <c r="B175" s="157"/>
      <c r="C175" s="157"/>
      <c r="D175" s="158">
        <f t="shared" si="2"/>
        <v>0</v>
      </c>
    </row>
    <row r="176" spans="1:4" ht="18">
      <c r="A176" s="161" t="s">
        <v>265</v>
      </c>
      <c r="B176" s="157">
        <v>20</v>
      </c>
      <c r="C176" s="157">
        <v>27000</v>
      </c>
      <c r="D176" s="158">
        <f t="shared" si="2"/>
        <v>540000</v>
      </c>
    </row>
    <row r="177" spans="1:4" ht="18" hidden="1">
      <c r="A177" s="161" t="s">
        <v>266</v>
      </c>
      <c r="B177" s="157"/>
      <c r="C177" s="157"/>
      <c r="D177" s="158">
        <f t="shared" si="2"/>
        <v>0</v>
      </c>
    </row>
    <row r="178" spans="1:4" ht="18" hidden="1">
      <c r="A178" s="161" t="s">
        <v>267</v>
      </c>
      <c r="B178" s="157"/>
      <c r="C178" s="157"/>
      <c r="D178" s="158">
        <f t="shared" si="2"/>
        <v>0</v>
      </c>
    </row>
    <row r="179" spans="1:4" ht="18" hidden="1">
      <c r="A179" s="161" t="s">
        <v>268</v>
      </c>
      <c r="B179" s="157"/>
      <c r="C179" s="157"/>
      <c r="D179" s="158">
        <f t="shared" si="2"/>
        <v>0</v>
      </c>
    </row>
    <row r="180" spans="1:4" ht="18" hidden="1">
      <c r="A180" s="161" t="s">
        <v>269</v>
      </c>
      <c r="B180" s="157"/>
      <c r="C180" s="157"/>
      <c r="D180" s="158">
        <f t="shared" si="2"/>
        <v>0</v>
      </c>
    </row>
    <row r="181" spans="1:4" ht="18">
      <c r="A181" s="161" t="s">
        <v>273</v>
      </c>
      <c r="B181" s="157">
        <v>20</v>
      </c>
      <c r="C181" s="157">
        <v>30000</v>
      </c>
      <c r="D181" s="158">
        <f t="shared" si="2"/>
        <v>600000</v>
      </c>
    </row>
    <row r="182" spans="1:4" ht="18" hidden="1">
      <c r="A182" s="161" t="s">
        <v>274</v>
      </c>
      <c r="B182" s="157"/>
      <c r="C182" s="157"/>
      <c r="D182" s="158">
        <f t="shared" si="2"/>
        <v>0</v>
      </c>
    </row>
    <row r="183" spans="1:4" ht="18" hidden="1">
      <c r="A183" s="161" t="s">
        <v>275</v>
      </c>
      <c r="B183" s="157"/>
      <c r="C183" s="157"/>
      <c r="D183" s="158">
        <f t="shared" si="2"/>
        <v>0</v>
      </c>
    </row>
    <row r="184" spans="1:4" ht="18" hidden="1">
      <c r="A184" s="161" t="s">
        <v>276</v>
      </c>
      <c r="B184" s="157"/>
      <c r="C184" s="157"/>
      <c r="D184" s="158">
        <f t="shared" si="2"/>
        <v>0</v>
      </c>
    </row>
    <row r="185" spans="1:4" ht="18">
      <c r="A185" s="161" t="s">
        <v>277</v>
      </c>
      <c r="B185" s="157">
        <v>20</v>
      </c>
      <c r="C185" s="157">
        <v>16000</v>
      </c>
      <c r="D185" s="158">
        <f t="shared" si="2"/>
        <v>320000</v>
      </c>
    </row>
    <row r="186" spans="1:4" ht="18" hidden="1">
      <c r="A186" s="161" t="s">
        <v>278</v>
      </c>
      <c r="B186" s="157"/>
      <c r="C186" s="157"/>
      <c r="D186" s="158">
        <f t="shared" si="2"/>
        <v>0</v>
      </c>
    </row>
    <row r="187" spans="1:4" ht="18" hidden="1">
      <c r="A187" s="161" t="s">
        <v>279</v>
      </c>
      <c r="B187" s="157"/>
      <c r="C187" s="157"/>
      <c r="D187" s="158">
        <f t="shared" si="2"/>
        <v>0</v>
      </c>
    </row>
    <row r="188" spans="1:4" ht="18">
      <c r="A188" s="161" t="s">
        <v>150</v>
      </c>
      <c r="B188" s="157">
        <v>60</v>
      </c>
      <c r="C188" s="157">
        <v>14000</v>
      </c>
      <c r="D188" s="158">
        <f t="shared" si="2"/>
        <v>840000</v>
      </c>
    </row>
    <row r="189" spans="1:4" ht="18" hidden="1">
      <c r="A189" s="164" t="s">
        <v>151</v>
      </c>
      <c r="B189" s="157"/>
      <c r="C189" s="157"/>
      <c r="D189" s="158">
        <f t="shared" si="2"/>
        <v>0</v>
      </c>
    </row>
    <row r="190" spans="1:4" ht="18" hidden="1">
      <c r="A190" s="161" t="s">
        <v>192</v>
      </c>
      <c r="B190" s="157"/>
      <c r="C190" s="157"/>
      <c r="D190" s="158">
        <f t="shared" si="2"/>
        <v>0</v>
      </c>
    </row>
    <row r="191" spans="1:4" ht="18" hidden="1">
      <c r="A191" s="156" t="s">
        <v>208</v>
      </c>
      <c r="B191" s="157"/>
      <c r="C191" s="157"/>
      <c r="D191" s="158">
        <f t="shared" si="2"/>
        <v>0</v>
      </c>
    </row>
    <row r="192" spans="1:4" ht="18" hidden="1">
      <c r="A192" s="161" t="s">
        <v>334</v>
      </c>
      <c r="B192" s="157"/>
      <c r="C192" s="157"/>
      <c r="D192" s="158">
        <f t="shared" si="2"/>
        <v>0</v>
      </c>
    </row>
    <row r="193" spans="1:4" ht="18">
      <c r="A193" s="161" t="s">
        <v>227</v>
      </c>
      <c r="B193" s="157">
        <v>15</v>
      </c>
      <c r="C193" s="157">
        <v>23000</v>
      </c>
      <c r="D193" s="158">
        <f t="shared" si="2"/>
        <v>345000</v>
      </c>
    </row>
    <row r="194" spans="1:4" ht="18" hidden="1">
      <c r="A194" s="165" t="s">
        <v>228</v>
      </c>
      <c r="B194" s="157"/>
      <c r="C194" s="157"/>
      <c r="D194" s="158">
        <f t="shared" si="2"/>
        <v>0</v>
      </c>
    </row>
    <row r="195" spans="1:4" ht="18" hidden="1">
      <c r="A195" s="161" t="s">
        <v>229</v>
      </c>
      <c r="B195" s="157"/>
      <c r="C195" s="157"/>
      <c r="D195" s="158">
        <f t="shared" si="2"/>
        <v>0</v>
      </c>
    </row>
    <row r="196" spans="1:4" ht="18">
      <c r="A196" s="161" t="s">
        <v>230</v>
      </c>
      <c r="B196" s="157">
        <v>300</v>
      </c>
      <c r="C196" s="157">
        <v>15000</v>
      </c>
      <c r="D196" s="158">
        <f t="shared" ref="D196:D259" si="3">B196*C196</f>
        <v>4500000</v>
      </c>
    </row>
    <row r="197" spans="1:4" ht="18" hidden="1">
      <c r="A197" s="161" t="s">
        <v>231</v>
      </c>
      <c r="B197" s="157"/>
      <c r="C197" s="157"/>
      <c r="D197" s="158">
        <f t="shared" si="3"/>
        <v>0</v>
      </c>
    </row>
    <row r="198" spans="1:4" ht="18" hidden="1">
      <c r="A198" s="161" t="s">
        <v>370</v>
      </c>
      <c r="B198" s="157"/>
      <c r="C198" s="157"/>
      <c r="D198" s="158">
        <f t="shared" si="3"/>
        <v>0</v>
      </c>
    </row>
    <row r="199" spans="1:4" ht="18" hidden="1">
      <c r="A199" s="161" t="s">
        <v>232</v>
      </c>
      <c r="B199" s="157"/>
      <c r="C199" s="157"/>
      <c r="D199" s="158">
        <f t="shared" si="3"/>
        <v>0</v>
      </c>
    </row>
    <row r="200" spans="1:4" ht="18">
      <c r="A200" s="161" t="s">
        <v>117</v>
      </c>
      <c r="B200" s="157">
        <v>5</v>
      </c>
      <c r="C200" s="157">
        <v>8000</v>
      </c>
      <c r="D200" s="158">
        <f t="shared" si="3"/>
        <v>40000</v>
      </c>
    </row>
    <row r="201" spans="1:4" ht="18" hidden="1">
      <c r="A201" s="166" t="s">
        <v>118</v>
      </c>
      <c r="B201" s="157"/>
      <c r="C201" s="157"/>
      <c r="D201" s="158">
        <f t="shared" si="3"/>
        <v>0</v>
      </c>
    </row>
    <row r="202" spans="1:4" ht="18" hidden="1">
      <c r="A202" s="159" t="s">
        <v>121</v>
      </c>
      <c r="B202" s="157"/>
      <c r="C202" s="157"/>
      <c r="D202" s="158">
        <f t="shared" si="3"/>
        <v>0</v>
      </c>
    </row>
    <row r="203" spans="1:4" ht="18" hidden="1">
      <c r="A203" s="161" t="s">
        <v>123</v>
      </c>
      <c r="B203" s="157"/>
      <c r="C203" s="157"/>
      <c r="D203" s="158">
        <f t="shared" si="3"/>
        <v>0</v>
      </c>
    </row>
    <row r="204" spans="1:4" ht="18" hidden="1">
      <c r="A204" s="161" t="s">
        <v>18</v>
      </c>
      <c r="B204" s="157"/>
      <c r="C204" s="157"/>
      <c r="D204" s="158">
        <f t="shared" si="3"/>
        <v>0</v>
      </c>
    </row>
    <row r="205" spans="1:4" ht="18">
      <c r="A205" s="161" t="s">
        <v>19</v>
      </c>
      <c r="B205" s="157">
        <v>2</v>
      </c>
      <c r="C205" s="157">
        <v>10000</v>
      </c>
      <c r="D205" s="158">
        <f t="shared" si="3"/>
        <v>20000</v>
      </c>
    </row>
    <row r="206" spans="1:4" ht="18" hidden="1">
      <c r="A206" s="156" t="s">
        <v>20</v>
      </c>
      <c r="B206" s="157"/>
      <c r="C206" s="157"/>
      <c r="D206" s="158">
        <f t="shared" si="3"/>
        <v>0</v>
      </c>
    </row>
    <row r="207" spans="1:4" ht="18" hidden="1">
      <c r="A207" s="161" t="s">
        <v>180</v>
      </c>
      <c r="B207" s="157"/>
      <c r="C207" s="157"/>
      <c r="D207" s="158">
        <f t="shared" si="3"/>
        <v>0</v>
      </c>
    </row>
    <row r="208" spans="1:4" ht="18" hidden="1">
      <c r="A208" s="164" t="s">
        <v>181</v>
      </c>
      <c r="B208" s="157"/>
      <c r="C208" s="157"/>
      <c r="D208" s="158">
        <f t="shared" si="3"/>
        <v>0</v>
      </c>
    </row>
    <row r="209" spans="1:4" ht="18" hidden="1">
      <c r="A209" s="161" t="s">
        <v>214</v>
      </c>
      <c r="B209" s="157"/>
      <c r="C209" s="157"/>
      <c r="D209" s="158">
        <f t="shared" si="3"/>
        <v>0</v>
      </c>
    </row>
    <row r="210" spans="1:4" ht="18" hidden="1">
      <c r="A210" s="167" t="s">
        <v>215</v>
      </c>
      <c r="B210" s="157"/>
      <c r="C210" s="157"/>
      <c r="D210" s="158">
        <f t="shared" si="3"/>
        <v>0</v>
      </c>
    </row>
    <row r="211" spans="1:4" ht="18" hidden="1">
      <c r="A211" s="161" t="s">
        <v>252</v>
      </c>
      <c r="B211" s="157"/>
      <c r="C211" s="157"/>
      <c r="D211" s="158">
        <f t="shared" si="3"/>
        <v>0</v>
      </c>
    </row>
    <row r="212" spans="1:4" ht="18" hidden="1">
      <c r="A212" s="161" t="s">
        <v>253</v>
      </c>
      <c r="B212" s="157"/>
      <c r="C212" s="157"/>
      <c r="D212" s="158">
        <f t="shared" si="3"/>
        <v>0</v>
      </c>
    </row>
    <row r="213" spans="1:4" ht="18" hidden="1">
      <c r="A213" s="156" t="s">
        <v>28</v>
      </c>
      <c r="B213" s="157"/>
      <c r="C213" s="157"/>
      <c r="D213" s="158">
        <f t="shared" si="3"/>
        <v>0</v>
      </c>
    </row>
    <row r="214" spans="1:4" ht="18" hidden="1">
      <c r="A214" s="156" t="s">
        <v>29</v>
      </c>
      <c r="B214" s="157"/>
      <c r="C214" s="157"/>
      <c r="D214" s="158">
        <f t="shared" si="3"/>
        <v>0</v>
      </c>
    </row>
    <row r="215" spans="1:4" ht="18" hidden="1">
      <c r="A215" s="180" t="s">
        <v>188</v>
      </c>
      <c r="B215" s="157"/>
      <c r="C215" s="157"/>
      <c r="D215" s="158">
        <f t="shared" si="3"/>
        <v>0</v>
      </c>
    </row>
    <row r="216" spans="1:4" ht="18" hidden="1">
      <c r="A216" s="169" t="s">
        <v>189</v>
      </c>
      <c r="B216" s="170"/>
      <c r="C216" s="170"/>
      <c r="D216" s="158">
        <f t="shared" si="3"/>
        <v>0</v>
      </c>
    </row>
    <row r="217" spans="1:4" ht="18" hidden="1">
      <c r="A217" s="161" t="s">
        <v>35</v>
      </c>
      <c r="B217" s="157"/>
      <c r="C217" s="157"/>
      <c r="D217" s="158">
        <f t="shared" si="3"/>
        <v>0</v>
      </c>
    </row>
    <row r="218" spans="1:4" ht="18" hidden="1">
      <c r="A218" s="156" t="s">
        <v>37</v>
      </c>
      <c r="B218" s="157"/>
      <c r="C218" s="157"/>
      <c r="D218" s="158">
        <f t="shared" si="3"/>
        <v>0</v>
      </c>
    </row>
    <row r="219" spans="1:4" ht="18" hidden="1">
      <c r="A219" s="156" t="s">
        <v>46</v>
      </c>
      <c r="B219" s="157"/>
      <c r="C219" s="157"/>
      <c r="D219" s="158">
        <f t="shared" si="3"/>
        <v>0</v>
      </c>
    </row>
    <row r="220" spans="1:4" ht="18" hidden="1">
      <c r="A220" s="161" t="s">
        <v>216</v>
      </c>
      <c r="B220" s="157"/>
      <c r="C220" s="157"/>
      <c r="D220" s="158">
        <f t="shared" si="3"/>
        <v>0</v>
      </c>
    </row>
    <row r="221" spans="1:4" ht="18" hidden="1">
      <c r="A221" s="156" t="s">
        <v>217</v>
      </c>
      <c r="B221" s="157"/>
      <c r="C221" s="157"/>
      <c r="D221" s="158">
        <f t="shared" si="3"/>
        <v>0</v>
      </c>
    </row>
    <row r="222" spans="1:4" ht="18" hidden="1">
      <c r="A222" s="161" t="s">
        <v>366</v>
      </c>
      <c r="B222" s="157"/>
      <c r="C222" s="157"/>
      <c r="D222" s="158">
        <f t="shared" si="3"/>
        <v>0</v>
      </c>
    </row>
    <row r="223" spans="1:4" ht="18" hidden="1">
      <c r="A223" s="161" t="s">
        <v>218</v>
      </c>
      <c r="B223" s="157"/>
      <c r="C223" s="157"/>
      <c r="D223" s="158">
        <f t="shared" si="3"/>
        <v>0</v>
      </c>
    </row>
    <row r="224" spans="1:4" ht="18" hidden="1">
      <c r="A224" s="161" t="s">
        <v>288</v>
      </c>
      <c r="B224" s="157"/>
      <c r="C224" s="157"/>
      <c r="D224" s="158">
        <f t="shared" si="3"/>
        <v>0</v>
      </c>
    </row>
    <row r="225" spans="1:4" ht="18" hidden="1">
      <c r="A225" s="161" t="s">
        <v>289</v>
      </c>
      <c r="B225" s="157"/>
      <c r="C225" s="157"/>
      <c r="D225" s="158">
        <f t="shared" si="3"/>
        <v>0</v>
      </c>
    </row>
    <row r="226" spans="1:4" ht="18" hidden="1">
      <c r="A226" s="171" t="s">
        <v>6</v>
      </c>
      <c r="B226" s="157"/>
      <c r="C226" s="157"/>
      <c r="D226" s="158">
        <f t="shared" si="3"/>
        <v>0</v>
      </c>
    </row>
    <row r="227" spans="1:4" ht="18" hidden="1">
      <c r="A227" s="172" t="s">
        <v>8</v>
      </c>
      <c r="B227" s="157"/>
      <c r="C227" s="157"/>
      <c r="D227" s="158">
        <f t="shared" si="3"/>
        <v>0</v>
      </c>
    </row>
    <row r="228" spans="1:4" ht="18" hidden="1">
      <c r="A228" s="171" t="s">
        <v>10</v>
      </c>
      <c r="B228" s="157"/>
      <c r="C228" s="157"/>
      <c r="D228" s="158">
        <f t="shared" si="3"/>
        <v>0</v>
      </c>
    </row>
    <row r="229" spans="1:4" ht="18" hidden="1">
      <c r="A229" s="164" t="s">
        <v>75</v>
      </c>
      <c r="B229" s="157"/>
      <c r="C229" s="157"/>
      <c r="D229" s="158">
        <f t="shared" si="3"/>
        <v>0</v>
      </c>
    </row>
    <row r="230" spans="1:4" ht="18" hidden="1">
      <c r="A230" s="173" t="s">
        <v>313</v>
      </c>
      <c r="B230" s="157"/>
      <c r="C230" s="157"/>
      <c r="D230" s="158">
        <f t="shared" si="3"/>
        <v>0</v>
      </c>
    </row>
    <row r="231" spans="1:4" ht="18" hidden="1">
      <c r="A231" s="173" t="s">
        <v>324</v>
      </c>
      <c r="B231" s="157"/>
      <c r="C231" s="157"/>
      <c r="D231" s="158">
        <f t="shared" si="3"/>
        <v>0</v>
      </c>
    </row>
    <row r="232" spans="1:4" ht="18" hidden="1">
      <c r="A232" s="173" t="s">
        <v>325</v>
      </c>
      <c r="B232" s="157"/>
      <c r="C232" s="157"/>
      <c r="D232" s="158">
        <f t="shared" si="3"/>
        <v>0</v>
      </c>
    </row>
    <row r="233" spans="1:4" ht="18" hidden="1">
      <c r="A233" s="173" t="s">
        <v>327</v>
      </c>
      <c r="B233" s="157"/>
      <c r="C233" s="157"/>
      <c r="D233" s="158">
        <f t="shared" si="3"/>
        <v>0</v>
      </c>
    </row>
    <row r="234" spans="1:4" ht="18" hidden="1">
      <c r="A234" s="161" t="s">
        <v>336</v>
      </c>
      <c r="B234" s="174"/>
      <c r="C234" s="174"/>
      <c r="D234" s="158">
        <f t="shared" si="3"/>
        <v>0</v>
      </c>
    </row>
    <row r="235" spans="1:4" ht="18" hidden="1">
      <c r="A235" s="161" t="s">
        <v>99</v>
      </c>
      <c r="B235" s="157"/>
      <c r="C235" s="157"/>
      <c r="D235" s="158">
        <f t="shared" si="3"/>
        <v>0</v>
      </c>
    </row>
    <row r="236" spans="1:4" ht="18" hidden="1">
      <c r="A236" s="161" t="s">
        <v>100</v>
      </c>
      <c r="B236" s="157"/>
      <c r="C236" s="157"/>
      <c r="D236" s="158">
        <f t="shared" si="3"/>
        <v>0</v>
      </c>
    </row>
    <row r="237" spans="1:4" ht="18" hidden="1">
      <c r="A237" s="161" t="s">
        <v>101</v>
      </c>
      <c r="B237" s="157"/>
      <c r="C237" s="157"/>
      <c r="D237" s="158">
        <f t="shared" si="3"/>
        <v>0</v>
      </c>
    </row>
    <row r="238" spans="1:4" ht="18" hidden="1">
      <c r="A238" s="161" t="s">
        <v>102</v>
      </c>
      <c r="B238" s="157"/>
      <c r="C238" s="157"/>
      <c r="D238" s="158">
        <f t="shared" si="3"/>
        <v>0</v>
      </c>
    </row>
    <row r="239" spans="1:4" ht="18" hidden="1">
      <c r="A239" s="161" t="s">
        <v>103</v>
      </c>
      <c r="B239" s="157"/>
      <c r="C239" s="157"/>
      <c r="D239" s="158">
        <f t="shared" si="3"/>
        <v>0</v>
      </c>
    </row>
    <row r="240" spans="1:4" ht="18" hidden="1">
      <c r="A240" s="161" t="s">
        <v>191</v>
      </c>
      <c r="B240" s="157"/>
      <c r="C240" s="157"/>
      <c r="D240" s="158">
        <f t="shared" si="3"/>
        <v>0</v>
      </c>
    </row>
    <row r="241" spans="1:4" ht="18" hidden="1">
      <c r="A241" s="161" t="s">
        <v>257</v>
      </c>
      <c r="B241" s="157"/>
      <c r="C241" s="157"/>
      <c r="D241" s="158">
        <f t="shared" si="3"/>
        <v>0</v>
      </c>
    </row>
    <row r="242" spans="1:4" ht="18" hidden="1">
      <c r="A242" s="161" t="s">
        <v>258</v>
      </c>
      <c r="B242" s="157"/>
      <c r="C242" s="157"/>
      <c r="D242" s="158">
        <f t="shared" si="3"/>
        <v>0</v>
      </c>
    </row>
    <row r="243" spans="1:4" ht="18" hidden="1">
      <c r="A243" s="161" t="s">
        <v>280</v>
      </c>
      <c r="B243" s="162"/>
      <c r="C243" s="162"/>
      <c r="D243" s="158">
        <f t="shared" si="3"/>
        <v>0</v>
      </c>
    </row>
    <row r="244" spans="1:4" ht="18" hidden="1">
      <c r="A244" s="173" t="s">
        <v>281</v>
      </c>
      <c r="B244" s="157"/>
      <c r="C244" s="157"/>
      <c r="D244" s="158">
        <f t="shared" si="3"/>
        <v>0</v>
      </c>
    </row>
    <row r="245" spans="1:4" ht="18" hidden="1">
      <c r="A245" s="156" t="s">
        <v>311</v>
      </c>
      <c r="B245" s="157"/>
      <c r="C245" s="157"/>
      <c r="D245" s="158">
        <f t="shared" si="3"/>
        <v>0</v>
      </c>
    </row>
    <row r="246" spans="1:4" ht="18" hidden="1">
      <c r="A246" s="164" t="s">
        <v>312</v>
      </c>
      <c r="B246" s="157"/>
      <c r="C246" s="157"/>
      <c r="D246" s="158">
        <f t="shared" si="3"/>
        <v>0</v>
      </c>
    </row>
    <row r="247" spans="1:4" ht="18">
      <c r="A247" s="161" t="s">
        <v>137</v>
      </c>
      <c r="B247" s="157">
        <v>20</v>
      </c>
      <c r="C247" s="157">
        <v>11000</v>
      </c>
      <c r="D247" s="158">
        <f t="shared" si="3"/>
        <v>220000</v>
      </c>
    </row>
    <row r="248" spans="1:4" ht="18" hidden="1">
      <c r="A248" s="164" t="s">
        <v>53</v>
      </c>
      <c r="B248" s="157"/>
      <c r="C248" s="157"/>
      <c r="D248" s="158">
        <f t="shared" si="3"/>
        <v>0</v>
      </c>
    </row>
    <row r="249" spans="1:4" ht="18" hidden="1">
      <c r="A249" s="161" t="s">
        <v>55</v>
      </c>
      <c r="B249" s="157"/>
      <c r="C249" s="157"/>
      <c r="D249" s="158">
        <f t="shared" si="3"/>
        <v>0</v>
      </c>
    </row>
    <row r="250" spans="1:4" ht="18" hidden="1">
      <c r="A250" s="161" t="s">
        <v>56</v>
      </c>
      <c r="B250" s="157"/>
      <c r="C250" s="157"/>
      <c r="D250" s="158">
        <f t="shared" si="3"/>
        <v>0</v>
      </c>
    </row>
    <row r="251" spans="1:4" ht="18" hidden="1">
      <c r="A251" s="164" t="s">
        <v>300</v>
      </c>
      <c r="B251" s="157"/>
      <c r="C251" s="157"/>
      <c r="D251" s="158">
        <f t="shared" si="3"/>
        <v>0</v>
      </c>
    </row>
    <row r="252" spans="1:4" ht="18" hidden="1">
      <c r="A252" s="164" t="s">
        <v>301</v>
      </c>
      <c r="B252" s="157"/>
      <c r="C252" s="157"/>
      <c r="D252" s="158">
        <f t="shared" si="3"/>
        <v>0</v>
      </c>
    </row>
    <row r="253" spans="1:4" ht="18" hidden="1">
      <c r="A253" s="161" t="s">
        <v>156</v>
      </c>
      <c r="B253" s="162"/>
      <c r="C253" s="162"/>
      <c r="D253" s="158">
        <f t="shared" si="3"/>
        <v>0</v>
      </c>
    </row>
    <row r="254" spans="1:4" ht="18" hidden="1">
      <c r="A254" s="161" t="s">
        <v>157</v>
      </c>
      <c r="B254" s="162"/>
      <c r="C254" s="162"/>
      <c r="D254" s="158">
        <f t="shared" si="3"/>
        <v>0</v>
      </c>
    </row>
    <row r="255" spans="1:4" ht="18" hidden="1">
      <c r="A255" s="177" t="s">
        <v>159</v>
      </c>
      <c r="B255" s="162"/>
      <c r="C255" s="162"/>
      <c r="D255" s="158">
        <f t="shared" si="3"/>
        <v>0</v>
      </c>
    </row>
    <row r="256" spans="1:4" ht="18" hidden="1">
      <c r="A256" s="177" t="s">
        <v>160</v>
      </c>
      <c r="B256" s="162"/>
      <c r="C256" s="162"/>
      <c r="D256" s="158">
        <f t="shared" si="3"/>
        <v>0</v>
      </c>
    </row>
    <row r="257" spans="1:4" ht="18" hidden="1">
      <c r="A257" s="177" t="s">
        <v>161</v>
      </c>
      <c r="B257" s="162"/>
      <c r="C257" s="162"/>
      <c r="D257" s="158">
        <f t="shared" si="3"/>
        <v>0</v>
      </c>
    </row>
    <row r="258" spans="1:4" ht="18" hidden="1">
      <c r="A258" s="161" t="s">
        <v>162</v>
      </c>
      <c r="B258" s="162"/>
      <c r="C258" s="162"/>
      <c r="D258" s="158">
        <f t="shared" si="3"/>
        <v>0</v>
      </c>
    </row>
    <row r="259" spans="1:4" ht="18" hidden="1">
      <c r="A259" s="161" t="s">
        <v>164</v>
      </c>
      <c r="B259" s="162"/>
      <c r="C259" s="162"/>
      <c r="D259" s="158">
        <f t="shared" si="3"/>
        <v>0</v>
      </c>
    </row>
    <row r="260" spans="1:4" ht="18" hidden="1">
      <c r="A260" s="161" t="s">
        <v>165</v>
      </c>
      <c r="B260" s="162"/>
      <c r="C260" s="162"/>
      <c r="D260" s="158">
        <f t="shared" ref="D260:D323" si="4">B260*C260</f>
        <v>0</v>
      </c>
    </row>
    <row r="261" spans="1:4" ht="18" hidden="1">
      <c r="A261" s="161" t="s">
        <v>166</v>
      </c>
      <c r="B261" s="162"/>
      <c r="C261" s="162"/>
      <c r="D261" s="158">
        <f t="shared" si="4"/>
        <v>0</v>
      </c>
    </row>
    <row r="262" spans="1:4" ht="18" hidden="1">
      <c r="A262" s="161" t="s">
        <v>176</v>
      </c>
      <c r="B262" s="162"/>
      <c r="C262" s="162"/>
      <c r="D262" s="158">
        <f t="shared" si="4"/>
        <v>0</v>
      </c>
    </row>
    <row r="263" spans="1:4" ht="18" hidden="1">
      <c r="A263" s="161" t="s">
        <v>177</v>
      </c>
      <c r="B263" s="162"/>
      <c r="C263" s="162"/>
      <c r="D263" s="158">
        <f t="shared" si="4"/>
        <v>0</v>
      </c>
    </row>
    <row r="264" spans="1:4" ht="18" hidden="1">
      <c r="A264" s="161" t="s">
        <v>178</v>
      </c>
      <c r="B264" s="162"/>
      <c r="C264" s="162"/>
      <c r="D264" s="158">
        <f t="shared" si="4"/>
        <v>0</v>
      </c>
    </row>
    <row r="265" spans="1:4" ht="18">
      <c r="A265" s="156" t="s">
        <v>65</v>
      </c>
      <c r="B265" s="157">
        <v>300</v>
      </c>
      <c r="C265" s="157">
        <v>17000</v>
      </c>
      <c r="D265" s="158">
        <f t="shared" si="4"/>
        <v>5100000</v>
      </c>
    </row>
    <row r="266" spans="1:4" ht="18" hidden="1">
      <c r="A266" s="161" t="s">
        <v>76</v>
      </c>
      <c r="B266" s="157"/>
      <c r="C266" s="157"/>
      <c r="D266" s="158">
        <f t="shared" si="4"/>
        <v>0</v>
      </c>
    </row>
    <row r="267" spans="1:4" ht="18" hidden="1">
      <c r="A267" s="161" t="s">
        <v>89</v>
      </c>
      <c r="B267" s="157"/>
      <c r="C267" s="157"/>
      <c r="D267" s="158">
        <f t="shared" si="4"/>
        <v>0</v>
      </c>
    </row>
    <row r="268" spans="1:4" ht="18" hidden="1">
      <c r="A268" s="156" t="s">
        <v>357</v>
      </c>
      <c r="B268" s="157"/>
      <c r="C268" s="157"/>
      <c r="D268" s="158">
        <f t="shared" si="4"/>
        <v>0</v>
      </c>
    </row>
    <row r="269" spans="1:4" ht="18" hidden="1">
      <c r="A269" s="161" t="s">
        <v>23</v>
      </c>
      <c r="B269" s="157"/>
      <c r="C269" s="157"/>
      <c r="D269" s="158">
        <f t="shared" si="4"/>
        <v>0</v>
      </c>
    </row>
    <row r="270" spans="1:4" ht="18" hidden="1">
      <c r="A270" s="161" t="s">
        <v>375</v>
      </c>
      <c r="B270" s="157"/>
      <c r="C270" s="157"/>
      <c r="D270" s="158">
        <f t="shared" si="4"/>
        <v>0</v>
      </c>
    </row>
    <row r="271" spans="1:4" ht="18" hidden="1">
      <c r="A271" s="161" t="s">
        <v>379</v>
      </c>
      <c r="B271" s="157"/>
      <c r="C271" s="157"/>
      <c r="D271" s="158">
        <f t="shared" si="4"/>
        <v>0</v>
      </c>
    </row>
    <row r="272" spans="1:4" ht="18">
      <c r="A272" s="161" t="s">
        <v>27</v>
      </c>
      <c r="B272" s="157">
        <v>1000</v>
      </c>
      <c r="C272" s="157">
        <v>14000</v>
      </c>
      <c r="D272" s="158">
        <f t="shared" si="4"/>
        <v>14000000</v>
      </c>
    </row>
    <row r="273" spans="1:4" ht="18" hidden="1">
      <c r="A273" s="161" t="s">
        <v>51</v>
      </c>
      <c r="B273" s="157"/>
      <c r="C273" s="157"/>
      <c r="D273" s="158">
        <f t="shared" si="4"/>
        <v>0</v>
      </c>
    </row>
    <row r="274" spans="1:4" ht="18" hidden="1">
      <c r="A274" s="159" t="s">
        <v>61</v>
      </c>
      <c r="B274" s="157"/>
      <c r="C274" s="157"/>
      <c r="D274" s="158">
        <f t="shared" si="4"/>
        <v>0</v>
      </c>
    </row>
    <row r="275" spans="1:4" ht="18" hidden="1">
      <c r="A275" s="173" t="s">
        <v>62</v>
      </c>
      <c r="B275" s="157"/>
      <c r="C275" s="157"/>
      <c r="D275" s="158">
        <f t="shared" si="4"/>
        <v>0</v>
      </c>
    </row>
    <row r="276" spans="1:4" ht="18" hidden="1">
      <c r="A276" s="178" t="s">
        <v>139</v>
      </c>
      <c r="B276" s="157"/>
      <c r="C276" s="157"/>
      <c r="D276" s="158">
        <f t="shared" si="4"/>
        <v>0</v>
      </c>
    </row>
    <row r="277" spans="1:4" ht="18" hidden="1">
      <c r="A277" s="173" t="s">
        <v>140</v>
      </c>
      <c r="B277" s="157"/>
      <c r="C277" s="157"/>
      <c r="D277" s="158">
        <f t="shared" si="4"/>
        <v>0</v>
      </c>
    </row>
    <row r="278" spans="1:4" ht="18" hidden="1">
      <c r="A278" s="156" t="s">
        <v>141</v>
      </c>
      <c r="B278" s="162"/>
      <c r="C278" s="162"/>
      <c r="D278" s="158">
        <f t="shared" si="4"/>
        <v>0</v>
      </c>
    </row>
    <row r="279" spans="1:4" ht="18" hidden="1">
      <c r="A279" s="156" t="s">
        <v>142</v>
      </c>
      <c r="B279" s="162"/>
      <c r="C279" s="162"/>
      <c r="D279" s="158">
        <f t="shared" si="4"/>
        <v>0</v>
      </c>
    </row>
    <row r="280" spans="1:4" ht="18" hidden="1">
      <c r="A280" s="156" t="s">
        <v>143</v>
      </c>
      <c r="B280" s="162"/>
      <c r="C280" s="162"/>
      <c r="D280" s="158">
        <f t="shared" si="4"/>
        <v>0</v>
      </c>
    </row>
    <row r="281" spans="1:4" ht="18" hidden="1">
      <c r="A281" s="156" t="s">
        <v>144</v>
      </c>
      <c r="B281" s="179"/>
      <c r="C281" s="179"/>
      <c r="D281" s="158">
        <f t="shared" si="4"/>
        <v>0</v>
      </c>
    </row>
    <row r="282" spans="1:4" ht="18" hidden="1">
      <c r="A282" s="161" t="s">
        <v>163</v>
      </c>
      <c r="B282" s="162"/>
      <c r="C282" s="162"/>
      <c r="D282" s="158">
        <f t="shared" si="4"/>
        <v>0</v>
      </c>
    </row>
    <row r="283" spans="1:4" ht="18" hidden="1">
      <c r="A283" s="164" t="s">
        <v>233</v>
      </c>
      <c r="B283" s="157"/>
      <c r="C283" s="157"/>
      <c r="D283" s="158">
        <f t="shared" si="4"/>
        <v>0</v>
      </c>
    </row>
    <row r="284" spans="1:4" ht="18" hidden="1">
      <c r="A284" s="164" t="s">
        <v>234</v>
      </c>
      <c r="B284" s="157"/>
      <c r="C284" s="157"/>
      <c r="D284" s="158">
        <f t="shared" si="4"/>
        <v>0</v>
      </c>
    </row>
    <row r="285" spans="1:4" ht="18" hidden="1">
      <c r="A285" s="164" t="s">
        <v>235</v>
      </c>
      <c r="B285" s="157"/>
      <c r="C285" s="157"/>
      <c r="D285" s="158">
        <f t="shared" si="4"/>
        <v>0</v>
      </c>
    </row>
    <row r="286" spans="1:4" ht="18" hidden="1">
      <c r="A286" s="164" t="s">
        <v>236</v>
      </c>
      <c r="B286" s="157"/>
      <c r="C286" s="157"/>
      <c r="D286" s="158">
        <f t="shared" si="4"/>
        <v>0</v>
      </c>
    </row>
    <row r="287" spans="1:4" ht="18" hidden="1">
      <c r="A287" s="161" t="s">
        <v>237</v>
      </c>
      <c r="B287" s="157"/>
      <c r="C287" s="157"/>
      <c r="D287" s="158">
        <f t="shared" si="4"/>
        <v>0</v>
      </c>
    </row>
    <row r="288" spans="1:4" ht="18" hidden="1">
      <c r="A288" s="161" t="s">
        <v>238</v>
      </c>
      <c r="B288" s="157"/>
      <c r="C288" s="157"/>
      <c r="D288" s="158">
        <f t="shared" si="4"/>
        <v>0</v>
      </c>
    </row>
    <row r="289" spans="1:4" ht="18" hidden="1">
      <c r="A289" s="164" t="s">
        <v>239</v>
      </c>
      <c r="B289" s="157"/>
      <c r="C289" s="157"/>
      <c r="D289" s="158">
        <f t="shared" si="4"/>
        <v>0</v>
      </c>
    </row>
    <row r="290" spans="1:4" ht="18" hidden="1">
      <c r="A290" s="164" t="s">
        <v>240</v>
      </c>
      <c r="B290" s="157"/>
      <c r="C290" s="157"/>
      <c r="D290" s="158">
        <f t="shared" si="4"/>
        <v>0</v>
      </c>
    </row>
    <row r="291" spans="1:4" ht="18" hidden="1">
      <c r="A291" s="161" t="s">
        <v>259</v>
      </c>
      <c r="B291" s="162"/>
      <c r="C291" s="162"/>
      <c r="D291" s="158">
        <f t="shared" si="4"/>
        <v>0</v>
      </c>
    </row>
    <row r="292" spans="1:4" ht="18" hidden="1">
      <c r="A292" s="161" t="s">
        <v>261</v>
      </c>
      <c r="B292" s="162"/>
      <c r="C292" s="162"/>
      <c r="D292" s="158">
        <f t="shared" si="4"/>
        <v>0</v>
      </c>
    </row>
    <row r="293" spans="1:4" ht="18" hidden="1">
      <c r="A293" s="156" t="s">
        <v>295</v>
      </c>
      <c r="B293" s="162"/>
      <c r="C293" s="162"/>
      <c r="D293" s="158">
        <f t="shared" si="4"/>
        <v>0</v>
      </c>
    </row>
    <row r="294" spans="1:4" ht="18" hidden="1">
      <c r="A294" s="161" t="s">
        <v>308</v>
      </c>
      <c r="B294" s="157"/>
      <c r="C294" s="157"/>
      <c r="D294" s="158">
        <f t="shared" si="4"/>
        <v>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56" t="s">
        <v>319</v>
      </c>
      <c r="B296" s="157"/>
      <c r="C296" s="157"/>
      <c r="D296" s="158">
        <f t="shared" si="4"/>
        <v>0</v>
      </c>
    </row>
    <row r="297" spans="1:4" ht="18">
      <c r="A297" s="161" t="s">
        <v>219</v>
      </c>
      <c r="B297" s="157">
        <v>400</v>
      </c>
      <c r="C297" s="157">
        <v>17000</v>
      </c>
      <c r="D297" s="158">
        <f t="shared" si="4"/>
        <v>6800000</v>
      </c>
    </row>
    <row r="298" spans="1:4" ht="18" hidden="1">
      <c r="A298" s="175" t="s">
        <v>220</v>
      </c>
      <c r="B298" s="157"/>
      <c r="C298" s="157"/>
      <c r="D298" s="158">
        <f t="shared" si="4"/>
        <v>0</v>
      </c>
    </row>
    <row r="299" spans="1:4" ht="18" hidden="1">
      <c r="A299" s="175" t="s">
        <v>221</v>
      </c>
      <c r="B299" s="157"/>
      <c r="C299" s="157"/>
      <c r="D299" s="158">
        <f t="shared" si="4"/>
        <v>0</v>
      </c>
    </row>
    <row r="300" spans="1:4" ht="18" hidden="1">
      <c r="A300" s="161" t="s">
        <v>52</v>
      </c>
      <c r="B300" s="157"/>
      <c r="C300" s="157"/>
      <c r="D300" s="158">
        <f t="shared" si="4"/>
        <v>0</v>
      </c>
    </row>
    <row r="301" spans="1:4" ht="18" hidden="1">
      <c r="A301" s="161" t="s">
        <v>292</v>
      </c>
      <c r="B301" s="157"/>
      <c r="C301" s="157"/>
      <c r="D301" s="158">
        <f t="shared" si="4"/>
        <v>0</v>
      </c>
    </row>
    <row r="302" spans="1:4" ht="18" hidden="1">
      <c r="A302" s="161" t="s">
        <v>66</v>
      </c>
      <c r="B302" s="157"/>
      <c r="C302" s="157"/>
      <c r="D302" s="158">
        <f t="shared" si="4"/>
        <v>0</v>
      </c>
    </row>
    <row r="303" spans="1:4" ht="18" hidden="1">
      <c r="A303" s="164" t="s">
        <v>67</v>
      </c>
      <c r="B303" s="157"/>
      <c r="C303" s="157"/>
      <c r="D303" s="158">
        <f t="shared" si="4"/>
        <v>0</v>
      </c>
    </row>
    <row r="304" spans="1:4" ht="18" hidden="1">
      <c r="A304" s="164" t="s">
        <v>69</v>
      </c>
      <c r="B304" s="157"/>
      <c r="C304" s="157"/>
      <c r="D304" s="158">
        <f t="shared" si="4"/>
        <v>0</v>
      </c>
    </row>
    <row r="305" spans="1:4" ht="18" hidden="1">
      <c r="A305" s="164" t="s">
        <v>70</v>
      </c>
      <c r="B305" s="157"/>
      <c r="C305" s="157"/>
      <c r="D305" s="158">
        <f t="shared" si="4"/>
        <v>0</v>
      </c>
    </row>
    <row r="306" spans="1:4" ht="18" hidden="1">
      <c r="A306" s="161" t="s">
        <v>71</v>
      </c>
      <c r="B306" s="157"/>
      <c r="C306" s="157"/>
      <c r="D306" s="158">
        <f t="shared" si="4"/>
        <v>0</v>
      </c>
    </row>
    <row r="307" spans="1:4" ht="18" hidden="1">
      <c r="A307" s="159" t="s">
        <v>72</v>
      </c>
      <c r="B307" s="157"/>
      <c r="C307" s="157"/>
      <c r="D307" s="158">
        <f t="shared" si="4"/>
        <v>0</v>
      </c>
    </row>
    <row r="308" spans="1:4" ht="18" hidden="1">
      <c r="A308" s="161" t="s">
        <v>73</v>
      </c>
      <c r="B308" s="157"/>
      <c r="C308" s="157"/>
      <c r="D308" s="158">
        <f t="shared" si="4"/>
        <v>0</v>
      </c>
    </row>
    <row r="309" spans="1:4" ht="18" hidden="1">
      <c r="A309" s="161" t="s">
        <v>74</v>
      </c>
      <c r="B309" s="157"/>
      <c r="C309" s="157"/>
      <c r="D309" s="158">
        <f t="shared" si="4"/>
        <v>0</v>
      </c>
    </row>
    <row r="310" spans="1:4" ht="18" hidden="1">
      <c r="A310" s="161" t="s">
        <v>78</v>
      </c>
      <c r="B310" s="157"/>
      <c r="C310" s="157"/>
      <c r="D310" s="158">
        <f t="shared" si="4"/>
        <v>0</v>
      </c>
    </row>
    <row r="311" spans="1:4" ht="18" hidden="1">
      <c r="A311" s="180" t="s">
        <v>79</v>
      </c>
      <c r="B311" s="157"/>
      <c r="C311" s="157"/>
      <c r="D311" s="158">
        <f t="shared" si="4"/>
        <v>0</v>
      </c>
    </row>
    <row r="312" spans="1:4" ht="18" hidden="1">
      <c r="A312" s="160" t="s">
        <v>80</v>
      </c>
      <c r="B312" s="157"/>
      <c r="C312" s="157"/>
      <c r="D312" s="158">
        <f t="shared" si="4"/>
        <v>0</v>
      </c>
    </row>
    <row r="313" spans="1:4" ht="18" hidden="1">
      <c r="A313" s="161" t="s">
        <v>167</v>
      </c>
      <c r="B313" s="157"/>
      <c r="C313" s="157"/>
      <c r="D313" s="158">
        <f t="shared" si="4"/>
        <v>0</v>
      </c>
    </row>
    <row r="314" spans="1:4" ht="18" hidden="1">
      <c r="A314" s="161" t="s">
        <v>364</v>
      </c>
      <c r="B314" s="157"/>
      <c r="C314" s="157"/>
      <c r="D314" s="158">
        <f t="shared" si="4"/>
        <v>0</v>
      </c>
    </row>
    <row r="315" spans="1:4" ht="18" hidden="1">
      <c r="A315" s="161" t="s">
        <v>168</v>
      </c>
      <c r="B315" s="157"/>
      <c r="C315" s="157"/>
      <c r="D315" s="158">
        <f t="shared" si="4"/>
        <v>0</v>
      </c>
    </row>
    <row r="316" spans="1:4" ht="18">
      <c r="A316" s="161" t="s">
        <v>169</v>
      </c>
      <c r="B316" s="157">
        <f>3+2</f>
        <v>5</v>
      </c>
      <c r="C316" s="157">
        <v>8000</v>
      </c>
      <c r="D316" s="158">
        <f t="shared" si="4"/>
        <v>40000</v>
      </c>
    </row>
    <row r="317" spans="1:4" ht="18" hidden="1">
      <c r="A317" s="161" t="s">
        <v>170</v>
      </c>
      <c r="B317" s="157"/>
      <c r="C317" s="157"/>
      <c r="D317" s="158">
        <f t="shared" si="4"/>
        <v>0</v>
      </c>
    </row>
    <row r="318" spans="1:4" ht="18" hidden="1">
      <c r="A318" s="164" t="s">
        <v>171</v>
      </c>
      <c r="B318" s="157"/>
      <c r="C318" s="157"/>
      <c r="D318" s="158">
        <f t="shared" si="4"/>
        <v>0</v>
      </c>
    </row>
    <row r="319" spans="1:4" ht="18">
      <c r="A319" s="161" t="s">
        <v>90</v>
      </c>
      <c r="B319" s="157">
        <v>150</v>
      </c>
      <c r="C319" s="157">
        <v>24000</v>
      </c>
      <c r="D319" s="158">
        <f t="shared" si="4"/>
        <v>3600000</v>
      </c>
    </row>
    <row r="320" spans="1:4" ht="18" hidden="1">
      <c r="A320" s="173" t="s">
        <v>91</v>
      </c>
      <c r="B320" s="157"/>
      <c r="C320" s="157"/>
      <c r="D320" s="158">
        <f t="shared" si="4"/>
        <v>0</v>
      </c>
    </row>
    <row r="321" spans="1:4" ht="18" hidden="1">
      <c r="A321" s="161" t="s">
        <v>92</v>
      </c>
      <c r="B321" s="157"/>
      <c r="C321" s="157"/>
      <c r="D321" s="158">
        <f t="shared" si="4"/>
        <v>0</v>
      </c>
    </row>
    <row r="322" spans="1:4" ht="18" hidden="1">
      <c r="A322" s="161" t="s">
        <v>94</v>
      </c>
      <c r="B322" s="157"/>
      <c r="C322" s="157"/>
      <c r="D322" s="158">
        <f t="shared" si="4"/>
        <v>0</v>
      </c>
    </row>
    <row r="323" spans="1:4" ht="18" hidden="1">
      <c r="A323" s="161" t="s">
        <v>95</v>
      </c>
      <c r="B323" s="157"/>
      <c r="C323" s="157"/>
      <c r="D323" s="158">
        <f t="shared" si="4"/>
        <v>0</v>
      </c>
    </row>
    <row r="324" spans="1:4" ht="18" hidden="1">
      <c r="A324" s="173" t="s">
        <v>109</v>
      </c>
      <c r="B324" s="157"/>
      <c r="C324" s="157"/>
      <c r="D324" s="158">
        <f t="shared" ref="D324:D387" si="5">B324*C324</f>
        <v>0</v>
      </c>
    </row>
    <row r="325" spans="1:4" ht="18" hidden="1">
      <c r="A325" s="161" t="s">
        <v>321</v>
      </c>
      <c r="B325" s="157"/>
      <c r="C325" s="157"/>
      <c r="D325" s="158">
        <f t="shared" si="5"/>
        <v>0</v>
      </c>
    </row>
    <row r="326" spans="1:4" ht="18" hidden="1">
      <c r="A326" s="156" t="s">
        <v>335</v>
      </c>
      <c r="B326" s="157"/>
      <c r="C326" s="157"/>
      <c r="D326" s="158">
        <f t="shared" si="5"/>
        <v>0</v>
      </c>
    </row>
    <row r="327" spans="1:4" ht="18" hidden="1">
      <c r="A327" s="161" t="s">
        <v>338</v>
      </c>
      <c r="B327" s="157"/>
      <c r="C327" s="157"/>
      <c r="D327" s="158">
        <f t="shared" si="5"/>
        <v>0</v>
      </c>
    </row>
    <row r="328" spans="1:4" ht="18" hidden="1">
      <c r="A328" s="163" t="s">
        <v>106</v>
      </c>
      <c r="B328" s="157"/>
      <c r="C328" s="157"/>
      <c r="D328" s="158">
        <f t="shared" si="5"/>
        <v>0</v>
      </c>
    </row>
    <row r="329" spans="1:4" ht="18" hidden="1">
      <c r="A329" s="163" t="s">
        <v>107</v>
      </c>
      <c r="B329" s="157"/>
      <c r="C329" s="157"/>
      <c r="D329" s="158">
        <f t="shared" si="5"/>
        <v>0</v>
      </c>
    </row>
    <row r="330" spans="1:4" ht="18" hidden="1">
      <c r="A330" s="159" t="s">
        <v>108</v>
      </c>
      <c r="B330" s="157"/>
      <c r="C330" s="157"/>
      <c r="D330" s="158">
        <f t="shared" si="5"/>
        <v>0</v>
      </c>
    </row>
    <row r="331" spans="1:4" ht="18" hidden="1">
      <c r="A331" s="156" t="s">
        <v>196</v>
      </c>
      <c r="B331" s="157"/>
      <c r="C331" s="157"/>
      <c r="D331" s="158">
        <f t="shared" si="5"/>
        <v>0</v>
      </c>
    </row>
    <row r="332" spans="1:4" ht="18" hidden="1">
      <c r="A332" s="156" t="s">
        <v>197</v>
      </c>
      <c r="B332" s="157"/>
      <c r="C332" s="157"/>
      <c r="D332" s="158">
        <f t="shared" si="5"/>
        <v>0</v>
      </c>
    </row>
    <row r="333" spans="1:4" ht="18" hidden="1">
      <c r="A333" s="156" t="s">
        <v>198</v>
      </c>
      <c r="B333" s="157"/>
      <c r="C333" s="157"/>
      <c r="D333" s="158">
        <f t="shared" si="5"/>
        <v>0</v>
      </c>
    </row>
    <row r="334" spans="1:4" ht="18" hidden="1">
      <c r="A334" s="161" t="s">
        <v>199</v>
      </c>
      <c r="B334" s="157"/>
      <c r="C334" s="157"/>
      <c r="D334" s="158">
        <f t="shared" si="5"/>
        <v>0</v>
      </c>
    </row>
    <row r="335" spans="1:4" ht="18" hidden="1">
      <c r="A335" s="156" t="s">
        <v>200</v>
      </c>
      <c r="B335" s="157"/>
      <c r="C335" s="157"/>
      <c r="D335" s="158">
        <f t="shared" si="5"/>
        <v>0</v>
      </c>
    </row>
    <row r="336" spans="1:4" ht="18" hidden="1">
      <c r="A336" s="156" t="s">
        <v>201</v>
      </c>
      <c r="B336" s="157"/>
      <c r="C336" s="157"/>
      <c r="D336" s="158">
        <f t="shared" si="5"/>
        <v>0</v>
      </c>
    </row>
    <row r="337" spans="1:4" ht="18" hidden="1">
      <c r="A337" s="156" t="s">
        <v>202</v>
      </c>
      <c r="B337" s="157"/>
      <c r="C337" s="157"/>
      <c r="D337" s="158">
        <f t="shared" si="5"/>
        <v>0</v>
      </c>
    </row>
    <row r="338" spans="1:4" ht="18" hidden="1">
      <c r="A338" s="161" t="s">
        <v>203</v>
      </c>
      <c r="B338" s="157"/>
      <c r="C338" s="157"/>
      <c r="D338" s="158">
        <f t="shared" si="5"/>
        <v>0</v>
      </c>
    </row>
    <row r="339" spans="1:4" ht="18" hidden="1">
      <c r="A339" s="161" t="s">
        <v>225</v>
      </c>
      <c r="B339" s="157"/>
      <c r="C339" s="157"/>
      <c r="D339" s="158">
        <f t="shared" si="5"/>
        <v>0</v>
      </c>
    </row>
    <row r="340" spans="1:4" ht="18" hidden="1">
      <c r="A340" s="161" t="s">
        <v>226</v>
      </c>
      <c r="B340" s="157"/>
      <c r="C340" s="157"/>
      <c r="D340" s="158">
        <f t="shared" si="5"/>
        <v>0</v>
      </c>
    </row>
    <row r="341" spans="1:4" ht="18" hidden="1">
      <c r="A341" s="161" t="s">
        <v>368</v>
      </c>
      <c r="B341" s="157"/>
      <c r="C341" s="157"/>
      <c r="D341" s="158">
        <f t="shared" si="5"/>
        <v>0</v>
      </c>
    </row>
    <row r="342" spans="1:4" ht="18" hidden="1">
      <c r="A342" s="161" t="s">
        <v>369</v>
      </c>
      <c r="B342" s="157"/>
      <c r="C342" s="157"/>
      <c r="D342" s="158">
        <f t="shared" si="5"/>
        <v>0</v>
      </c>
    </row>
    <row r="343" spans="1:4" ht="18" hidden="1">
      <c r="A343" s="161" t="s">
        <v>119</v>
      </c>
      <c r="B343" s="157"/>
      <c r="C343" s="157"/>
      <c r="D343" s="158">
        <f t="shared" si="5"/>
        <v>0</v>
      </c>
    </row>
    <row r="344" spans="1:4" ht="18" hidden="1">
      <c r="A344" s="161" t="s">
        <v>120</v>
      </c>
      <c r="B344" s="157"/>
      <c r="C344" s="157"/>
      <c r="D344" s="158">
        <f t="shared" si="5"/>
        <v>0</v>
      </c>
    </row>
    <row r="345" spans="1:4" ht="18" hidden="1">
      <c r="A345" s="161" t="s">
        <v>104</v>
      </c>
      <c r="B345" s="157"/>
      <c r="C345" s="157"/>
      <c r="D345" s="158">
        <f t="shared" si="5"/>
        <v>0</v>
      </c>
    </row>
    <row r="346" spans="1:4" ht="18" hidden="1">
      <c r="A346" s="163" t="s">
        <v>105</v>
      </c>
      <c r="B346" s="157"/>
      <c r="C346" s="157"/>
      <c r="D346" s="158">
        <f t="shared" si="5"/>
        <v>0</v>
      </c>
    </row>
    <row r="347" spans="1:4" ht="18">
      <c r="A347" s="171" t="s">
        <v>11</v>
      </c>
      <c r="B347" s="157">
        <v>70</v>
      </c>
      <c r="C347" s="157">
        <v>7300</v>
      </c>
      <c r="D347" s="158">
        <f t="shared" si="5"/>
        <v>511000</v>
      </c>
    </row>
    <row r="348" spans="1:4" ht="18" hidden="1">
      <c r="A348" s="161" t="s">
        <v>12</v>
      </c>
      <c r="B348" s="157"/>
      <c r="C348" s="157"/>
      <c r="D348" s="158">
        <f t="shared" si="5"/>
        <v>0</v>
      </c>
    </row>
    <row r="349" spans="1:4" ht="18" hidden="1">
      <c r="A349" s="171" t="s">
        <v>15</v>
      </c>
      <c r="B349" s="157"/>
      <c r="C349" s="157"/>
      <c r="D349" s="158">
        <f t="shared" si="5"/>
        <v>0</v>
      </c>
    </row>
    <row r="350" spans="1:4" ht="18">
      <c r="A350" s="161" t="s">
        <v>365</v>
      </c>
      <c r="B350" s="157">
        <v>6</v>
      </c>
      <c r="C350" s="157">
        <v>6500</v>
      </c>
      <c r="D350" s="158">
        <f t="shared" si="5"/>
        <v>39000</v>
      </c>
    </row>
    <row r="351" spans="1:4" ht="18">
      <c r="A351" s="156" t="s">
        <v>182</v>
      </c>
      <c r="B351" s="157">
        <v>100</v>
      </c>
      <c r="C351" s="157">
        <v>11000</v>
      </c>
      <c r="D351" s="158">
        <f t="shared" si="5"/>
        <v>1100000</v>
      </c>
    </row>
    <row r="352" spans="1:4" ht="18" hidden="1">
      <c r="A352" s="161" t="s">
        <v>183</v>
      </c>
      <c r="B352" s="157"/>
      <c r="C352" s="157"/>
      <c r="D352" s="158">
        <f t="shared" si="5"/>
        <v>0</v>
      </c>
    </row>
    <row r="353" spans="1:4" ht="18" hidden="1">
      <c r="A353" s="161" t="s">
        <v>185</v>
      </c>
      <c r="B353" s="157"/>
      <c r="C353" s="157"/>
      <c r="D353" s="158">
        <f t="shared" si="5"/>
        <v>0</v>
      </c>
    </row>
    <row r="354" spans="1:4" ht="18" hidden="1">
      <c r="A354" s="161" t="s">
        <v>186</v>
      </c>
      <c r="B354" s="157"/>
      <c r="C354" s="157"/>
      <c r="D354" s="158">
        <f t="shared" si="5"/>
        <v>0</v>
      </c>
    </row>
    <row r="355" spans="1:4" ht="18" hidden="1">
      <c r="A355" s="160" t="s">
        <v>187</v>
      </c>
      <c r="B355" s="157"/>
      <c r="C355" s="157"/>
      <c r="D355" s="158">
        <f t="shared" si="5"/>
        <v>0</v>
      </c>
    </row>
    <row r="356" spans="1:4" ht="18" hidden="1">
      <c r="A356" s="156" t="s">
        <v>242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59" t="s">
        <v>358</v>
      </c>
      <c r="B358" s="157"/>
      <c r="C358" s="157"/>
      <c r="D358" s="158">
        <f t="shared" si="5"/>
        <v>0</v>
      </c>
    </row>
    <row r="359" spans="1:4" ht="18" hidden="1">
      <c r="A359" s="159" t="s">
        <v>359</v>
      </c>
      <c r="B359" s="157"/>
      <c r="C359" s="157"/>
      <c r="D359" s="158">
        <f t="shared" si="5"/>
        <v>0</v>
      </c>
    </row>
    <row r="360" spans="1:4" ht="18" hidden="1">
      <c r="A360" s="159" t="s">
        <v>360</v>
      </c>
      <c r="B360" s="157"/>
      <c r="C360" s="157"/>
      <c r="D360" s="158">
        <f t="shared" si="5"/>
        <v>0</v>
      </c>
    </row>
    <row r="361" spans="1:4" ht="18" hidden="1">
      <c r="A361" s="159" t="s">
        <v>361</v>
      </c>
      <c r="B361" s="157"/>
      <c r="C361" s="157"/>
      <c r="D361" s="158">
        <f t="shared" si="5"/>
        <v>0</v>
      </c>
    </row>
    <row r="362" spans="1:4" ht="18" hidden="1">
      <c r="A362" s="161" t="s">
        <v>128</v>
      </c>
      <c r="B362" s="157"/>
      <c r="C362" s="157"/>
      <c r="D362" s="158">
        <f t="shared" si="5"/>
        <v>0</v>
      </c>
    </row>
    <row r="363" spans="1:4" ht="18" hidden="1">
      <c r="A363" s="161" t="s">
        <v>129</v>
      </c>
      <c r="B363" s="157"/>
      <c r="C363" s="157"/>
      <c r="D363" s="158">
        <f t="shared" si="5"/>
        <v>0</v>
      </c>
    </row>
    <row r="364" spans="1:4" ht="18" hidden="1">
      <c r="A364" s="161" t="s">
        <v>362</v>
      </c>
      <c r="B364" s="157"/>
      <c r="C364" s="157"/>
      <c r="D364" s="158">
        <f t="shared" si="5"/>
        <v>0</v>
      </c>
    </row>
    <row r="365" spans="1:4" ht="18" hidden="1">
      <c r="A365" s="161" t="s">
        <v>130</v>
      </c>
      <c r="B365" s="157"/>
      <c r="C365" s="157"/>
      <c r="D365" s="158">
        <f t="shared" si="5"/>
        <v>0</v>
      </c>
    </row>
    <row r="366" spans="1:4" ht="18" hidden="1">
      <c r="A366" s="156" t="s">
        <v>152</v>
      </c>
      <c r="B366" s="157"/>
      <c r="C366" s="157"/>
      <c r="D366" s="158">
        <f t="shared" si="5"/>
        <v>0</v>
      </c>
    </row>
    <row r="367" spans="1:4" ht="18" hidden="1">
      <c r="A367" s="156" t="s">
        <v>153</v>
      </c>
      <c r="B367" s="157"/>
      <c r="C367" s="157"/>
      <c r="D367" s="158">
        <f t="shared" si="5"/>
        <v>0</v>
      </c>
    </row>
    <row r="368" spans="1:4" ht="18" hidden="1">
      <c r="A368" s="161" t="s">
        <v>154</v>
      </c>
      <c r="B368" s="157"/>
      <c r="C368" s="157"/>
      <c r="D368" s="158">
        <f t="shared" si="5"/>
        <v>0</v>
      </c>
    </row>
    <row r="369" spans="1:4" ht="18" hidden="1">
      <c r="A369" s="161" t="s">
        <v>363</v>
      </c>
      <c r="B369" s="157"/>
      <c r="C369" s="157"/>
      <c r="D369" s="158">
        <f t="shared" si="5"/>
        <v>0</v>
      </c>
    </row>
    <row r="370" spans="1:4" ht="18" hidden="1">
      <c r="A370" s="161" t="s">
        <v>222</v>
      </c>
      <c r="B370" s="157"/>
      <c r="C370" s="157"/>
      <c r="D370" s="158">
        <f t="shared" si="5"/>
        <v>0</v>
      </c>
    </row>
    <row r="371" spans="1:4" ht="18" hidden="1">
      <c r="A371" s="159" t="s">
        <v>223</v>
      </c>
      <c r="B371" s="157"/>
      <c r="C371" s="157"/>
      <c r="D371" s="158">
        <f t="shared" si="5"/>
        <v>0</v>
      </c>
    </row>
    <row r="372" spans="1:4" ht="18" hidden="1">
      <c r="A372" s="161" t="s">
        <v>224</v>
      </c>
      <c r="B372" s="157"/>
      <c r="C372" s="157"/>
      <c r="D372" s="158">
        <f t="shared" si="5"/>
        <v>0</v>
      </c>
    </row>
    <row r="373" spans="1:4" ht="18" hidden="1">
      <c r="A373" s="159" t="s">
        <v>367</v>
      </c>
      <c r="B373" s="157"/>
      <c r="C373" s="157"/>
      <c r="D373" s="158">
        <f t="shared" si="5"/>
        <v>0</v>
      </c>
    </row>
    <row r="374" spans="1:4" ht="18" hidden="1">
      <c r="A374" s="161" t="s">
        <v>262</v>
      </c>
      <c r="B374" s="157"/>
      <c r="C374" s="157"/>
      <c r="D374" s="158">
        <f t="shared" si="5"/>
        <v>0</v>
      </c>
    </row>
    <row r="375" spans="1:4" ht="18" hidden="1">
      <c r="A375" s="161" t="s">
        <v>282</v>
      </c>
      <c r="B375" s="157"/>
      <c r="C375" s="157"/>
      <c r="D375" s="158">
        <f t="shared" si="5"/>
        <v>0</v>
      </c>
    </row>
    <row r="376" spans="1:4" ht="18" hidden="1">
      <c r="A376" s="161" t="s">
        <v>285</v>
      </c>
      <c r="B376" s="157"/>
      <c r="C376" s="157"/>
      <c r="D376" s="158">
        <f t="shared" si="5"/>
        <v>0</v>
      </c>
    </row>
    <row r="377" spans="1:4" ht="18" hidden="1">
      <c r="A377" s="161" t="s">
        <v>314</v>
      </c>
      <c r="B377" s="157"/>
      <c r="C377" s="157"/>
      <c r="D377" s="158">
        <f t="shared" si="5"/>
        <v>0</v>
      </c>
    </row>
    <row r="378" spans="1:4" ht="18" hidden="1">
      <c r="A378" s="164" t="s">
        <v>315</v>
      </c>
      <c r="B378" s="157"/>
      <c r="C378" s="157"/>
      <c r="D378" s="158">
        <f t="shared" si="5"/>
        <v>0</v>
      </c>
    </row>
    <row r="379" spans="1:4" ht="18" hidden="1">
      <c r="A379" s="156" t="s">
        <v>377</v>
      </c>
      <c r="B379" s="157"/>
      <c r="C379" s="157"/>
      <c r="D379" s="158">
        <f t="shared" si="5"/>
        <v>0</v>
      </c>
    </row>
    <row r="380" spans="1:4" ht="18" hidden="1">
      <c r="A380" s="159" t="s">
        <v>355</v>
      </c>
      <c r="B380" s="157"/>
      <c r="C380" s="157"/>
      <c r="D380" s="158">
        <f t="shared" si="5"/>
        <v>0</v>
      </c>
    </row>
    <row r="381" spans="1:4" ht="18" hidden="1">
      <c r="A381" s="161" t="s">
        <v>47</v>
      </c>
      <c r="B381" s="157"/>
      <c r="C381" s="157"/>
      <c r="D381" s="158">
        <f t="shared" si="5"/>
        <v>0</v>
      </c>
    </row>
    <row r="382" spans="1:4" ht="18" hidden="1">
      <c r="A382" s="161" t="s">
        <v>48</v>
      </c>
      <c r="B382" s="157"/>
      <c r="C382" s="157"/>
      <c r="D382" s="158">
        <f t="shared" si="5"/>
        <v>0</v>
      </c>
    </row>
    <row r="383" spans="1:4" ht="18" hidden="1">
      <c r="A383" s="159" t="s">
        <v>356</v>
      </c>
      <c r="B383" s="162"/>
      <c r="C383" s="162"/>
      <c r="D383" s="158">
        <f t="shared" si="5"/>
        <v>0</v>
      </c>
    </row>
    <row r="384" spans="1:4" ht="18" hidden="1">
      <c r="A384" s="159" t="s">
        <v>50</v>
      </c>
      <c r="B384" s="162"/>
      <c r="C384" s="162"/>
      <c r="D384" s="158">
        <f t="shared" si="5"/>
        <v>0</v>
      </c>
    </row>
    <row r="385" spans="1:4" ht="18" hidden="1">
      <c r="A385" s="164" t="s">
        <v>270</v>
      </c>
      <c r="B385" s="157"/>
      <c r="C385" s="157"/>
      <c r="D385" s="158">
        <f t="shared" si="5"/>
        <v>0</v>
      </c>
    </row>
    <row r="386" spans="1:4" ht="18" hidden="1">
      <c r="A386" s="163" t="s">
        <v>271</v>
      </c>
      <c r="B386" s="157"/>
      <c r="C386" s="157"/>
      <c r="D386" s="158">
        <f t="shared" si="5"/>
        <v>0</v>
      </c>
    </row>
    <row r="387" spans="1:4" ht="18" hidden="1">
      <c r="A387" s="163" t="s">
        <v>272</v>
      </c>
      <c r="B387" s="157"/>
      <c r="C387" s="157"/>
      <c r="D387" s="158">
        <f t="shared" si="5"/>
        <v>0</v>
      </c>
    </row>
    <row r="388" spans="1:4" ht="18" hidden="1">
      <c r="A388" s="159" t="s">
        <v>373</v>
      </c>
      <c r="B388" s="157"/>
      <c r="C388" s="157"/>
      <c r="D388" s="158">
        <f t="shared" ref="D388:D451" si="6">B388*C388</f>
        <v>0</v>
      </c>
    </row>
    <row r="389" spans="1:4" ht="18" hidden="1">
      <c r="A389" s="159" t="s">
        <v>283</v>
      </c>
      <c r="B389" s="157"/>
      <c r="C389" s="157"/>
      <c r="D389" s="158">
        <f t="shared" si="6"/>
        <v>0</v>
      </c>
    </row>
    <row r="390" spans="1:4" ht="18" hidden="1">
      <c r="A390" s="161" t="s">
        <v>284</v>
      </c>
      <c r="B390" s="157"/>
      <c r="C390" s="157"/>
      <c r="D390" s="158">
        <f t="shared" si="6"/>
        <v>0</v>
      </c>
    </row>
    <row r="391" spans="1:4" ht="18" hidden="1">
      <c r="A391" s="161" t="s">
        <v>374</v>
      </c>
      <c r="B391" s="157"/>
      <c r="C391" s="157"/>
      <c r="D391" s="158">
        <f t="shared" si="6"/>
        <v>0</v>
      </c>
    </row>
    <row r="392" spans="1:4" ht="18" hidden="1">
      <c r="A392" s="161" t="s">
        <v>287</v>
      </c>
      <c r="B392" s="157"/>
      <c r="C392" s="157"/>
      <c r="D392" s="158">
        <f t="shared" si="6"/>
        <v>0</v>
      </c>
    </row>
    <row r="393" spans="1:4" ht="18" hidden="1">
      <c r="A393" s="164" t="s">
        <v>299</v>
      </c>
      <c r="B393" s="157"/>
      <c r="C393" s="157"/>
      <c r="D393" s="158">
        <f t="shared" si="6"/>
        <v>0</v>
      </c>
    </row>
    <row r="394" spans="1:4" ht="18" hidden="1">
      <c r="A394" s="156" t="s">
        <v>193</v>
      </c>
      <c r="B394" s="157"/>
      <c r="C394" s="157"/>
      <c r="D394" s="158">
        <f t="shared" si="6"/>
        <v>0</v>
      </c>
    </row>
    <row r="395" spans="1:4" ht="18" hidden="1">
      <c r="A395" s="161" t="s">
        <v>194</v>
      </c>
      <c r="B395" s="157"/>
      <c r="C395" s="157"/>
      <c r="D395" s="158">
        <f t="shared" si="6"/>
        <v>0</v>
      </c>
    </row>
    <row r="396" spans="1:4" ht="18" hidden="1">
      <c r="A396" s="161" t="s">
        <v>195</v>
      </c>
      <c r="B396" s="157"/>
      <c r="C396" s="157"/>
      <c r="D396" s="158">
        <f t="shared" si="6"/>
        <v>0</v>
      </c>
    </row>
    <row r="397" spans="1:4" ht="18" hidden="1">
      <c r="A397" s="156" t="s">
        <v>320</v>
      </c>
      <c r="B397" s="157"/>
      <c r="C397" s="157"/>
      <c r="D397" s="158">
        <f t="shared" si="6"/>
        <v>0</v>
      </c>
    </row>
    <row r="398" spans="1:4" ht="18" hidden="1">
      <c r="A398" s="161" t="s">
        <v>322</v>
      </c>
      <c r="B398" s="157"/>
      <c r="C398" s="157"/>
      <c r="D398" s="158">
        <f t="shared" si="6"/>
        <v>0</v>
      </c>
    </row>
    <row r="399" spans="1:4" ht="18" hidden="1">
      <c r="A399" s="161" t="s">
        <v>323</v>
      </c>
      <c r="B399" s="157"/>
      <c r="C399" s="157"/>
      <c r="D399" s="158">
        <f t="shared" si="6"/>
        <v>0</v>
      </c>
    </row>
    <row r="400" spans="1:4" ht="18" hidden="1">
      <c r="A400" s="163" t="s">
        <v>326</v>
      </c>
      <c r="B400" s="157"/>
      <c r="C400" s="157"/>
      <c r="D400" s="158">
        <f t="shared" si="6"/>
        <v>0</v>
      </c>
    </row>
    <row r="401" spans="1:4" ht="18" hidden="1">
      <c r="A401" s="161" t="s">
        <v>328</v>
      </c>
      <c r="B401" s="157"/>
      <c r="C401" s="157"/>
      <c r="D401" s="158">
        <f t="shared" si="6"/>
        <v>0</v>
      </c>
    </row>
    <row r="402" spans="1:4" ht="18" hidden="1">
      <c r="A402" s="161" t="s">
        <v>329</v>
      </c>
      <c r="B402" s="157"/>
      <c r="C402" s="157"/>
      <c r="D402" s="158">
        <f t="shared" si="6"/>
        <v>0</v>
      </c>
    </row>
    <row r="403" spans="1:4" ht="18" hidden="1">
      <c r="A403" s="161" t="s">
        <v>330</v>
      </c>
      <c r="B403" s="157"/>
      <c r="C403" s="157"/>
      <c r="D403" s="158">
        <f t="shared" si="6"/>
        <v>0</v>
      </c>
    </row>
    <row r="404" spans="1:4" ht="18" hidden="1">
      <c r="A404" s="161" t="s">
        <v>331</v>
      </c>
      <c r="B404" s="157"/>
      <c r="C404" s="157"/>
      <c r="D404" s="158">
        <f t="shared" si="6"/>
        <v>0</v>
      </c>
    </row>
    <row r="405" spans="1:4" ht="18" hidden="1">
      <c r="A405" s="163" t="s">
        <v>332</v>
      </c>
      <c r="B405" s="157"/>
      <c r="C405" s="157"/>
      <c r="D405" s="158">
        <f t="shared" si="6"/>
        <v>0</v>
      </c>
    </row>
    <row r="406" spans="1:4" ht="18" hidden="1">
      <c r="A406" s="161" t="s">
        <v>333</v>
      </c>
      <c r="B406" s="157"/>
      <c r="C406" s="157"/>
      <c r="D406" s="158">
        <f t="shared" si="6"/>
        <v>0</v>
      </c>
    </row>
    <row r="407" spans="1:4" ht="18" hidden="1">
      <c r="A407" s="161" t="s">
        <v>337</v>
      </c>
      <c r="B407" s="157"/>
      <c r="C407" s="157"/>
      <c r="D407" s="158">
        <f t="shared" si="6"/>
        <v>0</v>
      </c>
    </row>
    <row r="408" spans="1:4" ht="18" hidden="1">
      <c r="A408" s="163" t="s">
        <v>339</v>
      </c>
      <c r="B408" s="157"/>
      <c r="C408" s="157"/>
      <c r="D408" s="158">
        <f t="shared" si="6"/>
        <v>0</v>
      </c>
    </row>
    <row r="409" spans="1:4" ht="18" hidden="1">
      <c r="A409" s="163" t="s">
        <v>340</v>
      </c>
      <c r="B409" s="157"/>
      <c r="C409" s="157"/>
      <c r="D409" s="158">
        <f t="shared" si="6"/>
        <v>0</v>
      </c>
    </row>
    <row r="410" spans="1:4" ht="18" hidden="1">
      <c r="A410" s="161" t="s">
        <v>341</v>
      </c>
      <c r="B410" s="157"/>
      <c r="C410" s="157"/>
      <c r="D410" s="158">
        <f t="shared" si="6"/>
        <v>0</v>
      </c>
    </row>
    <row r="411" spans="1:4" ht="18" hidden="1">
      <c r="A411" s="161" t="s">
        <v>342</v>
      </c>
      <c r="B411" s="157"/>
      <c r="C411" s="157"/>
      <c r="D411" s="158">
        <f t="shared" si="6"/>
        <v>0</v>
      </c>
    </row>
    <row r="412" spans="1:4" ht="18" hidden="1">
      <c r="A412" s="163" t="s">
        <v>343</v>
      </c>
      <c r="B412" s="157"/>
      <c r="C412" s="157"/>
      <c r="D412" s="158">
        <f t="shared" si="6"/>
        <v>0</v>
      </c>
    </row>
    <row r="413" spans="1:4" ht="18" hidden="1">
      <c r="A413" s="161" t="s">
        <v>344</v>
      </c>
      <c r="B413" s="157"/>
      <c r="C413" s="157"/>
      <c r="D413" s="158">
        <f t="shared" si="6"/>
        <v>0</v>
      </c>
    </row>
    <row r="414" spans="1:4" ht="18" hidden="1">
      <c r="A414" s="161" t="s">
        <v>345</v>
      </c>
      <c r="B414" s="157"/>
      <c r="C414" s="157"/>
      <c r="D414" s="158">
        <f t="shared" si="6"/>
        <v>0</v>
      </c>
    </row>
    <row r="415" spans="1:4" ht="18" hidden="1">
      <c r="A415" s="161" t="s">
        <v>346</v>
      </c>
      <c r="B415" s="157"/>
      <c r="C415" s="157"/>
      <c r="D415" s="158">
        <f t="shared" si="6"/>
        <v>0</v>
      </c>
    </row>
    <row r="416" spans="1:4" ht="18" hidden="1">
      <c r="A416" s="161" t="s">
        <v>347</v>
      </c>
      <c r="B416" s="157"/>
      <c r="C416" s="157"/>
      <c r="D416" s="158">
        <f t="shared" si="6"/>
        <v>0</v>
      </c>
    </row>
    <row r="417" spans="1:4" ht="18" hidden="1">
      <c r="A417" s="161" t="s">
        <v>348</v>
      </c>
      <c r="B417" s="157"/>
      <c r="C417" s="157"/>
      <c r="D417" s="158">
        <f t="shared" si="6"/>
        <v>0</v>
      </c>
    </row>
    <row r="418" spans="1:4" ht="18" hidden="1">
      <c r="A418" s="161" t="s">
        <v>349</v>
      </c>
      <c r="B418" s="157"/>
      <c r="C418" s="157"/>
      <c r="D418" s="158">
        <f t="shared" si="6"/>
        <v>0</v>
      </c>
    </row>
    <row r="419" spans="1:4" ht="18" hidden="1">
      <c r="A419" s="161" t="s">
        <v>350</v>
      </c>
      <c r="B419" s="157"/>
      <c r="C419" s="157"/>
      <c r="D419" s="158">
        <f t="shared" si="6"/>
        <v>0</v>
      </c>
    </row>
    <row r="420" spans="1:4" ht="18" hidden="1">
      <c r="A420" s="161" t="s">
        <v>351</v>
      </c>
      <c r="B420" s="157"/>
      <c r="C420" s="157"/>
      <c r="D420" s="158">
        <f t="shared" si="6"/>
        <v>0</v>
      </c>
    </row>
    <row r="421" spans="1:4" ht="18" hidden="1">
      <c r="A421" s="161" t="s">
        <v>302</v>
      </c>
      <c r="B421" s="157"/>
      <c r="C421" s="157"/>
      <c r="D421" s="158">
        <f t="shared" si="6"/>
        <v>0</v>
      </c>
    </row>
    <row r="422" spans="1:4" ht="18" hidden="1">
      <c r="A422" s="164" t="s">
        <v>303</v>
      </c>
      <c r="B422" s="157"/>
      <c r="C422" s="157"/>
      <c r="D422" s="158">
        <f t="shared" si="6"/>
        <v>0</v>
      </c>
    </row>
    <row r="423" spans="1:4" ht="18" hidden="1">
      <c r="A423" s="161" t="s">
        <v>304</v>
      </c>
      <c r="B423" s="157"/>
      <c r="C423" s="157"/>
      <c r="D423" s="158">
        <f t="shared" si="6"/>
        <v>0</v>
      </c>
    </row>
    <row r="424" spans="1:4" ht="18" hidden="1">
      <c r="A424" s="161" t="s">
        <v>30</v>
      </c>
      <c r="B424" s="157"/>
      <c r="C424" s="157"/>
      <c r="D424" s="158">
        <f t="shared" si="6"/>
        <v>0</v>
      </c>
    </row>
    <row r="425" spans="1:4" ht="18" hidden="1">
      <c r="A425" s="161" t="s">
        <v>31</v>
      </c>
      <c r="B425" s="157"/>
      <c r="C425" s="157"/>
      <c r="D425" s="158">
        <f t="shared" si="6"/>
        <v>0</v>
      </c>
    </row>
    <row r="426" spans="1:4" ht="18">
      <c r="A426" s="161" t="s">
        <v>32</v>
      </c>
      <c r="B426" s="157">
        <v>30</v>
      </c>
      <c r="C426" s="157">
        <v>9000</v>
      </c>
      <c r="D426" s="158">
        <f t="shared" si="6"/>
        <v>270000</v>
      </c>
    </row>
    <row r="427" spans="1:4" ht="18" hidden="1">
      <c r="A427" s="161" t="s">
        <v>33</v>
      </c>
      <c r="B427" s="157"/>
      <c r="C427" s="157"/>
      <c r="D427" s="158">
        <f t="shared" si="6"/>
        <v>0</v>
      </c>
    </row>
    <row r="428" spans="1:4" ht="18" hidden="1">
      <c r="A428" s="161" t="s">
        <v>34</v>
      </c>
      <c r="B428" s="157"/>
      <c r="C428" s="157"/>
      <c r="D428" s="158">
        <f t="shared" si="6"/>
        <v>0</v>
      </c>
    </row>
    <row r="429" spans="1:4" ht="18" hidden="1">
      <c r="A429" s="161" t="s">
        <v>58</v>
      </c>
      <c r="B429" s="157"/>
      <c r="C429" s="157"/>
      <c r="D429" s="158">
        <f t="shared" si="6"/>
        <v>0</v>
      </c>
    </row>
    <row r="430" spans="1:4" ht="18" hidden="1">
      <c r="A430" s="161" t="s">
        <v>59</v>
      </c>
      <c r="B430" s="157"/>
      <c r="C430" s="157"/>
      <c r="D430" s="158">
        <f t="shared" si="6"/>
        <v>0</v>
      </c>
    </row>
    <row r="431" spans="1:4" ht="18" hidden="1">
      <c r="A431" s="173" t="s">
        <v>60</v>
      </c>
      <c r="B431" s="157"/>
      <c r="C431" s="157"/>
      <c r="D431" s="158">
        <f t="shared" si="6"/>
        <v>0</v>
      </c>
    </row>
    <row r="432" spans="1:4" ht="18" hidden="1">
      <c r="A432" s="161" t="s">
        <v>63</v>
      </c>
      <c r="B432" s="157"/>
      <c r="C432" s="157"/>
      <c r="D432" s="158">
        <f t="shared" si="6"/>
        <v>0</v>
      </c>
    </row>
    <row r="433" spans="1:4" ht="18" hidden="1">
      <c r="A433" s="161" t="s">
        <v>64</v>
      </c>
      <c r="B433" s="157"/>
      <c r="C433" s="157"/>
      <c r="D433" s="158">
        <f t="shared" si="6"/>
        <v>0</v>
      </c>
    </row>
    <row r="434" spans="1:4" ht="18" hidden="1">
      <c r="A434" s="183" t="s">
        <v>145</v>
      </c>
      <c r="B434" s="157"/>
      <c r="C434" s="157"/>
      <c r="D434" s="158">
        <f t="shared" si="6"/>
        <v>0</v>
      </c>
    </row>
    <row r="435" spans="1:4" ht="18" hidden="1">
      <c r="A435" s="156" t="s">
        <v>146</v>
      </c>
      <c r="B435" s="162"/>
      <c r="C435" s="162"/>
      <c r="D435" s="158">
        <f t="shared" si="6"/>
        <v>0</v>
      </c>
    </row>
    <row r="436" spans="1:4" ht="18" hidden="1">
      <c r="A436" s="161" t="s">
        <v>147</v>
      </c>
      <c r="B436" s="157"/>
      <c r="C436" s="157"/>
      <c r="D436" s="158">
        <f t="shared" si="6"/>
        <v>0</v>
      </c>
    </row>
    <row r="437" spans="1:4" ht="18" hidden="1">
      <c r="A437" s="161" t="s">
        <v>148</v>
      </c>
      <c r="B437" s="157"/>
      <c r="C437" s="157"/>
      <c r="D437" s="158">
        <f t="shared" si="6"/>
        <v>0</v>
      </c>
    </row>
    <row r="438" spans="1:4" ht="18" hidden="1">
      <c r="A438" s="161" t="s">
        <v>305</v>
      </c>
      <c r="B438" s="157"/>
      <c r="C438" s="157"/>
      <c r="D438" s="158">
        <f t="shared" si="6"/>
        <v>0</v>
      </c>
    </row>
    <row r="439" spans="1:4" ht="18" hidden="1">
      <c r="A439" s="164" t="s">
        <v>306</v>
      </c>
      <c r="B439" s="157"/>
      <c r="C439" s="157"/>
      <c r="D439" s="158">
        <f t="shared" si="6"/>
        <v>0</v>
      </c>
    </row>
    <row r="440" spans="1:4" ht="18" hidden="1">
      <c r="A440" s="161" t="s">
        <v>24</v>
      </c>
      <c r="B440" s="157"/>
      <c r="C440" s="157"/>
      <c r="D440" s="158">
        <f t="shared" si="6"/>
        <v>0</v>
      </c>
    </row>
    <row r="441" spans="1:4" ht="18" hidden="1">
      <c r="A441" s="173" t="s">
        <v>25</v>
      </c>
      <c r="B441" s="157"/>
      <c r="C441" s="157"/>
      <c r="D441" s="158">
        <f t="shared" si="6"/>
        <v>0</v>
      </c>
    </row>
    <row r="442" spans="1:4" ht="18" hidden="1">
      <c r="A442" s="159" t="s">
        <v>26</v>
      </c>
      <c r="B442" s="157"/>
      <c r="C442" s="157"/>
      <c r="D442" s="158">
        <f t="shared" si="6"/>
        <v>0</v>
      </c>
    </row>
    <row r="443" spans="1:4" ht="18" hidden="1">
      <c r="A443" s="161" t="s">
        <v>172</v>
      </c>
      <c r="B443" s="157"/>
      <c r="C443" s="157"/>
      <c r="D443" s="158">
        <f t="shared" si="6"/>
        <v>0</v>
      </c>
    </row>
    <row r="444" spans="1:4" ht="18" hidden="1">
      <c r="A444" s="161" t="s">
        <v>173</v>
      </c>
      <c r="B444" s="157"/>
      <c r="C444" s="157"/>
      <c r="D444" s="158">
        <f t="shared" si="6"/>
        <v>0</v>
      </c>
    </row>
    <row r="445" spans="1:4" ht="18" hidden="1">
      <c r="A445" s="161" t="s">
        <v>174</v>
      </c>
      <c r="B445" s="157"/>
      <c r="C445" s="157"/>
      <c r="D445" s="158">
        <f t="shared" si="6"/>
        <v>0</v>
      </c>
    </row>
    <row r="446" spans="1:4" ht="18" hidden="1">
      <c r="A446" s="161" t="s">
        <v>175</v>
      </c>
      <c r="B446" s="157"/>
      <c r="C446" s="157"/>
      <c r="D446" s="158">
        <f t="shared" si="6"/>
        <v>0</v>
      </c>
    </row>
    <row r="447" spans="1:4" ht="18" hidden="1">
      <c r="A447" s="178" t="s">
        <v>13</v>
      </c>
      <c r="B447" s="157"/>
      <c r="C447" s="157"/>
      <c r="D447" s="158">
        <f t="shared" si="6"/>
        <v>0</v>
      </c>
    </row>
    <row r="448" spans="1:4" ht="18" hidden="1">
      <c r="A448" s="171" t="s">
        <v>14</v>
      </c>
      <c r="B448" s="157"/>
      <c r="C448" s="157"/>
      <c r="D448" s="158">
        <f t="shared" si="6"/>
        <v>0</v>
      </c>
    </row>
    <row r="449" spans="1:4" ht="18" hidden="1">
      <c r="A449" s="185" t="s">
        <v>77</v>
      </c>
      <c r="B449" s="157"/>
      <c r="C449" s="157"/>
      <c r="D449" s="158">
        <f t="shared" si="6"/>
        <v>0</v>
      </c>
    </row>
    <row r="450" spans="1:4" ht="18" hidden="1">
      <c r="A450" s="156" t="s">
        <v>81</v>
      </c>
      <c r="B450" s="157"/>
      <c r="C450" s="157"/>
      <c r="D450" s="158">
        <f t="shared" si="6"/>
        <v>0</v>
      </c>
    </row>
    <row r="451" spans="1:4" ht="18" hidden="1">
      <c r="A451" s="159" t="s">
        <v>116</v>
      </c>
      <c r="B451" s="157"/>
      <c r="C451" s="157"/>
      <c r="D451" s="158">
        <f t="shared" si="6"/>
        <v>0</v>
      </c>
    </row>
    <row r="452" spans="1:4" ht="18" hidden="1">
      <c r="A452" s="186" t="s">
        <v>122</v>
      </c>
      <c r="B452" s="157"/>
      <c r="C452" s="157"/>
      <c r="D452" s="158">
        <f t="shared" ref="D452:D482" si="7">B452*C452</f>
        <v>0</v>
      </c>
    </row>
    <row r="453" spans="1:4" ht="18" hidden="1">
      <c r="A453" s="161" t="s">
        <v>133</v>
      </c>
      <c r="B453" s="157"/>
      <c r="C453" s="157"/>
      <c r="D453" s="158">
        <f t="shared" si="7"/>
        <v>0</v>
      </c>
    </row>
    <row r="454" spans="1:4" ht="18" hidden="1">
      <c r="A454" s="159" t="s">
        <v>135</v>
      </c>
      <c r="B454" s="157"/>
      <c r="C454" s="157"/>
      <c r="D454" s="158">
        <f t="shared" si="7"/>
        <v>0</v>
      </c>
    </row>
    <row r="455" spans="1:4" ht="18" hidden="1">
      <c r="A455" s="159" t="s">
        <v>136</v>
      </c>
      <c r="B455" s="157"/>
      <c r="C455" s="157"/>
      <c r="D455" s="158">
        <f t="shared" si="7"/>
        <v>0</v>
      </c>
    </row>
    <row r="456" spans="1:4" ht="18" hidden="1">
      <c r="A456" s="161" t="s">
        <v>158</v>
      </c>
      <c r="B456" s="157"/>
      <c r="C456" s="157"/>
      <c r="D456" s="158">
        <f t="shared" si="7"/>
        <v>0</v>
      </c>
    </row>
    <row r="457" spans="1:4" ht="18" hidden="1">
      <c r="A457" s="159" t="s">
        <v>190</v>
      </c>
      <c r="B457" s="157"/>
      <c r="C457" s="157"/>
      <c r="D457" s="158">
        <f t="shared" si="7"/>
        <v>0</v>
      </c>
    </row>
    <row r="458" spans="1:4" ht="18" hidden="1">
      <c r="A458" s="164" t="s">
        <v>204</v>
      </c>
      <c r="B458" s="157"/>
      <c r="C458" s="157"/>
      <c r="D458" s="158">
        <f t="shared" si="7"/>
        <v>0</v>
      </c>
    </row>
    <row r="459" spans="1:4" ht="18" hidden="1">
      <c r="A459" s="164" t="s">
        <v>205</v>
      </c>
      <c r="B459" s="157"/>
      <c r="C459" s="157"/>
      <c r="D459" s="158">
        <f t="shared" si="7"/>
        <v>0</v>
      </c>
    </row>
    <row r="460" spans="1:4" ht="18" hidden="1">
      <c r="A460" s="164" t="s">
        <v>206</v>
      </c>
      <c r="B460" s="157"/>
      <c r="C460" s="157"/>
      <c r="D460" s="158">
        <f t="shared" si="7"/>
        <v>0</v>
      </c>
    </row>
    <row r="461" spans="1:4" ht="18" hidden="1">
      <c r="A461" s="164" t="s">
        <v>207</v>
      </c>
      <c r="B461" s="157"/>
      <c r="C461" s="157"/>
      <c r="D461" s="158">
        <f t="shared" si="7"/>
        <v>0</v>
      </c>
    </row>
    <row r="462" spans="1:4" ht="18" hidden="1">
      <c r="A462" s="161" t="s">
        <v>209</v>
      </c>
      <c r="B462" s="157"/>
      <c r="C462" s="157"/>
      <c r="D462" s="158">
        <f t="shared" si="7"/>
        <v>0</v>
      </c>
    </row>
    <row r="463" spans="1:4" ht="18" hidden="1">
      <c r="A463" s="187" t="s">
        <v>210</v>
      </c>
      <c r="B463" s="157"/>
      <c r="C463" s="157"/>
      <c r="D463" s="158">
        <f t="shared" si="7"/>
        <v>0</v>
      </c>
    </row>
    <row r="464" spans="1:4" ht="18" hidden="1">
      <c r="A464" s="187" t="s">
        <v>211</v>
      </c>
      <c r="B464" s="157"/>
      <c r="C464" s="157"/>
      <c r="D464" s="158">
        <f t="shared" si="7"/>
        <v>0</v>
      </c>
    </row>
    <row r="465" spans="1:4" ht="18" hidden="1">
      <c r="A465" s="187" t="s">
        <v>212</v>
      </c>
      <c r="B465" s="157"/>
      <c r="C465" s="157"/>
      <c r="D465" s="158">
        <f t="shared" si="7"/>
        <v>0</v>
      </c>
    </row>
    <row r="466" spans="1:4" ht="18" hidden="1">
      <c r="A466" s="187" t="s">
        <v>213</v>
      </c>
      <c r="B466" s="157"/>
      <c r="C466" s="157"/>
      <c r="D466" s="158">
        <f t="shared" si="7"/>
        <v>0</v>
      </c>
    </row>
    <row r="467" spans="1:4" ht="18">
      <c r="A467" s="159" t="s">
        <v>241</v>
      </c>
      <c r="B467" s="157">
        <v>6</v>
      </c>
      <c r="C467" s="157">
        <v>37000</v>
      </c>
      <c r="D467" s="158">
        <f t="shared" si="7"/>
        <v>222000</v>
      </c>
    </row>
    <row r="468" spans="1:4" ht="18" hidden="1">
      <c r="A468" s="163" t="s">
        <v>371</v>
      </c>
      <c r="B468" s="157"/>
      <c r="C468" s="157"/>
      <c r="D468" s="158">
        <f t="shared" si="7"/>
        <v>0</v>
      </c>
    </row>
    <row r="469" spans="1:4" ht="18" hidden="1">
      <c r="A469" s="163" t="s">
        <v>372</v>
      </c>
      <c r="B469" s="157"/>
      <c r="C469" s="157"/>
      <c r="D469" s="158">
        <f t="shared" si="7"/>
        <v>0</v>
      </c>
    </row>
    <row r="470" spans="1:4" ht="18" hidden="1">
      <c r="A470" s="159" t="s">
        <v>247</v>
      </c>
      <c r="B470" s="157"/>
      <c r="C470" s="157"/>
      <c r="D470" s="158">
        <f t="shared" si="7"/>
        <v>0</v>
      </c>
    </row>
    <row r="471" spans="1:4" ht="18" hidden="1">
      <c r="A471" s="173" t="s">
        <v>254</v>
      </c>
      <c r="B471" s="157"/>
      <c r="C471" s="157"/>
      <c r="D471" s="158">
        <f t="shared" si="7"/>
        <v>0</v>
      </c>
    </row>
    <row r="472" spans="1:4" ht="18" hidden="1">
      <c r="A472" s="173" t="s">
        <v>255</v>
      </c>
      <c r="B472" s="157"/>
      <c r="C472" s="157"/>
      <c r="D472" s="158">
        <f t="shared" si="7"/>
        <v>0</v>
      </c>
    </row>
    <row r="473" spans="1:4" ht="18" hidden="1">
      <c r="A473" s="187" t="s">
        <v>256</v>
      </c>
      <c r="B473" s="157"/>
      <c r="C473" s="157"/>
      <c r="D473" s="158">
        <f t="shared" si="7"/>
        <v>0</v>
      </c>
    </row>
    <row r="474" spans="1:4" ht="18" hidden="1">
      <c r="A474" s="187" t="s">
        <v>260</v>
      </c>
      <c r="B474" s="157"/>
      <c r="C474" s="157"/>
      <c r="D474" s="158">
        <f t="shared" si="7"/>
        <v>0</v>
      </c>
    </row>
    <row r="475" spans="1:4" ht="18" hidden="1">
      <c r="A475" s="187" t="s">
        <v>291</v>
      </c>
      <c r="B475" s="157"/>
      <c r="C475" s="157"/>
      <c r="D475" s="158">
        <f t="shared" si="7"/>
        <v>0</v>
      </c>
    </row>
    <row r="476" spans="1:4" ht="18" hidden="1">
      <c r="A476" s="187" t="s">
        <v>293</v>
      </c>
      <c r="B476" s="157"/>
      <c r="C476" s="157"/>
      <c r="D476" s="158">
        <f t="shared" si="7"/>
        <v>0</v>
      </c>
    </row>
    <row r="477" spans="1:4" ht="18" hidden="1">
      <c r="A477" s="159" t="s">
        <v>376</v>
      </c>
      <c r="B477" s="157"/>
      <c r="C477" s="157"/>
      <c r="D477" s="158">
        <f t="shared" si="7"/>
        <v>0</v>
      </c>
    </row>
    <row r="478" spans="1:4" ht="18" hidden="1">
      <c r="A478" s="187" t="s">
        <v>294</v>
      </c>
      <c r="B478" s="157"/>
      <c r="C478" s="157"/>
      <c r="D478" s="158">
        <f t="shared" si="7"/>
        <v>0</v>
      </c>
    </row>
    <row r="479" spans="1:4" ht="18" hidden="1">
      <c r="A479" s="186" t="s">
        <v>307</v>
      </c>
      <c r="B479" s="157"/>
      <c r="C479" s="157"/>
      <c r="D479" s="158">
        <f t="shared" si="7"/>
        <v>0</v>
      </c>
    </row>
    <row r="480" spans="1:4" ht="18" hidden="1">
      <c r="A480" s="161" t="s">
        <v>378</v>
      </c>
      <c r="B480" s="157"/>
      <c r="C480" s="157"/>
      <c r="D480" s="158">
        <f t="shared" si="7"/>
        <v>0</v>
      </c>
    </row>
    <row r="481" spans="1:4" ht="18" hidden="1">
      <c r="A481" s="159" t="s">
        <v>318</v>
      </c>
      <c r="B481" s="157"/>
      <c r="C481" s="157"/>
      <c r="D481" s="158">
        <f t="shared" si="7"/>
        <v>0</v>
      </c>
    </row>
    <row r="482" spans="1:4" ht="18" hidden="1">
      <c r="A482" s="159" t="s">
        <v>353</v>
      </c>
      <c r="B482" s="157"/>
      <c r="C482" s="157"/>
      <c r="D482" s="158">
        <f t="shared" si="7"/>
        <v>0</v>
      </c>
    </row>
    <row r="483" spans="1:4" ht="17.399999999999999">
      <c r="A483" s="188"/>
      <c r="B483" s="189">
        <f>SUM(B156:B482)</f>
        <v>2529</v>
      </c>
      <c r="C483" s="189"/>
      <c r="D483" s="189">
        <f t="shared" ref="D483" si="8">SUM(D156:D482)</f>
        <v>39107000</v>
      </c>
    </row>
    <row r="485" spans="1:4">
      <c r="D485" s="190">
        <f>D483+D151</f>
        <v>103052200</v>
      </c>
    </row>
  </sheetData>
  <protectedRanges>
    <protectedRange password="CF71" sqref="B3:C5 B1:D2" name="tho"/>
    <protectedRange password="CF71" sqref="D3:D482" name="tho_2"/>
    <protectedRange password="CF71" sqref="B6:C6" name="tho_1"/>
    <protectedRange password="CF71" sqref="B7:C7" name="tho_3"/>
    <protectedRange password="CF71" sqref="B8:C16" name="tho_4"/>
    <protectedRange password="CF71" sqref="B17:C22" name="tho_5"/>
    <protectedRange password="CF71" sqref="B23:C25" name="tho_6"/>
    <protectedRange password="CF71" sqref="B26:C30" name="tho_7"/>
    <protectedRange password="CF71" sqref="B31:C32" name="tho_8"/>
    <protectedRange password="CF71" sqref="B33:C36" name="tho_9"/>
    <protectedRange password="CF71" sqref="B37:C37" name="tho_10"/>
    <protectedRange password="CF71" sqref="B38:C38" name="tho_11"/>
    <protectedRange password="CF71" sqref="B39:C39" name="tho_12"/>
    <protectedRange password="CF71" sqref="B40:C44" name="tho_13"/>
    <protectedRange password="CF71" sqref="B45:C51" name="tho_14"/>
    <protectedRange password="CF71" sqref="B52:C56" name="tho_15"/>
    <protectedRange password="CF71" sqref="B57:C57" name="tho_16"/>
    <protectedRange password="CF71" sqref="B58:C59" name="tho_17"/>
    <protectedRange password="CF71" sqref="B60:C60" name="tho_18"/>
    <protectedRange password="CF71" sqref="B61:C61" name="tho_19"/>
    <protectedRange password="CF71" sqref="B62:C62" name="tho_20"/>
    <protectedRange password="CF71" sqref="B63:C63" name="tho_21"/>
    <protectedRange password="CF71" sqref="B64:C64" name="tho_22"/>
    <protectedRange password="CF71" sqref="B65:C65" name="tho_23"/>
    <protectedRange password="CF71" sqref="B66:C66" name="tho_24"/>
    <protectedRange password="CF71" sqref="B67:C67" name="tho_25"/>
    <protectedRange password="CF71" sqref="B68:C68" name="tho_26"/>
    <protectedRange password="CF71" sqref="B69:C69" name="tho_27"/>
    <protectedRange password="CF71" sqref="B70:C70" name="tho_28"/>
    <protectedRange password="CF71" sqref="B71:C73" name="tho_29"/>
    <protectedRange password="CF71" sqref="B74:C74" name="tho_30"/>
    <protectedRange password="CF71" sqref="B75:C78" name="tho_31"/>
    <protectedRange password="CF71" sqref="B79:C79" name="tho_32"/>
    <protectedRange password="CF71" sqref="B80:C80" name="tho_33"/>
    <protectedRange password="CF71" sqref="B81:C81" name="tho_34"/>
    <protectedRange password="CF71" sqref="B82:C84" name="tho_35"/>
    <protectedRange password="CF71" sqref="B85:C85" name="tho_36"/>
    <protectedRange password="CF71" sqref="B86:C86" name="tho_37"/>
    <protectedRange password="CF71" sqref="B87:C87" name="tho_38"/>
    <protectedRange password="CF71" sqref="B88:C88" name="tho_39"/>
    <protectedRange password="CF71" sqref="B89:C91" name="tho_40"/>
    <protectedRange password="CF71" sqref="B92:C92" name="tho_41"/>
    <protectedRange password="CF71" sqref="B93:C93" name="tho_42"/>
    <protectedRange password="CF71" sqref="B94:C99" name="tho_43"/>
    <protectedRange password="CF71" sqref="B100:C100" name="tho_44"/>
    <protectedRange password="CF71" sqref="B101:C101" name="tho_45"/>
    <protectedRange password="CF71" sqref="B102:C102" name="tho_46"/>
    <protectedRange password="CF71" sqref="B103:C104" name="tho_47"/>
    <protectedRange password="CF71" sqref="B105:C106" name="tho_48"/>
    <protectedRange password="CF71" sqref="B107:C109" name="tho_49"/>
    <protectedRange password="CF71" sqref="B110:C110" name="tho_50"/>
    <protectedRange password="CF71" sqref="B111:C111" name="tho_51"/>
    <protectedRange password="CF71" sqref="B112:C113" name="tho_52"/>
    <protectedRange password="CF71" sqref="B114:C114" name="tho_53"/>
    <protectedRange password="CF71" sqref="B115:C115" name="tho_54"/>
    <protectedRange password="CF71" sqref="B116:C119" name="tho_55"/>
    <protectedRange password="CF71" sqref="B120:C121" name="tho_56"/>
    <protectedRange password="CF71" sqref="B122:C122" name="tho_57"/>
    <protectedRange password="CF71" sqref="B123:C124" name="tho_58"/>
    <protectedRange password="CF71" sqref="B125:C126" name="tho_59"/>
    <protectedRange password="CF71" sqref="B127:C127" name="tho_60"/>
    <protectedRange password="CF71" sqref="B128:C128" name="tho_61"/>
    <protectedRange password="CF71" sqref="B129:C129" name="tho_62"/>
    <protectedRange password="CF71" sqref="B130:C130" name="tho_63"/>
    <protectedRange password="CF71" sqref="B131:C132" name="tho_64"/>
    <protectedRange password="CF71" sqref="B133:C133" name="tho_65"/>
    <protectedRange password="CF71" sqref="B134:C134" name="tho_66"/>
    <protectedRange password="CF71" sqref="B135:C136" name="tho_67"/>
    <protectedRange password="CF71" sqref="B137:C138" name="tho_68"/>
    <protectedRange password="CF71" sqref="B139:C139" name="tho_69"/>
    <protectedRange password="CF71" sqref="B140:C141" name="tho_70"/>
    <protectedRange password="CF71" sqref="B142:C142" name="tho_71"/>
    <protectedRange password="CF71" sqref="B143:C144" name="tho_72"/>
    <protectedRange password="CF71" sqref="B145:C145" name="tho_73"/>
    <protectedRange password="CF71" sqref="B146:C146" name="tho_74"/>
    <protectedRange password="CF71" sqref="B147:C147" name="tho_75"/>
    <protectedRange password="CF71" sqref="B148:C149" name="tho_76"/>
    <protectedRange password="CF71" sqref="B150:C150" name="tho_77"/>
    <protectedRange password="CF71" sqref="B153:C153 C154:C482" name="tho_78"/>
    <protectedRange password="CF71" sqref="B154:B482" name="tho_2_77"/>
  </protectedRanges>
  <autoFilter ref="A2:D483" xr:uid="{00000000-0009-0000-0000-00000F000000}">
    <filterColumn colId="1">
      <customFilters>
        <customFilter operator="notEqual" val=" "/>
      </customFilters>
    </filterColumn>
  </autoFilter>
  <mergeCells count="1">
    <mergeCell ref="A154:A1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674"/>
  <sheetViews>
    <sheetView topLeftCell="A367" workbookViewId="0">
      <selection activeCell="D674" sqref="D674"/>
    </sheetView>
  </sheetViews>
  <sheetFormatPr defaultRowHeight="14.4"/>
  <cols>
    <col min="1" max="1" width="41.88671875" customWidth="1"/>
    <col min="3" max="3" width="16.44140625" customWidth="1"/>
    <col min="4" max="4" width="22.44140625" customWidth="1"/>
  </cols>
  <sheetData>
    <row r="1" spans="1:4">
      <c r="A1" s="151" t="s">
        <v>409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v>15</v>
      </c>
      <c r="C3" s="157">
        <v>14000</v>
      </c>
      <c r="D3" s="158">
        <f>B3*C3</f>
        <v>210000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14</v>
      </c>
      <c r="C18" s="157">
        <v>4000</v>
      </c>
      <c r="D18" s="158">
        <f t="shared" si="0"/>
        <v>56000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f>-1000+588+1106+120</f>
        <v>814</v>
      </c>
      <c r="C20" s="157">
        <v>14000</v>
      </c>
      <c r="D20" s="158">
        <f t="shared" si="0"/>
        <v>11396000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>
      <c r="A23" s="161" t="s">
        <v>30</v>
      </c>
      <c r="B23" s="157">
        <v>4</v>
      </c>
      <c r="C23" s="157">
        <v>35000</v>
      </c>
      <c r="D23" s="158">
        <f t="shared" si="0"/>
        <v>140000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-30+5+11+25</f>
        <v>11</v>
      </c>
      <c r="C25" s="157">
        <v>9000</v>
      </c>
      <c r="D25" s="158">
        <f t="shared" si="0"/>
        <v>99000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f>55+18+76</f>
        <v>149</v>
      </c>
      <c r="C28" s="157">
        <v>15500</v>
      </c>
      <c r="D28" s="158">
        <f t="shared" si="0"/>
        <v>2309500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v>10</v>
      </c>
      <c r="C38" s="157">
        <v>11000</v>
      </c>
      <c r="D38" s="158">
        <f t="shared" si="0"/>
        <v>110000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-300+60+40+180+80+180</f>
        <v>240</v>
      </c>
      <c r="C54" s="157">
        <v>18000</v>
      </c>
      <c r="D54" s="158">
        <f t="shared" si="0"/>
        <v>4320000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50</v>
      </c>
      <c r="C64" s="157">
        <v>15000</v>
      </c>
      <c r="D64" s="158">
        <f t="shared" si="0"/>
        <v>750000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30</v>
      </c>
      <c r="C70" s="157">
        <v>8000</v>
      </c>
      <c r="D70" s="158">
        <f t="shared" si="1"/>
        <v>240000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>
      <c r="A79" s="173" t="s">
        <v>91</v>
      </c>
      <c r="B79" s="157">
        <f>10/0.5</f>
        <v>20</v>
      </c>
      <c r="C79" s="157">
        <v>22000</v>
      </c>
      <c r="D79" s="158">
        <f t="shared" si="1"/>
        <v>440000</v>
      </c>
    </row>
    <row r="80" spans="1:4" ht="18">
      <c r="A80" s="161" t="s">
        <v>92</v>
      </c>
      <c r="B80" s="157">
        <f>35+16</f>
        <v>51</v>
      </c>
      <c r="C80" s="157">
        <v>27000</v>
      </c>
      <c r="D80" s="158">
        <f t="shared" si="1"/>
        <v>1377000</v>
      </c>
    </row>
    <row r="81" spans="1:4" ht="18">
      <c r="A81" s="161" t="s">
        <v>94</v>
      </c>
      <c r="B81" s="157">
        <v>20</v>
      </c>
      <c r="C81" s="157">
        <v>22000</v>
      </c>
      <c r="D81" s="158">
        <f t="shared" si="1"/>
        <v>440000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>
      <c r="A87" s="161" t="s">
        <v>100</v>
      </c>
      <c r="B87" s="157">
        <v>60</v>
      </c>
      <c r="C87" s="157">
        <v>19000</v>
      </c>
      <c r="D87" s="158">
        <f t="shared" si="1"/>
        <v>1140000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>
      <c r="A91" s="161" t="s">
        <v>104</v>
      </c>
      <c r="B91" s="157">
        <f>9+5</f>
        <v>14</v>
      </c>
      <c r="C91" s="157">
        <v>9000</v>
      </c>
      <c r="D91" s="158">
        <f t="shared" si="1"/>
        <v>126000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>
      <c r="A111" s="161" t="s">
        <v>124</v>
      </c>
      <c r="B111" s="157">
        <f>35+50</f>
        <v>85</v>
      </c>
      <c r="C111" s="157">
        <v>15000</v>
      </c>
      <c r="D111" s="158">
        <f t="shared" si="1"/>
        <v>1275000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-20+40</f>
        <v>20</v>
      </c>
      <c r="C123" s="157">
        <v>11000</v>
      </c>
      <c r="D123" s="158">
        <f t="shared" si="1"/>
        <v>220000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1</v>
      </c>
      <c r="C132" s="162">
        <v>16000</v>
      </c>
      <c r="D132" s="158">
        <f t="shared" ref="D132:D195" si="2">B132*C132</f>
        <v>16000</v>
      </c>
    </row>
    <row r="133" spans="1:4" ht="18">
      <c r="A133" s="161" t="s">
        <v>147</v>
      </c>
      <c r="B133" s="157">
        <v>10</v>
      </c>
      <c r="C133" s="157">
        <v>9000</v>
      </c>
      <c r="D133" s="158">
        <f t="shared" si="2"/>
        <v>90000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-60+30+100</f>
        <v>70</v>
      </c>
      <c r="C136" s="157">
        <v>15000</v>
      </c>
      <c r="D136" s="158">
        <f t="shared" si="2"/>
        <v>1050000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>
      <c r="A161" s="161" t="s">
        <v>175</v>
      </c>
      <c r="B161" s="157">
        <v>14</v>
      </c>
      <c r="C161" s="157">
        <v>8000</v>
      </c>
      <c r="D161" s="158">
        <f t="shared" si="2"/>
        <v>112000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>
      <c r="A169" s="161" t="s">
        <v>183</v>
      </c>
      <c r="B169" s="157">
        <f>686+30</f>
        <v>716</v>
      </c>
      <c r="C169" s="181">
        <v>6500</v>
      </c>
      <c r="D169" s="158">
        <f t="shared" si="2"/>
        <v>4654000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55</v>
      </c>
      <c r="C171" s="157">
        <v>11000</v>
      </c>
      <c r="D171" s="158">
        <f t="shared" si="2"/>
        <v>605000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v>20</v>
      </c>
      <c r="C185" s="157">
        <v>3000</v>
      </c>
      <c r="D185" s="158">
        <f t="shared" si="2"/>
        <v>60000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v>450</v>
      </c>
      <c r="C202" s="157">
        <v>19000</v>
      </c>
      <c r="D202" s="158">
        <f t="shared" si="3"/>
        <v>8550000</v>
      </c>
    </row>
    <row r="203" spans="1:4" ht="18">
      <c r="A203" s="156" t="s">
        <v>217</v>
      </c>
      <c r="B203" s="157">
        <v>200</v>
      </c>
      <c r="C203" s="157">
        <v>19000</v>
      </c>
      <c r="D203" s="158">
        <f t="shared" si="3"/>
        <v>3800000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-400+20+360+160</f>
        <v>140</v>
      </c>
      <c r="C205" s="157">
        <v>16000</v>
      </c>
      <c r="D205" s="158">
        <f t="shared" si="3"/>
        <v>2240000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-300+45+40+10+220+150+50</f>
        <v>215</v>
      </c>
      <c r="C216" s="157">
        <v>15000</v>
      </c>
      <c r="D216" s="158">
        <f t="shared" si="3"/>
        <v>3225000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 hidden="1">
      <c r="A218" s="161" t="s">
        <v>232</v>
      </c>
      <c r="B218" s="157"/>
      <c r="C218" s="157"/>
      <c r="D218" s="158">
        <f t="shared" si="3"/>
        <v>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f>13-5</f>
        <v>8</v>
      </c>
      <c r="C248" s="157">
        <v>14000</v>
      </c>
      <c r="D248" s="158">
        <f t="shared" si="3"/>
        <v>112000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-20+17+7+100+5</f>
        <v>109</v>
      </c>
      <c r="C251" s="157">
        <v>27000</v>
      </c>
      <c r="D251" s="158">
        <f t="shared" si="3"/>
        <v>2943000</v>
      </c>
    </row>
    <row r="252" spans="1:4" ht="18">
      <c r="A252" s="161" t="s">
        <v>266</v>
      </c>
      <c r="B252" s="157">
        <f>7+4+5</f>
        <v>16</v>
      </c>
      <c r="C252" s="157">
        <v>24000</v>
      </c>
      <c r="D252" s="158">
        <f t="shared" si="3"/>
        <v>384000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3+80+10</f>
        <v>93</v>
      </c>
      <c r="C259" s="157">
        <v>30000</v>
      </c>
      <c r="D259" s="158">
        <f t="shared" si="3"/>
        <v>2790000</v>
      </c>
    </row>
    <row r="260" spans="1:4" ht="18">
      <c r="A260" s="161" t="s">
        <v>274</v>
      </c>
      <c r="B260" s="157">
        <f>4+5</f>
        <v>9</v>
      </c>
      <c r="C260" s="157">
        <v>24000</v>
      </c>
      <c r="D260" s="158">
        <f t="shared" ref="D260:D323" si="4">B260*C260</f>
        <v>216000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-20+20+26+4+15+10</f>
        <v>55</v>
      </c>
      <c r="C263" s="157">
        <v>20000</v>
      </c>
      <c r="D263" s="158">
        <f t="shared" si="4"/>
        <v>1100000</v>
      </c>
    </row>
    <row r="264" spans="1:4" ht="18">
      <c r="A264" s="161" t="s">
        <v>278</v>
      </c>
      <c r="B264" s="157">
        <v>4</v>
      </c>
      <c r="C264" s="157">
        <v>14000</v>
      </c>
      <c r="D264" s="158">
        <f t="shared" si="4"/>
        <v>56000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23</v>
      </c>
      <c r="C274" s="157">
        <v>14000</v>
      </c>
      <c r="D274" s="158">
        <f t="shared" si="4"/>
        <v>322000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30</v>
      </c>
      <c r="C288" s="157">
        <v>11000</v>
      </c>
      <c r="D288" s="158">
        <f t="shared" si="4"/>
        <v>330000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f>5+45+15</f>
        <v>65</v>
      </c>
      <c r="C291" s="157">
        <v>8500</v>
      </c>
      <c r="D291" s="158">
        <f t="shared" si="4"/>
        <v>552500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f>10+58</f>
        <v>68</v>
      </c>
      <c r="C294" s="157">
        <v>10000</v>
      </c>
      <c r="D294" s="158">
        <f t="shared" si="4"/>
        <v>680000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3978</v>
      </c>
      <c r="C340" s="189"/>
      <c r="D340" s="158">
        <f>SUM(D3:D294)</f>
        <v>58536000</v>
      </c>
    </row>
    <row r="341" spans="1:4" ht="18" hidden="1">
      <c r="D341" s="158">
        <f t="shared" si="5"/>
        <v>0</v>
      </c>
    </row>
    <row r="342" spans="1:4" ht="18">
      <c r="A342" s="151" t="s">
        <v>410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v>360</v>
      </c>
      <c r="C348" s="157">
        <v>5500</v>
      </c>
      <c r="D348" s="158">
        <f t="shared" si="5"/>
        <v>1980000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5"/>
        <v>14000000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9000</v>
      </c>
      <c r="D367" s="158">
        <f t="shared" si="5"/>
        <v>270000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>
      <c r="A387" s="161" t="s">
        <v>63</v>
      </c>
      <c r="B387" s="157">
        <v>5</v>
      </c>
      <c r="C387" s="157">
        <v>24000</v>
      </c>
      <c r="D387" s="158">
        <f t="shared" si="5"/>
        <v>120000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18000</v>
      </c>
      <c r="D389" s="158">
        <f t="shared" si="6"/>
        <v>5400000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f>100+18</f>
        <v>118</v>
      </c>
      <c r="C414" s="157">
        <v>24000</v>
      </c>
      <c r="D414" s="158">
        <f t="shared" si="6"/>
        <v>2832000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>
      <c r="A442" s="161" t="s">
        <v>117</v>
      </c>
      <c r="B442" s="157">
        <f>25+5+10</f>
        <v>40</v>
      </c>
      <c r="C442" s="157">
        <v>8500</v>
      </c>
      <c r="D442" s="158">
        <f t="shared" si="6"/>
        <v>340000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 hidden="1">
      <c r="A449" s="161" t="s">
        <v>124</v>
      </c>
      <c r="B449" s="157"/>
      <c r="C449" s="157"/>
      <c r="D449" s="158">
        <f t="shared" si="6"/>
        <v>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15000</v>
      </c>
      <c r="D472" s="158">
        <f t="shared" si="7"/>
        <v>900000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>
      <c r="A492" s="161" t="s">
        <v>169</v>
      </c>
      <c r="B492" s="157">
        <v>17</v>
      </c>
      <c r="C492" s="157">
        <v>9000</v>
      </c>
      <c r="D492" s="158">
        <f t="shared" si="7"/>
        <v>153000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>
      <c r="A504" s="161" t="s">
        <v>365</v>
      </c>
      <c r="B504" s="157">
        <v>6</v>
      </c>
      <c r="C504" s="157">
        <v>6500</v>
      </c>
      <c r="D504" s="158">
        <f t="shared" si="7"/>
        <v>39000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f>20+360</f>
        <v>380</v>
      </c>
      <c r="C520" s="157">
        <v>6800</v>
      </c>
      <c r="D520" s="158">
        <f t="shared" si="8"/>
        <v>2584000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16000</v>
      </c>
      <c r="D542" s="158">
        <f t="shared" si="8"/>
        <v>6400000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>
      <c r="A551" s="161" t="s">
        <v>368</v>
      </c>
      <c r="B551" s="157">
        <f>47/0.5</f>
        <v>94</v>
      </c>
      <c r="C551" s="157">
        <v>12000</v>
      </c>
      <c r="D551" s="158">
        <f t="shared" si="8"/>
        <v>1128000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27000</v>
      </c>
      <c r="D585" s="158">
        <f t="shared" si="9"/>
        <v>540000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30000</v>
      </c>
      <c r="D593" s="158">
        <f t="shared" si="9"/>
        <v>600000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20000</v>
      </c>
      <c r="D597" s="158">
        <f t="shared" si="9"/>
        <v>400000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3190</v>
      </c>
      <c r="C672" s="189"/>
      <c r="D672" s="189">
        <f t="shared" ref="D672" si="11">SUM(D345:D671)</f>
        <v>42406000</v>
      </c>
    </row>
    <row r="674" spans="4:4">
      <c r="D674" s="190">
        <f>D672+D340</f>
        <v>100942000</v>
      </c>
    </row>
  </sheetData>
  <protectedRanges>
    <protectedRange password="CF71" sqref="B3:C339 B1:D2" name="tho_4"/>
    <protectedRange password="CF71" sqref="D3:D671" name="tho_2_1"/>
    <protectedRange password="CF71" sqref="B342:C342 C343:C671" name="tho_5"/>
    <protectedRange password="CF71" sqref="B343:B671" name="tho_2_2"/>
  </protectedRanges>
  <autoFilter ref="A2:D672" xr:uid="{00000000-0009-0000-0000-000010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674"/>
  <sheetViews>
    <sheetView topLeftCell="A343" workbookViewId="0">
      <selection activeCell="D674" sqref="D674"/>
    </sheetView>
  </sheetViews>
  <sheetFormatPr defaultRowHeight="14.4"/>
  <cols>
    <col min="1" max="1" width="42.88671875" customWidth="1"/>
    <col min="3" max="3" width="14.33203125" customWidth="1"/>
    <col min="4" max="4" width="20.109375" customWidth="1"/>
  </cols>
  <sheetData>
    <row r="1" spans="1:4">
      <c r="A1" s="151" t="s">
        <v>411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v>4</v>
      </c>
      <c r="C3" s="157">
        <v>14000</v>
      </c>
      <c r="D3" s="158">
        <f>B3*C3</f>
        <v>56000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8</v>
      </c>
      <c r="C15" s="157">
        <v>18000</v>
      </c>
      <c r="D15" s="158">
        <f t="shared" si="0"/>
        <v>144000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f>-1000+2430</f>
        <v>1430</v>
      </c>
      <c r="C20" s="157">
        <v>14000</v>
      </c>
      <c r="D20" s="158">
        <f t="shared" si="0"/>
        <v>20020000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-30+37+25+30</f>
        <v>62</v>
      </c>
      <c r="C25" s="157">
        <v>9000</v>
      </c>
      <c r="D25" s="158">
        <f t="shared" si="0"/>
        <v>558000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-300+140+60+40+50+180+60</f>
        <v>230</v>
      </c>
      <c r="C54" s="157">
        <v>18000</v>
      </c>
      <c r="D54" s="158">
        <f t="shared" si="0"/>
        <v>4140000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14</v>
      </c>
      <c r="C61" s="157">
        <v>10000</v>
      </c>
      <c r="D61" s="158">
        <f t="shared" si="0"/>
        <v>140000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25</v>
      </c>
      <c r="C64" s="157">
        <v>15000</v>
      </c>
      <c r="D64" s="158">
        <f t="shared" si="0"/>
        <v>375000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-150+100+20+195+40+10</f>
        <v>215</v>
      </c>
      <c r="C78" s="157">
        <v>24000</v>
      </c>
      <c r="D78" s="158">
        <f t="shared" si="1"/>
        <v>5160000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105</v>
      </c>
      <c r="C80" s="157">
        <v>26000</v>
      </c>
      <c r="D80" s="158">
        <f t="shared" si="1"/>
        <v>2730000</v>
      </c>
    </row>
    <row r="81" spans="1:4" ht="18">
      <c r="A81" s="161" t="s">
        <v>94</v>
      </c>
      <c r="B81" s="157">
        <v>9</v>
      </c>
      <c r="C81" s="157">
        <v>22000</v>
      </c>
      <c r="D81" s="158">
        <f t="shared" si="1"/>
        <v>198000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40</v>
      </c>
      <c r="C104" s="157">
        <v>8500</v>
      </c>
      <c r="D104" s="158">
        <f t="shared" si="1"/>
        <v>340000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-20+40</f>
        <v>20</v>
      </c>
      <c r="C123" s="157">
        <v>11000</v>
      </c>
      <c r="D123" s="158">
        <f t="shared" si="1"/>
        <v>220000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8.5</v>
      </c>
      <c r="C132" s="162">
        <v>16000</v>
      </c>
      <c r="D132" s="158">
        <f t="shared" ref="D132:D195" si="2">B132*C132</f>
        <v>136000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-60+20+20+45</f>
        <v>25</v>
      </c>
      <c r="C136" s="157">
        <v>15000</v>
      </c>
      <c r="D136" s="158">
        <f t="shared" si="2"/>
        <v>375000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>
      <c r="A154" s="161" t="s">
        <v>168</v>
      </c>
      <c r="B154" s="157">
        <v>5</v>
      </c>
      <c r="C154" s="157">
        <v>18000</v>
      </c>
      <c r="D154" s="158">
        <f t="shared" si="2"/>
        <v>90000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>
      <c r="A156" s="161" t="s">
        <v>170</v>
      </c>
      <c r="B156" s="157">
        <v>11</v>
      </c>
      <c r="C156" s="157">
        <v>9500</v>
      </c>
      <c r="D156" s="158">
        <f t="shared" si="2"/>
        <v>104500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18.5</v>
      </c>
      <c r="C171" s="157">
        <v>11000</v>
      </c>
      <c r="D171" s="158">
        <f t="shared" si="2"/>
        <v>203500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>
      <c r="A176" s="159" t="s">
        <v>190</v>
      </c>
      <c r="B176" s="157">
        <v>3</v>
      </c>
      <c r="C176" s="157">
        <v>7000</v>
      </c>
      <c r="D176" s="158">
        <f t="shared" si="2"/>
        <v>21000</v>
      </c>
    </row>
    <row r="177" spans="1:4" ht="18">
      <c r="A177" s="161" t="s">
        <v>191</v>
      </c>
      <c r="B177" s="157">
        <v>1</v>
      </c>
      <c r="C177" s="157">
        <v>45000</v>
      </c>
      <c r="D177" s="158">
        <f t="shared" si="2"/>
        <v>45000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v>60</v>
      </c>
      <c r="C185" s="157">
        <v>4000</v>
      </c>
      <c r="D185" s="158">
        <f t="shared" si="2"/>
        <v>240000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30+100+65+18+200</f>
        <v>413</v>
      </c>
      <c r="C202" s="157">
        <v>19000</v>
      </c>
      <c r="D202" s="158">
        <f t="shared" si="3"/>
        <v>7847000</v>
      </c>
    </row>
    <row r="203" spans="1:4" ht="18">
      <c r="A203" s="156" t="s">
        <v>217</v>
      </c>
      <c r="B203" s="157">
        <v>120</v>
      </c>
      <c r="C203" s="157">
        <v>20000</v>
      </c>
      <c r="D203" s="158">
        <f t="shared" si="3"/>
        <v>2400000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-400+160+240+55+240+60</f>
        <v>355</v>
      </c>
      <c r="C205" s="157">
        <v>16500</v>
      </c>
      <c r="D205" s="158">
        <f t="shared" si="3"/>
        <v>5857500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34</v>
      </c>
      <c r="C211" s="157">
        <v>12000</v>
      </c>
      <c r="D211" s="158">
        <f t="shared" si="3"/>
        <v>408000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220+240-300</f>
        <v>160</v>
      </c>
      <c r="C216" s="157">
        <v>16000</v>
      </c>
      <c r="D216" s="158">
        <f t="shared" si="3"/>
        <v>2560000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120*2</f>
        <v>240</v>
      </c>
      <c r="C218" s="157">
        <v>13000</v>
      </c>
      <c r="D218" s="158">
        <f t="shared" si="3"/>
        <v>3120000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11</v>
      </c>
      <c r="C248" s="157">
        <v>14000</v>
      </c>
      <c r="D248" s="158">
        <f t="shared" si="3"/>
        <v>154000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-20+20+25+20+20</f>
        <v>65</v>
      </c>
      <c r="C251" s="157">
        <v>27000</v>
      </c>
      <c r="D251" s="158">
        <f t="shared" si="3"/>
        <v>1755000</v>
      </c>
    </row>
    <row r="252" spans="1:4" ht="18">
      <c r="A252" s="161" t="s">
        <v>266</v>
      </c>
      <c r="B252" s="157">
        <f>12+10+20</f>
        <v>42</v>
      </c>
      <c r="C252" s="157">
        <v>24000</v>
      </c>
      <c r="D252" s="158">
        <f t="shared" si="3"/>
        <v>1008000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-20+70+9</f>
        <v>59</v>
      </c>
      <c r="C259" s="157">
        <v>30000</v>
      </c>
      <c r="D259" s="158">
        <f t="shared" si="3"/>
        <v>1770000</v>
      </c>
    </row>
    <row r="260" spans="1:4" ht="18">
      <c r="A260" s="161" t="s">
        <v>274</v>
      </c>
      <c r="B260" s="157">
        <f>10+10+20+10</f>
        <v>50</v>
      </c>
      <c r="C260" s="157">
        <v>24000</v>
      </c>
      <c r="D260" s="158">
        <f t="shared" ref="D260:D323" si="4">B260*C260</f>
        <v>1200000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 hidden="1">
      <c r="A263" s="161" t="s">
        <v>277</v>
      </c>
      <c r="B263" s="157"/>
      <c r="C263" s="157"/>
      <c r="D263" s="158">
        <f t="shared" si="4"/>
        <v>0</v>
      </c>
    </row>
    <row r="264" spans="1:4" ht="18">
      <c r="A264" s="161" t="s">
        <v>278</v>
      </c>
      <c r="B264" s="157">
        <v>15</v>
      </c>
      <c r="C264" s="157">
        <v>14000</v>
      </c>
      <c r="D264" s="158">
        <f t="shared" si="4"/>
        <v>210000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>
      <c r="A269" s="159" t="s">
        <v>283</v>
      </c>
      <c r="B269" s="157">
        <v>9</v>
      </c>
      <c r="C269" s="157">
        <v>35000</v>
      </c>
      <c r="D269" s="158">
        <f t="shared" si="4"/>
        <v>315000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8</v>
      </c>
      <c r="C274" s="157">
        <v>14000</v>
      </c>
      <c r="D274" s="158">
        <f t="shared" si="4"/>
        <v>112000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26</v>
      </c>
      <c r="C288" s="157">
        <v>11000</v>
      </c>
      <c r="D288" s="158">
        <f t="shared" si="4"/>
        <v>286000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10</v>
      </c>
      <c r="C291" s="157">
        <v>8500</v>
      </c>
      <c r="D291" s="158">
        <f t="shared" si="4"/>
        <v>85000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27</v>
      </c>
      <c r="C294" s="157">
        <v>9000</v>
      </c>
      <c r="D294" s="158">
        <f t="shared" si="4"/>
        <v>243000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>
      <c r="A327" s="161" t="s">
        <v>341</v>
      </c>
      <c r="B327" s="157">
        <v>3</v>
      </c>
      <c r="C327" s="157">
        <v>30000</v>
      </c>
      <c r="D327" s="158">
        <f t="shared" si="5"/>
        <v>90000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3941</v>
      </c>
      <c r="C340" s="189"/>
      <c r="D340" s="158">
        <f>SUM(D3:D327)</f>
        <v>64716500</v>
      </c>
    </row>
    <row r="341" spans="1:4" ht="18" hidden="1">
      <c r="D341" s="158">
        <f t="shared" si="5"/>
        <v>0</v>
      </c>
    </row>
    <row r="342" spans="1:4" ht="18">
      <c r="A342" s="151" t="s">
        <v>412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56" t="s">
        <v>82</v>
      </c>
      <c r="B345" s="157"/>
      <c r="C345" s="157"/>
      <c r="D345" s="158">
        <f t="shared" si="5"/>
        <v>0</v>
      </c>
    </row>
    <row r="346" spans="1:4" ht="18" hidden="1">
      <c r="A346" s="159" t="s">
        <v>83</v>
      </c>
      <c r="B346" s="157"/>
      <c r="C346" s="157"/>
      <c r="D346" s="158">
        <f t="shared" si="5"/>
        <v>0</v>
      </c>
    </row>
    <row r="347" spans="1:4" ht="18" hidden="1">
      <c r="A347" s="156" t="s">
        <v>84</v>
      </c>
      <c r="B347" s="157"/>
      <c r="C347" s="157"/>
      <c r="D347" s="158">
        <f t="shared" si="5"/>
        <v>0</v>
      </c>
    </row>
    <row r="348" spans="1:4" ht="18" hidden="1">
      <c r="A348" s="156" t="s">
        <v>85</v>
      </c>
      <c r="B348" s="157"/>
      <c r="C348" s="157"/>
      <c r="D348" s="158">
        <f t="shared" si="5"/>
        <v>0</v>
      </c>
    </row>
    <row r="349" spans="1:4" ht="18" hidden="1">
      <c r="A349" s="156" t="s">
        <v>86</v>
      </c>
      <c r="B349" s="157"/>
      <c r="C349" s="157"/>
      <c r="D349" s="158">
        <f t="shared" si="5"/>
        <v>0</v>
      </c>
    </row>
    <row r="350" spans="1:4" ht="18" hidden="1">
      <c r="A350" s="160" t="s">
        <v>87</v>
      </c>
      <c r="B350" s="157"/>
      <c r="C350" s="157"/>
      <c r="D350" s="158">
        <f t="shared" si="5"/>
        <v>0</v>
      </c>
    </row>
    <row r="351" spans="1:4" ht="18" hidden="1">
      <c r="A351" s="161" t="s">
        <v>88</v>
      </c>
      <c r="B351" s="157"/>
      <c r="C351" s="157"/>
      <c r="D351" s="158">
        <f t="shared" si="5"/>
        <v>0</v>
      </c>
    </row>
    <row r="352" spans="1:4" ht="18" hidden="1">
      <c r="A352" s="156" t="s">
        <v>96</v>
      </c>
      <c r="B352" s="162"/>
      <c r="C352" s="162"/>
      <c r="D352" s="158">
        <f t="shared" si="5"/>
        <v>0</v>
      </c>
    </row>
    <row r="353" spans="1:4" ht="18" hidden="1">
      <c r="A353" s="156" t="s">
        <v>97</v>
      </c>
      <c r="B353" s="162"/>
      <c r="C353" s="162"/>
      <c r="D353" s="158">
        <f t="shared" si="5"/>
        <v>0</v>
      </c>
    </row>
    <row r="354" spans="1:4" ht="18" hidden="1">
      <c r="A354" s="156" t="s">
        <v>98</v>
      </c>
      <c r="B354" s="162"/>
      <c r="C354" s="162"/>
      <c r="D354" s="158">
        <f t="shared" si="5"/>
        <v>0</v>
      </c>
    </row>
    <row r="355" spans="1:4" ht="18" hidden="1">
      <c r="A355" s="161" t="s">
        <v>110</v>
      </c>
      <c r="B355" s="157"/>
      <c r="C355" s="157"/>
      <c r="D355" s="158">
        <f t="shared" si="5"/>
        <v>0</v>
      </c>
    </row>
    <row r="356" spans="1:4" ht="18" hidden="1">
      <c r="A356" s="161" t="s">
        <v>111</v>
      </c>
      <c r="B356" s="157"/>
      <c r="C356" s="157"/>
      <c r="D356" s="158">
        <f t="shared" si="5"/>
        <v>0</v>
      </c>
    </row>
    <row r="357" spans="1:4" ht="18" hidden="1">
      <c r="A357" s="161" t="s">
        <v>113</v>
      </c>
      <c r="B357" s="162"/>
      <c r="C357" s="162"/>
      <c r="D357" s="158">
        <f t="shared" si="5"/>
        <v>0</v>
      </c>
    </row>
    <row r="358" spans="1:4" ht="18" hidden="1">
      <c r="A358" s="163" t="s">
        <v>115</v>
      </c>
      <c r="B358" s="157"/>
      <c r="C358" s="157"/>
      <c r="D358" s="158">
        <f t="shared" si="5"/>
        <v>0</v>
      </c>
    </row>
    <row r="359" spans="1:4" ht="18" hidden="1">
      <c r="A359" s="159" t="s">
        <v>131</v>
      </c>
      <c r="B359" s="157"/>
      <c r="C359" s="157"/>
      <c r="D359" s="158">
        <f t="shared" si="5"/>
        <v>0</v>
      </c>
    </row>
    <row r="360" spans="1:4" ht="18" hidden="1">
      <c r="A360" s="163" t="s">
        <v>132</v>
      </c>
      <c r="B360" s="157"/>
      <c r="C360" s="157"/>
      <c r="D360" s="158">
        <f t="shared" si="5"/>
        <v>0</v>
      </c>
    </row>
    <row r="361" spans="1:4" ht="18" hidden="1">
      <c r="A361" s="161" t="s">
        <v>124</v>
      </c>
      <c r="B361" s="157"/>
      <c r="C361" s="157"/>
      <c r="D361" s="158">
        <f t="shared" si="5"/>
        <v>0</v>
      </c>
    </row>
    <row r="362" spans="1:4" ht="18" hidden="1">
      <c r="A362" s="161" t="s">
        <v>125</v>
      </c>
      <c r="B362" s="157"/>
      <c r="C362" s="157"/>
      <c r="D362" s="158">
        <f t="shared" si="5"/>
        <v>0</v>
      </c>
    </row>
    <row r="363" spans="1:4" ht="18" hidden="1">
      <c r="A363" s="161" t="s">
        <v>126</v>
      </c>
      <c r="B363" s="157"/>
      <c r="C363" s="157"/>
      <c r="D363" s="158">
        <f t="shared" si="5"/>
        <v>0</v>
      </c>
    </row>
    <row r="364" spans="1:4" ht="18" hidden="1">
      <c r="A364" s="159" t="s">
        <v>264</v>
      </c>
      <c r="B364" s="157"/>
      <c r="C364" s="157"/>
      <c r="D364" s="158">
        <f t="shared" si="5"/>
        <v>0</v>
      </c>
    </row>
    <row r="365" spans="1:4" ht="18">
      <c r="A365" s="161" t="s">
        <v>265</v>
      </c>
      <c r="B365" s="157">
        <v>20</v>
      </c>
      <c r="C365" s="157">
        <v>27000</v>
      </c>
      <c r="D365" s="158">
        <f t="shared" si="5"/>
        <v>540000</v>
      </c>
    </row>
    <row r="366" spans="1:4" ht="18" hidden="1">
      <c r="A366" s="161" t="s">
        <v>266</v>
      </c>
      <c r="B366" s="157"/>
      <c r="C366" s="157"/>
      <c r="D366" s="158">
        <f t="shared" si="5"/>
        <v>0</v>
      </c>
    </row>
    <row r="367" spans="1:4" ht="18" hidden="1">
      <c r="A367" s="161" t="s">
        <v>267</v>
      </c>
      <c r="B367" s="157"/>
      <c r="C367" s="157"/>
      <c r="D367" s="158">
        <f t="shared" si="5"/>
        <v>0</v>
      </c>
    </row>
    <row r="368" spans="1:4" ht="18" hidden="1">
      <c r="A368" s="161" t="s">
        <v>268</v>
      </c>
      <c r="B368" s="157"/>
      <c r="C368" s="157"/>
      <c r="D368" s="158">
        <f t="shared" si="5"/>
        <v>0</v>
      </c>
    </row>
    <row r="369" spans="1:4" ht="18" hidden="1">
      <c r="A369" s="161" t="s">
        <v>269</v>
      </c>
      <c r="B369" s="157"/>
      <c r="C369" s="157"/>
      <c r="D369" s="158">
        <f t="shared" si="5"/>
        <v>0</v>
      </c>
    </row>
    <row r="370" spans="1:4" ht="18">
      <c r="A370" s="161" t="s">
        <v>273</v>
      </c>
      <c r="B370" s="157">
        <v>20</v>
      </c>
      <c r="C370" s="157">
        <v>30000</v>
      </c>
      <c r="D370" s="158">
        <f t="shared" si="5"/>
        <v>600000</v>
      </c>
    </row>
    <row r="371" spans="1:4" ht="18" hidden="1">
      <c r="A371" s="161" t="s">
        <v>274</v>
      </c>
      <c r="B371" s="157"/>
      <c r="C371" s="157"/>
      <c r="D371" s="158">
        <f t="shared" si="5"/>
        <v>0</v>
      </c>
    </row>
    <row r="372" spans="1:4" ht="18" hidden="1">
      <c r="A372" s="161" t="s">
        <v>275</v>
      </c>
      <c r="B372" s="157"/>
      <c r="C372" s="157"/>
      <c r="D372" s="158">
        <f t="shared" si="5"/>
        <v>0</v>
      </c>
    </row>
    <row r="373" spans="1:4" ht="18" hidden="1">
      <c r="A373" s="161" t="s">
        <v>276</v>
      </c>
      <c r="B373" s="157"/>
      <c r="C373" s="157"/>
      <c r="D373" s="158">
        <f t="shared" si="5"/>
        <v>0</v>
      </c>
    </row>
    <row r="374" spans="1:4" ht="18">
      <c r="A374" s="161" t="s">
        <v>277</v>
      </c>
      <c r="B374" s="157">
        <v>17</v>
      </c>
      <c r="C374" s="157">
        <v>18000</v>
      </c>
      <c r="D374" s="158">
        <f t="shared" si="5"/>
        <v>306000</v>
      </c>
    </row>
    <row r="375" spans="1:4" ht="18" hidden="1">
      <c r="A375" s="161" t="s">
        <v>278</v>
      </c>
      <c r="B375" s="157"/>
      <c r="C375" s="157"/>
      <c r="D375" s="158">
        <f t="shared" si="5"/>
        <v>0</v>
      </c>
    </row>
    <row r="376" spans="1:4" ht="18" hidden="1">
      <c r="A376" s="161" t="s">
        <v>279</v>
      </c>
      <c r="B376" s="157"/>
      <c r="C376" s="157"/>
      <c r="D376" s="158">
        <f t="shared" si="5"/>
        <v>0</v>
      </c>
    </row>
    <row r="377" spans="1:4" ht="18">
      <c r="A377" s="161" t="s">
        <v>150</v>
      </c>
      <c r="B377" s="157">
        <v>60</v>
      </c>
      <c r="C377" s="157">
        <v>15000</v>
      </c>
      <c r="D377" s="158">
        <f t="shared" si="5"/>
        <v>900000</v>
      </c>
    </row>
    <row r="378" spans="1:4" ht="18" hidden="1">
      <c r="A378" s="164" t="s">
        <v>151</v>
      </c>
      <c r="B378" s="157"/>
      <c r="C378" s="157"/>
      <c r="D378" s="158">
        <f t="shared" si="5"/>
        <v>0</v>
      </c>
    </row>
    <row r="379" spans="1:4" ht="18" hidden="1">
      <c r="A379" s="161" t="s">
        <v>192</v>
      </c>
      <c r="B379" s="157"/>
      <c r="C379" s="157"/>
      <c r="D379" s="158">
        <f t="shared" si="5"/>
        <v>0</v>
      </c>
    </row>
    <row r="380" spans="1:4" ht="18" hidden="1">
      <c r="A380" s="156" t="s">
        <v>208</v>
      </c>
      <c r="B380" s="157"/>
      <c r="C380" s="157"/>
      <c r="D380" s="158">
        <f t="shared" si="5"/>
        <v>0</v>
      </c>
    </row>
    <row r="381" spans="1:4" ht="18" hidden="1">
      <c r="A381" s="161" t="s">
        <v>334</v>
      </c>
      <c r="B381" s="157"/>
      <c r="C381" s="157"/>
      <c r="D381" s="158">
        <f t="shared" si="5"/>
        <v>0</v>
      </c>
    </row>
    <row r="382" spans="1:4" ht="18" hidden="1">
      <c r="A382" s="161" t="s">
        <v>227</v>
      </c>
      <c r="B382" s="157"/>
      <c r="C382" s="157"/>
      <c r="D382" s="158">
        <f t="shared" si="5"/>
        <v>0</v>
      </c>
    </row>
    <row r="383" spans="1:4" ht="18" hidden="1">
      <c r="A383" s="165" t="s">
        <v>228</v>
      </c>
      <c r="B383" s="157"/>
      <c r="C383" s="157"/>
      <c r="D383" s="158">
        <f t="shared" si="5"/>
        <v>0</v>
      </c>
    </row>
    <row r="384" spans="1:4" ht="18" hidden="1">
      <c r="A384" s="161" t="s">
        <v>229</v>
      </c>
      <c r="B384" s="157"/>
      <c r="C384" s="157"/>
      <c r="D384" s="158">
        <f t="shared" si="5"/>
        <v>0</v>
      </c>
    </row>
    <row r="385" spans="1:4" ht="18">
      <c r="A385" s="161" t="s">
        <v>230</v>
      </c>
      <c r="B385" s="157">
        <v>300</v>
      </c>
      <c r="C385" s="157">
        <v>15000</v>
      </c>
      <c r="D385" s="158">
        <f t="shared" si="5"/>
        <v>4500000</v>
      </c>
    </row>
    <row r="386" spans="1:4" ht="18" hidden="1">
      <c r="A386" s="161" t="s">
        <v>231</v>
      </c>
      <c r="B386" s="157"/>
      <c r="C386" s="157"/>
      <c r="D386" s="158">
        <f t="shared" si="5"/>
        <v>0</v>
      </c>
    </row>
    <row r="387" spans="1:4" ht="18" hidden="1">
      <c r="A387" s="161" t="s">
        <v>370</v>
      </c>
      <c r="B387" s="157"/>
      <c r="C387" s="157"/>
      <c r="D387" s="158">
        <f t="shared" si="5"/>
        <v>0</v>
      </c>
    </row>
    <row r="388" spans="1:4" ht="18" hidden="1">
      <c r="A388" s="161" t="s">
        <v>232</v>
      </c>
      <c r="B388" s="157"/>
      <c r="C388" s="157"/>
      <c r="D388" s="158">
        <f t="shared" ref="D388:D451" si="6">B388*C388</f>
        <v>0</v>
      </c>
    </row>
    <row r="389" spans="1:4" ht="18" hidden="1">
      <c r="A389" s="161" t="s">
        <v>117</v>
      </c>
      <c r="B389" s="157"/>
      <c r="C389" s="157"/>
      <c r="D389" s="158">
        <f t="shared" si="6"/>
        <v>0</v>
      </c>
    </row>
    <row r="390" spans="1:4" ht="18" hidden="1">
      <c r="A390" s="166" t="s">
        <v>118</v>
      </c>
      <c r="B390" s="157"/>
      <c r="C390" s="157"/>
      <c r="D390" s="158">
        <f t="shared" si="6"/>
        <v>0</v>
      </c>
    </row>
    <row r="391" spans="1:4" ht="18" hidden="1">
      <c r="A391" s="159" t="s">
        <v>121</v>
      </c>
      <c r="B391" s="157"/>
      <c r="C391" s="157"/>
      <c r="D391" s="158">
        <f t="shared" si="6"/>
        <v>0</v>
      </c>
    </row>
    <row r="392" spans="1:4" ht="18" hidden="1">
      <c r="A392" s="161" t="s">
        <v>123</v>
      </c>
      <c r="B392" s="157"/>
      <c r="C392" s="157"/>
      <c r="D392" s="158">
        <f t="shared" si="6"/>
        <v>0</v>
      </c>
    </row>
    <row r="393" spans="1:4" ht="18" hidden="1">
      <c r="A393" s="161" t="s">
        <v>18</v>
      </c>
      <c r="B393" s="157"/>
      <c r="C393" s="157"/>
      <c r="D393" s="158">
        <f t="shared" si="6"/>
        <v>0</v>
      </c>
    </row>
    <row r="394" spans="1:4" ht="18" hidden="1">
      <c r="A394" s="161" t="s">
        <v>19</v>
      </c>
      <c r="B394" s="157"/>
      <c r="C394" s="157"/>
      <c r="D394" s="158">
        <f t="shared" si="6"/>
        <v>0</v>
      </c>
    </row>
    <row r="395" spans="1:4" ht="18" hidden="1">
      <c r="A395" s="156" t="s">
        <v>20</v>
      </c>
      <c r="B395" s="157"/>
      <c r="C395" s="157"/>
      <c r="D395" s="158">
        <f t="shared" si="6"/>
        <v>0</v>
      </c>
    </row>
    <row r="396" spans="1:4" ht="18" hidden="1">
      <c r="A396" s="161" t="s">
        <v>180</v>
      </c>
      <c r="B396" s="157"/>
      <c r="C396" s="157"/>
      <c r="D396" s="158">
        <f t="shared" si="6"/>
        <v>0</v>
      </c>
    </row>
    <row r="397" spans="1:4" ht="18" hidden="1">
      <c r="A397" s="164" t="s">
        <v>181</v>
      </c>
      <c r="B397" s="157"/>
      <c r="C397" s="157"/>
      <c r="D397" s="158">
        <f t="shared" si="6"/>
        <v>0</v>
      </c>
    </row>
    <row r="398" spans="1:4" ht="18" hidden="1">
      <c r="A398" s="161" t="s">
        <v>214</v>
      </c>
      <c r="B398" s="157"/>
      <c r="C398" s="157"/>
      <c r="D398" s="158">
        <f t="shared" si="6"/>
        <v>0</v>
      </c>
    </row>
    <row r="399" spans="1:4" ht="18" hidden="1">
      <c r="A399" s="167" t="s">
        <v>215</v>
      </c>
      <c r="B399" s="157"/>
      <c r="C399" s="157"/>
      <c r="D399" s="158">
        <f t="shared" si="6"/>
        <v>0</v>
      </c>
    </row>
    <row r="400" spans="1:4" ht="18" hidden="1">
      <c r="A400" s="161" t="s">
        <v>252</v>
      </c>
      <c r="B400" s="157"/>
      <c r="C400" s="157"/>
      <c r="D400" s="158">
        <f t="shared" si="6"/>
        <v>0</v>
      </c>
    </row>
    <row r="401" spans="1:4" ht="18" hidden="1">
      <c r="A401" s="161" t="s">
        <v>253</v>
      </c>
      <c r="B401" s="157"/>
      <c r="C401" s="157"/>
      <c r="D401" s="158">
        <f t="shared" si="6"/>
        <v>0</v>
      </c>
    </row>
    <row r="402" spans="1:4" ht="18" hidden="1">
      <c r="A402" s="156" t="s">
        <v>28</v>
      </c>
      <c r="B402" s="157"/>
      <c r="C402" s="157"/>
      <c r="D402" s="158">
        <f t="shared" si="6"/>
        <v>0</v>
      </c>
    </row>
    <row r="403" spans="1:4" ht="18" hidden="1">
      <c r="A403" s="156" t="s">
        <v>29</v>
      </c>
      <c r="B403" s="157"/>
      <c r="C403" s="157"/>
      <c r="D403" s="158">
        <f t="shared" si="6"/>
        <v>0</v>
      </c>
    </row>
    <row r="404" spans="1:4" ht="18" hidden="1">
      <c r="A404" s="180" t="s">
        <v>188</v>
      </c>
      <c r="B404" s="157"/>
      <c r="C404" s="157"/>
      <c r="D404" s="158">
        <f t="shared" si="6"/>
        <v>0</v>
      </c>
    </row>
    <row r="405" spans="1:4" ht="18" hidden="1">
      <c r="A405" s="169" t="s">
        <v>189</v>
      </c>
      <c r="B405" s="170"/>
      <c r="C405" s="170"/>
      <c r="D405" s="158">
        <f t="shared" si="6"/>
        <v>0</v>
      </c>
    </row>
    <row r="406" spans="1:4" ht="18" hidden="1">
      <c r="A406" s="161" t="s">
        <v>35</v>
      </c>
      <c r="B406" s="157"/>
      <c r="C406" s="157"/>
      <c r="D406" s="158">
        <f t="shared" si="6"/>
        <v>0</v>
      </c>
    </row>
    <row r="407" spans="1:4" ht="18" hidden="1">
      <c r="A407" s="156" t="s">
        <v>37</v>
      </c>
      <c r="B407" s="157"/>
      <c r="C407" s="157"/>
      <c r="D407" s="158">
        <f t="shared" si="6"/>
        <v>0</v>
      </c>
    </row>
    <row r="408" spans="1:4" ht="18" hidden="1">
      <c r="A408" s="156" t="s">
        <v>46</v>
      </c>
      <c r="B408" s="157"/>
      <c r="C408" s="157"/>
      <c r="D408" s="158">
        <f t="shared" si="6"/>
        <v>0</v>
      </c>
    </row>
    <row r="409" spans="1:4" ht="18" hidden="1">
      <c r="A409" s="161" t="s">
        <v>216</v>
      </c>
      <c r="B409" s="157"/>
      <c r="C409" s="157"/>
      <c r="D409" s="158">
        <f t="shared" si="6"/>
        <v>0</v>
      </c>
    </row>
    <row r="410" spans="1:4" ht="18" hidden="1">
      <c r="A410" s="156" t="s">
        <v>217</v>
      </c>
      <c r="B410" s="157"/>
      <c r="C410" s="157"/>
      <c r="D410" s="158">
        <f t="shared" si="6"/>
        <v>0</v>
      </c>
    </row>
    <row r="411" spans="1:4" ht="18" hidden="1">
      <c r="A411" s="161" t="s">
        <v>366</v>
      </c>
      <c r="B411" s="157"/>
      <c r="C411" s="157"/>
      <c r="D411" s="158">
        <f t="shared" si="6"/>
        <v>0</v>
      </c>
    </row>
    <row r="412" spans="1:4" ht="18" hidden="1">
      <c r="A412" s="161" t="s">
        <v>218</v>
      </c>
      <c r="B412" s="157"/>
      <c r="C412" s="157"/>
      <c r="D412" s="158">
        <f t="shared" si="6"/>
        <v>0</v>
      </c>
    </row>
    <row r="413" spans="1:4" ht="18" hidden="1">
      <c r="A413" s="161" t="s">
        <v>288</v>
      </c>
      <c r="B413" s="157"/>
      <c r="C413" s="157"/>
      <c r="D413" s="158">
        <f t="shared" si="6"/>
        <v>0</v>
      </c>
    </row>
    <row r="414" spans="1:4" ht="18" hidden="1">
      <c r="A414" s="161" t="s">
        <v>289</v>
      </c>
      <c r="B414" s="157"/>
      <c r="C414" s="157"/>
      <c r="D414" s="158">
        <f t="shared" si="6"/>
        <v>0</v>
      </c>
    </row>
    <row r="415" spans="1:4" ht="18" hidden="1">
      <c r="A415" s="171" t="s">
        <v>6</v>
      </c>
      <c r="B415" s="157"/>
      <c r="C415" s="157"/>
      <c r="D415" s="158">
        <f t="shared" si="6"/>
        <v>0</v>
      </c>
    </row>
    <row r="416" spans="1:4" ht="18" hidden="1">
      <c r="A416" s="172" t="s">
        <v>8</v>
      </c>
      <c r="B416" s="157"/>
      <c r="C416" s="157"/>
      <c r="D416" s="158">
        <f t="shared" si="6"/>
        <v>0</v>
      </c>
    </row>
    <row r="417" spans="1:4" ht="18" hidden="1">
      <c r="A417" s="171" t="s">
        <v>10</v>
      </c>
      <c r="B417" s="157"/>
      <c r="C417" s="157"/>
      <c r="D417" s="158">
        <f t="shared" si="6"/>
        <v>0</v>
      </c>
    </row>
    <row r="418" spans="1:4" ht="18" hidden="1">
      <c r="A418" s="164" t="s">
        <v>75</v>
      </c>
      <c r="B418" s="157"/>
      <c r="C418" s="157"/>
      <c r="D418" s="158">
        <f t="shared" si="6"/>
        <v>0</v>
      </c>
    </row>
    <row r="419" spans="1:4" ht="18" hidden="1">
      <c r="A419" s="173" t="s">
        <v>313</v>
      </c>
      <c r="B419" s="157"/>
      <c r="C419" s="157"/>
      <c r="D419" s="158">
        <f t="shared" si="6"/>
        <v>0</v>
      </c>
    </row>
    <row r="420" spans="1:4" ht="18" hidden="1">
      <c r="A420" s="173" t="s">
        <v>324</v>
      </c>
      <c r="B420" s="157"/>
      <c r="C420" s="157"/>
      <c r="D420" s="158">
        <f t="shared" si="6"/>
        <v>0</v>
      </c>
    </row>
    <row r="421" spans="1:4" ht="18" hidden="1">
      <c r="A421" s="173" t="s">
        <v>325</v>
      </c>
      <c r="B421" s="157"/>
      <c r="C421" s="157"/>
      <c r="D421" s="158">
        <f t="shared" si="6"/>
        <v>0</v>
      </c>
    </row>
    <row r="422" spans="1:4" ht="18" hidden="1">
      <c r="A422" s="173" t="s">
        <v>327</v>
      </c>
      <c r="B422" s="157"/>
      <c r="C422" s="157"/>
      <c r="D422" s="158">
        <f t="shared" si="6"/>
        <v>0</v>
      </c>
    </row>
    <row r="423" spans="1:4" ht="18" hidden="1">
      <c r="A423" s="161" t="s">
        <v>336</v>
      </c>
      <c r="B423" s="174"/>
      <c r="C423" s="174"/>
      <c r="D423" s="158">
        <f t="shared" si="6"/>
        <v>0</v>
      </c>
    </row>
    <row r="424" spans="1:4" ht="18" hidden="1">
      <c r="A424" s="161" t="s">
        <v>99</v>
      </c>
      <c r="B424" s="157"/>
      <c r="C424" s="157"/>
      <c r="D424" s="158">
        <f t="shared" si="6"/>
        <v>0</v>
      </c>
    </row>
    <row r="425" spans="1:4" ht="18" hidden="1">
      <c r="A425" s="161" t="s">
        <v>100</v>
      </c>
      <c r="B425" s="157"/>
      <c r="C425" s="157"/>
      <c r="D425" s="158">
        <f t="shared" si="6"/>
        <v>0</v>
      </c>
    </row>
    <row r="426" spans="1:4" ht="18" hidden="1">
      <c r="A426" s="161" t="s">
        <v>101</v>
      </c>
      <c r="B426" s="157"/>
      <c r="C426" s="157"/>
      <c r="D426" s="158">
        <f t="shared" si="6"/>
        <v>0</v>
      </c>
    </row>
    <row r="427" spans="1:4" ht="18" hidden="1">
      <c r="A427" s="161" t="s">
        <v>102</v>
      </c>
      <c r="B427" s="157"/>
      <c r="C427" s="157"/>
      <c r="D427" s="158">
        <f t="shared" si="6"/>
        <v>0</v>
      </c>
    </row>
    <row r="428" spans="1:4" ht="18" hidden="1">
      <c r="A428" s="161" t="s">
        <v>103</v>
      </c>
      <c r="B428" s="157"/>
      <c r="C428" s="157"/>
      <c r="D428" s="158">
        <f t="shared" si="6"/>
        <v>0</v>
      </c>
    </row>
    <row r="429" spans="1:4" ht="18" hidden="1">
      <c r="A429" s="161" t="s">
        <v>191</v>
      </c>
      <c r="B429" s="157"/>
      <c r="C429" s="157"/>
      <c r="D429" s="158">
        <f t="shared" si="6"/>
        <v>0</v>
      </c>
    </row>
    <row r="430" spans="1:4" ht="18" hidden="1">
      <c r="A430" s="161" t="s">
        <v>257</v>
      </c>
      <c r="B430" s="157"/>
      <c r="C430" s="157"/>
      <c r="D430" s="158">
        <f t="shared" si="6"/>
        <v>0</v>
      </c>
    </row>
    <row r="431" spans="1:4" ht="18" hidden="1">
      <c r="A431" s="161" t="s">
        <v>258</v>
      </c>
      <c r="B431" s="157"/>
      <c r="C431" s="157"/>
      <c r="D431" s="158">
        <f t="shared" si="6"/>
        <v>0</v>
      </c>
    </row>
    <row r="432" spans="1:4" ht="18" hidden="1">
      <c r="A432" s="161" t="s">
        <v>280</v>
      </c>
      <c r="B432" s="162"/>
      <c r="C432" s="162"/>
      <c r="D432" s="158">
        <f t="shared" si="6"/>
        <v>0</v>
      </c>
    </row>
    <row r="433" spans="1:4" ht="18" hidden="1">
      <c r="A433" s="173" t="s">
        <v>281</v>
      </c>
      <c r="B433" s="157"/>
      <c r="C433" s="157"/>
      <c r="D433" s="158">
        <f t="shared" si="6"/>
        <v>0</v>
      </c>
    </row>
    <row r="434" spans="1:4" ht="18" hidden="1">
      <c r="A434" s="156" t="s">
        <v>311</v>
      </c>
      <c r="B434" s="157"/>
      <c r="C434" s="157"/>
      <c r="D434" s="158">
        <f t="shared" si="6"/>
        <v>0</v>
      </c>
    </row>
    <row r="435" spans="1:4" ht="18" hidden="1">
      <c r="A435" s="164" t="s">
        <v>312</v>
      </c>
      <c r="B435" s="157"/>
      <c r="C435" s="157"/>
      <c r="D435" s="158">
        <f t="shared" si="6"/>
        <v>0</v>
      </c>
    </row>
    <row r="436" spans="1:4" ht="18">
      <c r="A436" s="161" t="s">
        <v>137</v>
      </c>
      <c r="B436" s="157">
        <v>20</v>
      </c>
      <c r="C436" s="157">
        <v>11000</v>
      </c>
      <c r="D436" s="158">
        <f t="shared" si="6"/>
        <v>220000</v>
      </c>
    </row>
    <row r="437" spans="1:4" ht="18" hidden="1">
      <c r="A437" s="164" t="s">
        <v>53</v>
      </c>
      <c r="B437" s="157"/>
      <c r="C437" s="157"/>
      <c r="D437" s="158">
        <f t="shared" si="6"/>
        <v>0</v>
      </c>
    </row>
    <row r="438" spans="1:4" ht="18" hidden="1">
      <c r="A438" s="161" t="s">
        <v>55</v>
      </c>
      <c r="B438" s="157"/>
      <c r="C438" s="157"/>
      <c r="D438" s="158">
        <f t="shared" si="6"/>
        <v>0</v>
      </c>
    </row>
    <row r="439" spans="1:4" ht="18" hidden="1">
      <c r="A439" s="161" t="s">
        <v>56</v>
      </c>
      <c r="B439" s="157"/>
      <c r="C439" s="157"/>
      <c r="D439" s="158">
        <f t="shared" si="6"/>
        <v>0</v>
      </c>
    </row>
    <row r="440" spans="1:4" ht="18" hidden="1">
      <c r="A440" s="164" t="s">
        <v>300</v>
      </c>
      <c r="B440" s="157"/>
      <c r="C440" s="157"/>
      <c r="D440" s="158">
        <f t="shared" si="6"/>
        <v>0</v>
      </c>
    </row>
    <row r="441" spans="1:4" ht="18" hidden="1">
      <c r="A441" s="164" t="s">
        <v>301</v>
      </c>
      <c r="B441" s="157"/>
      <c r="C441" s="157"/>
      <c r="D441" s="158">
        <f t="shared" si="6"/>
        <v>0</v>
      </c>
    </row>
    <row r="442" spans="1:4" ht="18" hidden="1">
      <c r="A442" s="161" t="s">
        <v>156</v>
      </c>
      <c r="B442" s="162"/>
      <c r="C442" s="162"/>
      <c r="D442" s="158">
        <f t="shared" si="6"/>
        <v>0</v>
      </c>
    </row>
    <row r="443" spans="1:4" ht="18" hidden="1">
      <c r="A443" s="161" t="s">
        <v>157</v>
      </c>
      <c r="B443" s="162"/>
      <c r="C443" s="162"/>
      <c r="D443" s="158">
        <f t="shared" si="6"/>
        <v>0</v>
      </c>
    </row>
    <row r="444" spans="1:4" ht="18" hidden="1">
      <c r="A444" s="177" t="s">
        <v>159</v>
      </c>
      <c r="B444" s="162"/>
      <c r="C444" s="162"/>
      <c r="D444" s="158">
        <f t="shared" si="6"/>
        <v>0</v>
      </c>
    </row>
    <row r="445" spans="1:4" ht="18" hidden="1">
      <c r="A445" s="177" t="s">
        <v>160</v>
      </c>
      <c r="B445" s="162"/>
      <c r="C445" s="162"/>
      <c r="D445" s="158">
        <f t="shared" si="6"/>
        <v>0</v>
      </c>
    </row>
    <row r="446" spans="1:4" ht="18" hidden="1">
      <c r="A446" s="177" t="s">
        <v>161</v>
      </c>
      <c r="B446" s="162"/>
      <c r="C446" s="162"/>
      <c r="D446" s="158">
        <f t="shared" si="6"/>
        <v>0</v>
      </c>
    </row>
    <row r="447" spans="1:4" ht="18" hidden="1">
      <c r="A447" s="161" t="s">
        <v>162</v>
      </c>
      <c r="B447" s="162"/>
      <c r="C447" s="162"/>
      <c r="D447" s="158">
        <f t="shared" si="6"/>
        <v>0</v>
      </c>
    </row>
    <row r="448" spans="1:4" ht="18" hidden="1">
      <c r="A448" s="161" t="s">
        <v>164</v>
      </c>
      <c r="B448" s="162"/>
      <c r="C448" s="162"/>
      <c r="D448" s="158">
        <f t="shared" si="6"/>
        <v>0</v>
      </c>
    </row>
    <row r="449" spans="1:4" ht="18" hidden="1">
      <c r="A449" s="161" t="s">
        <v>165</v>
      </c>
      <c r="B449" s="162"/>
      <c r="C449" s="162"/>
      <c r="D449" s="158">
        <f t="shared" si="6"/>
        <v>0</v>
      </c>
    </row>
    <row r="450" spans="1:4" ht="18" hidden="1">
      <c r="A450" s="161" t="s">
        <v>166</v>
      </c>
      <c r="B450" s="162"/>
      <c r="C450" s="162"/>
      <c r="D450" s="158">
        <f t="shared" si="6"/>
        <v>0</v>
      </c>
    </row>
    <row r="451" spans="1:4" ht="18" hidden="1">
      <c r="A451" s="161" t="s">
        <v>176</v>
      </c>
      <c r="B451" s="162"/>
      <c r="C451" s="162"/>
      <c r="D451" s="158">
        <f t="shared" si="6"/>
        <v>0</v>
      </c>
    </row>
    <row r="452" spans="1:4" ht="18" hidden="1">
      <c r="A452" s="161" t="s">
        <v>177</v>
      </c>
      <c r="B452" s="162"/>
      <c r="C452" s="162"/>
      <c r="D452" s="158">
        <f t="shared" ref="D452:D515" si="7">B452*C452</f>
        <v>0</v>
      </c>
    </row>
    <row r="453" spans="1:4" ht="18" hidden="1">
      <c r="A453" s="161" t="s">
        <v>178</v>
      </c>
      <c r="B453" s="162"/>
      <c r="C453" s="162"/>
      <c r="D453" s="158">
        <f t="shared" si="7"/>
        <v>0</v>
      </c>
    </row>
    <row r="454" spans="1:4" ht="18">
      <c r="A454" s="156" t="s">
        <v>65</v>
      </c>
      <c r="B454" s="157">
        <v>300</v>
      </c>
      <c r="C454" s="157">
        <v>18000</v>
      </c>
      <c r="D454" s="158">
        <f t="shared" si="7"/>
        <v>5400000</v>
      </c>
    </row>
    <row r="455" spans="1:4" ht="18" hidden="1">
      <c r="A455" s="161" t="s">
        <v>76</v>
      </c>
      <c r="B455" s="157"/>
      <c r="C455" s="157"/>
      <c r="D455" s="158">
        <f t="shared" si="7"/>
        <v>0</v>
      </c>
    </row>
    <row r="456" spans="1:4" ht="18" hidden="1">
      <c r="A456" s="161" t="s">
        <v>89</v>
      </c>
      <c r="B456" s="157"/>
      <c r="C456" s="157"/>
      <c r="D456" s="158">
        <f t="shared" si="7"/>
        <v>0</v>
      </c>
    </row>
    <row r="457" spans="1:4" ht="18" hidden="1">
      <c r="A457" s="156" t="s">
        <v>357</v>
      </c>
      <c r="B457" s="157"/>
      <c r="C457" s="157"/>
      <c r="D457" s="158">
        <f t="shared" si="7"/>
        <v>0</v>
      </c>
    </row>
    <row r="458" spans="1:4" ht="18" hidden="1">
      <c r="A458" s="161" t="s">
        <v>23</v>
      </c>
      <c r="B458" s="157"/>
      <c r="C458" s="157"/>
      <c r="D458" s="158">
        <f t="shared" si="7"/>
        <v>0</v>
      </c>
    </row>
    <row r="459" spans="1:4" ht="18" hidden="1">
      <c r="A459" s="161" t="s">
        <v>375</v>
      </c>
      <c r="B459" s="157"/>
      <c r="C459" s="157"/>
      <c r="D459" s="158">
        <f t="shared" si="7"/>
        <v>0</v>
      </c>
    </row>
    <row r="460" spans="1:4" ht="18" hidden="1">
      <c r="A460" s="161" t="s">
        <v>379</v>
      </c>
      <c r="B460" s="157"/>
      <c r="C460" s="157"/>
      <c r="D460" s="158">
        <f t="shared" si="7"/>
        <v>0</v>
      </c>
    </row>
    <row r="461" spans="1:4" ht="18">
      <c r="A461" s="161" t="s">
        <v>27</v>
      </c>
      <c r="B461" s="157">
        <v>1000</v>
      </c>
      <c r="C461" s="157">
        <v>14000</v>
      </c>
      <c r="D461" s="158">
        <f t="shared" si="7"/>
        <v>14000000</v>
      </c>
    </row>
    <row r="462" spans="1:4" ht="18" hidden="1">
      <c r="A462" s="161" t="s">
        <v>51</v>
      </c>
      <c r="B462" s="157"/>
      <c r="C462" s="157"/>
      <c r="D462" s="158">
        <f t="shared" si="7"/>
        <v>0</v>
      </c>
    </row>
    <row r="463" spans="1:4" ht="18" hidden="1">
      <c r="A463" s="159" t="s">
        <v>61</v>
      </c>
      <c r="B463" s="157"/>
      <c r="C463" s="157"/>
      <c r="D463" s="158">
        <f t="shared" si="7"/>
        <v>0</v>
      </c>
    </row>
    <row r="464" spans="1:4" ht="18" hidden="1">
      <c r="A464" s="173" t="s">
        <v>62</v>
      </c>
      <c r="B464" s="157"/>
      <c r="C464" s="157"/>
      <c r="D464" s="158">
        <f t="shared" si="7"/>
        <v>0</v>
      </c>
    </row>
    <row r="465" spans="1:4" ht="18" hidden="1">
      <c r="A465" s="178" t="s">
        <v>139</v>
      </c>
      <c r="B465" s="157"/>
      <c r="C465" s="157"/>
      <c r="D465" s="158">
        <f t="shared" si="7"/>
        <v>0</v>
      </c>
    </row>
    <row r="466" spans="1:4" ht="18" hidden="1">
      <c r="A466" s="173" t="s">
        <v>140</v>
      </c>
      <c r="B466" s="157"/>
      <c r="C466" s="157"/>
      <c r="D466" s="158">
        <f t="shared" si="7"/>
        <v>0</v>
      </c>
    </row>
    <row r="467" spans="1:4" ht="18" hidden="1">
      <c r="A467" s="156" t="s">
        <v>141</v>
      </c>
      <c r="B467" s="162"/>
      <c r="C467" s="162"/>
      <c r="D467" s="158">
        <f t="shared" si="7"/>
        <v>0</v>
      </c>
    </row>
    <row r="468" spans="1:4" ht="18" hidden="1">
      <c r="A468" s="156" t="s">
        <v>142</v>
      </c>
      <c r="B468" s="162"/>
      <c r="C468" s="162"/>
      <c r="D468" s="158">
        <f t="shared" si="7"/>
        <v>0</v>
      </c>
    </row>
    <row r="469" spans="1:4" ht="18" hidden="1">
      <c r="A469" s="156" t="s">
        <v>143</v>
      </c>
      <c r="B469" s="162"/>
      <c r="C469" s="162"/>
      <c r="D469" s="158">
        <f t="shared" si="7"/>
        <v>0</v>
      </c>
    </row>
    <row r="470" spans="1:4" ht="18" hidden="1">
      <c r="A470" s="156" t="s">
        <v>144</v>
      </c>
      <c r="B470" s="179"/>
      <c r="C470" s="179"/>
      <c r="D470" s="158">
        <f t="shared" si="7"/>
        <v>0</v>
      </c>
    </row>
    <row r="471" spans="1:4" ht="18" hidden="1">
      <c r="A471" s="161" t="s">
        <v>163</v>
      </c>
      <c r="B471" s="162"/>
      <c r="C471" s="162"/>
      <c r="D471" s="158">
        <f t="shared" si="7"/>
        <v>0</v>
      </c>
    </row>
    <row r="472" spans="1:4" ht="18" hidden="1">
      <c r="A472" s="164" t="s">
        <v>233</v>
      </c>
      <c r="B472" s="157"/>
      <c r="C472" s="157"/>
      <c r="D472" s="158">
        <f t="shared" si="7"/>
        <v>0</v>
      </c>
    </row>
    <row r="473" spans="1:4" ht="18" hidden="1">
      <c r="A473" s="164" t="s">
        <v>234</v>
      </c>
      <c r="B473" s="157"/>
      <c r="C473" s="157"/>
      <c r="D473" s="158">
        <f t="shared" si="7"/>
        <v>0</v>
      </c>
    </row>
    <row r="474" spans="1:4" ht="18" hidden="1">
      <c r="A474" s="164" t="s">
        <v>235</v>
      </c>
      <c r="B474" s="157"/>
      <c r="C474" s="157"/>
      <c r="D474" s="158">
        <f t="shared" si="7"/>
        <v>0</v>
      </c>
    </row>
    <row r="475" spans="1:4" ht="18" hidden="1">
      <c r="A475" s="164" t="s">
        <v>236</v>
      </c>
      <c r="B475" s="157"/>
      <c r="C475" s="157"/>
      <c r="D475" s="158">
        <f t="shared" si="7"/>
        <v>0</v>
      </c>
    </row>
    <row r="476" spans="1:4" ht="18" hidden="1">
      <c r="A476" s="161" t="s">
        <v>237</v>
      </c>
      <c r="B476" s="157"/>
      <c r="C476" s="157"/>
      <c r="D476" s="158">
        <f t="shared" si="7"/>
        <v>0</v>
      </c>
    </row>
    <row r="477" spans="1:4" ht="18" hidden="1">
      <c r="A477" s="161" t="s">
        <v>238</v>
      </c>
      <c r="B477" s="157"/>
      <c r="C477" s="157"/>
      <c r="D477" s="158">
        <f t="shared" si="7"/>
        <v>0</v>
      </c>
    </row>
    <row r="478" spans="1:4" ht="18" hidden="1">
      <c r="A478" s="164" t="s">
        <v>239</v>
      </c>
      <c r="B478" s="157"/>
      <c r="C478" s="157"/>
      <c r="D478" s="158">
        <f t="shared" si="7"/>
        <v>0</v>
      </c>
    </row>
    <row r="479" spans="1:4" ht="18" hidden="1">
      <c r="A479" s="164" t="s">
        <v>240</v>
      </c>
      <c r="B479" s="157"/>
      <c r="C479" s="157"/>
      <c r="D479" s="158">
        <f t="shared" si="7"/>
        <v>0</v>
      </c>
    </row>
    <row r="480" spans="1:4" ht="18" hidden="1">
      <c r="A480" s="161" t="s">
        <v>259</v>
      </c>
      <c r="B480" s="162"/>
      <c r="C480" s="162"/>
      <c r="D480" s="158">
        <f t="shared" si="7"/>
        <v>0</v>
      </c>
    </row>
    <row r="481" spans="1:4" ht="18" hidden="1">
      <c r="A481" s="161" t="s">
        <v>261</v>
      </c>
      <c r="B481" s="162"/>
      <c r="C481" s="162"/>
      <c r="D481" s="158">
        <f t="shared" si="7"/>
        <v>0</v>
      </c>
    </row>
    <row r="482" spans="1:4" ht="18" hidden="1">
      <c r="A482" s="156" t="s">
        <v>295</v>
      </c>
      <c r="B482" s="162"/>
      <c r="C482" s="162"/>
      <c r="D482" s="158">
        <f t="shared" si="7"/>
        <v>0</v>
      </c>
    </row>
    <row r="483" spans="1:4" ht="18" hidden="1">
      <c r="A483" s="161" t="s">
        <v>308</v>
      </c>
      <c r="B483" s="157"/>
      <c r="C483" s="157"/>
      <c r="D483" s="158">
        <f t="shared" si="7"/>
        <v>0</v>
      </c>
    </row>
    <row r="484" spans="1:4" ht="18" hidden="1">
      <c r="A484" s="173" t="s">
        <v>309</v>
      </c>
      <c r="B484" s="157"/>
      <c r="C484" s="157"/>
      <c r="D484" s="158">
        <f t="shared" si="7"/>
        <v>0</v>
      </c>
    </row>
    <row r="485" spans="1:4" ht="18" hidden="1">
      <c r="A485" s="156" t="s">
        <v>319</v>
      </c>
      <c r="B485" s="157"/>
      <c r="C485" s="157"/>
      <c r="D485" s="158">
        <f t="shared" si="7"/>
        <v>0</v>
      </c>
    </row>
    <row r="486" spans="1:4" ht="18">
      <c r="A486" s="161" t="s">
        <v>219</v>
      </c>
      <c r="B486" s="157">
        <v>400</v>
      </c>
      <c r="C486" s="157">
        <v>16500</v>
      </c>
      <c r="D486" s="158">
        <f t="shared" si="7"/>
        <v>6600000</v>
      </c>
    </row>
    <row r="487" spans="1:4" ht="18" hidden="1">
      <c r="A487" s="175" t="s">
        <v>220</v>
      </c>
      <c r="B487" s="157"/>
      <c r="C487" s="157"/>
      <c r="D487" s="158">
        <f t="shared" si="7"/>
        <v>0</v>
      </c>
    </row>
    <row r="488" spans="1:4" ht="18" hidden="1">
      <c r="A488" s="175" t="s">
        <v>221</v>
      </c>
      <c r="B488" s="157"/>
      <c r="C488" s="157"/>
      <c r="D488" s="158">
        <f t="shared" si="7"/>
        <v>0</v>
      </c>
    </row>
    <row r="489" spans="1:4" ht="18" hidden="1">
      <c r="A489" s="161" t="s">
        <v>52</v>
      </c>
      <c r="B489" s="157"/>
      <c r="C489" s="157"/>
      <c r="D489" s="158">
        <f t="shared" si="7"/>
        <v>0</v>
      </c>
    </row>
    <row r="490" spans="1:4" ht="18" hidden="1">
      <c r="A490" s="161" t="s">
        <v>292</v>
      </c>
      <c r="B490" s="157"/>
      <c r="C490" s="157"/>
      <c r="D490" s="158">
        <f t="shared" si="7"/>
        <v>0</v>
      </c>
    </row>
    <row r="491" spans="1:4" ht="18" hidden="1">
      <c r="A491" s="161" t="s">
        <v>66</v>
      </c>
      <c r="B491" s="157"/>
      <c r="C491" s="157"/>
      <c r="D491" s="158">
        <f t="shared" si="7"/>
        <v>0</v>
      </c>
    </row>
    <row r="492" spans="1:4" ht="18" hidden="1">
      <c r="A492" s="164" t="s">
        <v>67</v>
      </c>
      <c r="B492" s="157"/>
      <c r="C492" s="157"/>
      <c r="D492" s="158">
        <f t="shared" si="7"/>
        <v>0</v>
      </c>
    </row>
    <row r="493" spans="1:4" ht="18" hidden="1">
      <c r="A493" s="164" t="s">
        <v>69</v>
      </c>
      <c r="B493" s="157"/>
      <c r="C493" s="157"/>
      <c r="D493" s="158">
        <f t="shared" si="7"/>
        <v>0</v>
      </c>
    </row>
    <row r="494" spans="1:4" ht="18" hidden="1">
      <c r="A494" s="164" t="s">
        <v>70</v>
      </c>
      <c r="B494" s="157"/>
      <c r="C494" s="157"/>
      <c r="D494" s="158">
        <f t="shared" si="7"/>
        <v>0</v>
      </c>
    </row>
    <row r="495" spans="1:4" ht="18" hidden="1">
      <c r="A495" s="161" t="s">
        <v>71</v>
      </c>
      <c r="B495" s="157"/>
      <c r="C495" s="157"/>
      <c r="D495" s="158">
        <f t="shared" si="7"/>
        <v>0</v>
      </c>
    </row>
    <row r="496" spans="1:4" ht="18" hidden="1">
      <c r="A496" s="159" t="s">
        <v>72</v>
      </c>
      <c r="B496" s="157"/>
      <c r="C496" s="157"/>
      <c r="D496" s="158">
        <f t="shared" si="7"/>
        <v>0</v>
      </c>
    </row>
    <row r="497" spans="1:4" ht="18" hidden="1">
      <c r="A497" s="161" t="s">
        <v>73</v>
      </c>
      <c r="B497" s="157"/>
      <c r="C497" s="157"/>
      <c r="D497" s="158">
        <f t="shared" si="7"/>
        <v>0</v>
      </c>
    </row>
    <row r="498" spans="1:4" ht="18" hidden="1">
      <c r="A498" s="161" t="s">
        <v>74</v>
      </c>
      <c r="B498" s="157"/>
      <c r="C498" s="157"/>
      <c r="D498" s="158">
        <f t="shared" si="7"/>
        <v>0</v>
      </c>
    </row>
    <row r="499" spans="1:4" ht="18" hidden="1">
      <c r="A499" s="161" t="s">
        <v>78</v>
      </c>
      <c r="B499" s="157"/>
      <c r="C499" s="157"/>
      <c r="D499" s="158">
        <f t="shared" si="7"/>
        <v>0</v>
      </c>
    </row>
    <row r="500" spans="1:4" ht="18" hidden="1">
      <c r="A500" s="180" t="s">
        <v>79</v>
      </c>
      <c r="B500" s="157"/>
      <c r="C500" s="157"/>
      <c r="D500" s="158">
        <f t="shared" si="7"/>
        <v>0</v>
      </c>
    </row>
    <row r="501" spans="1:4" ht="18" hidden="1">
      <c r="A501" s="160" t="s">
        <v>80</v>
      </c>
      <c r="B501" s="157"/>
      <c r="C501" s="157"/>
      <c r="D501" s="158">
        <f t="shared" si="7"/>
        <v>0</v>
      </c>
    </row>
    <row r="502" spans="1:4" ht="18" hidden="1">
      <c r="A502" s="161" t="s">
        <v>167</v>
      </c>
      <c r="B502" s="157"/>
      <c r="C502" s="157"/>
      <c r="D502" s="158">
        <f t="shared" si="7"/>
        <v>0</v>
      </c>
    </row>
    <row r="503" spans="1:4" ht="18" hidden="1">
      <c r="A503" s="161" t="s">
        <v>364</v>
      </c>
      <c r="B503" s="157"/>
      <c r="C503" s="157"/>
      <c r="D503" s="158">
        <f t="shared" si="7"/>
        <v>0</v>
      </c>
    </row>
    <row r="504" spans="1:4" ht="18" hidden="1">
      <c r="A504" s="161" t="s">
        <v>168</v>
      </c>
      <c r="B504" s="157"/>
      <c r="C504" s="157"/>
      <c r="D504" s="158">
        <f t="shared" si="7"/>
        <v>0</v>
      </c>
    </row>
    <row r="505" spans="1:4" ht="18">
      <c r="A505" s="161" t="s">
        <v>169</v>
      </c>
      <c r="B505" s="157">
        <f>32+25+20+20-21</f>
        <v>76</v>
      </c>
      <c r="C505" s="157">
        <v>9000</v>
      </c>
      <c r="D505" s="158">
        <f t="shared" si="7"/>
        <v>684000</v>
      </c>
    </row>
    <row r="506" spans="1:4" ht="18" hidden="1">
      <c r="A506" s="161" t="s">
        <v>170</v>
      </c>
      <c r="B506" s="157"/>
      <c r="C506" s="157"/>
      <c r="D506" s="158">
        <f t="shared" si="7"/>
        <v>0</v>
      </c>
    </row>
    <row r="507" spans="1:4" ht="18" hidden="1">
      <c r="A507" s="164" t="s">
        <v>171</v>
      </c>
      <c r="B507" s="157"/>
      <c r="C507" s="157"/>
      <c r="D507" s="158">
        <f t="shared" si="7"/>
        <v>0</v>
      </c>
    </row>
    <row r="508" spans="1:4" ht="18">
      <c r="A508" s="161" t="s">
        <v>90</v>
      </c>
      <c r="B508" s="157">
        <v>150</v>
      </c>
      <c r="C508" s="157">
        <v>24000</v>
      </c>
      <c r="D508" s="158">
        <f t="shared" si="7"/>
        <v>3600000</v>
      </c>
    </row>
    <row r="509" spans="1:4" ht="18" hidden="1">
      <c r="A509" s="173" t="s">
        <v>91</v>
      </c>
      <c r="B509" s="157"/>
      <c r="C509" s="157"/>
      <c r="D509" s="158">
        <f t="shared" si="7"/>
        <v>0</v>
      </c>
    </row>
    <row r="510" spans="1:4" ht="18" hidden="1">
      <c r="A510" s="161" t="s">
        <v>92</v>
      </c>
      <c r="B510" s="157"/>
      <c r="C510" s="157"/>
      <c r="D510" s="158">
        <f t="shared" si="7"/>
        <v>0</v>
      </c>
    </row>
    <row r="511" spans="1:4" ht="18" hidden="1">
      <c r="A511" s="161" t="s">
        <v>94</v>
      </c>
      <c r="B511" s="157"/>
      <c r="C511" s="157"/>
      <c r="D511" s="158">
        <f t="shared" si="7"/>
        <v>0</v>
      </c>
    </row>
    <row r="512" spans="1:4" ht="18" hidden="1">
      <c r="A512" s="161" t="s">
        <v>95</v>
      </c>
      <c r="B512" s="157"/>
      <c r="C512" s="157"/>
      <c r="D512" s="158">
        <f t="shared" si="7"/>
        <v>0</v>
      </c>
    </row>
    <row r="513" spans="1:4" ht="18" hidden="1">
      <c r="A513" s="173" t="s">
        <v>109</v>
      </c>
      <c r="B513" s="157"/>
      <c r="C513" s="157"/>
      <c r="D513" s="158">
        <f t="shared" si="7"/>
        <v>0</v>
      </c>
    </row>
    <row r="514" spans="1:4" ht="18" hidden="1">
      <c r="A514" s="161" t="s">
        <v>321</v>
      </c>
      <c r="B514" s="157"/>
      <c r="C514" s="157"/>
      <c r="D514" s="158">
        <f t="shared" si="7"/>
        <v>0</v>
      </c>
    </row>
    <row r="515" spans="1:4" ht="18" hidden="1">
      <c r="A515" s="156" t="s">
        <v>335</v>
      </c>
      <c r="B515" s="157"/>
      <c r="C515" s="157"/>
      <c r="D515" s="158">
        <f t="shared" si="7"/>
        <v>0</v>
      </c>
    </row>
    <row r="516" spans="1:4" ht="18" hidden="1">
      <c r="A516" s="161" t="s">
        <v>338</v>
      </c>
      <c r="B516" s="157"/>
      <c r="C516" s="157"/>
      <c r="D516" s="158">
        <f t="shared" ref="D516:D579" si="8">B516*C516</f>
        <v>0</v>
      </c>
    </row>
    <row r="517" spans="1:4" ht="18" hidden="1">
      <c r="A517" s="163" t="s">
        <v>106</v>
      </c>
      <c r="B517" s="157"/>
      <c r="C517" s="157"/>
      <c r="D517" s="158">
        <f t="shared" si="8"/>
        <v>0</v>
      </c>
    </row>
    <row r="518" spans="1:4" ht="18" hidden="1">
      <c r="A518" s="163" t="s">
        <v>107</v>
      </c>
      <c r="B518" s="157"/>
      <c r="C518" s="157"/>
      <c r="D518" s="158">
        <f t="shared" si="8"/>
        <v>0</v>
      </c>
    </row>
    <row r="519" spans="1:4" ht="18" hidden="1">
      <c r="A519" s="159" t="s">
        <v>108</v>
      </c>
      <c r="B519" s="157"/>
      <c r="C519" s="157"/>
      <c r="D519" s="158">
        <f t="shared" si="8"/>
        <v>0</v>
      </c>
    </row>
    <row r="520" spans="1:4" ht="18" hidden="1">
      <c r="A520" s="156" t="s">
        <v>196</v>
      </c>
      <c r="B520" s="157"/>
      <c r="C520" s="157"/>
      <c r="D520" s="158">
        <f t="shared" si="8"/>
        <v>0</v>
      </c>
    </row>
    <row r="521" spans="1:4" ht="18" hidden="1">
      <c r="A521" s="156" t="s">
        <v>197</v>
      </c>
      <c r="B521" s="157"/>
      <c r="C521" s="157"/>
      <c r="D521" s="158">
        <f t="shared" si="8"/>
        <v>0</v>
      </c>
    </row>
    <row r="522" spans="1:4" ht="18">
      <c r="A522" s="156" t="s">
        <v>198</v>
      </c>
      <c r="B522" s="157">
        <v>405</v>
      </c>
      <c r="C522" s="157">
        <v>8000</v>
      </c>
      <c r="D522" s="158">
        <f t="shared" si="8"/>
        <v>3240000</v>
      </c>
    </row>
    <row r="523" spans="1:4" ht="18" hidden="1">
      <c r="A523" s="161" t="s">
        <v>199</v>
      </c>
      <c r="B523" s="157"/>
      <c r="C523" s="157"/>
      <c r="D523" s="158">
        <f t="shared" si="8"/>
        <v>0</v>
      </c>
    </row>
    <row r="524" spans="1:4" ht="18" hidden="1">
      <c r="A524" s="156" t="s">
        <v>200</v>
      </c>
      <c r="B524" s="157"/>
      <c r="C524" s="157"/>
      <c r="D524" s="158">
        <f t="shared" si="8"/>
        <v>0</v>
      </c>
    </row>
    <row r="525" spans="1:4" ht="18" hidden="1">
      <c r="A525" s="156" t="s">
        <v>201</v>
      </c>
      <c r="B525" s="157"/>
      <c r="C525" s="157"/>
      <c r="D525" s="158">
        <f t="shared" si="8"/>
        <v>0</v>
      </c>
    </row>
    <row r="526" spans="1:4" ht="18" hidden="1">
      <c r="A526" s="156" t="s">
        <v>202</v>
      </c>
      <c r="B526" s="157"/>
      <c r="C526" s="157"/>
      <c r="D526" s="158">
        <f t="shared" si="8"/>
        <v>0</v>
      </c>
    </row>
    <row r="527" spans="1:4" ht="18" hidden="1">
      <c r="A527" s="161" t="s">
        <v>203</v>
      </c>
      <c r="B527" s="157"/>
      <c r="C527" s="157"/>
      <c r="D527" s="158">
        <f t="shared" si="8"/>
        <v>0</v>
      </c>
    </row>
    <row r="528" spans="1:4" ht="18" hidden="1">
      <c r="A528" s="161" t="s">
        <v>225</v>
      </c>
      <c r="B528" s="157"/>
      <c r="C528" s="157"/>
      <c r="D528" s="158">
        <f t="shared" si="8"/>
        <v>0</v>
      </c>
    </row>
    <row r="529" spans="1:4" ht="18" hidden="1">
      <c r="A529" s="161" t="s">
        <v>226</v>
      </c>
      <c r="B529" s="157"/>
      <c r="C529" s="157"/>
      <c r="D529" s="158">
        <f t="shared" si="8"/>
        <v>0</v>
      </c>
    </row>
    <row r="530" spans="1:4" ht="18" hidden="1">
      <c r="A530" s="161" t="s">
        <v>368</v>
      </c>
      <c r="B530" s="157"/>
      <c r="C530" s="157"/>
      <c r="D530" s="158">
        <f t="shared" si="8"/>
        <v>0</v>
      </c>
    </row>
    <row r="531" spans="1:4" ht="18" hidden="1">
      <c r="A531" s="161" t="s">
        <v>369</v>
      </c>
      <c r="B531" s="157"/>
      <c r="C531" s="157"/>
      <c r="D531" s="158">
        <f t="shared" si="8"/>
        <v>0</v>
      </c>
    </row>
    <row r="532" spans="1:4" ht="18" hidden="1">
      <c r="A532" s="161" t="s">
        <v>119</v>
      </c>
      <c r="B532" s="157"/>
      <c r="C532" s="157"/>
      <c r="D532" s="158">
        <f t="shared" si="8"/>
        <v>0</v>
      </c>
    </row>
    <row r="533" spans="1:4" ht="18" hidden="1">
      <c r="A533" s="161" t="s">
        <v>120</v>
      </c>
      <c r="B533" s="157"/>
      <c r="C533" s="157"/>
      <c r="D533" s="158">
        <f t="shared" si="8"/>
        <v>0</v>
      </c>
    </row>
    <row r="534" spans="1:4" ht="18">
      <c r="A534" s="161" t="s">
        <v>104</v>
      </c>
      <c r="B534" s="157">
        <v>9</v>
      </c>
      <c r="C534" s="157">
        <v>9000</v>
      </c>
      <c r="D534" s="158">
        <f t="shared" si="8"/>
        <v>81000</v>
      </c>
    </row>
    <row r="535" spans="1:4" ht="18" hidden="1">
      <c r="A535" s="163" t="s">
        <v>105</v>
      </c>
      <c r="B535" s="157"/>
      <c r="C535" s="157"/>
      <c r="D535" s="158">
        <f t="shared" si="8"/>
        <v>0</v>
      </c>
    </row>
    <row r="536" spans="1:4" ht="18">
      <c r="A536" s="171" t="s">
        <v>11</v>
      </c>
      <c r="B536" s="157">
        <v>235</v>
      </c>
      <c r="C536" s="157">
        <v>7300</v>
      </c>
      <c r="D536" s="158">
        <f t="shared" si="8"/>
        <v>1715500</v>
      </c>
    </row>
    <row r="537" spans="1:4" ht="18" hidden="1">
      <c r="A537" s="161" t="s">
        <v>12</v>
      </c>
      <c r="B537" s="157"/>
      <c r="C537" s="157"/>
      <c r="D537" s="158">
        <f t="shared" si="8"/>
        <v>0</v>
      </c>
    </row>
    <row r="538" spans="1:4" ht="18" hidden="1">
      <c r="A538" s="171" t="s">
        <v>15</v>
      </c>
      <c r="B538" s="157"/>
      <c r="C538" s="157"/>
      <c r="D538" s="158">
        <f t="shared" si="8"/>
        <v>0</v>
      </c>
    </row>
    <row r="539" spans="1:4" ht="18" hidden="1">
      <c r="A539" s="161" t="s">
        <v>365</v>
      </c>
      <c r="B539" s="157"/>
      <c r="C539" s="157"/>
      <c r="D539" s="158">
        <f t="shared" si="8"/>
        <v>0</v>
      </c>
    </row>
    <row r="540" spans="1:4" ht="18" hidden="1">
      <c r="A540" s="156" t="s">
        <v>182</v>
      </c>
      <c r="B540" s="157"/>
      <c r="C540" s="157"/>
      <c r="D540" s="158">
        <f t="shared" si="8"/>
        <v>0</v>
      </c>
    </row>
    <row r="541" spans="1:4" ht="18" hidden="1">
      <c r="A541" s="161" t="s">
        <v>183</v>
      </c>
      <c r="B541" s="157"/>
      <c r="C541" s="157"/>
      <c r="D541" s="158">
        <f t="shared" si="8"/>
        <v>0</v>
      </c>
    </row>
    <row r="542" spans="1:4" ht="18" hidden="1">
      <c r="A542" s="161" t="s">
        <v>185</v>
      </c>
      <c r="B542" s="157"/>
      <c r="C542" s="157"/>
      <c r="D542" s="158">
        <f t="shared" si="8"/>
        <v>0</v>
      </c>
    </row>
    <row r="543" spans="1:4" ht="18" hidden="1">
      <c r="A543" s="161" t="s">
        <v>186</v>
      </c>
      <c r="B543" s="157"/>
      <c r="C543" s="157"/>
      <c r="D543" s="158">
        <f t="shared" si="8"/>
        <v>0</v>
      </c>
    </row>
    <row r="544" spans="1:4" ht="18" hidden="1">
      <c r="A544" s="160" t="s">
        <v>187</v>
      </c>
      <c r="B544" s="157"/>
      <c r="C544" s="157"/>
      <c r="D544" s="158">
        <f t="shared" si="8"/>
        <v>0</v>
      </c>
    </row>
    <row r="545" spans="1:4" ht="18" hidden="1">
      <c r="A545" s="156" t="s">
        <v>242</v>
      </c>
      <c r="B545" s="157"/>
      <c r="C545" s="157"/>
      <c r="D545" s="158">
        <f t="shared" si="8"/>
        <v>0</v>
      </c>
    </row>
    <row r="546" spans="1:4" ht="18" hidden="1">
      <c r="A546" s="156" t="s">
        <v>22</v>
      </c>
      <c r="B546" s="157"/>
      <c r="C546" s="157"/>
      <c r="D546" s="158">
        <f t="shared" si="8"/>
        <v>0</v>
      </c>
    </row>
    <row r="547" spans="1:4" ht="18" hidden="1">
      <c r="A547" s="159" t="s">
        <v>358</v>
      </c>
      <c r="B547" s="157"/>
      <c r="C547" s="157"/>
      <c r="D547" s="158">
        <f t="shared" si="8"/>
        <v>0</v>
      </c>
    </row>
    <row r="548" spans="1:4" ht="18" hidden="1">
      <c r="A548" s="159" t="s">
        <v>359</v>
      </c>
      <c r="B548" s="157"/>
      <c r="C548" s="157"/>
      <c r="D548" s="158">
        <f t="shared" si="8"/>
        <v>0</v>
      </c>
    </row>
    <row r="549" spans="1:4" ht="18" hidden="1">
      <c r="A549" s="159" t="s">
        <v>360</v>
      </c>
      <c r="B549" s="157"/>
      <c r="C549" s="157"/>
      <c r="D549" s="158">
        <f t="shared" si="8"/>
        <v>0</v>
      </c>
    </row>
    <row r="550" spans="1:4" ht="18" hidden="1">
      <c r="A550" s="159" t="s">
        <v>361</v>
      </c>
      <c r="B550" s="157"/>
      <c r="C550" s="157"/>
      <c r="D550" s="158">
        <f t="shared" si="8"/>
        <v>0</v>
      </c>
    </row>
    <row r="551" spans="1:4" ht="18" hidden="1">
      <c r="A551" s="161" t="s">
        <v>128</v>
      </c>
      <c r="B551" s="157"/>
      <c r="C551" s="157"/>
      <c r="D551" s="158">
        <f t="shared" si="8"/>
        <v>0</v>
      </c>
    </row>
    <row r="552" spans="1:4" ht="18" hidden="1">
      <c r="A552" s="161" t="s">
        <v>129</v>
      </c>
      <c r="B552" s="157"/>
      <c r="C552" s="157"/>
      <c r="D552" s="158">
        <f t="shared" si="8"/>
        <v>0</v>
      </c>
    </row>
    <row r="553" spans="1:4" ht="18" hidden="1">
      <c r="A553" s="161" t="s">
        <v>362</v>
      </c>
      <c r="B553" s="157"/>
      <c r="C553" s="157"/>
      <c r="D553" s="158">
        <f t="shared" si="8"/>
        <v>0</v>
      </c>
    </row>
    <row r="554" spans="1:4" ht="18" hidden="1">
      <c r="A554" s="161" t="s">
        <v>130</v>
      </c>
      <c r="B554" s="157"/>
      <c r="C554" s="157"/>
      <c r="D554" s="158">
        <f t="shared" si="8"/>
        <v>0</v>
      </c>
    </row>
    <row r="555" spans="1:4" ht="18" hidden="1">
      <c r="A555" s="156" t="s">
        <v>152</v>
      </c>
      <c r="B555" s="157"/>
      <c r="C555" s="157"/>
      <c r="D555" s="158">
        <f t="shared" si="8"/>
        <v>0</v>
      </c>
    </row>
    <row r="556" spans="1:4" ht="18" hidden="1">
      <c r="A556" s="156" t="s">
        <v>153</v>
      </c>
      <c r="B556" s="157"/>
      <c r="C556" s="157"/>
      <c r="D556" s="158">
        <f t="shared" si="8"/>
        <v>0</v>
      </c>
    </row>
    <row r="557" spans="1:4" ht="18" hidden="1">
      <c r="A557" s="161" t="s">
        <v>154</v>
      </c>
      <c r="B557" s="157"/>
      <c r="C557" s="157"/>
      <c r="D557" s="158">
        <f t="shared" si="8"/>
        <v>0</v>
      </c>
    </row>
    <row r="558" spans="1:4" ht="18" hidden="1">
      <c r="A558" s="161" t="s">
        <v>363</v>
      </c>
      <c r="B558" s="157"/>
      <c r="C558" s="157"/>
      <c r="D558" s="158">
        <f t="shared" si="8"/>
        <v>0</v>
      </c>
    </row>
    <row r="559" spans="1:4" ht="18" hidden="1">
      <c r="A559" s="161" t="s">
        <v>222</v>
      </c>
      <c r="B559" s="157"/>
      <c r="C559" s="157"/>
      <c r="D559" s="158">
        <f t="shared" si="8"/>
        <v>0</v>
      </c>
    </row>
    <row r="560" spans="1:4" ht="18" hidden="1">
      <c r="A560" s="159" t="s">
        <v>223</v>
      </c>
      <c r="B560" s="157"/>
      <c r="C560" s="157"/>
      <c r="D560" s="158">
        <f t="shared" si="8"/>
        <v>0</v>
      </c>
    </row>
    <row r="561" spans="1:4" ht="18" hidden="1">
      <c r="A561" s="161" t="s">
        <v>224</v>
      </c>
      <c r="B561" s="157"/>
      <c r="C561" s="157"/>
      <c r="D561" s="158">
        <f t="shared" si="8"/>
        <v>0</v>
      </c>
    </row>
    <row r="562" spans="1:4" ht="18" hidden="1">
      <c r="A562" s="159" t="s">
        <v>367</v>
      </c>
      <c r="B562" s="157"/>
      <c r="C562" s="157"/>
      <c r="D562" s="158">
        <f t="shared" si="8"/>
        <v>0</v>
      </c>
    </row>
    <row r="563" spans="1:4" ht="18" hidden="1">
      <c r="A563" s="161" t="s">
        <v>262</v>
      </c>
      <c r="B563" s="157"/>
      <c r="C563" s="157"/>
      <c r="D563" s="158">
        <f t="shared" si="8"/>
        <v>0</v>
      </c>
    </row>
    <row r="564" spans="1:4" ht="18" hidden="1">
      <c r="A564" s="161" t="s">
        <v>282</v>
      </c>
      <c r="B564" s="157"/>
      <c r="C564" s="157"/>
      <c r="D564" s="158">
        <f t="shared" si="8"/>
        <v>0</v>
      </c>
    </row>
    <row r="565" spans="1:4" ht="18" hidden="1">
      <c r="A565" s="161" t="s">
        <v>285</v>
      </c>
      <c r="B565" s="157"/>
      <c r="C565" s="157"/>
      <c r="D565" s="158">
        <f t="shared" si="8"/>
        <v>0</v>
      </c>
    </row>
    <row r="566" spans="1:4" ht="18" hidden="1">
      <c r="A566" s="161" t="s">
        <v>314</v>
      </c>
      <c r="B566" s="157"/>
      <c r="C566" s="157"/>
      <c r="D566" s="158">
        <f t="shared" si="8"/>
        <v>0</v>
      </c>
    </row>
    <row r="567" spans="1:4" ht="18" hidden="1">
      <c r="A567" s="164" t="s">
        <v>315</v>
      </c>
      <c r="B567" s="157"/>
      <c r="C567" s="157"/>
      <c r="D567" s="158">
        <f t="shared" si="8"/>
        <v>0</v>
      </c>
    </row>
    <row r="568" spans="1:4" ht="18" hidden="1">
      <c r="A568" s="156" t="s">
        <v>377</v>
      </c>
      <c r="B568" s="157"/>
      <c r="C568" s="157"/>
      <c r="D568" s="158">
        <f t="shared" si="8"/>
        <v>0</v>
      </c>
    </row>
    <row r="569" spans="1:4" ht="18" hidden="1">
      <c r="A569" s="159" t="s">
        <v>355</v>
      </c>
      <c r="B569" s="157"/>
      <c r="C569" s="157"/>
      <c r="D569" s="158">
        <f t="shared" si="8"/>
        <v>0</v>
      </c>
    </row>
    <row r="570" spans="1:4" ht="18" hidden="1">
      <c r="A570" s="161" t="s">
        <v>47</v>
      </c>
      <c r="B570" s="157"/>
      <c r="C570" s="157"/>
      <c r="D570" s="158">
        <f t="shared" si="8"/>
        <v>0</v>
      </c>
    </row>
    <row r="571" spans="1:4" ht="18" hidden="1">
      <c r="A571" s="161" t="s">
        <v>48</v>
      </c>
      <c r="B571" s="157"/>
      <c r="C571" s="157"/>
      <c r="D571" s="158">
        <f t="shared" si="8"/>
        <v>0</v>
      </c>
    </row>
    <row r="572" spans="1:4" ht="18" hidden="1">
      <c r="A572" s="159" t="s">
        <v>356</v>
      </c>
      <c r="B572" s="162"/>
      <c r="C572" s="162"/>
      <c r="D572" s="158">
        <f t="shared" si="8"/>
        <v>0</v>
      </c>
    </row>
    <row r="573" spans="1:4" ht="18" hidden="1">
      <c r="A573" s="159" t="s">
        <v>50</v>
      </c>
      <c r="B573" s="162"/>
      <c r="C573" s="162"/>
      <c r="D573" s="158">
        <f t="shared" si="8"/>
        <v>0</v>
      </c>
    </row>
    <row r="574" spans="1:4" ht="18" hidden="1">
      <c r="A574" s="164" t="s">
        <v>270</v>
      </c>
      <c r="B574" s="157"/>
      <c r="C574" s="157"/>
      <c r="D574" s="158">
        <f t="shared" si="8"/>
        <v>0</v>
      </c>
    </row>
    <row r="575" spans="1:4" ht="18" hidden="1">
      <c r="A575" s="163" t="s">
        <v>271</v>
      </c>
      <c r="B575" s="157"/>
      <c r="C575" s="157"/>
      <c r="D575" s="158">
        <f t="shared" si="8"/>
        <v>0</v>
      </c>
    </row>
    <row r="576" spans="1:4" ht="18" hidden="1">
      <c r="A576" s="163" t="s">
        <v>272</v>
      </c>
      <c r="B576" s="157"/>
      <c r="C576" s="157"/>
      <c r="D576" s="158">
        <f t="shared" si="8"/>
        <v>0</v>
      </c>
    </row>
    <row r="577" spans="1:4" ht="18" hidden="1">
      <c r="A577" s="159" t="s">
        <v>373</v>
      </c>
      <c r="B577" s="157"/>
      <c r="C577" s="157"/>
      <c r="D577" s="158">
        <f t="shared" si="8"/>
        <v>0</v>
      </c>
    </row>
    <row r="578" spans="1:4" ht="18" hidden="1">
      <c r="A578" s="159" t="s">
        <v>283</v>
      </c>
      <c r="B578" s="157"/>
      <c r="C578" s="157"/>
      <c r="D578" s="158">
        <f t="shared" si="8"/>
        <v>0</v>
      </c>
    </row>
    <row r="579" spans="1:4" ht="18" hidden="1">
      <c r="A579" s="161" t="s">
        <v>284</v>
      </c>
      <c r="B579" s="157"/>
      <c r="C579" s="157"/>
      <c r="D579" s="158">
        <f t="shared" si="8"/>
        <v>0</v>
      </c>
    </row>
    <row r="580" spans="1:4" ht="18" hidden="1">
      <c r="A580" s="161" t="s">
        <v>374</v>
      </c>
      <c r="B580" s="157"/>
      <c r="C580" s="157"/>
      <c r="D580" s="158">
        <f t="shared" ref="D580:D643" si="9">B580*C580</f>
        <v>0</v>
      </c>
    </row>
    <row r="581" spans="1:4" ht="18" hidden="1">
      <c r="A581" s="161" t="s">
        <v>287</v>
      </c>
      <c r="B581" s="157"/>
      <c r="C581" s="157"/>
      <c r="D581" s="158">
        <f t="shared" si="9"/>
        <v>0</v>
      </c>
    </row>
    <row r="582" spans="1:4" ht="18" hidden="1">
      <c r="A582" s="164" t="s">
        <v>299</v>
      </c>
      <c r="B582" s="157"/>
      <c r="C582" s="157"/>
      <c r="D582" s="158">
        <f t="shared" si="9"/>
        <v>0</v>
      </c>
    </row>
    <row r="583" spans="1:4" ht="18" hidden="1">
      <c r="A583" s="156" t="s">
        <v>193</v>
      </c>
      <c r="B583" s="157"/>
      <c r="C583" s="157"/>
      <c r="D583" s="158">
        <f t="shared" si="9"/>
        <v>0</v>
      </c>
    </row>
    <row r="584" spans="1:4" ht="18" hidden="1">
      <c r="A584" s="161" t="s">
        <v>194</v>
      </c>
      <c r="B584" s="157"/>
      <c r="C584" s="157"/>
      <c r="D584" s="158">
        <f t="shared" si="9"/>
        <v>0</v>
      </c>
    </row>
    <row r="585" spans="1:4" ht="18" hidden="1">
      <c r="A585" s="161" t="s">
        <v>195</v>
      </c>
      <c r="B585" s="157"/>
      <c r="C585" s="157"/>
      <c r="D585" s="158">
        <f t="shared" si="9"/>
        <v>0</v>
      </c>
    </row>
    <row r="586" spans="1:4" ht="18" hidden="1">
      <c r="A586" s="156" t="s">
        <v>320</v>
      </c>
      <c r="B586" s="157"/>
      <c r="C586" s="157"/>
      <c r="D586" s="158">
        <f t="shared" si="9"/>
        <v>0</v>
      </c>
    </row>
    <row r="587" spans="1:4" ht="18" hidden="1">
      <c r="A587" s="161" t="s">
        <v>322</v>
      </c>
      <c r="B587" s="157"/>
      <c r="C587" s="157"/>
      <c r="D587" s="158">
        <f t="shared" si="9"/>
        <v>0</v>
      </c>
    </row>
    <row r="588" spans="1:4" ht="18" hidden="1">
      <c r="A588" s="161" t="s">
        <v>323</v>
      </c>
      <c r="B588" s="157"/>
      <c r="C588" s="157"/>
      <c r="D588" s="158">
        <f t="shared" si="9"/>
        <v>0</v>
      </c>
    </row>
    <row r="589" spans="1:4" ht="18" hidden="1">
      <c r="A589" s="163" t="s">
        <v>326</v>
      </c>
      <c r="B589" s="157"/>
      <c r="C589" s="157"/>
      <c r="D589" s="158">
        <f t="shared" si="9"/>
        <v>0</v>
      </c>
    </row>
    <row r="590" spans="1:4" ht="18" hidden="1">
      <c r="A590" s="161" t="s">
        <v>328</v>
      </c>
      <c r="B590" s="157"/>
      <c r="C590" s="157"/>
      <c r="D590" s="158">
        <f t="shared" si="9"/>
        <v>0</v>
      </c>
    </row>
    <row r="591" spans="1:4" ht="18" hidden="1">
      <c r="A591" s="161" t="s">
        <v>329</v>
      </c>
      <c r="B591" s="157"/>
      <c r="C591" s="157"/>
      <c r="D591" s="158">
        <f t="shared" si="9"/>
        <v>0</v>
      </c>
    </row>
    <row r="592" spans="1:4" ht="18" hidden="1">
      <c r="A592" s="161" t="s">
        <v>330</v>
      </c>
      <c r="B592" s="157"/>
      <c r="C592" s="157"/>
      <c r="D592" s="158">
        <f t="shared" si="9"/>
        <v>0</v>
      </c>
    </row>
    <row r="593" spans="1:4" ht="18" hidden="1">
      <c r="A593" s="161" t="s">
        <v>331</v>
      </c>
      <c r="B593" s="157"/>
      <c r="C593" s="157"/>
      <c r="D593" s="158">
        <f t="shared" si="9"/>
        <v>0</v>
      </c>
    </row>
    <row r="594" spans="1:4" ht="18" hidden="1">
      <c r="A594" s="163" t="s">
        <v>332</v>
      </c>
      <c r="B594" s="157"/>
      <c r="C594" s="157"/>
      <c r="D594" s="158">
        <f t="shared" si="9"/>
        <v>0</v>
      </c>
    </row>
    <row r="595" spans="1:4" ht="18" hidden="1">
      <c r="A595" s="161" t="s">
        <v>333</v>
      </c>
      <c r="B595" s="157"/>
      <c r="C595" s="157"/>
      <c r="D595" s="158">
        <f t="shared" si="9"/>
        <v>0</v>
      </c>
    </row>
    <row r="596" spans="1:4" ht="18" hidden="1">
      <c r="A596" s="161" t="s">
        <v>337</v>
      </c>
      <c r="B596" s="157"/>
      <c r="C596" s="157"/>
      <c r="D596" s="158">
        <f t="shared" si="9"/>
        <v>0</v>
      </c>
    </row>
    <row r="597" spans="1:4" ht="18" hidden="1">
      <c r="A597" s="163" t="s">
        <v>339</v>
      </c>
      <c r="B597" s="157"/>
      <c r="C597" s="157"/>
      <c r="D597" s="158">
        <f t="shared" si="9"/>
        <v>0</v>
      </c>
    </row>
    <row r="598" spans="1:4" ht="18" hidden="1">
      <c r="A598" s="163" t="s">
        <v>340</v>
      </c>
      <c r="B598" s="157"/>
      <c r="C598" s="157"/>
      <c r="D598" s="158">
        <f t="shared" si="9"/>
        <v>0</v>
      </c>
    </row>
    <row r="599" spans="1:4" ht="18" hidden="1">
      <c r="A599" s="161" t="s">
        <v>341</v>
      </c>
      <c r="B599" s="157"/>
      <c r="C599" s="157"/>
      <c r="D599" s="158">
        <f t="shared" si="9"/>
        <v>0</v>
      </c>
    </row>
    <row r="600" spans="1:4" ht="18" hidden="1">
      <c r="A600" s="161" t="s">
        <v>342</v>
      </c>
      <c r="B600" s="157"/>
      <c r="C600" s="157"/>
      <c r="D600" s="158">
        <f t="shared" si="9"/>
        <v>0</v>
      </c>
    </row>
    <row r="601" spans="1:4" ht="18" hidden="1">
      <c r="A601" s="163" t="s">
        <v>343</v>
      </c>
      <c r="B601" s="157"/>
      <c r="C601" s="157"/>
      <c r="D601" s="158">
        <f t="shared" si="9"/>
        <v>0</v>
      </c>
    </row>
    <row r="602" spans="1:4" ht="18" hidden="1">
      <c r="A602" s="161" t="s">
        <v>344</v>
      </c>
      <c r="B602" s="157"/>
      <c r="C602" s="157"/>
      <c r="D602" s="158">
        <f t="shared" si="9"/>
        <v>0</v>
      </c>
    </row>
    <row r="603" spans="1:4" ht="18" hidden="1">
      <c r="A603" s="161" t="s">
        <v>345</v>
      </c>
      <c r="B603" s="157"/>
      <c r="C603" s="157"/>
      <c r="D603" s="158">
        <f t="shared" si="9"/>
        <v>0</v>
      </c>
    </row>
    <row r="604" spans="1:4" ht="18" hidden="1">
      <c r="A604" s="161" t="s">
        <v>346</v>
      </c>
      <c r="B604" s="157"/>
      <c r="C604" s="157"/>
      <c r="D604" s="158">
        <f t="shared" si="9"/>
        <v>0</v>
      </c>
    </row>
    <row r="605" spans="1:4" ht="18" hidden="1">
      <c r="A605" s="161" t="s">
        <v>347</v>
      </c>
      <c r="B605" s="157"/>
      <c r="C605" s="157"/>
      <c r="D605" s="158">
        <f t="shared" si="9"/>
        <v>0</v>
      </c>
    </row>
    <row r="606" spans="1:4" ht="18" hidden="1">
      <c r="A606" s="161" t="s">
        <v>348</v>
      </c>
      <c r="B606" s="157"/>
      <c r="C606" s="157"/>
      <c r="D606" s="158">
        <f t="shared" si="9"/>
        <v>0</v>
      </c>
    </row>
    <row r="607" spans="1:4" ht="18" hidden="1">
      <c r="A607" s="161" t="s">
        <v>349</v>
      </c>
      <c r="B607" s="157"/>
      <c r="C607" s="157"/>
      <c r="D607" s="158">
        <f t="shared" si="9"/>
        <v>0</v>
      </c>
    </row>
    <row r="608" spans="1:4" ht="18" hidden="1">
      <c r="A608" s="161" t="s">
        <v>350</v>
      </c>
      <c r="B608" s="157"/>
      <c r="C608" s="157"/>
      <c r="D608" s="158">
        <f t="shared" si="9"/>
        <v>0</v>
      </c>
    </row>
    <row r="609" spans="1:4" ht="18" hidden="1">
      <c r="A609" s="161" t="s">
        <v>351</v>
      </c>
      <c r="B609" s="157"/>
      <c r="C609" s="157"/>
      <c r="D609" s="158">
        <f t="shared" si="9"/>
        <v>0</v>
      </c>
    </row>
    <row r="610" spans="1:4" ht="18" hidden="1">
      <c r="A610" s="161" t="s">
        <v>302</v>
      </c>
      <c r="B610" s="157"/>
      <c r="C610" s="157"/>
      <c r="D610" s="158">
        <f t="shared" si="9"/>
        <v>0</v>
      </c>
    </row>
    <row r="611" spans="1:4" ht="18" hidden="1">
      <c r="A611" s="164" t="s">
        <v>303</v>
      </c>
      <c r="B611" s="157"/>
      <c r="C611" s="157"/>
      <c r="D611" s="158">
        <f t="shared" si="9"/>
        <v>0</v>
      </c>
    </row>
    <row r="612" spans="1:4" ht="18" hidden="1">
      <c r="A612" s="161" t="s">
        <v>304</v>
      </c>
      <c r="B612" s="157"/>
      <c r="C612" s="157"/>
      <c r="D612" s="158">
        <f t="shared" si="9"/>
        <v>0</v>
      </c>
    </row>
    <row r="613" spans="1:4" ht="18" hidden="1">
      <c r="A613" s="161" t="s">
        <v>30</v>
      </c>
      <c r="B613" s="157"/>
      <c r="C613" s="157"/>
      <c r="D613" s="158">
        <f t="shared" si="9"/>
        <v>0</v>
      </c>
    </row>
    <row r="614" spans="1:4" ht="18" hidden="1">
      <c r="A614" s="161" t="s">
        <v>31</v>
      </c>
      <c r="B614" s="157"/>
      <c r="C614" s="157"/>
      <c r="D614" s="158">
        <f t="shared" si="9"/>
        <v>0</v>
      </c>
    </row>
    <row r="615" spans="1:4" ht="18">
      <c r="A615" s="161" t="s">
        <v>32</v>
      </c>
      <c r="B615" s="157">
        <v>30</v>
      </c>
      <c r="C615" s="157">
        <v>9000</v>
      </c>
      <c r="D615" s="158">
        <f t="shared" si="9"/>
        <v>270000</v>
      </c>
    </row>
    <row r="616" spans="1:4" ht="18" hidden="1">
      <c r="A616" s="161" t="s">
        <v>33</v>
      </c>
      <c r="B616" s="157"/>
      <c r="C616" s="157"/>
      <c r="D616" s="158">
        <f t="shared" si="9"/>
        <v>0</v>
      </c>
    </row>
    <row r="617" spans="1:4" ht="18" hidden="1">
      <c r="A617" s="161" t="s">
        <v>34</v>
      </c>
      <c r="B617" s="157"/>
      <c r="C617" s="157"/>
      <c r="D617" s="158">
        <f t="shared" si="9"/>
        <v>0</v>
      </c>
    </row>
    <row r="618" spans="1:4" ht="18" hidden="1">
      <c r="A618" s="161" t="s">
        <v>58</v>
      </c>
      <c r="B618" s="157"/>
      <c r="C618" s="157"/>
      <c r="D618" s="158">
        <f t="shared" si="9"/>
        <v>0</v>
      </c>
    </row>
    <row r="619" spans="1:4" ht="18" hidden="1">
      <c r="A619" s="161" t="s">
        <v>59</v>
      </c>
      <c r="B619" s="157"/>
      <c r="C619" s="157"/>
      <c r="D619" s="158">
        <f t="shared" si="9"/>
        <v>0</v>
      </c>
    </row>
    <row r="620" spans="1:4" ht="18" hidden="1">
      <c r="A620" s="173" t="s">
        <v>60</v>
      </c>
      <c r="B620" s="157"/>
      <c r="C620" s="157"/>
      <c r="D620" s="158">
        <f t="shared" si="9"/>
        <v>0</v>
      </c>
    </row>
    <row r="621" spans="1:4" ht="18" hidden="1">
      <c r="A621" s="161" t="s">
        <v>63</v>
      </c>
      <c r="B621" s="157"/>
      <c r="C621" s="157"/>
      <c r="D621" s="158">
        <f t="shared" si="9"/>
        <v>0</v>
      </c>
    </row>
    <row r="622" spans="1:4" ht="18" hidden="1">
      <c r="A622" s="161" t="s">
        <v>64</v>
      </c>
      <c r="B622" s="157"/>
      <c r="C622" s="157"/>
      <c r="D622" s="158">
        <f t="shared" si="9"/>
        <v>0</v>
      </c>
    </row>
    <row r="623" spans="1:4" ht="18" hidden="1">
      <c r="A623" s="183" t="s">
        <v>145</v>
      </c>
      <c r="B623" s="157"/>
      <c r="C623" s="157"/>
      <c r="D623" s="158">
        <f t="shared" si="9"/>
        <v>0</v>
      </c>
    </row>
    <row r="624" spans="1:4" ht="18" hidden="1">
      <c r="A624" s="156" t="s">
        <v>146</v>
      </c>
      <c r="B624" s="162"/>
      <c r="C624" s="162"/>
      <c r="D624" s="158">
        <f t="shared" si="9"/>
        <v>0</v>
      </c>
    </row>
    <row r="625" spans="1:4" ht="18" hidden="1">
      <c r="A625" s="161" t="s">
        <v>147</v>
      </c>
      <c r="B625" s="157"/>
      <c r="C625" s="157"/>
      <c r="D625" s="158">
        <f t="shared" si="9"/>
        <v>0</v>
      </c>
    </row>
    <row r="626" spans="1:4" ht="18" hidden="1">
      <c r="A626" s="161" t="s">
        <v>148</v>
      </c>
      <c r="B626" s="157"/>
      <c r="C626" s="157"/>
      <c r="D626" s="158">
        <f t="shared" si="9"/>
        <v>0</v>
      </c>
    </row>
    <row r="627" spans="1:4" ht="18" hidden="1">
      <c r="A627" s="161" t="s">
        <v>305</v>
      </c>
      <c r="B627" s="157"/>
      <c r="C627" s="157"/>
      <c r="D627" s="158">
        <f t="shared" si="9"/>
        <v>0</v>
      </c>
    </row>
    <row r="628" spans="1:4" ht="18" hidden="1">
      <c r="A628" s="164" t="s">
        <v>306</v>
      </c>
      <c r="B628" s="157"/>
      <c r="C628" s="157"/>
      <c r="D628" s="158">
        <f t="shared" si="9"/>
        <v>0</v>
      </c>
    </row>
    <row r="629" spans="1:4" ht="18" hidden="1">
      <c r="A629" s="161" t="s">
        <v>24</v>
      </c>
      <c r="B629" s="157"/>
      <c r="C629" s="157"/>
      <c r="D629" s="158">
        <f t="shared" si="9"/>
        <v>0</v>
      </c>
    </row>
    <row r="630" spans="1:4" ht="18" hidden="1">
      <c r="A630" s="173" t="s">
        <v>25</v>
      </c>
      <c r="B630" s="157"/>
      <c r="C630" s="157"/>
      <c r="D630" s="158">
        <f t="shared" si="9"/>
        <v>0</v>
      </c>
    </row>
    <row r="631" spans="1:4" ht="18" hidden="1">
      <c r="A631" s="159" t="s">
        <v>26</v>
      </c>
      <c r="B631" s="157"/>
      <c r="C631" s="157"/>
      <c r="D631" s="158">
        <f t="shared" si="9"/>
        <v>0</v>
      </c>
    </row>
    <row r="632" spans="1:4" ht="18" hidden="1">
      <c r="A632" s="161" t="s">
        <v>172</v>
      </c>
      <c r="B632" s="157"/>
      <c r="C632" s="157"/>
      <c r="D632" s="158">
        <f t="shared" si="9"/>
        <v>0</v>
      </c>
    </row>
    <row r="633" spans="1:4" ht="18" hidden="1">
      <c r="A633" s="161" t="s">
        <v>173</v>
      </c>
      <c r="B633" s="157"/>
      <c r="C633" s="157"/>
      <c r="D633" s="158">
        <f t="shared" si="9"/>
        <v>0</v>
      </c>
    </row>
    <row r="634" spans="1:4" ht="18" hidden="1">
      <c r="A634" s="161" t="s">
        <v>174</v>
      </c>
      <c r="B634" s="157"/>
      <c r="C634" s="157"/>
      <c r="D634" s="158">
        <f t="shared" si="9"/>
        <v>0</v>
      </c>
    </row>
    <row r="635" spans="1:4" ht="18" hidden="1">
      <c r="A635" s="161" t="s">
        <v>175</v>
      </c>
      <c r="B635" s="157"/>
      <c r="C635" s="157"/>
      <c r="D635" s="158">
        <f t="shared" si="9"/>
        <v>0</v>
      </c>
    </row>
    <row r="636" spans="1:4" ht="18" hidden="1">
      <c r="A636" s="178" t="s">
        <v>13</v>
      </c>
      <c r="B636" s="157"/>
      <c r="C636" s="157"/>
      <c r="D636" s="158">
        <f t="shared" si="9"/>
        <v>0</v>
      </c>
    </row>
    <row r="637" spans="1:4" ht="18" hidden="1">
      <c r="A637" s="171" t="s">
        <v>14</v>
      </c>
      <c r="B637" s="157"/>
      <c r="C637" s="157"/>
      <c r="D637" s="158">
        <f t="shared" si="9"/>
        <v>0</v>
      </c>
    </row>
    <row r="638" spans="1:4" ht="18" hidden="1">
      <c r="A638" s="185" t="s">
        <v>77</v>
      </c>
      <c r="B638" s="157"/>
      <c r="C638" s="157"/>
      <c r="D638" s="158">
        <f t="shared" si="9"/>
        <v>0</v>
      </c>
    </row>
    <row r="639" spans="1:4" ht="18" hidden="1">
      <c r="A639" s="156" t="s">
        <v>81</v>
      </c>
      <c r="B639" s="157"/>
      <c r="C639" s="157"/>
      <c r="D639" s="158">
        <f t="shared" si="9"/>
        <v>0</v>
      </c>
    </row>
    <row r="640" spans="1:4" ht="18" hidden="1">
      <c r="A640" s="159" t="s">
        <v>116</v>
      </c>
      <c r="B640" s="157"/>
      <c r="C640" s="157"/>
      <c r="D640" s="158">
        <f t="shared" si="9"/>
        <v>0</v>
      </c>
    </row>
    <row r="641" spans="1:4" ht="18" hidden="1">
      <c r="A641" s="186" t="s">
        <v>122</v>
      </c>
      <c r="B641" s="157"/>
      <c r="C641" s="157"/>
      <c r="D641" s="158">
        <f t="shared" si="9"/>
        <v>0</v>
      </c>
    </row>
    <row r="642" spans="1:4" ht="18" hidden="1">
      <c r="A642" s="161" t="s">
        <v>133</v>
      </c>
      <c r="B642" s="157"/>
      <c r="C642" s="157"/>
      <c r="D642" s="158">
        <f t="shared" si="9"/>
        <v>0</v>
      </c>
    </row>
    <row r="643" spans="1:4" ht="18" hidden="1">
      <c r="A643" s="159" t="s">
        <v>135</v>
      </c>
      <c r="B643" s="157"/>
      <c r="C643" s="157"/>
      <c r="D643" s="158">
        <f t="shared" si="9"/>
        <v>0</v>
      </c>
    </row>
    <row r="644" spans="1:4" ht="18" hidden="1">
      <c r="A644" s="159" t="s">
        <v>136</v>
      </c>
      <c r="B644" s="157"/>
      <c r="C644" s="157"/>
      <c r="D644" s="158">
        <f t="shared" ref="D644:D671" si="10">B644*C644</f>
        <v>0</v>
      </c>
    </row>
    <row r="645" spans="1:4" ht="18" hidden="1">
      <c r="A645" s="161" t="s">
        <v>158</v>
      </c>
      <c r="B645" s="157"/>
      <c r="C645" s="157"/>
      <c r="D645" s="158">
        <f t="shared" si="10"/>
        <v>0</v>
      </c>
    </row>
    <row r="646" spans="1:4" ht="18" hidden="1">
      <c r="A646" s="159" t="s">
        <v>190</v>
      </c>
      <c r="B646" s="157"/>
      <c r="C646" s="157"/>
      <c r="D646" s="158">
        <f t="shared" si="10"/>
        <v>0</v>
      </c>
    </row>
    <row r="647" spans="1:4" ht="18" hidden="1">
      <c r="A647" s="164" t="s">
        <v>204</v>
      </c>
      <c r="B647" s="157"/>
      <c r="C647" s="157"/>
      <c r="D647" s="158">
        <f t="shared" si="10"/>
        <v>0</v>
      </c>
    </row>
    <row r="648" spans="1:4" ht="18" hidden="1">
      <c r="A648" s="164" t="s">
        <v>205</v>
      </c>
      <c r="B648" s="157"/>
      <c r="C648" s="157"/>
      <c r="D648" s="158">
        <f t="shared" si="10"/>
        <v>0</v>
      </c>
    </row>
    <row r="649" spans="1:4" ht="18" hidden="1">
      <c r="A649" s="164" t="s">
        <v>206</v>
      </c>
      <c r="B649" s="157"/>
      <c r="C649" s="157"/>
      <c r="D649" s="158">
        <f t="shared" si="10"/>
        <v>0</v>
      </c>
    </row>
    <row r="650" spans="1:4" ht="18" hidden="1">
      <c r="A650" s="164" t="s">
        <v>207</v>
      </c>
      <c r="B650" s="157"/>
      <c r="C650" s="157"/>
      <c r="D650" s="158">
        <f t="shared" si="10"/>
        <v>0</v>
      </c>
    </row>
    <row r="651" spans="1:4" ht="18" hidden="1">
      <c r="A651" s="161" t="s">
        <v>209</v>
      </c>
      <c r="B651" s="157"/>
      <c r="C651" s="157"/>
      <c r="D651" s="158">
        <f t="shared" si="10"/>
        <v>0</v>
      </c>
    </row>
    <row r="652" spans="1:4" ht="18" hidden="1">
      <c r="A652" s="187" t="s">
        <v>210</v>
      </c>
      <c r="B652" s="157"/>
      <c r="C652" s="157"/>
      <c r="D652" s="158">
        <f t="shared" si="10"/>
        <v>0</v>
      </c>
    </row>
    <row r="653" spans="1:4" ht="18" hidden="1">
      <c r="A653" s="187" t="s">
        <v>211</v>
      </c>
      <c r="B653" s="157"/>
      <c r="C653" s="157"/>
      <c r="D653" s="158">
        <f t="shared" si="10"/>
        <v>0</v>
      </c>
    </row>
    <row r="654" spans="1:4" ht="18" hidden="1">
      <c r="A654" s="187" t="s">
        <v>212</v>
      </c>
      <c r="B654" s="157"/>
      <c r="C654" s="157"/>
      <c r="D654" s="158">
        <f t="shared" si="10"/>
        <v>0</v>
      </c>
    </row>
    <row r="655" spans="1:4" ht="18" hidden="1">
      <c r="A655" s="187" t="s">
        <v>213</v>
      </c>
      <c r="B655" s="157"/>
      <c r="C655" s="157"/>
      <c r="D655" s="158">
        <f t="shared" si="10"/>
        <v>0</v>
      </c>
    </row>
    <row r="656" spans="1:4" ht="18" hidden="1">
      <c r="A656" s="159" t="s">
        <v>241</v>
      </c>
      <c r="B656" s="157"/>
      <c r="C656" s="157"/>
      <c r="D656" s="158">
        <f t="shared" si="10"/>
        <v>0</v>
      </c>
    </row>
    <row r="657" spans="1:4" ht="18" hidden="1">
      <c r="A657" s="163" t="s">
        <v>371</v>
      </c>
      <c r="B657" s="157"/>
      <c r="C657" s="157"/>
      <c r="D657" s="158">
        <f t="shared" si="10"/>
        <v>0</v>
      </c>
    </row>
    <row r="658" spans="1:4" ht="18" hidden="1">
      <c r="A658" s="163" t="s">
        <v>372</v>
      </c>
      <c r="B658" s="157"/>
      <c r="C658" s="157"/>
      <c r="D658" s="158">
        <f t="shared" si="10"/>
        <v>0</v>
      </c>
    </row>
    <row r="659" spans="1:4" ht="18" hidden="1">
      <c r="A659" s="159" t="s">
        <v>247</v>
      </c>
      <c r="B659" s="157"/>
      <c r="C659" s="157"/>
      <c r="D659" s="158">
        <f t="shared" si="10"/>
        <v>0</v>
      </c>
    </row>
    <row r="660" spans="1:4" ht="18" hidden="1">
      <c r="A660" s="173" t="s">
        <v>254</v>
      </c>
      <c r="B660" s="157"/>
      <c r="C660" s="157"/>
      <c r="D660" s="158">
        <f t="shared" si="10"/>
        <v>0</v>
      </c>
    </row>
    <row r="661" spans="1:4" ht="18" hidden="1">
      <c r="A661" s="173" t="s">
        <v>255</v>
      </c>
      <c r="B661" s="157"/>
      <c r="C661" s="157"/>
      <c r="D661" s="158">
        <f t="shared" si="10"/>
        <v>0</v>
      </c>
    </row>
    <row r="662" spans="1:4" ht="18" hidden="1">
      <c r="A662" s="187" t="s">
        <v>256</v>
      </c>
      <c r="B662" s="157"/>
      <c r="C662" s="157"/>
      <c r="D662" s="158">
        <f t="shared" si="10"/>
        <v>0</v>
      </c>
    </row>
    <row r="663" spans="1:4" ht="18" hidden="1">
      <c r="A663" s="187" t="s">
        <v>260</v>
      </c>
      <c r="B663" s="157"/>
      <c r="C663" s="157"/>
      <c r="D663" s="158">
        <f t="shared" si="10"/>
        <v>0</v>
      </c>
    </row>
    <row r="664" spans="1:4" ht="18" hidden="1">
      <c r="A664" s="187" t="s">
        <v>291</v>
      </c>
      <c r="B664" s="157"/>
      <c r="C664" s="157"/>
      <c r="D664" s="158">
        <f t="shared" si="10"/>
        <v>0</v>
      </c>
    </row>
    <row r="665" spans="1:4" ht="18" hidden="1">
      <c r="A665" s="187" t="s">
        <v>293</v>
      </c>
      <c r="B665" s="157"/>
      <c r="C665" s="157"/>
      <c r="D665" s="158">
        <f t="shared" si="10"/>
        <v>0</v>
      </c>
    </row>
    <row r="666" spans="1:4" ht="18" hidden="1">
      <c r="A666" s="159" t="s">
        <v>376</v>
      </c>
      <c r="B666" s="157"/>
      <c r="C666" s="157"/>
      <c r="D666" s="158">
        <f t="shared" si="10"/>
        <v>0</v>
      </c>
    </row>
    <row r="667" spans="1:4" ht="18" hidden="1">
      <c r="A667" s="187" t="s">
        <v>294</v>
      </c>
      <c r="B667" s="157"/>
      <c r="C667" s="157"/>
      <c r="D667" s="158">
        <f t="shared" si="10"/>
        <v>0</v>
      </c>
    </row>
    <row r="668" spans="1:4" ht="18" hidden="1">
      <c r="A668" s="186" t="s">
        <v>307</v>
      </c>
      <c r="B668" s="157"/>
      <c r="C668" s="157"/>
      <c r="D668" s="158">
        <f t="shared" si="10"/>
        <v>0</v>
      </c>
    </row>
    <row r="669" spans="1:4" ht="18" hidden="1">
      <c r="A669" s="161" t="s">
        <v>378</v>
      </c>
      <c r="B669" s="157"/>
      <c r="C669" s="157"/>
      <c r="D669" s="158">
        <f t="shared" si="10"/>
        <v>0</v>
      </c>
    </row>
    <row r="670" spans="1:4" ht="18" hidden="1">
      <c r="A670" s="159" t="s">
        <v>318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3042</v>
      </c>
      <c r="C672" s="189"/>
      <c r="D672" s="189">
        <f t="shared" ref="D672" si="11">SUM(D345:D671)</f>
        <v>42656500</v>
      </c>
    </row>
    <row r="674" spans="4:4">
      <c r="D674" s="190">
        <f>D672+D340</f>
        <v>107373000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1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674"/>
  <sheetViews>
    <sheetView topLeftCell="A269" workbookViewId="0">
      <selection activeCell="D674" sqref="D674"/>
    </sheetView>
  </sheetViews>
  <sheetFormatPr defaultRowHeight="14.4"/>
  <cols>
    <col min="1" max="1" width="38.5546875" customWidth="1"/>
    <col min="3" max="3" width="13.33203125" customWidth="1"/>
    <col min="4" max="4" width="20.44140625" customWidth="1"/>
  </cols>
  <sheetData>
    <row r="1" spans="1:4">
      <c r="A1" s="151" t="s">
        <v>411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SUM(B3*C3)</f>
        <v>0</v>
      </c>
    </row>
    <row r="4" spans="1:4" ht="18" hidden="1">
      <c r="A4" s="172" t="s">
        <v>8</v>
      </c>
      <c r="B4" s="157"/>
      <c r="C4" s="157"/>
      <c r="D4" s="158">
        <f t="shared" ref="D4:D67" si="0">SUM(B4*C4)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12</v>
      </c>
      <c r="C15" s="157">
        <v>18000</v>
      </c>
      <c r="D15" s="158">
        <f t="shared" si="0"/>
        <v>216000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15</v>
      </c>
      <c r="C18" s="157">
        <v>4000</v>
      </c>
      <c r="D18" s="158">
        <f t="shared" si="0"/>
        <v>60000</v>
      </c>
    </row>
    <row r="19" spans="1:4" ht="18">
      <c r="A19" s="159" t="s">
        <v>26</v>
      </c>
      <c r="B19" s="157">
        <v>10</v>
      </c>
      <c r="C19" s="184">
        <v>14000</v>
      </c>
      <c r="D19" s="158">
        <f t="shared" si="0"/>
        <v>140000</v>
      </c>
    </row>
    <row r="20" spans="1:4" ht="18">
      <c r="A20" s="161" t="s">
        <v>27</v>
      </c>
      <c r="B20" s="157">
        <f>-1000+2070</f>
        <v>1070</v>
      </c>
      <c r="C20" s="157">
        <v>14000</v>
      </c>
      <c r="D20" s="158">
        <f t="shared" si="0"/>
        <v>14980000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-30+40+30+10</f>
        <v>50</v>
      </c>
      <c r="C25" s="157">
        <v>9000</v>
      </c>
      <c r="D25" s="158">
        <f t="shared" si="0"/>
        <v>450000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v>8</v>
      </c>
      <c r="C28" s="157">
        <v>16500</v>
      </c>
      <c r="D28" s="158">
        <f t="shared" si="0"/>
        <v>132000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-300+340+30+20+20-15</f>
        <v>95</v>
      </c>
      <c r="C54" s="157">
        <v>20000</v>
      </c>
      <c r="D54" s="158">
        <f t="shared" si="0"/>
        <v>1900000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1</v>
      </c>
      <c r="C61" s="157">
        <v>10000</v>
      </c>
      <c r="D61" s="158">
        <f t="shared" si="0"/>
        <v>10000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30</v>
      </c>
      <c r="C64" s="157">
        <v>15000</v>
      </c>
      <c r="D64" s="158">
        <f t="shared" si="0"/>
        <v>450000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SUM(B68*C68)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-150+100+40+100</f>
        <v>90</v>
      </c>
      <c r="C78" s="157">
        <v>24000</v>
      </c>
      <c r="D78" s="158">
        <f t="shared" si="1"/>
        <v>2160000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100</v>
      </c>
      <c r="C80" s="157">
        <v>26000</v>
      </c>
      <c r="D80" s="158">
        <f t="shared" si="1"/>
        <v>2600000</v>
      </c>
    </row>
    <row r="81" spans="1:4" ht="18">
      <c r="A81" s="161" t="s">
        <v>94</v>
      </c>
      <c r="B81" s="157">
        <v>13.5</v>
      </c>
      <c r="C81" s="157">
        <v>22000</v>
      </c>
      <c r="D81" s="158">
        <f t="shared" si="1"/>
        <v>297000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-20+30</f>
        <v>10</v>
      </c>
      <c r="C123" s="157">
        <v>11000</v>
      </c>
      <c r="D123" s="158">
        <f t="shared" si="1"/>
        <v>110000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8.5</v>
      </c>
      <c r="C132" s="162">
        <v>16000</v>
      </c>
      <c r="D132" s="158">
        <f t="shared" ref="D132:D195" si="2">SUM(B132*C132)</f>
        <v>136000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-60+8+78+10</f>
        <v>36</v>
      </c>
      <c r="C136" s="157">
        <v>15000</v>
      </c>
      <c r="D136" s="158">
        <f t="shared" si="2"/>
        <v>540000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>
      <c r="A156" s="161" t="s">
        <v>170</v>
      </c>
      <c r="B156" s="157">
        <v>29</v>
      </c>
      <c r="C156" s="157">
        <v>8000</v>
      </c>
      <c r="D156" s="158">
        <f t="shared" si="2"/>
        <v>232000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3</v>
      </c>
      <c r="C171" s="157">
        <v>6500</v>
      </c>
      <c r="D171" s="158">
        <f t="shared" si="2"/>
        <v>19500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-500+459+140</f>
        <v>99</v>
      </c>
      <c r="C184" s="157">
        <v>8000</v>
      </c>
      <c r="D184" s="158">
        <f t="shared" si="2"/>
        <v>792000</v>
      </c>
    </row>
    <row r="185" spans="1:4" ht="18">
      <c r="A185" s="161" t="s">
        <v>199</v>
      </c>
      <c r="B185" s="157">
        <v>60</v>
      </c>
      <c r="C185" s="157">
        <v>4000</v>
      </c>
      <c r="D185" s="158">
        <f t="shared" si="2"/>
        <v>240000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>
      <c r="A187" s="156" t="s">
        <v>201</v>
      </c>
      <c r="B187" s="157">
        <v>10</v>
      </c>
      <c r="C187" s="157">
        <v>20000</v>
      </c>
      <c r="D187" s="158">
        <f t="shared" si="2"/>
        <v>200000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SUM(B196*C196)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40+125</f>
        <v>165</v>
      </c>
      <c r="C202" s="157">
        <v>19000</v>
      </c>
      <c r="D202" s="158">
        <f t="shared" si="3"/>
        <v>3135000</v>
      </c>
    </row>
    <row r="203" spans="1:4" ht="18">
      <c r="A203" s="156" t="s">
        <v>217</v>
      </c>
      <c r="B203" s="157">
        <f>350+110</f>
        <v>460</v>
      </c>
      <c r="C203" s="157">
        <v>20000</v>
      </c>
      <c r="D203" s="158">
        <f t="shared" si="3"/>
        <v>9200000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-400+180+160+70+7+300+78+10</f>
        <v>405</v>
      </c>
      <c r="C205" s="157">
        <v>16500</v>
      </c>
      <c r="D205" s="158">
        <f t="shared" si="3"/>
        <v>6682500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11</v>
      </c>
      <c r="C211" s="157">
        <v>12000</v>
      </c>
      <c r="D211" s="158">
        <f t="shared" si="3"/>
        <v>132000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-300+100+12+160+75+25+60+145+40</f>
        <v>317</v>
      </c>
      <c r="C216" s="157">
        <v>15000</v>
      </c>
      <c r="D216" s="158">
        <f t="shared" si="3"/>
        <v>4755000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67*2</f>
        <v>134</v>
      </c>
      <c r="C218" s="157">
        <v>13000</v>
      </c>
      <c r="D218" s="158">
        <f t="shared" si="3"/>
        <v>1742000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 hidden="1">
      <c r="A248" s="161" t="s">
        <v>262</v>
      </c>
      <c r="B248" s="157"/>
      <c r="C248" s="157"/>
      <c r="D248" s="158">
        <f t="shared" si="3"/>
        <v>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-20+80+5+15+7+20</f>
        <v>107</v>
      </c>
      <c r="C251" s="157">
        <v>27000</v>
      </c>
      <c r="D251" s="158">
        <f t="shared" si="3"/>
        <v>2889000</v>
      </c>
    </row>
    <row r="252" spans="1:4" ht="18">
      <c r="A252" s="161" t="s">
        <v>266</v>
      </c>
      <c r="B252" s="157">
        <v>12</v>
      </c>
      <c r="C252" s="157">
        <v>24000</v>
      </c>
      <c r="D252" s="158">
        <f t="shared" si="3"/>
        <v>288000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-20+104</f>
        <v>84</v>
      </c>
      <c r="C259" s="157">
        <v>30000</v>
      </c>
      <c r="D259" s="158">
        <f t="shared" si="3"/>
        <v>2520000</v>
      </c>
    </row>
    <row r="260" spans="1:4" ht="18">
      <c r="A260" s="161" t="s">
        <v>274</v>
      </c>
      <c r="B260" s="157">
        <v>13</v>
      </c>
      <c r="C260" s="157">
        <v>24000</v>
      </c>
      <c r="D260" s="158">
        <f t="shared" ref="D260:D323" si="4">SUM(B260*C260)</f>
        <v>312000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-20+80</f>
        <v>60</v>
      </c>
      <c r="C263" s="157">
        <v>18000</v>
      </c>
      <c r="D263" s="158">
        <f t="shared" si="4"/>
        <v>1080000</v>
      </c>
    </row>
    <row r="264" spans="1:4" ht="18">
      <c r="A264" s="161" t="s">
        <v>278</v>
      </c>
      <c r="B264" s="157">
        <v>6</v>
      </c>
      <c r="C264" s="157">
        <v>14000</v>
      </c>
      <c r="D264" s="158">
        <f t="shared" si="4"/>
        <v>84000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>
      <c r="A269" s="159" t="s">
        <v>283</v>
      </c>
      <c r="B269" s="157">
        <v>1.5</v>
      </c>
      <c r="C269" s="157">
        <v>42000</v>
      </c>
      <c r="D269" s="158">
        <f t="shared" si="4"/>
        <v>63000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28</v>
      </c>
      <c r="C274" s="157">
        <v>14000</v>
      </c>
      <c r="D274" s="158">
        <f t="shared" si="4"/>
        <v>392000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10</v>
      </c>
      <c r="C288" s="157">
        <v>11500</v>
      </c>
      <c r="D288" s="158">
        <f t="shared" si="4"/>
        <v>115000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18</v>
      </c>
      <c r="C291" s="157">
        <v>8500</v>
      </c>
      <c r="D291" s="158">
        <f t="shared" si="4"/>
        <v>153000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f>28+117</f>
        <v>145</v>
      </c>
      <c r="C294" s="157">
        <v>9000</v>
      </c>
      <c r="D294" s="158">
        <f t="shared" si="4"/>
        <v>1305000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SUM(B324*C324)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>
      <c r="A327" s="161" t="s">
        <v>341</v>
      </c>
      <c r="B327" s="157">
        <v>5</v>
      </c>
      <c r="C327" s="157">
        <v>30000</v>
      </c>
      <c r="D327" s="158">
        <f t="shared" si="5"/>
        <v>150000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>
      <c r="A331" s="161" t="s">
        <v>345</v>
      </c>
      <c r="B331" s="157">
        <v>19</v>
      </c>
      <c r="C331" s="157">
        <v>7000</v>
      </c>
      <c r="D331" s="158">
        <f t="shared" si="5"/>
        <v>133000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3750.5</v>
      </c>
      <c r="C340" s="189"/>
      <c r="D340" s="158">
        <f>SUM(D15:D331)</f>
        <v>60795000</v>
      </c>
    </row>
    <row r="341" spans="1:4" ht="18" hidden="1">
      <c r="D341" s="158">
        <f t="shared" si="5"/>
        <v>0</v>
      </c>
    </row>
    <row r="342" spans="1:4" ht="18">
      <c r="A342" s="151" t="s">
        <v>412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v>140</v>
      </c>
      <c r="C348" s="157">
        <v>5500</v>
      </c>
      <c r="D348" s="158">
        <f t="shared" si="5"/>
        <v>770000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15</v>
      </c>
      <c r="C355" s="157">
        <v>6000</v>
      </c>
      <c r="D355" s="158">
        <f t="shared" si="5"/>
        <v>90000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5"/>
        <v>14000000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10000</v>
      </c>
      <c r="D367" s="158">
        <f t="shared" si="5"/>
        <v>300000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SUM(B388*C388)</f>
        <v>0</v>
      </c>
    </row>
    <row r="389" spans="1:4" ht="18">
      <c r="A389" s="156" t="s">
        <v>65</v>
      </c>
      <c r="B389" s="157">
        <v>300</v>
      </c>
      <c r="C389" s="157">
        <v>20000</v>
      </c>
      <c r="D389" s="158">
        <f t="shared" si="6"/>
        <v>6000000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150</v>
      </c>
      <c r="C414" s="157">
        <v>24000</v>
      </c>
      <c r="D414" s="158">
        <f t="shared" si="6"/>
        <v>3600000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>
      <c r="A427" s="161" t="s">
        <v>104</v>
      </c>
      <c r="B427" s="157">
        <v>6</v>
      </c>
      <c r="C427" s="157">
        <v>9000</v>
      </c>
      <c r="D427" s="158">
        <f t="shared" si="6"/>
        <v>54000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 hidden="1">
      <c r="A449" s="161" t="s">
        <v>124</v>
      </c>
      <c r="B449" s="157"/>
      <c r="C449" s="157"/>
      <c r="D449" s="158">
        <f t="shared" si="6"/>
        <v>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SUM(B452*C452)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15000</v>
      </c>
      <c r="D472" s="158">
        <f t="shared" si="7"/>
        <v>900000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SUM(B516*C516)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500</v>
      </c>
      <c r="C520" s="157">
        <v>8000</v>
      </c>
      <c r="D520" s="158">
        <f t="shared" si="8"/>
        <v>4000000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16500</v>
      </c>
      <c r="D542" s="158">
        <f t="shared" si="8"/>
        <v>6600000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16000</v>
      </c>
      <c r="D556" s="158">
        <f t="shared" si="8"/>
        <v>4800000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SUM(B580*C580)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27000</v>
      </c>
      <c r="D585" s="158">
        <f t="shared" si="9"/>
        <v>540000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30000</v>
      </c>
      <c r="D593" s="158">
        <f t="shared" si="9"/>
        <v>600000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18000</v>
      </c>
      <c r="D597" s="158">
        <f t="shared" si="9"/>
        <v>360000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SUM(B644*C644)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2981</v>
      </c>
      <c r="C672" s="189"/>
      <c r="D672" s="189">
        <f t="shared" ref="D672" si="11">SUM(D345:D671)</f>
        <v>42834000</v>
      </c>
    </row>
    <row r="674" spans="4:4">
      <c r="D674" s="190">
        <f>D672+D340</f>
        <v>103629000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2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451"/>
  <sheetViews>
    <sheetView topLeftCell="A117" workbookViewId="0">
      <selection activeCell="D451" sqref="D451"/>
    </sheetView>
  </sheetViews>
  <sheetFormatPr defaultRowHeight="14.4"/>
  <cols>
    <col min="1" max="1" width="34.88671875" customWidth="1"/>
    <col min="3" max="3" width="12.5546875" customWidth="1"/>
    <col min="4" max="4" width="21.6640625" customWidth="1"/>
  </cols>
  <sheetData>
    <row r="1" spans="1:4">
      <c r="A1" s="151" t="s">
        <v>413</v>
      </c>
      <c r="B1" s="152"/>
      <c r="C1" s="152"/>
      <c r="D1" s="152"/>
    </row>
    <row r="2" spans="1:4" ht="39.6" customHeight="1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56" t="s">
        <v>82</v>
      </c>
      <c r="B3" s="157"/>
      <c r="C3" s="157"/>
      <c r="D3" s="158">
        <f t="shared" ref="D3:D34" si="0">B3*C3</f>
        <v>0</v>
      </c>
    </row>
    <row r="4" spans="1:4" ht="18" hidden="1">
      <c r="A4" s="156" t="s">
        <v>84</v>
      </c>
      <c r="B4" s="157"/>
      <c r="C4" s="157"/>
      <c r="D4" s="158">
        <f t="shared" si="0"/>
        <v>0</v>
      </c>
    </row>
    <row r="5" spans="1:4" ht="18" hidden="1">
      <c r="A5" s="156" t="s">
        <v>86</v>
      </c>
      <c r="B5" s="157"/>
      <c r="C5" s="157"/>
      <c r="D5" s="158">
        <f t="shared" si="0"/>
        <v>0</v>
      </c>
    </row>
    <row r="6" spans="1:4" ht="18" hidden="1">
      <c r="A6" s="156" t="s">
        <v>98</v>
      </c>
      <c r="B6" s="162"/>
      <c r="C6" s="162"/>
      <c r="D6" s="158">
        <f t="shared" si="0"/>
        <v>0</v>
      </c>
    </row>
    <row r="7" spans="1:4" ht="18" hidden="1">
      <c r="A7" s="161" t="s">
        <v>110</v>
      </c>
      <c r="B7" s="157"/>
      <c r="C7" s="157"/>
      <c r="D7" s="158">
        <f t="shared" si="0"/>
        <v>0</v>
      </c>
    </row>
    <row r="8" spans="1:4" ht="18" hidden="1">
      <c r="A8" s="159" t="s">
        <v>114</v>
      </c>
      <c r="B8" s="157"/>
      <c r="C8" s="157"/>
      <c r="D8" s="158">
        <f t="shared" si="0"/>
        <v>0</v>
      </c>
    </row>
    <row r="9" spans="1:4" ht="18" hidden="1">
      <c r="A9" s="163" t="s">
        <v>115</v>
      </c>
      <c r="B9" s="157"/>
      <c r="C9" s="157"/>
      <c r="D9" s="158">
        <f t="shared" si="0"/>
        <v>0</v>
      </c>
    </row>
    <row r="10" spans="1:4" ht="18" hidden="1">
      <c r="A10" s="159" t="s">
        <v>131</v>
      </c>
      <c r="B10" s="157"/>
      <c r="C10" s="157"/>
      <c r="D10" s="158">
        <f t="shared" si="0"/>
        <v>0</v>
      </c>
    </row>
    <row r="11" spans="1:4" ht="18" hidden="1">
      <c r="A11" s="163" t="s">
        <v>132</v>
      </c>
      <c r="B11" s="157"/>
      <c r="C11" s="157"/>
      <c r="D11" s="158">
        <f t="shared" si="0"/>
        <v>0</v>
      </c>
    </row>
    <row r="12" spans="1:4" ht="18" hidden="1">
      <c r="A12" s="161" t="s">
        <v>124</v>
      </c>
      <c r="B12" s="157"/>
      <c r="C12" s="157"/>
      <c r="D12" s="158">
        <f t="shared" si="0"/>
        <v>0</v>
      </c>
    </row>
    <row r="13" spans="1:4" ht="18" hidden="1">
      <c r="A13" s="161" t="s">
        <v>126</v>
      </c>
      <c r="B13" s="157"/>
      <c r="C13" s="157"/>
      <c r="D13" s="158">
        <f t="shared" si="0"/>
        <v>0</v>
      </c>
    </row>
    <row r="14" spans="1:4" ht="18" hidden="1">
      <c r="A14" s="159" t="s">
        <v>264</v>
      </c>
      <c r="B14" s="157"/>
      <c r="C14" s="157"/>
      <c r="D14" s="158">
        <f t="shared" si="0"/>
        <v>0</v>
      </c>
    </row>
    <row r="15" spans="1:4" ht="18">
      <c r="A15" s="161" t="s">
        <v>266</v>
      </c>
      <c r="B15" s="157">
        <v>45</v>
      </c>
      <c r="C15" s="157">
        <v>25000</v>
      </c>
      <c r="D15" s="158">
        <f t="shared" si="0"/>
        <v>1125000</v>
      </c>
    </row>
    <row r="16" spans="1:4" ht="18" hidden="1">
      <c r="A16" s="161" t="s">
        <v>267</v>
      </c>
      <c r="B16" s="157"/>
      <c r="C16" s="157"/>
      <c r="D16" s="158">
        <f t="shared" si="0"/>
        <v>0</v>
      </c>
    </row>
    <row r="17" spans="1:4" ht="18" hidden="1">
      <c r="A17" s="161" t="s">
        <v>268</v>
      </c>
      <c r="B17" s="157"/>
      <c r="C17" s="157"/>
      <c r="D17" s="158">
        <f t="shared" si="0"/>
        <v>0</v>
      </c>
    </row>
    <row r="18" spans="1:4" ht="18">
      <c r="A18" s="161" t="s">
        <v>273</v>
      </c>
      <c r="B18" s="157">
        <v>50</v>
      </c>
      <c r="C18" s="157">
        <v>27000</v>
      </c>
      <c r="D18" s="158">
        <f t="shared" si="0"/>
        <v>1350000</v>
      </c>
    </row>
    <row r="19" spans="1:4" ht="18" hidden="1">
      <c r="A19" s="161" t="s">
        <v>275</v>
      </c>
      <c r="B19" s="157"/>
      <c r="C19" s="157"/>
      <c r="D19" s="158">
        <f t="shared" si="0"/>
        <v>0</v>
      </c>
    </row>
    <row r="20" spans="1:4" ht="18">
      <c r="A20" s="161" t="s">
        <v>277</v>
      </c>
      <c r="B20" s="157">
        <v>20</v>
      </c>
      <c r="C20" s="157">
        <v>18000</v>
      </c>
      <c r="D20" s="158">
        <f t="shared" si="0"/>
        <v>360000</v>
      </c>
    </row>
    <row r="21" spans="1:4" ht="18">
      <c r="A21" s="161" t="s">
        <v>278</v>
      </c>
      <c r="B21" s="157">
        <v>10</v>
      </c>
      <c r="C21" s="157">
        <v>14000</v>
      </c>
      <c r="D21" s="158">
        <f t="shared" si="0"/>
        <v>140000</v>
      </c>
    </row>
    <row r="22" spans="1:4" ht="18" hidden="1">
      <c r="A22" s="161" t="s">
        <v>279</v>
      </c>
      <c r="B22" s="157"/>
      <c r="C22" s="157"/>
      <c r="D22" s="158">
        <f t="shared" si="0"/>
        <v>0</v>
      </c>
    </row>
    <row r="23" spans="1:4" ht="18">
      <c r="A23" s="161" t="s">
        <v>150</v>
      </c>
      <c r="B23" s="157">
        <v>60</v>
      </c>
      <c r="C23" s="157">
        <v>15000</v>
      </c>
      <c r="D23" s="158">
        <f t="shared" si="0"/>
        <v>900000</v>
      </c>
    </row>
    <row r="24" spans="1:4" ht="18" hidden="1">
      <c r="A24" s="164" t="s">
        <v>151</v>
      </c>
      <c r="B24" s="157"/>
      <c r="C24" s="157"/>
      <c r="D24" s="158">
        <f t="shared" si="0"/>
        <v>0</v>
      </c>
    </row>
    <row r="25" spans="1:4" ht="18" hidden="1">
      <c r="A25" s="161" t="s">
        <v>334</v>
      </c>
      <c r="B25" s="157"/>
      <c r="C25" s="157"/>
      <c r="D25" s="158">
        <f t="shared" si="0"/>
        <v>0</v>
      </c>
    </row>
    <row r="26" spans="1:4" ht="18" hidden="1">
      <c r="A26" s="161" t="s">
        <v>230</v>
      </c>
      <c r="B26" s="157"/>
      <c r="C26" s="157"/>
      <c r="D26" s="158">
        <f t="shared" si="0"/>
        <v>0</v>
      </c>
    </row>
    <row r="27" spans="1:4" ht="18" hidden="1">
      <c r="A27" s="161" t="s">
        <v>231</v>
      </c>
      <c r="B27" s="157"/>
      <c r="C27" s="157"/>
      <c r="D27" s="158">
        <f t="shared" si="0"/>
        <v>0</v>
      </c>
    </row>
    <row r="28" spans="1:4" ht="18">
      <c r="A28" s="161" t="s">
        <v>232</v>
      </c>
      <c r="B28" s="157">
        <v>22</v>
      </c>
      <c r="C28" s="157">
        <v>13000</v>
      </c>
      <c r="D28" s="158">
        <f t="shared" si="0"/>
        <v>286000</v>
      </c>
    </row>
    <row r="29" spans="1:4" ht="18">
      <c r="A29" s="161" t="s">
        <v>117</v>
      </c>
      <c r="B29" s="157">
        <v>98</v>
      </c>
      <c r="C29" s="157">
        <v>7000</v>
      </c>
      <c r="D29" s="158">
        <f t="shared" si="0"/>
        <v>686000</v>
      </c>
    </row>
    <row r="30" spans="1:4" ht="18" hidden="1">
      <c r="A30" s="161" t="s">
        <v>180</v>
      </c>
      <c r="B30" s="157"/>
      <c r="C30" s="157"/>
      <c r="D30" s="158">
        <f t="shared" si="0"/>
        <v>0</v>
      </c>
    </row>
    <row r="31" spans="1:4" ht="18" hidden="1">
      <c r="A31" s="159" t="s">
        <v>190</v>
      </c>
      <c r="B31" s="157"/>
      <c r="C31" s="157"/>
      <c r="D31" s="158">
        <f t="shared" si="0"/>
        <v>0</v>
      </c>
    </row>
    <row r="32" spans="1:4" ht="18">
      <c r="A32" s="167" t="s">
        <v>384</v>
      </c>
      <c r="B32" s="157">
        <v>5</v>
      </c>
      <c r="C32" s="157">
        <v>20000</v>
      </c>
      <c r="D32" s="158">
        <f t="shared" si="0"/>
        <v>100000</v>
      </c>
    </row>
    <row r="33" spans="1:4" ht="18" hidden="1">
      <c r="A33" s="161" t="s">
        <v>188</v>
      </c>
      <c r="B33" s="157"/>
      <c r="C33" s="157"/>
      <c r="D33" s="158">
        <f t="shared" si="0"/>
        <v>0</v>
      </c>
    </row>
    <row r="34" spans="1:4" ht="18" hidden="1">
      <c r="A34" s="169" t="s">
        <v>189</v>
      </c>
      <c r="B34" s="170"/>
      <c r="C34" s="170"/>
      <c r="D34" s="158">
        <f t="shared" si="0"/>
        <v>0</v>
      </c>
    </row>
    <row r="35" spans="1:4" ht="18">
      <c r="A35" s="161" t="s">
        <v>35</v>
      </c>
      <c r="B35" s="157">
        <v>32</v>
      </c>
      <c r="C35" s="157">
        <v>16500</v>
      </c>
      <c r="D35" s="158">
        <f t="shared" ref="D35:D66" si="1">B35*C35</f>
        <v>528000</v>
      </c>
    </row>
    <row r="36" spans="1:4" ht="18" hidden="1">
      <c r="A36" s="156" t="s">
        <v>46</v>
      </c>
      <c r="B36" s="157"/>
      <c r="C36" s="157"/>
      <c r="D36" s="158">
        <f t="shared" si="1"/>
        <v>0</v>
      </c>
    </row>
    <row r="37" spans="1:4" ht="18">
      <c r="A37" s="161" t="s">
        <v>216</v>
      </c>
      <c r="B37" s="157">
        <v>20</v>
      </c>
      <c r="C37" s="157">
        <v>19000</v>
      </c>
      <c r="D37" s="158">
        <f t="shared" si="1"/>
        <v>380000</v>
      </c>
    </row>
    <row r="38" spans="1:4" ht="18">
      <c r="A38" s="156" t="s">
        <v>217</v>
      </c>
      <c r="B38" s="157">
        <v>380</v>
      </c>
      <c r="C38" s="157">
        <v>20000</v>
      </c>
      <c r="D38" s="158">
        <f t="shared" si="1"/>
        <v>7600000</v>
      </c>
    </row>
    <row r="39" spans="1:4" ht="18" hidden="1">
      <c r="A39" s="161" t="s">
        <v>218</v>
      </c>
      <c r="B39" s="157"/>
      <c r="C39" s="157"/>
      <c r="D39" s="158">
        <f t="shared" si="1"/>
        <v>0</v>
      </c>
    </row>
    <row r="40" spans="1:4" ht="18">
      <c r="A40" s="161" t="s">
        <v>288</v>
      </c>
      <c r="B40" s="157">
        <v>35</v>
      </c>
      <c r="C40" s="157">
        <v>14000</v>
      </c>
      <c r="D40" s="158">
        <f t="shared" si="1"/>
        <v>490000</v>
      </c>
    </row>
    <row r="41" spans="1:4" ht="18" hidden="1">
      <c r="A41" s="161" t="s">
        <v>289</v>
      </c>
      <c r="B41" s="157"/>
      <c r="C41" s="157"/>
      <c r="D41" s="158">
        <f t="shared" si="1"/>
        <v>0</v>
      </c>
    </row>
    <row r="42" spans="1:4" ht="18">
      <c r="A42" s="171" t="s">
        <v>6</v>
      </c>
      <c r="B42" s="157">
        <v>5</v>
      </c>
      <c r="C42" s="157">
        <v>14000</v>
      </c>
      <c r="D42" s="158">
        <f t="shared" si="1"/>
        <v>70000</v>
      </c>
    </row>
    <row r="43" spans="1:4" ht="18" hidden="1">
      <c r="A43" s="164" t="s">
        <v>75</v>
      </c>
      <c r="B43" s="157"/>
      <c r="C43" s="157"/>
      <c r="D43" s="158">
        <f t="shared" si="1"/>
        <v>0</v>
      </c>
    </row>
    <row r="44" spans="1:4" ht="18" hidden="1">
      <c r="A44" s="173" t="s">
        <v>313</v>
      </c>
      <c r="B44" s="157"/>
      <c r="C44" s="157"/>
      <c r="D44" s="158">
        <f t="shared" si="1"/>
        <v>0</v>
      </c>
    </row>
    <row r="45" spans="1:4" ht="18" hidden="1">
      <c r="A45" s="173" t="s">
        <v>324</v>
      </c>
      <c r="B45" s="157"/>
      <c r="C45" s="157"/>
      <c r="D45" s="158">
        <f t="shared" si="1"/>
        <v>0</v>
      </c>
    </row>
    <row r="46" spans="1:4" ht="18" hidden="1">
      <c r="A46" s="161" t="s">
        <v>100</v>
      </c>
      <c r="B46" s="157"/>
      <c r="C46" s="157"/>
      <c r="D46" s="158">
        <f t="shared" si="1"/>
        <v>0</v>
      </c>
    </row>
    <row r="47" spans="1:4" ht="18" hidden="1">
      <c r="A47" s="161" t="s">
        <v>101</v>
      </c>
      <c r="B47" s="157"/>
      <c r="C47" s="157"/>
      <c r="D47" s="158">
        <f t="shared" si="1"/>
        <v>0</v>
      </c>
    </row>
    <row r="48" spans="1:4" ht="18">
      <c r="A48" s="161" t="s">
        <v>191</v>
      </c>
      <c r="B48" s="157">
        <v>4</v>
      </c>
      <c r="C48" s="157">
        <v>42000</v>
      </c>
      <c r="D48" s="158">
        <f t="shared" si="1"/>
        <v>168000</v>
      </c>
    </row>
    <row r="49" spans="1:4" ht="18" hidden="1">
      <c r="A49" s="161" t="s">
        <v>258</v>
      </c>
      <c r="B49" s="157"/>
      <c r="C49" s="157"/>
      <c r="D49" s="158">
        <f t="shared" si="1"/>
        <v>0</v>
      </c>
    </row>
    <row r="50" spans="1:4" ht="18">
      <c r="A50" s="161" t="s">
        <v>137</v>
      </c>
      <c r="B50" s="157">
        <v>10</v>
      </c>
      <c r="C50" s="157">
        <v>13000</v>
      </c>
      <c r="D50" s="158">
        <f t="shared" si="1"/>
        <v>130000</v>
      </c>
    </row>
    <row r="51" spans="1:4" ht="18" hidden="1">
      <c r="A51" s="161" t="s">
        <v>55</v>
      </c>
      <c r="B51" s="157"/>
      <c r="C51" s="157"/>
      <c r="D51" s="158">
        <f t="shared" si="1"/>
        <v>0</v>
      </c>
    </row>
    <row r="52" spans="1:4" ht="18" hidden="1">
      <c r="A52" s="164" t="s">
        <v>299</v>
      </c>
      <c r="B52" s="157"/>
      <c r="C52" s="157"/>
      <c r="D52" s="158">
        <f t="shared" si="1"/>
        <v>0</v>
      </c>
    </row>
    <row r="53" spans="1:4" ht="18" hidden="1">
      <c r="A53" s="161" t="s">
        <v>161</v>
      </c>
      <c r="B53" s="162"/>
      <c r="C53" s="162"/>
      <c r="D53" s="158">
        <f t="shared" si="1"/>
        <v>0</v>
      </c>
    </row>
    <row r="54" spans="1:4" ht="18" hidden="1">
      <c r="A54" s="161" t="s">
        <v>177</v>
      </c>
      <c r="B54" s="162"/>
      <c r="C54" s="162"/>
      <c r="D54" s="158">
        <f t="shared" si="1"/>
        <v>0</v>
      </c>
    </row>
    <row r="55" spans="1:4" ht="18" hidden="1">
      <c r="A55" s="156" t="s">
        <v>65</v>
      </c>
      <c r="B55" s="157"/>
      <c r="C55" s="157"/>
      <c r="D55" s="158">
        <f t="shared" si="1"/>
        <v>0</v>
      </c>
    </row>
    <row r="56" spans="1:4" ht="18">
      <c r="A56" s="161" t="s">
        <v>76</v>
      </c>
      <c r="B56" s="157">
        <v>170</v>
      </c>
      <c r="C56" s="157">
        <v>21000</v>
      </c>
      <c r="D56" s="158">
        <f t="shared" si="1"/>
        <v>3570000</v>
      </c>
    </row>
    <row r="57" spans="1:4" ht="18" hidden="1">
      <c r="A57" s="161" t="s">
        <v>89</v>
      </c>
      <c r="B57" s="157"/>
      <c r="C57" s="157"/>
      <c r="D57" s="158">
        <f t="shared" si="1"/>
        <v>0</v>
      </c>
    </row>
    <row r="58" spans="1:4" ht="18">
      <c r="A58" s="161" t="s">
        <v>27</v>
      </c>
      <c r="B58" s="157">
        <v>1020</v>
      </c>
      <c r="C58" s="157">
        <v>14000</v>
      </c>
      <c r="D58" s="158">
        <f t="shared" si="1"/>
        <v>14280000</v>
      </c>
    </row>
    <row r="59" spans="1:4" ht="18" hidden="1">
      <c r="A59" s="159" t="s">
        <v>61</v>
      </c>
      <c r="B59" s="157"/>
      <c r="C59" s="157"/>
      <c r="D59" s="158">
        <f t="shared" si="1"/>
        <v>0</v>
      </c>
    </row>
    <row r="60" spans="1:4" ht="18" hidden="1">
      <c r="A60" s="173" t="s">
        <v>62</v>
      </c>
      <c r="B60" s="157"/>
      <c r="C60" s="157"/>
      <c r="D60" s="158">
        <f t="shared" si="1"/>
        <v>0</v>
      </c>
    </row>
    <row r="61" spans="1:4" ht="18" hidden="1">
      <c r="A61" s="173" t="s">
        <v>140</v>
      </c>
      <c r="B61" s="157"/>
      <c r="C61" s="157"/>
      <c r="D61" s="158">
        <f t="shared" si="1"/>
        <v>0</v>
      </c>
    </row>
    <row r="62" spans="1:4" ht="18">
      <c r="A62" s="164" t="s">
        <v>235</v>
      </c>
      <c r="B62" s="157">
        <v>0.5</v>
      </c>
      <c r="C62" s="157">
        <v>45000</v>
      </c>
      <c r="D62" s="158">
        <f t="shared" si="1"/>
        <v>22500</v>
      </c>
    </row>
    <row r="63" spans="1:4" ht="18" hidden="1">
      <c r="A63" s="164" t="s">
        <v>239</v>
      </c>
      <c r="B63" s="157"/>
      <c r="C63" s="157"/>
      <c r="D63" s="158">
        <f t="shared" si="1"/>
        <v>0</v>
      </c>
    </row>
    <row r="64" spans="1:4" ht="18" hidden="1">
      <c r="A64" s="156" t="s">
        <v>296</v>
      </c>
      <c r="B64" s="157"/>
      <c r="C64" s="157"/>
      <c r="D64" s="158">
        <f t="shared" si="1"/>
        <v>0</v>
      </c>
    </row>
    <row r="65" spans="1:4" ht="18" hidden="1">
      <c r="A65" s="161" t="s">
        <v>308</v>
      </c>
      <c r="B65" s="157"/>
      <c r="C65" s="157"/>
      <c r="D65" s="158">
        <f t="shared" si="1"/>
        <v>0</v>
      </c>
    </row>
    <row r="66" spans="1:4" ht="18">
      <c r="A66" s="161" t="s">
        <v>219</v>
      </c>
      <c r="B66" s="157">
        <v>208</v>
      </c>
      <c r="C66" s="157">
        <v>16500</v>
      </c>
      <c r="D66" s="158">
        <f t="shared" si="1"/>
        <v>3432000</v>
      </c>
    </row>
    <row r="67" spans="1:4" ht="18" hidden="1">
      <c r="A67" s="161" t="s">
        <v>66</v>
      </c>
      <c r="B67" s="157"/>
      <c r="C67" s="157"/>
      <c r="D67" s="158">
        <f t="shared" ref="D67:D98" si="2">B67*C67</f>
        <v>0</v>
      </c>
    </row>
    <row r="68" spans="1:4" ht="18" hidden="1">
      <c r="A68" s="164" t="s">
        <v>69</v>
      </c>
      <c r="B68" s="157"/>
      <c r="C68" s="157"/>
      <c r="D68" s="158">
        <f t="shared" si="2"/>
        <v>0</v>
      </c>
    </row>
    <row r="69" spans="1:4" ht="18" hidden="1">
      <c r="A69" s="180" t="s">
        <v>73</v>
      </c>
      <c r="B69" s="157"/>
      <c r="C69" s="157"/>
      <c r="D69" s="158">
        <f t="shared" si="2"/>
        <v>0</v>
      </c>
    </row>
    <row r="70" spans="1:4" ht="18" hidden="1">
      <c r="A70" s="161" t="s">
        <v>168</v>
      </c>
      <c r="B70" s="157"/>
      <c r="C70" s="157"/>
      <c r="D70" s="158">
        <f t="shared" si="2"/>
        <v>0</v>
      </c>
    </row>
    <row r="71" spans="1:4" ht="18" hidden="1">
      <c r="A71" s="161" t="s">
        <v>170</v>
      </c>
      <c r="B71" s="157"/>
      <c r="C71" s="157"/>
      <c r="D71" s="158">
        <f t="shared" si="2"/>
        <v>0</v>
      </c>
    </row>
    <row r="72" spans="1:4" ht="18" hidden="1">
      <c r="A72" s="164" t="s">
        <v>171</v>
      </c>
      <c r="B72" s="157"/>
      <c r="C72" s="157"/>
      <c r="D72" s="158">
        <f t="shared" si="2"/>
        <v>0</v>
      </c>
    </row>
    <row r="73" spans="1:4" ht="18">
      <c r="A73" s="161" t="s">
        <v>90</v>
      </c>
      <c r="B73" s="157">
        <v>5</v>
      </c>
      <c r="C73" s="157">
        <v>24000</v>
      </c>
      <c r="D73" s="158">
        <f t="shared" si="2"/>
        <v>120000</v>
      </c>
    </row>
    <row r="74" spans="1:4" ht="18" hidden="1">
      <c r="A74" s="173" t="s">
        <v>91</v>
      </c>
      <c r="B74" s="157"/>
      <c r="C74" s="157"/>
      <c r="D74" s="158">
        <f t="shared" si="2"/>
        <v>0</v>
      </c>
    </row>
    <row r="75" spans="1:4" ht="18">
      <c r="A75" s="161" t="s">
        <v>92</v>
      </c>
      <c r="B75" s="157">
        <v>100</v>
      </c>
      <c r="C75" s="157">
        <v>26000</v>
      </c>
      <c r="D75" s="158">
        <f t="shared" si="2"/>
        <v>2600000</v>
      </c>
    </row>
    <row r="76" spans="1:4" ht="18">
      <c r="A76" s="161" t="s">
        <v>94</v>
      </c>
      <c r="B76" s="157">
        <v>15</v>
      </c>
      <c r="C76" s="157">
        <v>22000</v>
      </c>
      <c r="D76" s="158">
        <f t="shared" si="2"/>
        <v>330000</v>
      </c>
    </row>
    <row r="77" spans="1:4" ht="18" hidden="1">
      <c r="A77" s="173" t="s">
        <v>109</v>
      </c>
      <c r="B77" s="157"/>
      <c r="C77" s="157"/>
      <c r="D77" s="158">
        <f t="shared" si="2"/>
        <v>0</v>
      </c>
    </row>
    <row r="78" spans="1:4" ht="18" hidden="1">
      <c r="A78" s="163" t="s">
        <v>107</v>
      </c>
      <c r="B78" s="157"/>
      <c r="C78" s="157"/>
      <c r="D78" s="158">
        <f t="shared" si="2"/>
        <v>0</v>
      </c>
    </row>
    <row r="79" spans="1:4" ht="18">
      <c r="A79" s="156" t="s">
        <v>198</v>
      </c>
      <c r="B79" s="157">
        <v>1830</v>
      </c>
      <c r="C79" s="157">
        <v>8500</v>
      </c>
      <c r="D79" s="158">
        <f t="shared" si="2"/>
        <v>15555000</v>
      </c>
    </row>
    <row r="80" spans="1:4" ht="18" hidden="1">
      <c r="A80" s="161" t="s">
        <v>199</v>
      </c>
      <c r="B80" s="157"/>
      <c r="C80" s="157"/>
      <c r="D80" s="158">
        <f t="shared" si="2"/>
        <v>0</v>
      </c>
    </row>
    <row r="81" spans="1:4" ht="18" hidden="1">
      <c r="A81" s="161" t="s">
        <v>226</v>
      </c>
      <c r="B81" s="157"/>
      <c r="C81" s="157"/>
      <c r="D81" s="158">
        <f t="shared" si="2"/>
        <v>0</v>
      </c>
    </row>
    <row r="82" spans="1:4" ht="18" hidden="1">
      <c r="A82" s="161" t="s">
        <v>104</v>
      </c>
      <c r="B82" s="157"/>
      <c r="C82" s="157"/>
      <c r="D82" s="158">
        <f t="shared" si="2"/>
        <v>0</v>
      </c>
    </row>
    <row r="83" spans="1:4" ht="18" hidden="1">
      <c r="A83" s="163" t="s">
        <v>105</v>
      </c>
      <c r="B83" s="157"/>
      <c r="C83" s="157"/>
      <c r="D83" s="158">
        <f t="shared" si="2"/>
        <v>0</v>
      </c>
    </row>
    <row r="84" spans="1:4" ht="18" hidden="1">
      <c r="A84" s="171" t="s">
        <v>11</v>
      </c>
      <c r="B84" s="157"/>
      <c r="C84" s="157"/>
      <c r="D84" s="158">
        <f t="shared" si="2"/>
        <v>0</v>
      </c>
    </row>
    <row r="85" spans="1:4" ht="18" hidden="1">
      <c r="A85" s="161" t="s">
        <v>183</v>
      </c>
      <c r="B85" s="157"/>
      <c r="C85" s="181"/>
      <c r="D85" s="158">
        <f t="shared" si="2"/>
        <v>0</v>
      </c>
    </row>
    <row r="86" spans="1:4" ht="18">
      <c r="A86" s="161" t="s">
        <v>185</v>
      </c>
      <c r="B86" s="157">
        <v>5</v>
      </c>
      <c r="C86" s="157">
        <v>11000</v>
      </c>
      <c r="D86" s="158">
        <f t="shared" si="2"/>
        <v>55000</v>
      </c>
    </row>
    <row r="87" spans="1:4" ht="18" hidden="1">
      <c r="A87" s="156" t="s">
        <v>242</v>
      </c>
      <c r="B87" s="157"/>
      <c r="C87" s="157"/>
      <c r="D87" s="158">
        <f t="shared" si="2"/>
        <v>0</v>
      </c>
    </row>
    <row r="88" spans="1:4" ht="18">
      <c r="A88" s="156" t="s">
        <v>22</v>
      </c>
      <c r="B88" s="157">
        <v>9</v>
      </c>
      <c r="C88" s="157">
        <v>18000</v>
      </c>
      <c r="D88" s="158">
        <f t="shared" si="2"/>
        <v>162000</v>
      </c>
    </row>
    <row r="89" spans="1:4" ht="18" hidden="1">
      <c r="A89" s="159" t="s">
        <v>112</v>
      </c>
      <c r="B89" s="157"/>
      <c r="C89" s="157"/>
      <c r="D89" s="158">
        <f t="shared" si="2"/>
        <v>0</v>
      </c>
    </row>
    <row r="90" spans="1:4" ht="18" hidden="1">
      <c r="A90" s="161" t="s">
        <v>222</v>
      </c>
      <c r="B90" s="157"/>
      <c r="C90" s="157"/>
      <c r="D90" s="158">
        <f t="shared" si="2"/>
        <v>0</v>
      </c>
    </row>
    <row r="91" spans="1:4" ht="18" hidden="1">
      <c r="A91" s="161" t="s">
        <v>262</v>
      </c>
      <c r="B91" s="157"/>
      <c r="C91" s="157"/>
      <c r="D91" s="158">
        <f t="shared" si="2"/>
        <v>0</v>
      </c>
    </row>
    <row r="92" spans="1:4" ht="18" hidden="1">
      <c r="A92" s="161" t="s">
        <v>47</v>
      </c>
      <c r="B92" s="157"/>
      <c r="C92" s="157"/>
      <c r="D92" s="158">
        <f t="shared" si="2"/>
        <v>0</v>
      </c>
    </row>
    <row r="93" spans="1:4" ht="18" hidden="1">
      <c r="A93" s="161" t="s">
        <v>48</v>
      </c>
      <c r="B93" s="157"/>
      <c r="C93" s="157"/>
      <c r="D93" s="158">
        <f t="shared" si="2"/>
        <v>0</v>
      </c>
    </row>
    <row r="94" spans="1:4" ht="18" hidden="1">
      <c r="A94" s="164" t="s">
        <v>270</v>
      </c>
      <c r="B94" s="157"/>
      <c r="C94" s="157"/>
      <c r="D94" s="158">
        <f t="shared" si="2"/>
        <v>0</v>
      </c>
    </row>
    <row r="95" spans="1:4" ht="18" hidden="1">
      <c r="A95" s="163" t="s">
        <v>271</v>
      </c>
      <c r="B95" s="157"/>
      <c r="C95" s="157"/>
      <c r="D95" s="158">
        <f t="shared" si="2"/>
        <v>0</v>
      </c>
    </row>
    <row r="96" spans="1:4" ht="18" hidden="1">
      <c r="A96" s="159" t="s">
        <v>283</v>
      </c>
      <c r="B96" s="157"/>
      <c r="C96" s="157"/>
      <c r="D96" s="158">
        <f t="shared" si="2"/>
        <v>0</v>
      </c>
    </row>
    <row r="97" spans="1:4" ht="18" hidden="1">
      <c r="A97" s="161" t="s">
        <v>284</v>
      </c>
      <c r="B97" s="157"/>
      <c r="C97" s="157"/>
      <c r="D97" s="158">
        <f t="shared" si="2"/>
        <v>0</v>
      </c>
    </row>
    <row r="98" spans="1:4" ht="18" hidden="1">
      <c r="A98" s="156" t="s">
        <v>320</v>
      </c>
      <c r="B98" s="157"/>
      <c r="C98" s="157"/>
      <c r="D98" s="158">
        <f t="shared" si="2"/>
        <v>0</v>
      </c>
    </row>
    <row r="99" spans="1:4" ht="18" hidden="1">
      <c r="A99" s="161" t="s">
        <v>329</v>
      </c>
      <c r="B99" s="157"/>
      <c r="C99" s="157"/>
      <c r="D99" s="158">
        <f t="shared" ref="D99:D116" si="3">B99*C99</f>
        <v>0</v>
      </c>
    </row>
    <row r="100" spans="1:4" ht="18" hidden="1">
      <c r="A100" s="161" t="s">
        <v>330</v>
      </c>
      <c r="B100" s="157"/>
      <c r="C100" s="157"/>
      <c r="D100" s="158">
        <f t="shared" si="3"/>
        <v>0</v>
      </c>
    </row>
    <row r="101" spans="1:4" ht="18" hidden="1">
      <c r="A101" s="161" t="s">
        <v>341</v>
      </c>
      <c r="B101" s="157"/>
      <c r="C101" s="157"/>
      <c r="D101" s="158">
        <f t="shared" si="3"/>
        <v>0</v>
      </c>
    </row>
    <row r="102" spans="1:4" ht="18" hidden="1">
      <c r="A102" s="161" t="s">
        <v>345</v>
      </c>
      <c r="B102" s="157"/>
      <c r="C102" s="157"/>
      <c r="D102" s="158">
        <f t="shared" si="3"/>
        <v>0</v>
      </c>
    </row>
    <row r="103" spans="1:4" ht="18" hidden="1">
      <c r="A103" s="161" t="s">
        <v>348</v>
      </c>
      <c r="B103" s="157"/>
      <c r="C103" s="157"/>
      <c r="D103" s="158">
        <f t="shared" si="3"/>
        <v>0</v>
      </c>
    </row>
    <row r="104" spans="1:4" ht="18" hidden="1">
      <c r="A104" s="161" t="s">
        <v>349</v>
      </c>
      <c r="B104" s="157"/>
      <c r="C104" s="157"/>
      <c r="D104" s="158">
        <f t="shared" si="3"/>
        <v>0</v>
      </c>
    </row>
    <row r="105" spans="1:4" ht="18">
      <c r="A105" s="161" t="s">
        <v>302</v>
      </c>
      <c r="B105" s="157">
        <v>32</v>
      </c>
      <c r="C105" s="157">
        <v>11500</v>
      </c>
      <c r="D105" s="158">
        <f t="shared" si="3"/>
        <v>368000</v>
      </c>
    </row>
    <row r="106" spans="1:4" ht="18">
      <c r="A106" s="161" t="s">
        <v>32</v>
      </c>
      <c r="B106" s="157">
        <v>5</v>
      </c>
      <c r="C106" s="157">
        <v>11000</v>
      </c>
      <c r="D106" s="158">
        <f t="shared" si="3"/>
        <v>55000</v>
      </c>
    </row>
    <row r="107" spans="1:4" ht="18" hidden="1">
      <c r="A107" s="161" t="s">
        <v>33</v>
      </c>
      <c r="B107" s="157"/>
      <c r="C107" s="157"/>
      <c r="D107" s="158">
        <f t="shared" si="3"/>
        <v>0</v>
      </c>
    </row>
    <row r="108" spans="1:4" ht="18" hidden="1">
      <c r="A108" s="161" t="s">
        <v>58</v>
      </c>
      <c r="B108" s="157"/>
      <c r="C108" s="157"/>
      <c r="D108" s="158">
        <f t="shared" si="3"/>
        <v>0</v>
      </c>
    </row>
    <row r="109" spans="1:4" ht="18" hidden="1">
      <c r="A109" s="161" t="s">
        <v>59</v>
      </c>
      <c r="B109" s="157"/>
      <c r="C109" s="157"/>
      <c r="D109" s="158">
        <f t="shared" si="3"/>
        <v>0</v>
      </c>
    </row>
    <row r="110" spans="1:4" ht="18" hidden="1">
      <c r="A110" s="161" t="s">
        <v>147</v>
      </c>
      <c r="B110" s="157"/>
      <c r="C110" s="157"/>
      <c r="D110" s="158">
        <f t="shared" si="3"/>
        <v>0</v>
      </c>
    </row>
    <row r="111" spans="1:4" ht="18">
      <c r="A111" s="161" t="s">
        <v>305</v>
      </c>
      <c r="B111" s="157">
        <v>35</v>
      </c>
      <c r="C111" s="157">
        <v>8500</v>
      </c>
      <c r="D111" s="158">
        <f t="shared" si="3"/>
        <v>297500</v>
      </c>
    </row>
    <row r="112" spans="1:4" ht="18" hidden="1">
      <c r="A112" s="173" t="s">
        <v>25</v>
      </c>
      <c r="B112" s="157"/>
      <c r="C112" s="157"/>
      <c r="D112" s="158">
        <f t="shared" si="3"/>
        <v>0</v>
      </c>
    </row>
    <row r="113" spans="1:4" ht="18">
      <c r="A113" s="159" t="s">
        <v>26</v>
      </c>
      <c r="B113" s="157">
        <v>15</v>
      </c>
      <c r="C113" s="184">
        <v>14000</v>
      </c>
      <c r="D113" s="158">
        <f t="shared" si="3"/>
        <v>210000</v>
      </c>
    </row>
    <row r="114" spans="1:4" ht="18" hidden="1">
      <c r="A114" s="161" t="s">
        <v>175</v>
      </c>
      <c r="B114" s="157"/>
      <c r="C114" s="157"/>
      <c r="D114" s="158">
        <f t="shared" si="3"/>
        <v>0</v>
      </c>
    </row>
    <row r="115" spans="1:4" ht="18" hidden="1">
      <c r="A115" s="187" t="s">
        <v>213</v>
      </c>
      <c r="B115" s="157"/>
      <c r="C115" s="157"/>
      <c r="D115" s="158">
        <f t="shared" si="3"/>
        <v>0</v>
      </c>
    </row>
    <row r="116" spans="1:4" ht="18" hidden="1">
      <c r="A116" s="159" t="s">
        <v>247</v>
      </c>
      <c r="B116" s="157"/>
      <c r="C116" s="157"/>
      <c r="D116" s="158">
        <f t="shared" si="3"/>
        <v>0</v>
      </c>
    </row>
    <row r="117" spans="1:4" ht="18">
      <c r="A117" s="188"/>
      <c r="B117" s="189">
        <v>4315.5</v>
      </c>
      <c r="C117" s="189"/>
      <c r="D117" s="158">
        <f>SUM(D15:D113)</f>
        <v>55370000</v>
      </c>
    </row>
    <row r="118" spans="1:4" ht="18" hidden="1">
      <c r="D118" s="158">
        <f>B118*C118</f>
        <v>0</v>
      </c>
    </row>
    <row r="119" spans="1:4" ht="18">
      <c r="A119" s="151" t="s">
        <v>414</v>
      </c>
      <c r="B119" s="152"/>
      <c r="C119" s="152"/>
      <c r="D119" s="158"/>
    </row>
    <row r="120" spans="1:4" ht="26.4">
      <c r="A120" s="208" t="s">
        <v>381</v>
      </c>
      <c r="B120" s="154" t="s">
        <v>3</v>
      </c>
      <c r="C120" s="154" t="s">
        <v>4</v>
      </c>
      <c r="D120" s="158" t="s">
        <v>5</v>
      </c>
    </row>
    <row r="121" spans="1:4" ht="18" hidden="1">
      <c r="A121" s="209"/>
      <c r="B121" s="155"/>
      <c r="C121" s="155"/>
      <c r="D121" s="158">
        <f t="shared" ref="D121:D184" si="4">B121*C121</f>
        <v>0</v>
      </c>
    </row>
    <row r="122" spans="1:4" ht="18" hidden="1">
      <c r="A122" s="171" t="s">
        <v>6</v>
      </c>
      <c r="B122" s="157"/>
      <c r="C122" s="157"/>
      <c r="D122" s="158">
        <f t="shared" si="4"/>
        <v>0</v>
      </c>
    </row>
    <row r="123" spans="1:4" ht="18" hidden="1">
      <c r="A123" s="172" t="s">
        <v>8</v>
      </c>
      <c r="B123" s="157"/>
      <c r="C123" s="157"/>
      <c r="D123" s="158">
        <f t="shared" si="4"/>
        <v>0</v>
      </c>
    </row>
    <row r="124" spans="1:4" ht="18" hidden="1">
      <c r="A124" s="171" t="s">
        <v>10</v>
      </c>
      <c r="B124" s="157"/>
      <c r="C124" s="157"/>
      <c r="D124" s="158">
        <f t="shared" si="4"/>
        <v>0</v>
      </c>
    </row>
    <row r="125" spans="1:4" ht="18">
      <c r="A125" s="171" t="s">
        <v>11</v>
      </c>
      <c r="B125" s="157">
        <v>300</v>
      </c>
      <c r="C125" s="157">
        <v>7300</v>
      </c>
      <c r="D125" s="158">
        <f t="shared" si="4"/>
        <v>2190000</v>
      </c>
    </row>
    <row r="126" spans="1:4" ht="18" hidden="1">
      <c r="A126" s="161" t="s">
        <v>12</v>
      </c>
      <c r="B126" s="157"/>
      <c r="C126" s="157"/>
      <c r="D126" s="158">
        <f t="shared" si="4"/>
        <v>0</v>
      </c>
    </row>
    <row r="127" spans="1:4" ht="18" hidden="1">
      <c r="A127" s="178" t="s">
        <v>13</v>
      </c>
      <c r="B127" s="157"/>
      <c r="C127" s="157"/>
      <c r="D127" s="158">
        <f t="shared" si="4"/>
        <v>0</v>
      </c>
    </row>
    <row r="128" spans="1:4" ht="18" hidden="1">
      <c r="A128" s="171" t="s">
        <v>14</v>
      </c>
      <c r="B128" s="157"/>
      <c r="C128" s="157"/>
      <c r="D128" s="158">
        <f t="shared" si="4"/>
        <v>0</v>
      </c>
    </row>
    <row r="129" spans="1:4" ht="18" hidden="1">
      <c r="A129" s="171" t="s">
        <v>15</v>
      </c>
      <c r="B129" s="157"/>
      <c r="C129" s="157"/>
      <c r="D129" s="158">
        <f t="shared" si="4"/>
        <v>0</v>
      </c>
    </row>
    <row r="130" spans="1:4" ht="18" hidden="1">
      <c r="A130" s="159" t="s">
        <v>355</v>
      </c>
      <c r="B130" s="157"/>
      <c r="C130" s="157"/>
      <c r="D130" s="158">
        <f t="shared" si="4"/>
        <v>0</v>
      </c>
    </row>
    <row r="131" spans="1:4" ht="18" hidden="1">
      <c r="A131" s="161" t="s">
        <v>18</v>
      </c>
      <c r="B131" s="157"/>
      <c r="C131" s="157"/>
      <c r="D131" s="158">
        <f t="shared" si="4"/>
        <v>0</v>
      </c>
    </row>
    <row r="132" spans="1:4" ht="18">
      <c r="A132" s="161" t="s">
        <v>19</v>
      </c>
      <c r="B132" s="157">
        <v>8</v>
      </c>
      <c r="C132" s="157">
        <v>6000</v>
      </c>
      <c r="D132" s="158">
        <f t="shared" si="4"/>
        <v>48000</v>
      </c>
    </row>
    <row r="133" spans="1:4" ht="18" hidden="1">
      <c r="A133" s="156" t="s">
        <v>20</v>
      </c>
      <c r="B133" s="157"/>
      <c r="C133" s="157"/>
      <c r="D133" s="158">
        <f t="shared" si="4"/>
        <v>0</v>
      </c>
    </row>
    <row r="134" spans="1:4" ht="18" hidden="1">
      <c r="A134" s="156" t="s">
        <v>22</v>
      </c>
      <c r="B134" s="157"/>
      <c r="C134" s="157"/>
      <c r="D134" s="158">
        <f t="shared" si="4"/>
        <v>0</v>
      </c>
    </row>
    <row r="135" spans="1:4" ht="18" hidden="1">
      <c r="A135" s="161" t="s">
        <v>23</v>
      </c>
      <c r="B135" s="157"/>
      <c r="C135" s="157"/>
      <c r="D135" s="158">
        <f t="shared" si="4"/>
        <v>0</v>
      </c>
    </row>
    <row r="136" spans="1:4" ht="18" hidden="1">
      <c r="A136" s="161" t="s">
        <v>24</v>
      </c>
      <c r="B136" s="157"/>
      <c r="C136" s="157"/>
      <c r="D136" s="158">
        <f t="shared" si="4"/>
        <v>0</v>
      </c>
    </row>
    <row r="137" spans="1:4" ht="18" hidden="1">
      <c r="A137" s="173" t="s">
        <v>25</v>
      </c>
      <c r="B137" s="157"/>
      <c r="C137" s="157"/>
      <c r="D137" s="158">
        <f t="shared" si="4"/>
        <v>0</v>
      </c>
    </row>
    <row r="138" spans="1:4" ht="18" hidden="1">
      <c r="A138" s="159" t="s">
        <v>26</v>
      </c>
      <c r="B138" s="157"/>
      <c r="C138" s="157"/>
      <c r="D138" s="158">
        <f t="shared" si="4"/>
        <v>0</v>
      </c>
    </row>
    <row r="139" spans="1:4" ht="18">
      <c r="A139" s="161" t="s">
        <v>27</v>
      </c>
      <c r="B139" s="157">
        <v>1000</v>
      </c>
      <c r="C139" s="157">
        <v>14000</v>
      </c>
      <c r="D139" s="158">
        <f t="shared" si="4"/>
        <v>14000000</v>
      </c>
    </row>
    <row r="140" spans="1:4" ht="18" hidden="1">
      <c r="A140" s="156" t="s">
        <v>28</v>
      </c>
      <c r="B140" s="157"/>
      <c r="C140" s="157"/>
      <c r="D140" s="158">
        <f t="shared" si="4"/>
        <v>0</v>
      </c>
    </row>
    <row r="141" spans="1:4" ht="18" hidden="1">
      <c r="A141" s="156" t="s">
        <v>29</v>
      </c>
      <c r="B141" s="157"/>
      <c r="C141" s="157"/>
      <c r="D141" s="158">
        <f t="shared" si="4"/>
        <v>0</v>
      </c>
    </row>
    <row r="142" spans="1:4" ht="18" hidden="1">
      <c r="A142" s="161" t="s">
        <v>30</v>
      </c>
      <c r="B142" s="157"/>
      <c r="C142" s="157"/>
      <c r="D142" s="158">
        <f t="shared" si="4"/>
        <v>0</v>
      </c>
    </row>
    <row r="143" spans="1:4" ht="18" hidden="1">
      <c r="A143" s="161" t="s">
        <v>31</v>
      </c>
      <c r="B143" s="157"/>
      <c r="C143" s="157"/>
      <c r="D143" s="158">
        <f t="shared" si="4"/>
        <v>0</v>
      </c>
    </row>
    <row r="144" spans="1:4" ht="18">
      <c r="A144" s="161" t="s">
        <v>32</v>
      </c>
      <c r="B144" s="157">
        <v>30</v>
      </c>
      <c r="C144" s="157">
        <v>11000</v>
      </c>
      <c r="D144" s="158">
        <f t="shared" si="4"/>
        <v>330000</v>
      </c>
    </row>
    <row r="145" spans="1:4" ht="18" hidden="1">
      <c r="A145" s="161" t="s">
        <v>33</v>
      </c>
      <c r="B145" s="157"/>
      <c r="C145" s="157"/>
      <c r="D145" s="158">
        <f t="shared" si="4"/>
        <v>0</v>
      </c>
    </row>
    <row r="146" spans="1:4" ht="18" hidden="1">
      <c r="A146" s="161" t="s">
        <v>34</v>
      </c>
      <c r="B146" s="157"/>
      <c r="C146" s="157"/>
      <c r="D146" s="158">
        <f t="shared" si="4"/>
        <v>0</v>
      </c>
    </row>
    <row r="147" spans="1:4" ht="18" hidden="1">
      <c r="A147" s="161" t="s">
        <v>35</v>
      </c>
      <c r="B147" s="157"/>
      <c r="C147" s="157"/>
      <c r="D147" s="158">
        <f t="shared" si="4"/>
        <v>0</v>
      </c>
    </row>
    <row r="148" spans="1:4" ht="18" hidden="1">
      <c r="A148" s="156" t="s">
        <v>37</v>
      </c>
      <c r="B148" s="157"/>
      <c r="C148" s="157"/>
      <c r="D148" s="158">
        <f t="shared" si="4"/>
        <v>0</v>
      </c>
    </row>
    <row r="149" spans="1:4" ht="18" hidden="1">
      <c r="A149" s="156" t="s">
        <v>46</v>
      </c>
      <c r="B149" s="157"/>
      <c r="C149" s="157"/>
      <c r="D149" s="158">
        <f t="shared" si="4"/>
        <v>0</v>
      </c>
    </row>
    <row r="150" spans="1:4" ht="18" hidden="1">
      <c r="A150" s="161" t="s">
        <v>47</v>
      </c>
      <c r="B150" s="157"/>
      <c r="C150" s="157"/>
      <c r="D150" s="158">
        <f t="shared" si="4"/>
        <v>0</v>
      </c>
    </row>
    <row r="151" spans="1:4" ht="18" hidden="1">
      <c r="A151" s="161" t="s">
        <v>48</v>
      </c>
      <c r="B151" s="157"/>
      <c r="C151" s="157"/>
      <c r="D151" s="158">
        <f t="shared" si="4"/>
        <v>0</v>
      </c>
    </row>
    <row r="152" spans="1:4" ht="18" hidden="1">
      <c r="A152" s="159" t="s">
        <v>356</v>
      </c>
      <c r="B152" s="162"/>
      <c r="C152" s="162"/>
      <c r="D152" s="158">
        <f t="shared" si="4"/>
        <v>0</v>
      </c>
    </row>
    <row r="153" spans="1:4" ht="18" hidden="1">
      <c r="A153" s="159" t="s">
        <v>50</v>
      </c>
      <c r="B153" s="162"/>
      <c r="C153" s="162"/>
      <c r="D153" s="158">
        <f t="shared" si="4"/>
        <v>0</v>
      </c>
    </row>
    <row r="154" spans="1:4" ht="18" hidden="1">
      <c r="A154" s="161" t="s">
        <v>51</v>
      </c>
      <c r="B154" s="157"/>
      <c r="C154" s="157"/>
      <c r="D154" s="158">
        <f t="shared" si="4"/>
        <v>0</v>
      </c>
    </row>
    <row r="155" spans="1:4" ht="18" hidden="1">
      <c r="A155" s="161" t="s">
        <v>52</v>
      </c>
      <c r="B155" s="157"/>
      <c r="C155" s="157"/>
      <c r="D155" s="158">
        <f t="shared" si="4"/>
        <v>0</v>
      </c>
    </row>
    <row r="156" spans="1:4" ht="18" hidden="1">
      <c r="A156" s="164" t="s">
        <v>53</v>
      </c>
      <c r="B156" s="157"/>
      <c r="C156" s="157"/>
      <c r="D156" s="158">
        <f t="shared" si="4"/>
        <v>0</v>
      </c>
    </row>
    <row r="157" spans="1:4" ht="18" hidden="1">
      <c r="A157" s="161" t="s">
        <v>55</v>
      </c>
      <c r="B157" s="157"/>
      <c r="C157" s="157"/>
      <c r="D157" s="158">
        <f t="shared" si="4"/>
        <v>0</v>
      </c>
    </row>
    <row r="158" spans="1:4" ht="18" hidden="1">
      <c r="A158" s="161" t="s">
        <v>56</v>
      </c>
      <c r="B158" s="157"/>
      <c r="C158" s="157"/>
      <c r="D158" s="158">
        <f t="shared" si="4"/>
        <v>0</v>
      </c>
    </row>
    <row r="159" spans="1:4" ht="18" hidden="1">
      <c r="A159" s="161" t="s">
        <v>58</v>
      </c>
      <c r="B159" s="157"/>
      <c r="C159" s="157"/>
      <c r="D159" s="158">
        <f t="shared" si="4"/>
        <v>0</v>
      </c>
    </row>
    <row r="160" spans="1:4" ht="18" hidden="1">
      <c r="A160" s="161" t="s">
        <v>59</v>
      </c>
      <c r="B160" s="157"/>
      <c r="C160" s="157"/>
      <c r="D160" s="158">
        <f t="shared" si="4"/>
        <v>0</v>
      </c>
    </row>
    <row r="161" spans="1:4" ht="18" hidden="1">
      <c r="A161" s="173" t="s">
        <v>60</v>
      </c>
      <c r="B161" s="157"/>
      <c r="C161" s="157"/>
      <c r="D161" s="158">
        <f t="shared" si="4"/>
        <v>0</v>
      </c>
    </row>
    <row r="162" spans="1:4" ht="18" hidden="1">
      <c r="A162" s="159" t="s">
        <v>61</v>
      </c>
      <c r="B162" s="157"/>
      <c r="C162" s="157"/>
      <c r="D162" s="158">
        <f t="shared" si="4"/>
        <v>0</v>
      </c>
    </row>
    <row r="163" spans="1:4" ht="18" hidden="1">
      <c r="A163" s="173" t="s">
        <v>62</v>
      </c>
      <c r="B163" s="157"/>
      <c r="C163" s="157"/>
      <c r="D163" s="158">
        <f t="shared" si="4"/>
        <v>0</v>
      </c>
    </row>
    <row r="164" spans="1:4" ht="18" hidden="1">
      <c r="A164" s="161" t="s">
        <v>63</v>
      </c>
      <c r="B164" s="157"/>
      <c r="C164" s="157"/>
      <c r="D164" s="158">
        <f t="shared" si="4"/>
        <v>0</v>
      </c>
    </row>
    <row r="165" spans="1:4" ht="18" hidden="1">
      <c r="A165" s="161" t="s">
        <v>64</v>
      </c>
      <c r="B165" s="157"/>
      <c r="C165" s="157"/>
      <c r="D165" s="158">
        <f t="shared" si="4"/>
        <v>0</v>
      </c>
    </row>
    <row r="166" spans="1:4" ht="18">
      <c r="A166" s="156" t="s">
        <v>65</v>
      </c>
      <c r="B166" s="157">
        <v>55</v>
      </c>
      <c r="C166" s="157">
        <v>21000</v>
      </c>
      <c r="D166" s="158">
        <f t="shared" si="4"/>
        <v>1155000</v>
      </c>
    </row>
    <row r="167" spans="1:4" ht="18" hidden="1">
      <c r="A167" s="180" t="s">
        <v>66</v>
      </c>
      <c r="B167" s="157"/>
      <c r="C167" s="157"/>
      <c r="D167" s="158">
        <f t="shared" si="4"/>
        <v>0</v>
      </c>
    </row>
    <row r="168" spans="1:4" ht="18" hidden="1">
      <c r="A168" s="164" t="s">
        <v>67</v>
      </c>
      <c r="B168" s="157"/>
      <c r="C168" s="157"/>
      <c r="D168" s="158">
        <f t="shared" si="4"/>
        <v>0</v>
      </c>
    </row>
    <row r="169" spans="1:4" ht="18" hidden="1">
      <c r="A169" s="164" t="s">
        <v>69</v>
      </c>
      <c r="B169" s="157"/>
      <c r="C169" s="157"/>
      <c r="D169" s="158">
        <f t="shared" si="4"/>
        <v>0</v>
      </c>
    </row>
    <row r="170" spans="1:4" ht="18" hidden="1">
      <c r="A170" s="164" t="s">
        <v>70</v>
      </c>
      <c r="B170" s="157"/>
      <c r="C170" s="157"/>
      <c r="D170" s="158">
        <f t="shared" si="4"/>
        <v>0</v>
      </c>
    </row>
    <row r="171" spans="1:4" ht="18" hidden="1">
      <c r="A171" s="161" t="s">
        <v>71</v>
      </c>
      <c r="B171" s="157"/>
      <c r="C171" s="157"/>
      <c r="D171" s="158">
        <f t="shared" si="4"/>
        <v>0</v>
      </c>
    </row>
    <row r="172" spans="1:4" ht="18" hidden="1">
      <c r="A172" s="159" t="s">
        <v>72</v>
      </c>
      <c r="B172" s="157"/>
      <c r="C172" s="157"/>
      <c r="D172" s="158">
        <f t="shared" si="4"/>
        <v>0</v>
      </c>
    </row>
    <row r="173" spans="1:4" ht="18" hidden="1">
      <c r="A173" s="161" t="s">
        <v>73</v>
      </c>
      <c r="B173" s="157"/>
      <c r="C173" s="157"/>
      <c r="D173" s="158">
        <f t="shared" si="4"/>
        <v>0</v>
      </c>
    </row>
    <row r="174" spans="1:4" ht="18" hidden="1">
      <c r="A174" s="161" t="s">
        <v>74</v>
      </c>
      <c r="B174" s="157"/>
      <c r="C174" s="157"/>
      <c r="D174" s="158">
        <f t="shared" si="4"/>
        <v>0</v>
      </c>
    </row>
    <row r="175" spans="1:4" ht="18" hidden="1">
      <c r="A175" s="164" t="s">
        <v>75</v>
      </c>
      <c r="B175" s="157"/>
      <c r="C175" s="157"/>
      <c r="D175" s="158">
        <f t="shared" si="4"/>
        <v>0</v>
      </c>
    </row>
    <row r="176" spans="1:4" ht="18" hidden="1">
      <c r="A176" s="161" t="s">
        <v>76</v>
      </c>
      <c r="B176" s="157"/>
      <c r="C176" s="157"/>
      <c r="D176" s="158">
        <f t="shared" si="4"/>
        <v>0</v>
      </c>
    </row>
    <row r="177" spans="1:4" ht="18" hidden="1">
      <c r="A177" s="185" t="s">
        <v>77</v>
      </c>
      <c r="B177" s="157"/>
      <c r="C177" s="157"/>
      <c r="D177" s="158">
        <f t="shared" si="4"/>
        <v>0</v>
      </c>
    </row>
    <row r="178" spans="1:4" ht="18" hidden="1">
      <c r="A178" s="161" t="s">
        <v>78</v>
      </c>
      <c r="B178" s="157"/>
      <c r="C178" s="157"/>
      <c r="D178" s="158">
        <f t="shared" si="4"/>
        <v>0</v>
      </c>
    </row>
    <row r="179" spans="1:4" ht="18" hidden="1">
      <c r="A179" s="161" t="s">
        <v>79</v>
      </c>
      <c r="B179" s="157"/>
      <c r="C179" s="157"/>
      <c r="D179" s="158">
        <f t="shared" si="4"/>
        <v>0</v>
      </c>
    </row>
    <row r="180" spans="1:4" ht="18" hidden="1">
      <c r="A180" s="160" t="s">
        <v>80</v>
      </c>
      <c r="B180" s="157"/>
      <c r="C180" s="157"/>
      <c r="D180" s="158">
        <f t="shared" si="4"/>
        <v>0</v>
      </c>
    </row>
    <row r="181" spans="1:4" ht="18" hidden="1">
      <c r="A181" s="168" t="s">
        <v>81</v>
      </c>
      <c r="B181" s="157"/>
      <c r="C181" s="157"/>
      <c r="D181" s="158">
        <f t="shared" si="4"/>
        <v>0</v>
      </c>
    </row>
    <row r="182" spans="1:4" ht="18" hidden="1">
      <c r="A182" s="156" t="s">
        <v>82</v>
      </c>
      <c r="B182" s="157"/>
      <c r="C182" s="157"/>
      <c r="D182" s="158">
        <f t="shared" si="4"/>
        <v>0</v>
      </c>
    </row>
    <row r="183" spans="1:4" ht="18" hidden="1">
      <c r="A183" s="159" t="s">
        <v>83</v>
      </c>
      <c r="B183" s="157"/>
      <c r="C183" s="157"/>
      <c r="D183" s="158">
        <f t="shared" si="4"/>
        <v>0</v>
      </c>
    </row>
    <row r="184" spans="1:4" ht="18" hidden="1">
      <c r="A184" s="156" t="s">
        <v>84</v>
      </c>
      <c r="B184" s="157"/>
      <c r="C184" s="157"/>
      <c r="D184" s="158">
        <f t="shared" si="4"/>
        <v>0</v>
      </c>
    </row>
    <row r="185" spans="1:4" ht="18" hidden="1">
      <c r="A185" s="156" t="s">
        <v>85</v>
      </c>
      <c r="B185" s="157"/>
      <c r="C185" s="157"/>
      <c r="D185" s="158">
        <f t="shared" ref="D185:D248" si="5">B185*C185</f>
        <v>0</v>
      </c>
    </row>
    <row r="186" spans="1:4" ht="18" hidden="1">
      <c r="A186" s="156" t="s">
        <v>86</v>
      </c>
      <c r="B186" s="157"/>
      <c r="C186" s="157"/>
      <c r="D186" s="158">
        <f t="shared" si="5"/>
        <v>0</v>
      </c>
    </row>
    <row r="187" spans="1:4" ht="18" hidden="1">
      <c r="A187" s="160" t="s">
        <v>87</v>
      </c>
      <c r="B187" s="157"/>
      <c r="C187" s="157"/>
      <c r="D187" s="158">
        <f t="shared" si="5"/>
        <v>0</v>
      </c>
    </row>
    <row r="188" spans="1:4" ht="18" hidden="1">
      <c r="A188" s="161" t="s">
        <v>88</v>
      </c>
      <c r="B188" s="157"/>
      <c r="C188" s="157"/>
      <c r="D188" s="158">
        <f t="shared" si="5"/>
        <v>0</v>
      </c>
    </row>
    <row r="189" spans="1:4" ht="18" hidden="1">
      <c r="A189" s="161" t="s">
        <v>89</v>
      </c>
      <c r="B189" s="157"/>
      <c r="C189" s="157"/>
      <c r="D189" s="158">
        <f t="shared" si="5"/>
        <v>0</v>
      </c>
    </row>
    <row r="190" spans="1:4" ht="18" hidden="1">
      <c r="A190" s="156" t="s">
        <v>357</v>
      </c>
      <c r="B190" s="157"/>
      <c r="C190" s="157"/>
      <c r="D190" s="158">
        <f t="shared" si="5"/>
        <v>0</v>
      </c>
    </row>
    <row r="191" spans="1:4" ht="18">
      <c r="A191" s="161" t="s">
        <v>90</v>
      </c>
      <c r="B191" s="157">
        <v>150</v>
      </c>
      <c r="C191" s="157">
        <v>24000</v>
      </c>
      <c r="D191" s="158">
        <f t="shared" si="5"/>
        <v>3600000</v>
      </c>
    </row>
    <row r="192" spans="1:4" ht="18" hidden="1">
      <c r="A192" s="173" t="s">
        <v>91</v>
      </c>
      <c r="B192" s="157"/>
      <c r="C192" s="157"/>
      <c r="D192" s="158">
        <f t="shared" si="5"/>
        <v>0</v>
      </c>
    </row>
    <row r="193" spans="1:4" ht="18" hidden="1">
      <c r="A193" s="161" t="s">
        <v>92</v>
      </c>
      <c r="B193" s="157"/>
      <c r="C193" s="157"/>
      <c r="D193" s="158">
        <f t="shared" si="5"/>
        <v>0</v>
      </c>
    </row>
    <row r="194" spans="1:4" ht="18" hidden="1">
      <c r="A194" s="161" t="s">
        <v>94</v>
      </c>
      <c r="B194" s="157"/>
      <c r="C194" s="157"/>
      <c r="D194" s="158">
        <f t="shared" si="5"/>
        <v>0</v>
      </c>
    </row>
    <row r="195" spans="1:4" ht="18" hidden="1">
      <c r="A195" s="161" t="s">
        <v>95</v>
      </c>
      <c r="B195" s="157"/>
      <c r="C195" s="157"/>
      <c r="D195" s="158">
        <f t="shared" si="5"/>
        <v>0</v>
      </c>
    </row>
    <row r="196" spans="1:4" ht="18" hidden="1">
      <c r="A196" s="156" t="s">
        <v>96</v>
      </c>
      <c r="B196" s="162"/>
      <c r="C196" s="162"/>
      <c r="D196" s="158">
        <f t="shared" si="5"/>
        <v>0</v>
      </c>
    </row>
    <row r="197" spans="1:4" ht="18" hidden="1">
      <c r="A197" s="156" t="s">
        <v>97</v>
      </c>
      <c r="B197" s="162"/>
      <c r="C197" s="162"/>
      <c r="D197" s="158">
        <f t="shared" si="5"/>
        <v>0</v>
      </c>
    </row>
    <row r="198" spans="1:4" ht="18" hidden="1">
      <c r="A198" s="156" t="s">
        <v>98</v>
      </c>
      <c r="B198" s="162"/>
      <c r="C198" s="162"/>
      <c r="D198" s="158">
        <f t="shared" si="5"/>
        <v>0</v>
      </c>
    </row>
    <row r="199" spans="1:4" ht="18" hidden="1">
      <c r="A199" s="161" t="s">
        <v>99</v>
      </c>
      <c r="B199" s="157"/>
      <c r="C199" s="157"/>
      <c r="D199" s="158">
        <f t="shared" si="5"/>
        <v>0</v>
      </c>
    </row>
    <row r="200" spans="1:4" ht="18" hidden="1">
      <c r="A200" s="161" t="s">
        <v>100</v>
      </c>
      <c r="B200" s="157"/>
      <c r="C200" s="157"/>
      <c r="D200" s="158">
        <f t="shared" si="5"/>
        <v>0</v>
      </c>
    </row>
    <row r="201" spans="1:4" ht="18" hidden="1">
      <c r="A201" s="161" t="s">
        <v>101</v>
      </c>
      <c r="B201" s="157"/>
      <c r="C201" s="157"/>
      <c r="D201" s="158">
        <f t="shared" si="5"/>
        <v>0</v>
      </c>
    </row>
    <row r="202" spans="1:4" ht="18" hidden="1">
      <c r="A202" s="161" t="s">
        <v>102</v>
      </c>
      <c r="B202" s="157"/>
      <c r="C202" s="157"/>
      <c r="D202" s="158">
        <f t="shared" si="5"/>
        <v>0</v>
      </c>
    </row>
    <row r="203" spans="1:4" ht="18" hidden="1">
      <c r="A203" s="161" t="s">
        <v>103</v>
      </c>
      <c r="B203" s="157"/>
      <c r="C203" s="157"/>
      <c r="D203" s="158">
        <f t="shared" si="5"/>
        <v>0</v>
      </c>
    </row>
    <row r="204" spans="1:4" ht="18">
      <c r="A204" s="161" t="s">
        <v>104</v>
      </c>
      <c r="B204" s="157">
        <v>26</v>
      </c>
      <c r="C204" s="157">
        <v>9000</v>
      </c>
      <c r="D204" s="158">
        <f t="shared" si="5"/>
        <v>234000</v>
      </c>
    </row>
    <row r="205" spans="1:4" ht="18" hidden="1">
      <c r="A205" s="163" t="s">
        <v>105</v>
      </c>
      <c r="B205" s="157"/>
      <c r="C205" s="157"/>
      <c r="D205" s="158">
        <f t="shared" si="5"/>
        <v>0</v>
      </c>
    </row>
    <row r="206" spans="1:4" ht="18" hidden="1">
      <c r="A206" s="163" t="s">
        <v>106</v>
      </c>
      <c r="B206" s="157"/>
      <c r="C206" s="157"/>
      <c r="D206" s="158">
        <f t="shared" si="5"/>
        <v>0</v>
      </c>
    </row>
    <row r="207" spans="1:4" ht="18" hidden="1">
      <c r="A207" s="163" t="s">
        <v>107</v>
      </c>
      <c r="B207" s="157"/>
      <c r="C207" s="157"/>
      <c r="D207" s="158">
        <f t="shared" si="5"/>
        <v>0</v>
      </c>
    </row>
    <row r="208" spans="1:4" ht="18" hidden="1">
      <c r="A208" s="159" t="s">
        <v>108</v>
      </c>
      <c r="B208" s="157"/>
      <c r="C208" s="157"/>
      <c r="D208" s="158">
        <f t="shared" si="5"/>
        <v>0</v>
      </c>
    </row>
    <row r="209" spans="1:4" ht="18" hidden="1">
      <c r="A209" s="173" t="s">
        <v>109</v>
      </c>
      <c r="B209" s="157"/>
      <c r="C209" s="157"/>
      <c r="D209" s="158">
        <f t="shared" si="5"/>
        <v>0</v>
      </c>
    </row>
    <row r="210" spans="1:4" ht="18" hidden="1">
      <c r="A210" s="159" t="s">
        <v>358</v>
      </c>
      <c r="B210" s="157"/>
      <c r="C210" s="157"/>
      <c r="D210" s="158">
        <f t="shared" si="5"/>
        <v>0</v>
      </c>
    </row>
    <row r="211" spans="1:4" ht="18" hidden="1">
      <c r="A211" s="161" t="s">
        <v>110</v>
      </c>
      <c r="B211" s="157"/>
      <c r="C211" s="157"/>
      <c r="D211" s="158">
        <f t="shared" si="5"/>
        <v>0</v>
      </c>
    </row>
    <row r="212" spans="1:4" ht="18" hidden="1">
      <c r="A212" s="161" t="s">
        <v>111</v>
      </c>
      <c r="B212" s="157"/>
      <c r="C212" s="157"/>
      <c r="D212" s="158">
        <f t="shared" si="5"/>
        <v>0</v>
      </c>
    </row>
    <row r="213" spans="1:4" ht="18" hidden="1">
      <c r="A213" s="159" t="s">
        <v>359</v>
      </c>
      <c r="B213" s="157"/>
      <c r="C213" s="157"/>
      <c r="D213" s="158">
        <f t="shared" si="5"/>
        <v>0</v>
      </c>
    </row>
    <row r="214" spans="1:4" ht="18" hidden="1">
      <c r="A214" s="159" t="s">
        <v>360</v>
      </c>
      <c r="B214" s="157"/>
      <c r="C214" s="157"/>
      <c r="D214" s="158">
        <f t="shared" si="5"/>
        <v>0</v>
      </c>
    </row>
    <row r="215" spans="1:4" ht="18" hidden="1">
      <c r="A215" s="161" t="s">
        <v>113</v>
      </c>
      <c r="B215" s="162"/>
      <c r="C215" s="162"/>
      <c r="D215" s="158">
        <f t="shared" si="5"/>
        <v>0</v>
      </c>
    </row>
    <row r="216" spans="1:4" ht="18" hidden="1">
      <c r="A216" s="163" t="s">
        <v>115</v>
      </c>
      <c r="B216" s="157"/>
      <c r="C216" s="157"/>
      <c r="D216" s="158">
        <f t="shared" si="5"/>
        <v>0</v>
      </c>
    </row>
    <row r="217" spans="1:4" ht="18" hidden="1">
      <c r="A217" s="159" t="s">
        <v>116</v>
      </c>
      <c r="B217" s="157"/>
      <c r="C217" s="157"/>
      <c r="D217" s="158">
        <f t="shared" si="5"/>
        <v>0</v>
      </c>
    </row>
    <row r="218" spans="1:4" ht="18" hidden="1">
      <c r="A218" s="159" t="s">
        <v>361</v>
      </c>
      <c r="B218" s="157"/>
      <c r="C218" s="157"/>
      <c r="D218" s="158">
        <f t="shared" si="5"/>
        <v>0</v>
      </c>
    </row>
    <row r="219" spans="1:4" ht="18" hidden="1">
      <c r="A219" s="161" t="s">
        <v>117</v>
      </c>
      <c r="B219" s="157"/>
      <c r="C219" s="157"/>
      <c r="D219" s="158">
        <f t="shared" si="5"/>
        <v>0</v>
      </c>
    </row>
    <row r="220" spans="1:4" ht="18" hidden="1">
      <c r="A220" s="164" t="s">
        <v>118</v>
      </c>
      <c r="B220" s="157"/>
      <c r="C220" s="157"/>
      <c r="D220" s="158">
        <f t="shared" si="5"/>
        <v>0</v>
      </c>
    </row>
    <row r="221" spans="1:4" ht="18" hidden="1">
      <c r="A221" s="177" t="s">
        <v>119</v>
      </c>
      <c r="B221" s="157"/>
      <c r="C221" s="157"/>
      <c r="D221" s="158">
        <f t="shared" si="5"/>
        <v>0</v>
      </c>
    </row>
    <row r="222" spans="1:4" ht="18" hidden="1">
      <c r="A222" s="177" t="s">
        <v>120</v>
      </c>
      <c r="B222" s="157"/>
      <c r="C222" s="157"/>
      <c r="D222" s="158">
        <f t="shared" si="5"/>
        <v>0</v>
      </c>
    </row>
    <row r="223" spans="1:4" ht="18" hidden="1">
      <c r="A223" s="195" t="s">
        <v>121</v>
      </c>
      <c r="B223" s="157"/>
      <c r="C223" s="157"/>
      <c r="D223" s="158">
        <f t="shared" si="5"/>
        <v>0</v>
      </c>
    </row>
    <row r="224" spans="1:4" ht="18" hidden="1">
      <c r="A224" s="186" t="s">
        <v>122</v>
      </c>
      <c r="B224" s="157"/>
      <c r="C224" s="157"/>
      <c r="D224" s="158">
        <f t="shared" si="5"/>
        <v>0</v>
      </c>
    </row>
    <row r="225" spans="1:4" ht="18" hidden="1">
      <c r="A225" s="161" t="s">
        <v>123</v>
      </c>
      <c r="B225" s="157"/>
      <c r="C225" s="157"/>
      <c r="D225" s="158">
        <f t="shared" si="5"/>
        <v>0</v>
      </c>
    </row>
    <row r="226" spans="1:4" ht="18">
      <c r="A226" s="161" t="s">
        <v>124</v>
      </c>
      <c r="B226" s="157">
        <v>35</v>
      </c>
      <c r="C226" s="157">
        <v>14000</v>
      </c>
      <c r="D226" s="158">
        <f t="shared" si="5"/>
        <v>490000</v>
      </c>
    </row>
    <row r="227" spans="1:4" ht="18" hidden="1">
      <c r="A227" s="161" t="s">
        <v>125</v>
      </c>
      <c r="B227" s="157"/>
      <c r="C227" s="157"/>
      <c r="D227" s="158">
        <f t="shared" si="5"/>
        <v>0</v>
      </c>
    </row>
    <row r="228" spans="1:4" ht="18" hidden="1">
      <c r="A228" s="161" t="s">
        <v>126</v>
      </c>
      <c r="B228" s="157"/>
      <c r="C228" s="157"/>
      <c r="D228" s="158">
        <f t="shared" si="5"/>
        <v>0</v>
      </c>
    </row>
    <row r="229" spans="1:4" ht="18" hidden="1">
      <c r="A229" s="161" t="s">
        <v>128</v>
      </c>
      <c r="B229" s="157"/>
      <c r="C229" s="157"/>
      <c r="D229" s="158">
        <f t="shared" si="5"/>
        <v>0</v>
      </c>
    </row>
    <row r="230" spans="1:4" ht="18" hidden="1">
      <c r="A230" s="161" t="s">
        <v>129</v>
      </c>
      <c r="B230" s="157"/>
      <c r="C230" s="157"/>
      <c r="D230" s="158">
        <f t="shared" si="5"/>
        <v>0</v>
      </c>
    </row>
    <row r="231" spans="1:4" ht="18" hidden="1">
      <c r="A231" s="161" t="s">
        <v>362</v>
      </c>
      <c r="B231" s="157"/>
      <c r="C231" s="157"/>
      <c r="D231" s="158">
        <f t="shared" si="5"/>
        <v>0</v>
      </c>
    </row>
    <row r="232" spans="1:4" ht="18" hidden="1">
      <c r="A232" s="161" t="s">
        <v>130</v>
      </c>
      <c r="B232" s="157"/>
      <c r="C232" s="157"/>
      <c r="D232" s="158">
        <f t="shared" si="5"/>
        <v>0</v>
      </c>
    </row>
    <row r="233" spans="1:4" ht="18" hidden="1">
      <c r="A233" s="159" t="s">
        <v>131</v>
      </c>
      <c r="B233" s="157"/>
      <c r="C233" s="157"/>
      <c r="D233" s="158">
        <f t="shared" si="5"/>
        <v>0</v>
      </c>
    </row>
    <row r="234" spans="1:4" ht="18" hidden="1">
      <c r="A234" s="163" t="s">
        <v>132</v>
      </c>
      <c r="B234" s="157"/>
      <c r="C234" s="157"/>
      <c r="D234" s="158">
        <f t="shared" si="5"/>
        <v>0</v>
      </c>
    </row>
    <row r="235" spans="1:4" ht="18" hidden="1">
      <c r="A235" s="161" t="s">
        <v>133</v>
      </c>
      <c r="B235" s="157"/>
      <c r="C235" s="157"/>
      <c r="D235" s="158">
        <f t="shared" si="5"/>
        <v>0</v>
      </c>
    </row>
    <row r="236" spans="1:4" ht="18" hidden="1">
      <c r="A236" s="159" t="s">
        <v>135</v>
      </c>
      <c r="B236" s="157"/>
      <c r="C236" s="157"/>
      <c r="D236" s="158">
        <f t="shared" si="5"/>
        <v>0</v>
      </c>
    </row>
    <row r="237" spans="1:4" ht="18" hidden="1">
      <c r="A237" s="159" t="s">
        <v>136</v>
      </c>
      <c r="B237" s="157"/>
      <c r="C237" s="157"/>
      <c r="D237" s="158">
        <f t="shared" si="5"/>
        <v>0</v>
      </c>
    </row>
    <row r="238" spans="1:4" ht="18">
      <c r="A238" s="161" t="s">
        <v>137</v>
      </c>
      <c r="B238" s="157">
        <v>20</v>
      </c>
      <c r="C238" s="157">
        <v>11000</v>
      </c>
      <c r="D238" s="158">
        <f t="shared" si="5"/>
        <v>220000</v>
      </c>
    </row>
    <row r="239" spans="1:4" ht="18" hidden="1">
      <c r="A239" s="178" t="s">
        <v>139</v>
      </c>
      <c r="B239" s="157"/>
      <c r="C239" s="157"/>
      <c r="D239" s="158">
        <f t="shared" si="5"/>
        <v>0</v>
      </c>
    </row>
    <row r="240" spans="1:4" ht="18" hidden="1">
      <c r="A240" s="173" t="s">
        <v>140</v>
      </c>
      <c r="B240" s="157"/>
      <c r="C240" s="157"/>
      <c r="D240" s="158">
        <f t="shared" si="5"/>
        <v>0</v>
      </c>
    </row>
    <row r="241" spans="1:4" ht="18" hidden="1">
      <c r="A241" s="156" t="s">
        <v>141</v>
      </c>
      <c r="B241" s="162"/>
      <c r="C241" s="162"/>
      <c r="D241" s="158">
        <f t="shared" si="5"/>
        <v>0</v>
      </c>
    </row>
    <row r="242" spans="1:4" ht="18" hidden="1">
      <c r="A242" s="156" t="s">
        <v>142</v>
      </c>
      <c r="B242" s="162"/>
      <c r="C242" s="162"/>
      <c r="D242" s="158">
        <f t="shared" si="5"/>
        <v>0</v>
      </c>
    </row>
    <row r="243" spans="1:4" ht="18" hidden="1">
      <c r="A243" s="156" t="s">
        <v>143</v>
      </c>
      <c r="B243" s="162"/>
      <c r="C243" s="162"/>
      <c r="D243" s="158">
        <f t="shared" si="5"/>
        <v>0</v>
      </c>
    </row>
    <row r="244" spans="1:4" ht="18" hidden="1">
      <c r="A244" s="156" t="s">
        <v>144</v>
      </c>
      <c r="B244" s="179"/>
      <c r="C244" s="179"/>
      <c r="D244" s="158">
        <f t="shared" si="5"/>
        <v>0</v>
      </c>
    </row>
    <row r="245" spans="1:4" ht="18" hidden="1">
      <c r="A245" s="183" t="s">
        <v>145</v>
      </c>
      <c r="B245" s="157"/>
      <c r="C245" s="157"/>
      <c r="D245" s="158">
        <f t="shared" si="5"/>
        <v>0</v>
      </c>
    </row>
    <row r="246" spans="1:4" ht="18" hidden="1">
      <c r="A246" s="156" t="s">
        <v>146</v>
      </c>
      <c r="B246" s="162"/>
      <c r="C246" s="162"/>
      <c r="D246" s="158">
        <f t="shared" si="5"/>
        <v>0</v>
      </c>
    </row>
    <row r="247" spans="1:4" ht="18" hidden="1">
      <c r="A247" s="161" t="s">
        <v>147</v>
      </c>
      <c r="B247" s="157"/>
      <c r="C247" s="157"/>
      <c r="D247" s="158">
        <f t="shared" si="5"/>
        <v>0</v>
      </c>
    </row>
    <row r="248" spans="1:4" ht="18" hidden="1">
      <c r="A248" s="161" t="s">
        <v>148</v>
      </c>
      <c r="B248" s="157"/>
      <c r="C248" s="157"/>
      <c r="D248" s="158">
        <f t="shared" si="5"/>
        <v>0</v>
      </c>
    </row>
    <row r="249" spans="1:4" ht="18">
      <c r="A249" s="161" t="s">
        <v>150</v>
      </c>
      <c r="B249" s="157">
        <v>60</v>
      </c>
      <c r="C249" s="157">
        <v>15000</v>
      </c>
      <c r="D249" s="158">
        <f t="shared" ref="D249:D312" si="6">B249*C249</f>
        <v>900000</v>
      </c>
    </row>
    <row r="250" spans="1:4" ht="18" hidden="1">
      <c r="A250" s="164" t="s">
        <v>151</v>
      </c>
      <c r="B250" s="157"/>
      <c r="C250" s="157"/>
      <c r="D250" s="158">
        <f t="shared" si="6"/>
        <v>0</v>
      </c>
    </row>
    <row r="251" spans="1:4" ht="18" hidden="1">
      <c r="A251" s="156" t="s">
        <v>152</v>
      </c>
      <c r="B251" s="157"/>
      <c r="C251" s="157"/>
      <c r="D251" s="158">
        <f t="shared" si="6"/>
        <v>0</v>
      </c>
    </row>
    <row r="252" spans="1:4" ht="18" hidden="1">
      <c r="A252" s="156" t="s">
        <v>153</v>
      </c>
      <c r="B252" s="157"/>
      <c r="C252" s="157"/>
      <c r="D252" s="158">
        <f t="shared" si="6"/>
        <v>0</v>
      </c>
    </row>
    <row r="253" spans="1:4" ht="18" hidden="1">
      <c r="A253" s="161" t="s">
        <v>154</v>
      </c>
      <c r="B253" s="157"/>
      <c r="C253" s="157"/>
      <c r="D253" s="158">
        <f t="shared" si="6"/>
        <v>0</v>
      </c>
    </row>
    <row r="254" spans="1:4" ht="18" hidden="1">
      <c r="A254" s="161" t="s">
        <v>363</v>
      </c>
      <c r="B254" s="157"/>
      <c r="C254" s="157"/>
      <c r="D254" s="158">
        <f t="shared" si="6"/>
        <v>0</v>
      </c>
    </row>
    <row r="255" spans="1:4" ht="18" hidden="1">
      <c r="A255" s="161" t="s">
        <v>156</v>
      </c>
      <c r="B255" s="162"/>
      <c r="C255" s="162"/>
      <c r="D255" s="158">
        <f t="shared" si="6"/>
        <v>0</v>
      </c>
    </row>
    <row r="256" spans="1:4" ht="18" hidden="1">
      <c r="A256" s="161" t="s">
        <v>157</v>
      </c>
      <c r="B256" s="162"/>
      <c r="C256" s="162"/>
      <c r="D256" s="158">
        <f t="shared" si="6"/>
        <v>0</v>
      </c>
    </row>
    <row r="257" spans="1:4" ht="18" hidden="1">
      <c r="A257" s="161" t="s">
        <v>158</v>
      </c>
      <c r="B257" s="157"/>
      <c r="C257" s="157"/>
      <c r="D257" s="158">
        <f t="shared" si="6"/>
        <v>0</v>
      </c>
    </row>
    <row r="258" spans="1:4" ht="18" hidden="1">
      <c r="A258" s="161" t="s">
        <v>159</v>
      </c>
      <c r="B258" s="162"/>
      <c r="C258" s="162"/>
      <c r="D258" s="158">
        <f t="shared" si="6"/>
        <v>0</v>
      </c>
    </row>
    <row r="259" spans="1:4" ht="18" hidden="1">
      <c r="A259" s="161" t="s">
        <v>160</v>
      </c>
      <c r="B259" s="162"/>
      <c r="C259" s="162"/>
      <c r="D259" s="158">
        <f t="shared" si="6"/>
        <v>0</v>
      </c>
    </row>
    <row r="260" spans="1:4" ht="18" hidden="1">
      <c r="A260" s="161" t="s">
        <v>161</v>
      </c>
      <c r="B260" s="162"/>
      <c r="C260" s="162"/>
      <c r="D260" s="158">
        <f t="shared" si="6"/>
        <v>0</v>
      </c>
    </row>
    <row r="261" spans="1:4" ht="18" hidden="1">
      <c r="A261" s="161" t="s">
        <v>162</v>
      </c>
      <c r="B261" s="162"/>
      <c r="C261" s="162"/>
      <c r="D261" s="158">
        <f t="shared" si="6"/>
        <v>0</v>
      </c>
    </row>
    <row r="262" spans="1:4" ht="18" hidden="1">
      <c r="A262" s="161" t="s">
        <v>163</v>
      </c>
      <c r="B262" s="162"/>
      <c r="C262" s="162"/>
      <c r="D262" s="158">
        <f t="shared" si="6"/>
        <v>0</v>
      </c>
    </row>
    <row r="263" spans="1:4" ht="18" hidden="1">
      <c r="A263" s="161" t="s">
        <v>164</v>
      </c>
      <c r="B263" s="162"/>
      <c r="C263" s="162"/>
      <c r="D263" s="158">
        <f t="shared" si="6"/>
        <v>0</v>
      </c>
    </row>
    <row r="264" spans="1:4" ht="18" hidden="1">
      <c r="A264" s="161" t="s">
        <v>165</v>
      </c>
      <c r="B264" s="162"/>
      <c r="C264" s="162"/>
      <c r="D264" s="158">
        <f t="shared" si="6"/>
        <v>0</v>
      </c>
    </row>
    <row r="265" spans="1:4" ht="18" hidden="1">
      <c r="A265" s="161" t="s">
        <v>166</v>
      </c>
      <c r="B265" s="162"/>
      <c r="C265" s="162"/>
      <c r="D265" s="158">
        <f t="shared" si="6"/>
        <v>0</v>
      </c>
    </row>
    <row r="266" spans="1:4" ht="18" hidden="1">
      <c r="A266" s="161" t="s">
        <v>167</v>
      </c>
      <c r="B266" s="157"/>
      <c r="C266" s="157"/>
      <c r="D266" s="158">
        <f t="shared" si="6"/>
        <v>0</v>
      </c>
    </row>
    <row r="267" spans="1:4" ht="18" hidden="1">
      <c r="A267" s="161" t="s">
        <v>364</v>
      </c>
      <c r="B267" s="157"/>
      <c r="C267" s="157"/>
      <c r="D267" s="158">
        <f t="shared" si="6"/>
        <v>0</v>
      </c>
    </row>
    <row r="268" spans="1:4" ht="18" hidden="1">
      <c r="A268" s="161" t="s">
        <v>168</v>
      </c>
      <c r="B268" s="157"/>
      <c r="C268" s="157"/>
      <c r="D268" s="158">
        <f t="shared" si="6"/>
        <v>0</v>
      </c>
    </row>
    <row r="269" spans="1:4" ht="18" hidden="1">
      <c r="A269" s="161" t="s">
        <v>169</v>
      </c>
      <c r="B269" s="157"/>
      <c r="C269" s="157"/>
      <c r="D269" s="158">
        <f t="shared" si="6"/>
        <v>0</v>
      </c>
    </row>
    <row r="270" spans="1:4" ht="18" hidden="1">
      <c r="A270" s="161" t="s">
        <v>170</v>
      </c>
      <c r="B270" s="157"/>
      <c r="C270" s="157"/>
      <c r="D270" s="158">
        <f t="shared" si="6"/>
        <v>0</v>
      </c>
    </row>
    <row r="271" spans="1:4" ht="18" hidden="1">
      <c r="A271" s="164" t="s">
        <v>171</v>
      </c>
      <c r="B271" s="157"/>
      <c r="C271" s="157"/>
      <c r="D271" s="158">
        <f t="shared" si="6"/>
        <v>0</v>
      </c>
    </row>
    <row r="272" spans="1:4" ht="18" hidden="1">
      <c r="A272" s="161" t="s">
        <v>172</v>
      </c>
      <c r="B272" s="157"/>
      <c r="C272" s="157"/>
      <c r="D272" s="158">
        <f t="shared" si="6"/>
        <v>0</v>
      </c>
    </row>
    <row r="273" spans="1:4" ht="18" hidden="1">
      <c r="A273" s="161" t="s">
        <v>173</v>
      </c>
      <c r="B273" s="157"/>
      <c r="C273" s="157"/>
      <c r="D273" s="158">
        <f t="shared" si="6"/>
        <v>0</v>
      </c>
    </row>
    <row r="274" spans="1:4" ht="18" hidden="1">
      <c r="A274" s="161" t="s">
        <v>174</v>
      </c>
      <c r="B274" s="157"/>
      <c r="C274" s="157"/>
      <c r="D274" s="158">
        <f t="shared" si="6"/>
        <v>0</v>
      </c>
    </row>
    <row r="275" spans="1:4" ht="18" hidden="1">
      <c r="A275" s="161" t="s">
        <v>175</v>
      </c>
      <c r="B275" s="157"/>
      <c r="C275" s="157"/>
      <c r="D275" s="158">
        <f t="shared" si="6"/>
        <v>0</v>
      </c>
    </row>
    <row r="276" spans="1:4" ht="18" hidden="1">
      <c r="A276" s="161" t="s">
        <v>176</v>
      </c>
      <c r="B276" s="162"/>
      <c r="C276" s="162"/>
      <c r="D276" s="158">
        <f t="shared" si="6"/>
        <v>0</v>
      </c>
    </row>
    <row r="277" spans="1:4" ht="18" hidden="1">
      <c r="A277" s="180" t="s">
        <v>177</v>
      </c>
      <c r="B277" s="162"/>
      <c r="C277" s="162"/>
      <c r="D277" s="158">
        <f t="shared" si="6"/>
        <v>0</v>
      </c>
    </row>
    <row r="278" spans="1:4" ht="18" hidden="1">
      <c r="A278" s="161" t="s">
        <v>178</v>
      </c>
      <c r="B278" s="162"/>
      <c r="C278" s="162"/>
      <c r="D278" s="158">
        <f t="shared" si="6"/>
        <v>0</v>
      </c>
    </row>
    <row r="279" spans="1:4" ht="18" hidden="1">
      <c r="A279" s="161" t="s">
        <v>180</v>
      </c>
      <c r="B279" s="157"/>
      <c r="C279" s="157"/>
      <c r="D279" s="158">
        <f t="shared" si="6"/>
        <v>0</v>
      </c>
    </row>
    <row r="280" spans="1:4" ht="18" hidden="1">
      <c r="A280" s="164" t="s">
        <v>181</v>
      </c>
      <c r="B280" s="157"/>
      <c r="C280" s="157"/>
      <c r="D280" s="158">
        <f t="shared" si="6"/>
        <v>0</v>
      </c>
    </row>
    <row r="281" spans="1:4" ht="18" hidden="1">
      <c r="A281" s="161" t="s">
        <v>365</v>
      </c>
      <c r="B281" s="157"/>
      <c r="C281" s="157"/>
      <c r="D281" s="158">
        <f t="shared" si="6"/>
        <v>0</v>
      </c>
    </row>
    <row r="282" spans="1:4" ht="18" hidden="1">
      <c r="A282" s="156" t="s">
        <v>182</v>
      </c>
      <c r="B282" s="157"/>
      <c r="C282" s="157"/>
      <c r="D282" s="158">
        <f t="shared" si="6"/>
        <v>0</v>
      </c>
    </row>
    <row r="283" spans="1:4" ht="18" hidden="1">
      <c r="A283" s="161" t="s">
        <v>183</v>
      </c>
      <c r="B283" s="157"/>
      <c r="C283" s="157"/>
      <c r="D283" s="158">
        <f t="shared" si="6"/>
        <v>0</v>
      </c>
    </row>
    <row r="284" spans="1:4" ht="18" hidden="1">
      <c r="A284" s="161" t="s">
        <v>185</v>
      </c>
      <c r="B284" s="157"/>
      <c r="C284" s="157"/>
      <c r="D284" s="158">
        <f t="shared" si="6"/>
        <v>0</v>
      </c>
    </row>
    <row r="285" spans="1:4" ht="18" hidden="1">
      <c r="A285" s="161" t="s">
        <v>186</v>
      </c>
      <c r="B285" s="157"/>
      <c r="C285" s="157"/>
      <c r="D285" s="158">
        <f t="shared" si="6"/>
        <v>0</v>
      </c>
    </row>
    <row r="286" spans="1:4" ht="18" hidden="1">
      <c r="A286" s="160" t="s">
        <v>187</v>
      </c>
      <c r="B286" s="157"/>
      <c r="C286" s="157"/>
      <c r="D286" s="158">
        <f t="shared" si="6"/>
        <v>0</v>
      </c>
    </row>
    <row r="287" spans="1:4" ht="18" hidden="1">
      <c r="A287" s="161" t="s">
        <v>188</v>
      </c>
      <c r="B287" s="157"/>
      <c r="C287" s="157"/>
      <c r="D287" s="158">
        <f t="shared" si="6"/>
        <v>0</v>
      </c>
    </row>
    <row r="288" spans="1:4" ht="18" hidden="1">
      <c r="A288" s="169" t="s">
        <v>189</v>
      </c>
      <c r="B288" s="170"/>
      <c r="C288" s="170"/>
      <c r="D288" s="158">
        <f t="shared" si="6"/>
        <v>0</v>
      </c>
    </row>
    <row r="289" spans="1:4" ht="18" hidden="1">
      <c r="A289" s="159" t="s">
        <v>190</v>
      </c>
      <c r="B289" s="157"/>
      <c r="C289" s="157"/>
      <c r="D289" s="158">
        <f t="shared" si="6"/>
        <v>0</v>
      </c>
    </row>
    <row r="290" spans="1:4" ht="18" hidden="1">
      <c r="A290" s="161" t="s">
        <v>191</v>
      </c>
      <c r="B290" s="157"/>
      <c r="C290" s="157"/>
      <c r="D290" s="158">
        <f t="shared" si="6"/>
        <v>0</v>
      </c>
    </row>
    <row r="291" spans="1:4" ht="18" hidden="1">
      <c r="A291" s="161" t="s">
        <v>192</v>
      </c>
      <c r="B291" s="157"/>
      <c r="C291" s="157"/>
      <c r="D291" s="158">
        <f t="shared" si="6"/>
        <v>0</v>
      </c>
    </row>
    <row r="292" spans="1:4" ht="18" hidden="1">
      <c r="A292" s="156" t="s">
        <v>193</v>
      </c>
      <c r="B292" s="157"/>
      <c r="C292" s="157"/>
      <c r="D292" s="158">
        <f t="shared" si="6"/>
        <v>0</v>
      </c>
    </row>
    <row r="293" spans="1:4" ht="18" hidden="1">
      <c r="A293" s="161" t="s">
        <v>194</v>
      </c>
      <c r="B293" s="157"/>
      <c r="C293" s="157"/>
      <c r="D293" s="158">
        <f t="shared" si="6"/>
        <v>0</v>
      </c>
    </row>
    <row r="294" spans="1:4" ht="18" hidden="1">
      <c r="A294" s="161" t="s">
        <v>195</v>
      </c>
      <c r="B294" s="157"/>
      <c r="C294" s="157"/>
      <c r="D294" s="158">
        <f t="shared" si="6"/>
        <v>0</v>
      </c>
    </row>
    <row r="295" spans="1:4" ht="18" hidden="1">
      <c r="A295" s="156" t="s">
        <v>196</v>
      </c>
      <c r="B295" s="157"/>
      <c r="C295" s="157"/>
      <c r="D295" s="158">
        <f t="shared" si="6"/>
        <v>0</v>
      </c>
    </row>
    <row r="296" spans="1:4" ht="18" hidden="1">
      <c r="A296" s="156" t="s">
        <v>197</v>
      </c>
      <c r="B296" s="157"/>
      <c r="C296" s="157"/>
      <c r="D296" s="158">
        <f t="shared" si="6"/>
        <v>0</v>
      </c>
    </row>
    <row r="297" spans="1:4" ht="18">
      <c r="A297" s="156" t="s">
        <v>198</v>
      </c>
      <c r="B297" s="157">
        <v>500</v>
      </c>
      <c r="C297" s="157">
        <v>8500</v>
      </c>
      <c r="D297" s="158">
        <f t="shared" si="6"/>
        <v>4250000</v>
      </c>
    </row>
    <row r="298" spans="1:4" ht="18" hidden="1">
      <c r="A298" s="161" t="s">
        <v>199</v>
      </c>
      <c r="B298" s="157"/>
      <c r="C298" s="157"/>
      <c r="D298" s="158">
        <f t="shared" si="6"/>
        <v>0</v>
      </c>
    </row>
    <row r="299" spans="1:4" ht="18" hidden="1">
      <c r="A299" s="156" t="s">
        <v>200</v>
      </c>
      <c r="B299" s="157"/>
      <c r="C299" s="157"/>
      <c r="D299" s="158">
        <f t="shared" si="6"/>
        <v>0</v>
      </c>
    </row>
    <row r="300" spans="1:4" ht="18" hidden="1">
      <c r="A300" s="156" t="s">
        <v>201</v>
      </c>
      <c r="B300" s="157"/>
      <c r="C300" s="157"/>
      <c r="D300" s="158">
        <f t="shared" si="6"/>
        <v>0</v>
      </c>
    </row>
    <row r="301" spans="1:4" ht="18" hidden="1">
      <c r="A301" s="156" t="s">
        <v>202</v>
      </c>
      <c r="B301" s="157"/>
      <c r="C301" s="157"/>
      <c r="D301" s="158">
        <f t="shared" si="6"/>
        <v>0</v>
      </c>
    </row>
    <row r="302" spans="1:4" ht="18" hidden="1">
      <c r="A302" s="161" t="s">
        <v>203</v>
      </c>
      <c r="B302" s="157"/>
      <c r="C302" s="157"/>
      <c r="D302" s="158">
        <f t="shared" si="6"/>
        <v>0</v>
      </c>
    </row>
    <row r="303" spans="1:4" ht="18" hidden="1">
      <c r="A303" s="164" t="s">
        <v>204</v>
      </c>
      <c r="B303" s="157"/>
      <c r="C303" s="157"/>
      <c r="D303" s="158">
        <f t="shared" si="6"/>
        <v>0</v>
      </c>
    </row>
    <row r="304" spans="1:4" ht="18" hidden="1">
      <c r="A304" s="164" t="s">
        <v>205</v>
      </c>
      <c r="B304" s="157"/>
      <c r="C304" s="157"/>
      <c r="D304" s="158">
        <f t="shared" si="6"/>
        <v>0</v>
      </c>
    </row>
    <row r="305" spans="1:4" ht="18" hidden="1">
      <c r="A305" s="164" t="s">
        <v>206</v>
      </c>
      <c r="B305" s="157"/>
      <c r="C305" s="157"/>
      <c r="D305" s="158">
        <f t="shared" si="6"/>
        <v>0</v>
      </c>
    </row>
    <row r="306" spans="1:4" ht="18" hidden="1">
      <c r="A306" s="164" t="s">
        <v>207</v>
      </c>
      <c r="B306" s="157"/>
      <c r="C306" s="157"/>
      <c r="D306" s="158">
        <f t="shared" si="6"/>
        <v>0</v>
      </c>
    </row>
    <row r="307" spans="1:4" ht="18" hidden="1">
      <c r="A307" s="156" t="s">
        <v>208</v>
      </c>
      <c r="B307" s="157"/>
      <c r="C307" s="157"/>
      <c r="D307" s="158">
        <f t="shared" si="6"/>
        <v>0</v>
      </c>
    </row>
    <row r="308" spans="1:4" ht="18" hidden="1">
      <c r="A308" s="161" t="s">
        <v>209</v>
      </c>
      <c r="B308" s="157"/>
      <c r="C308" s="157"/>
      <c r="D308" s="158">
        <f t="shared" si="6"/>
        <v>0</v>
      </c>
    </row>
    <row r="309" spans="1:4" ht="18" hidden="1">
      <c r="A309" s="187" t="s">
        <v>210</v>
      </c>
      <c r="B309" s="157"/>
      <c r="C309" s="157"/>
      <c r="D309" s="158">
        <f t="shared" si="6"/>
        <v>0</v>
      </c>
    </row>
    <row r="310" spans="1:4" ht="18" hidden="1">
      <c r="A310" s="187" t="s">
        <v>211</v>
      </c>
      <c r="B310" s="157"/>
      <c r="C310" s="157"/>
      <c r="D310" s="158">
        <f t="shared" si="6"/>
        <v>0</v>
      </c>
    </row>
    <row r="311" spans="1:4" ht="18" hidden="1">
      <c r="A311" s="187" t="s">
        <v>212</v>
      </c>
      <c r="B311" s="157"/>
      <c r="C311" s="157"/>
      <c r="D311" s="158">
        <f t="shared" si="6"/>
        <v>0</v>
      </c>
    </row>
    <row r="312" spans="1:4" ht="18" hidden="1">
      <c r="A312" s="187" t="s">
        <v>213</v>
      </c>
      <c r="B312" s="157"/>
      <c r="C312" s="157"/>
      <c r="D312" s="158">
        <f t="shared" si="6"/>
        <v>0</v>
      </c>
    </row>
    <row r="313" spans="1:4" ht="18" hidden="1">
      <c r="A313" s="161" t="s">
        <v>214</v>
      </c>
      <c r="B313" s="157"/>
      <c r="C313" s="157"/>
      <c r="D313" s="158">
        <f t="shared" ref="D313:D376" si="7">B313*C313</f>
        <v>0</v>
      </c>
    </row>
    <row r="314" spans="1:4" ht="18" hidden="1">
      <c r="A314" s="167" t="s">
        <v>215</v>
      </c>
      <c r="B314" s="157"/>
      <c r="C314" s="157"/>
      <c r="D314" s="158">
        <f t="shared" si="7"/>
        <v>0</v>
      </c>
    </row>
    <row r="315" spans="1:4" ht="18" hidden="1">
      <c r="A315" s="161" t="s">
        <v>216</v>
      </c>
      <c r="B315" s="157"/>
      <c r="C315" s="157"/>
      <c r="D315" s="158">
        <f t="shared" si="7"/>
        <v>0</v>
      </c>
    </row>
    <row r="316" spans="1:4" ht="18" hidden="1">
      <c r="A316" s="156" t="s">
        <v>217</v>
      </c>
      <c r="B316" s="157"/>
      <c r="C316" s="157"/>
      <c r="D316" s="158">
        <f t="shared" si="7"/>
        <v>0</v>
      </c>
    </row>
    <row r="317" spans="1:4" ht="18" hidden="1">
      <c r="A317" s="161" t="s">
        <v>366</v>
      </c>
      <c r="B317" s="157"/>
      <c r="C317" s="157"/>
      <c r="D317" s="158">
        <f t="shared" si="7"/>
        <v>0</v>
      </c>
    </row>
    <row r="318" spans="1:4" ht="18" hidden="1">
      <c r="A318" s="161" t="s">
        <v>218</v>
      </c>
      <c r="B318" s="157"/>
      <c r="C318" s="157"/>
      <c r="D318" s="158">
        <f t="shared" si="7"/>
        <v>0</v>
      </c>
    </row>
    <row r="319" spans="1:4" ht="18">
      <c r="A319" s="161" t="s">
        <v>219</v>
      </c>
      <c r="B319" s="157">
        <v>400</v>
      </c>
      <c r="C319" s="157">
        <v>16500</v>
      </c>
      <c r="D319" s="158">
        <f t="shared" si="7"/>
        <v>6600000</v>
      </c>
    </row>
    <row r="320" spans="1:4" ht="18" hidden="1">
      <c r="A320" s="175" t="s">
        <v>220</v>
      </c>
      <c r="B320" s="157"/>
      <c r="C320" s="157"/>
      <c r="D320" s="158">
        <f t="shared" si="7"/>
        <v>0</v>
      </c>
    </row>
    <row r="321" spans="1:4" ht="18" hidden="1">
      <c r="A321" s="175" t="s">
        <v>221</v>
      </c>
      <c r="B321" s="157"/>
      <c r="C321" s="157"/>
      <c r="D321" s="158">
        <f t="shared" si="7"/>
        <v>0</v>
      </c>
    </row>
    <row r="322" spans="1:4" ht="18" hidden="1">
      <c r="A322" s="161" t="s">
        <v>222</v>
      </c>
      <c r="B322" s="157"/>
      <c r="C322" s="157"/>
      <c r="D322" s="158">
        <f t="shared" si="7"/>
        <v>0</v>
      </c>
    </row>
    <row r="323" spans="1:4" ht="18" hidden="1">
      <c r="A323" s="159" t="s">
        <v>223</v>
      </c>
      <c r="B323" s="157"/>
      <c r="C323" s="157"/>
      <c r="D323" s="158">
        <f t="shared" si="7"/>
        <v>0</v>
      </c>
    </row>
    <row r="324" spans="1:4" ht="18" hidden="1">
      <c r="A324" s="161" t="s">
        <v>224</v>
      </c>
      <c r="B324" s="157"/>
      <c r="C324" s="157"/>
      <c r="D324" s="158">
        <f t="shared" si="7"/>
        <v>0</v>
      </c>
    </row>
    <row r="325" spans="1:4" ht="18" hidden="1">
      <c r="A325" s="159" t="s">
        <v>367</v>
      </c>
      <c r="B325" s="157"/>
      <c r="C325" s="157"/>
      <c r="D325" s="158">
        <f t="shared" si="7"/>
        <v>0</v>
      </c>
    </row>
    <row r="326" spans="1:4" ht="18" hidden="1">
      <c r="A326" s="161" t="s">
        <v>225</v>
      </c>
      <c r="B326" s="157"/>
      <c r="C326" s="157"/>
      <c r="D326" s="158">
        <f t="shared" si="7"/>
        <v>0</v>
      </c>
    </row>
    <row r="327" spans="1:4" ht="18" hidden="1">
      <c r="A327" s="161" t="s">
        <v>226</v>
      </c>
      <c r="B327" s="157"/>
      <c r="C327" s="157"/>
      <c r="D327" s="158">
        <f t="shared" si="7"/>
        <v>0</v>
      </c>
    </row>
    <row r="328" spans="1:4" ht="18" hidden="1">
      <c r="A328" s="161" t="s">
        <v>368</v>
      </c>
      <c r="B328" s="157"/>
      <c r="C328" s="157"/>
      <c r="D328" s="158">
        <f t="shared" si="7"/>
        <v>0</v>
      </c>
    </row>
    <row r="329" spans="1:4" ht="18" hidden="1">
      <c r="A329" s="161" t="s">
        <v>369</v>
      </c>
      <c r="B329" s="157"/>
      <c r="C329" s="157"/>
      <c r="D329" s="158">
        <f t="shared" si="7"/>
        <v>0</v>
      </c>
    </row>
    <row r="330" spans="1:4" ht="18" hidden="1">
      <c r="A330" s="161" t="s">
        <v>227</v>
      </c>
      <c r="B330" s="157"/>
      <c r="C330" s="157"/>
      <c r="D330" s="158">
        <f t="shared" si="7"/>
        <v>0</v>
      </c>
    </row>
    <row r="331" spans="1:4" ht="18" hidden="1">
      <c r="A331" s="165" t="s">
        <v>228</v>
      </c>
      <c r="B331" s="157"/>
      <c r="C331" s="157"/>
      <c r="D331" s="158">
        <f t="shared" si="7"/>
        <v>0</v>
      </c>
    </row>
    <row r="332" spans="1:4" ht="18" hidden="1">
      <c r="A332" s="161" t="s">
        <v>229</v>
      </c>
      <c r="B332" s="157"/>
      <c r="C332" s="157"/>
      <c r="D332" s="158">
        <f t="shared" si="7"/>
        <v>0</v>
      </c>
    </row>
    <row r="333" spans="1:4" ht="18">
      <c r="A333" s="161" t="s">
        <v>230</v>
      </c>
      <c r="B333" s="157">
        <v>138</v>
      </c>
      <c r="C333" s="157">
        <v>15000</v>
      </c>
      <c r="D333" s="158">
        <f t="shared" si="7"/>
        <v>2070000</v>
      </c>
    </row>
    <row r="334" spans="1:4" ht="18" hidden="1">
      <c r="A334" s="161" t="s">
        <v>231</v>
      </c>
      <c r="B334" s="157"/>
      <c r="C334" s="157"/>
      <c r="D334" s="158">
        <f t="shared" si="7"/>
        <v>0</v>
      </c>
    </row>
    <row r="335" spans="1:4" ht="18" hidden="1">
      <c r="A335" s="161" t="s">
        <v>370</v>
      </c>
      <c r="B335" s="157"/>
      <c r="C335" s="157"/>
      <c r="D335" s="158">
        <f t="shared" si="7"/>
        <v>0</v>
      </c>
    </row>
    <row r="336" spans="1:4" ht="18" hidden="1">
      <c r="A336" s="161" t="s">
        <v>232</v>
      </c>
      <c r="B336" s="157"/>
      <c r="C336" s="157"/>
      <c r="D336" s="158">
        <f t="shared" si="7"/>
        <v>0</v>
      </c>
    </row>
    <row r="337" spans="1:4" ht="18" hidden="1">
      <c r="A337" s="164" t="s">
        <v>233</v>
      </c>
      <c r="B337" s="157"/>
      <c r="C337" s="157"/>
      <c r="D337" s="158">
        <f t="shared" si="7"/>
        <v>0</v>
      </c>
    </row>
    <row r="338" spans="1:4" ht="18" hidden="1">
      <c r="A338" s="164" t="s">
        <v>234</v>
      </c>
      <c r="B338" s="157"/>
      <c r="C338" s="157"/>
      <c r="D338" s="158">
        <f t="shared" si="7"/>
        <v>0</v>
      </c>
    </row>
    <row r="339" spans="1:4" ht="18" hidden="1">
      <c r="A339" s="164" t="s">
        <v>235</v>
      </c>
      <c r="B339" s="157"/>
      <c r="C339" s="157"/>
      <c r="D339" s="158">
        <f t="shared" si="7"/>
        <v>0</v>
      </c>
    </row>
    <row r="340" spans="1:4" ht="18" hidden="1">
      <c r="A340" s="164" t="s">
        <v>236</v>
      </c>
      <c r="B340" s="157"/>
      <c r="C340" s="157"/>
      <c r="D340" s="158">
        <f t="shared" si="7"/>
        <v>0</v>
      </c>
    </row>
    <row r="341" spans="1:4" ht="18" hidden="1">
      <c r="A341" s="161" t="s">
        <v>237</v>
      </c>
      <c r="B341" s="157"/>
      <c r="C341" s="157"/>
      <c r="D341" s="158">
        <f t="shared" si="7"/>
        <v>0</v>
      </c>
    </row>
    <row r="342" spans="1:4" ht="18" hidden="1">
      <c r="A342" s="161" t="s">
        <v>238</v>
      </c>
      <c r="B342" s="157"/>
      <c r="C342" s="157"/>
      <c r="D342" s="158">
        <f t="shared" si="7"/>
        <v>0</v>
      </c>
    </row>
    <row r="343" spans="1:4" ht="18" hidden="1">
      <c r="A343" s="164" t="s">
        <v>239</v>
      </c>
      <c r="B343" s="157"/>
      <c r="C343" s="157"/>
      <c r="D343" s="158">
        <f t="shared" si="7"/>
        <v>0</v>
      </c>
    </row>
    <row r="344" spans="1:4" ht="18" hidden="1">
      <c r="A344" s="164" t="s">
        <v>240</v>
      </c>
      <c r="B344" s="157"/>
      <c r="C344" s="157"/>
      <c r="D344" s="158">
        <f t="shared" si="7"/>
        <v>0</v>
      </c>
    </row>
    <row r="345" spans="1:4" ht="18" hidden="1">
      <c r="A345" s="159" t="s">
        <v>241</v>
      </c>
      <c r="B345" s="157"/>
      <c r="C345" s="157"/>
      <c r="D345" s="158">
        <f t="shared" si="7"/>
        <v>0</v>
      </c>
    </row>
    <row r="346" spans="1:4" ht="18" hidden="1">
      <c r="A346" s="156" t="s">
        <v>242</v>
      </c>
      <c r="B346" s="157"/>
      <c r="C346" s="157"/>
      <c r="D346" s="158">
        <f t="shared" si="7"/>
        <v>0</v>
      </c>
    </row>
    <row r="347" spans="1:4" ht="18" hidden="1">
      <c r="A347" s="163" t="s">
        <v>371</v>
      </c>
      <c r="B347" s="157"/>
      <c r="C347" s="157"/>
      <c r="D347" s="158">
        <f t="shared" si="7"/>
        <v>0</v>
      </c>
    </row>
    <row r="348" spans="1:4" ht="18" hidden="1">
      <c r="A348" s="163" t="s">
        <v>372</v>
      </c>
      <c r="B348" s="157"/>
      <c r="C348" s="157"/>
      <c r="D348" s="158">
        <f t="shared" si="7"/>
        <v>0</v>
      </c>
    </row>
    <row r="349" spans="1:4" ht="18" hidden="1">
      <c r="A349" s="159" t="s">
        <v>247</v>
      </c>
      <c r="B349" s="157"/>
      <c r="C349" s="157"/>
      <c r="D349" s="158">
        <f t="shared" si="7"/>
        <v>0</v>
      </c>
    </row>
    <row r="350" spans="1:4" ht="18" hidden="1">
      <c r="A350" s="161" t="s">
        <v>252</v>
      </c>
      <c r="B350" s="157"/>
      <c r="C350" s="157"/>
      <c r="D350" s="158">
        <f t="shared" si="7"/>
        <v>0</v>
      </c>
    </row>
    <row r="351" spans="1:4" ht="18" hidden="1">
      <c r="A351" s="161" t="s">
        <v>253</v>
      </c>
      <c r="B351" s="157"/>
      <c r="C351" s="157"/>
      <c r="D351" s="158">
        <f t="shared" si="7"/>
        <v>0</v>
      </c>
    </row>
    <row r="352" spans="1:4" ht="18" hidden="1">
      <c r="A352" s="173" t="s">
        <v>254</v>
      </c>
      <c r="B352" s="157"/>
      <c r="C352" s="157"/>
      <c r="D352" s="158">
        <f t="shared" si="7"/>
        <v>0</v>
      </c>
    </row>
    <row r="353" spans="1:4" ht="18" hidden="1">
      <c r="A353" s="173" t="s">
        <v>255</v>
      </c>
      <c r="B353" s="157"/>
      <c r="C353" s="157"/>
      <c r="D353" s="158">
        <f t="shared" si="7"/>
        <v>0</v>
      </c>
    </row>
    <row r="354" spans="1:4" ht="18" hidden="1">
      <c r="A354" s="187" t="s">
        <v>256</v>
      </c>
      <c r="B354" s="157"/>
      <c r="C354" s="157"/>
      <c r="D354" s="158">
        <f t="shared" si="7"/>
        <v>0</v>
      </c>
    </row>
    <row r="355" spans="1:4" ht="18" hidden="1">
      <c r="A355" s="161" t="s">
        <v>257</v>
      </c>
      <c r="B355" s="157"/>
      <c r="C355" s="157"/>
      <c r="D355" s="158">
        <f t="shared" si="7"/>
        <v>0</v>
      </c>
    </row>
    <row r="356" spans="1:4" ht="18" hidden="1">
      <c r="A356" s="161" t="s">
        <v>258</v>
      </c>
      <c r="B356" s="157"/>
      <c r="C356" s="157"/>
      <c r="D356" s="158">
        <f t="shared" si="7"/>
        <v>0</v>
      </c>
    </row>
    <row r="357" spans="1:4" ht="18" hidden="1">
      <c r="A357" s="161" t="s">
        <v>259</v>
      </c>
      <c r="B357" s="162"/>
      <c r="C357" s="162"/>
      <c r="D357" s="158">
        <f t="shared" si="7"/>
        <v>0</v>
      </c>
    </row>
    <row r="358" spans="1:4" ht="18" hidden="1">
      <c r="A358" s="187" t="s">
        <v>260</v>
      </c>
      <c r="B358" s="157"/>
      <c r="C358" s="157"/>
      <c r="D358" s="158">
        <f t="shared" si="7"/>
        <v>0</v>
      </c>
    </row>
    <row r="359" spans="1:4" ht="18" hidden="1">
      <c r="A359" s="161" t="s">
        <v>261</v>
      </c>
      <c r="B359" s="162"/>
      <c r="C359" s="162"/>
      <c r="D359" s="158">
        <f t="shared" si="7"/>
        <v>0</v>
      </c>
    </row>
    <row r="360" spans="1:4" ht="18" hidden="1">
      <c r="A360" s="161" t="s">
        <v>262</v>
      </c>
      <c r="B360" s="157"/>
      <c r="C360" s="157"/>
      <c r="D360" s="158">
        <f t="shared" si="7"/>
        <v>0</v>
      </c>
    </row>
    <row r="361" spans="1:4" ht="18" hidden="1">
      <c r="A361" s="159" t="s">
        <v>264</v>
      </c>
      <c r="B361" s="157"/>
      <c r="C361" s="157"/>
      <c r="D361" s="158">
        <f t="shared" si="7"/>
        <v>0</v>
      </c>
    </row>
    <row r="362" spans="1:4" ht="18">
      <c r="A362" s="161" t="s">
        <v>265</v>
      </c>
      <c r="B362" s="157">
        <v>20</v>
      </c>
      <c r="C362" s="157">
        <v>25000</v>
      </c>
      <c r="D362" s="158">
        <f t="shared" si="7"/>
        <v>500000</v>
      </c>
    </row>
    <row r="363" spans="1:4" ht="18" hidden="1">
      <c r="A363" s="161" t="s">
        <v>266</v>
      </c>
      <c r="B363" s="157"/>
      <c r="C363" s="157"/>
      <c r="D363" s="158">
        <f t="shared" si="7"/>
        <v>0</v>
      </c>
    </row>
    <row r="364" spans="1:4" ht="18" hidden="1">
      <c r="A364" s="161" t="s">
        <v>267</v>
      </c>
      <c r="B364" s="157"/>
      <c r="C364" s="157"/>
      <c r="D364" s="158">
        <f t="shared" si="7"/>
        <v>0</v>
      </c>
    </row>
    <row r="365" spans="1:4" ht="18" hidden="1">
      <c r="A365" s="161" t="s">
        <v>268</v>
      </c>
      <c r="B365" s="157"/>
      <c r="C365" s="157"/>
      <c r="D365" s="158">
        <f t="shared" si="7"/>
        <v>0</v>
      </c>
    </row>
    <row r="366" spans="1:4" ht="18" hidden="1">
      <c r="A366" s="161" t="s">
        <v>269</v>
      </c>
      <c r="B366" s="157"/>
      <c r="C366" s="157"/>
      <c r="D366" s="158">
        <f t="shared" si="7"/>
        <v>0</v>
      </c>
    </row>
    <row r="367" spans="1:4" ht="18" hidden="1">
      <c r="A367" s="164" t="s">
        <v>270</v>
      </c>
      <c r="B367" s="157"/>
      <c r="C367" s="157"/>
      <c r="D367" s="158">
        <f t="shared" si="7"/>
        <v>0</v>
      </c>
    </row>
    <row r="368" spans="1:4" ht="18" hidden="1">
      <c r="A368" s="163" t="s">
        <v>271</v>
      </c>
      <c r="B368" s="157"/>
      <c r="C368" s="157"/>
      <c r="D368" s="158">
        <f t="shared" si="7"/>
        <v>0</v>
      </c>
    </row>
    <row r="369" spans="1:4" ht="18" hidden="1">
      <c r="A369" s="163" t="s">
        <v>272</v>
      </c>
      <c r="B369" s="157"/>
      <c r="C369" s="157"/>
      <c r="D369" s="158">
        <f t="shared" si="7"/>
        <v>0</v>
      </c>
    </row>
    <row r="370" spans="1:4" ht="18">
      <c r="A370" s="161" t="s">
        <v>273</v>
      </c>
      <c r="B370" s="157">
        <v>20</v>
      </c>
      <c r="C370" s="157">
        <v>28000</v>
      </c>
      <c r="D370" s="158">
        <f t="shared" si="7"/>
        <v>560000</v>
      </c>
    </row>
    <row r="371" spans="1:4" ht="18" hidden="1">
      <c r="A371" s="161" t="s">
        <v>274</v>
      </c>
      <c r="B371" s="157"/>
      <c r="C371" s="157"/>
      <c r="D371" s="158">
        <f t="shared" si="7"/>
        <v>0</v>
      </c>
    </row>
    <row r="372" spans="1:4" ht="18" hidden="1">
      <c r="A372" s="161" t="s">
        <v>275</v>
      </c>
      <c r="B372" s="157"/>
      <c r="C372" s="157"/>
      <c r="D372" s="158">
        <f t="shared" si="7"/>
        <v>0</v>
      </c>
    </row>
    <row r="373" spans="1:4" ht="18" hidden="1">
      <c r="A373" s="161" t="s">
        <v>276</v>
      </c>
      <c r="B373" s="157"/>
      <c r="C373" s="157"/>
      <c r="D373" s="158">
        <f t="shared" si="7"/>
        <v>0</v>
      </c>
    </row>
    <row r="374" spans="1:4" ht="18">
      <c r="A374" s="161" t="s">
        <v>277</v>
      </c>
      <c r="B374" s="157">
        <v>20</v>
      </c>
      <c r="C374" s="157">
        <v>18000</v>
      </c>
      <c r="D374" s="158">
        <f t="shared" si="7"/>
        <v>360000</v>
      </c>
    </row>
    <row r="375" spans="1:4" ht="18" hidden="1">
      <c r="A375" s="161" t="s">
        <v>278</v>
      </c>
      <c r="B375" s="157"/>
      <c r="C375" s="157"/>
      <c r="D375" s="158">
        <f t="shared" si="7"/>
        <v>0</v>
      </c>
    </row>
    <row r="376" spans="1:4" ht="18" hidden="1">
      <c r="A376" s="161" t="s">
        <v>279</v>
      </c>
      <c r="B376" s="157"/>
      <c r="C376" s="157"/>
      <c r="D376" s="158">
        <f t="shared" si="7"/>
        <v>0</v>
      </c>
    </row>
    <row r="377" spans="1:4" ht="18" hidden="1">
      <c r="A377" s="161" t="s">
        <v>280</v>
      </c>
      <c r="B377" s="162"/>
      <c r="C377" s="162"/>
      <c r="D377" s="158">
        <f t="shared" ref="D377:D440" si="8">B377*C377</f>
        <v>0</v>
      </c>
    </row>
    <row r="378" spans="1:4" ht="18" hidden="1">
      <c r="A378" s="173" t="s">
        <v>281</v>
      </c>
      <c r="B378" s="157"/>
      <c r="C378" s="157"/>
      <c r="D378" s="158">
        <f t="shared" si="8"/>
        <v>0</v>
      </c>
    </row>
    <row r="379" spans="1:4" ht="18" hidden="1">
      <c r="A379" s="161" t="s">
        <v>282</v>
      </c>
      <c r="B379" s="157"/>
      <c r="C379" s="157"/>
      <c r="D379" s="158">
        <f t="shared" si="8"/>
        <v>0</v>
      </c>
    </row>
    <row r="380" spans="1:4" ht="18" hidden="1">
      <c r="A380" s="159" t="s">
        <v>373</v>
      </c>
      <c r="B380" s="157"/>
      <c r="C380" s="157"/>
      <c r="D380" s="158">
        <f t="shared" si="8"/>
        <v>0</v>
      </c>
    </row>
    <row r="381" spans="1:4" ht="18" hidden="1">
      <c r="A381" s="159" t="s">
        <v>283</v>
      </c>
      <c r="B381" s="157"/>
      <c r="C381" s="157"/>
      <c r="D381" s="158">
        <f t="shared" si="8"/>
        <v>0</v>
      </c>
    </row>
    <row r="382" spans="1:4" ht="18" hidden="1">
      <c r="A382" s="161" t="s">
        <v>284</v>
      </c>
      <c r="B382" s="157"/>
      <c r="C382" s="157"/>
      <c r="D382" s="158">
        <f t="shared" si="8"/>
        <v>0</v>
      </c>
    </row>
    <row r="383" spans="1:4" ht="18" hidden="1">
      <c r="A383" s="161" t="s">
        <v>374</v>
      </c>
      <c r="B383" s="157"/>
      <c r="C383" s="157"/>
      <c r="D383" s="158">
        <f t="shared" si="8"/>
        <v>0</v>
      </c>
    </row>
    <row r="384" spans="1:4" ht="18" hidden="1">
      <c r="A384" s="161" t="s">
        <v>285</v>
      </c>
      <c r="B384" s="157"/>
      <c r="C384" s="157"/>
      <c r="D384" s="158">
        <f t="shared" si="8"/>
        <v>0</v>
      </c>
    </row>
    <row r="385" spans="1:4" ht="18" hidden="1">
      <c r="A385" s="161" t="s">
        <v>375</v>
      </c>
      <c r="B385" s="157"/>
      <c r="C385" s="157"/>
      <c r="D385" s="158">
        <f t="shared" si="8"/>
        <v>0</v>
      </c>
    </row>
    <row r="386" spans="1:4" ht="18" hidden="1">
      <c r="A386" s="161" t="s">
        <v>287</v>
      </c>
      <c r="B386" s="157"/>
      <c r="C386" s="157"/>
      <c r="D386" s="158">
        <f t="shared" si="8"/>
        <v>0</v>
      </c>
    </row>
    <row r="387" spans="1:4" ht="18" hidden="1">
      <c r="A387" s="161" t="s">
        <v>288</v>
      </c>
      <c r="B387" s="157"/>
      <c r="C387" s="157"/>
      <c r="D387" s="158">
        <f t="shared" si="8"/>
        <v>0</v>
      </c>
    </row>
    <row r="388" spans="1:4" ht="18" hidden="1">
      <c r="A388" s="161" t="s">
        <v>289</v>
      </c>
      <c r="B388" s="157"/>
      <c r="C388" s="157"/>
      <c r="D388" s="158">
        <f t="shared" si="8"/>
        <v>0</v>
      </c>
    </row>
    <row r="389" spans="1:4" ht="18" hidden="1">
      <c r="A389" s="187" t="s">
        <v>291</v>
      </c>
      <c r="B389" s="157"/>
      <c r="C389" s="157"/>
      <c r="D389" s="158">
        <f t="shared" si="8"/>
        <v>0</v>
      </c>
    </row>
    <row r="390" spans="1:4" ht="18" hidden="1">
      <c r="A390" s="161" t="s">
        <v>292</v>
      </c>
      <c r="B390" s="157"/>
      <c r="C390" s="157"/>
      <c r="D390" s="158">
        <f t="shared" si="8"/>
        <v>0</v>
      </c>
    </row>
    <row r="391" spans="1:4" ht="18" hidden="1">
      <c r="A391" s="187" t="s">
        <v>293</v>
      </c>
      <c r="B391" s="157"/>
      <c r="C391" s="157"/>
      <c r="D391" s="158">
        <f t="shared" si="8"/>
        <v>0</v>
      </c>
    </row>
    <row r="392" spans="1:4" ht="18" hidden="1">
      <c r="A392" s="159" t="s">
        <v>376</v>
      </c>
      <c r="B392" s="157"/>
      <c r="C392" s="157"/>
      <c r="D392" s="158">
        <f t="shared" si="8"/>
        <v>0</v>
      </c>
    </row>
    <row r="393" spans="1:4" ht="18" hidden="1">
      <c r="A393" s="187" t="s">
        <v>294</v>
      </c>
      <c r="B393" s="157"/>
      <c r="C393" s="157"/>
      <c r="D393" s="158">
        <f t="shared" si="8"/>
        <v>0</v>
      </c>
    </row>
    <row r="394" spans="1:4" ht="18" hidden="1">
      <c r="A394" s="156" t="s">
        <v>295</v>
      </c>
      <c r="B394" s="162"/>
      <c r="C394" s="162"/>
      <c r="D394" s="158">
        <f t="shared" si="8"/>
        <v>0</v>
      </c>
    </row>
    <row r="395" spans="1:4" ht="18" hidden="1">
      <c r="A395" s="164" t="s">
        <v>299</v>
      </c>
      <c r="B395" s="157"/>
      <c r="C395" s="157"/>
      <c r="D395" s="158">
        <f t="shared" si="8"/>
        <v>0</v>
      </c>
    </row>
    <row r="396" spans="1:4" ht="18" hidden="1">
      <c r="A396" s="164" t="s">
        <v>300</v>
      </c>
      <c r="B396" s="157"/>
      <c r="C396" s="157"/>
      <c r="D396" s="158">
        <f t="shared" si="8"/>
        <v>0</v>
      </c>
    </row>
    <row r="397" spans="1:4" ht="18" hidden="1">
      <c r="A397" s="164" t="s">
        <v>301</v>
      </c>
      <c r="B397" s="157"/>
      <c r="C397" s="157"/>
      <c r="D397" s="158">
        <f t="shared" si="8"/>
        <v>0</v>
      </c>
    </row>
    <row r="398" spans="1:4" ht="18" hidden="1">
      <c r="A398" s="161" t="s">
        <v>302</v>
      </c>
      <c r="B398" s="157"/>
      <c r="C398" s="157"/>
      <c r="D398" s="158">
        <f t="shared" si="8"/>
        <v>0</v>
      </c>
    </row>
    <row r="399" spans="1:4" ht="18" hidden="1">
      <c r="A399" s="164" t="s">
        <v>303</v>
      </c>
      <c r="B399" s="157"/>
      <c r="C399" s="157"/>
      <c r="D399" s="158">
        <f t="shared" si="8"/>
        <v>0</v>
      </c>
    </row>
    <row r="400" spans="1:4" ht="18" hidden="1">
      <c r="A400" s="161" t="s">
        <v>304</v>
      </c>
      <c r="B400" s="157"/>
      <c r="C400" s="157"/>
      <c r="D400" s="158">
        <f t="shared" si="8"/>
        <v>0</v>
      </c>
    </row>
    <row r="401" spans="1:4" ht="18" hidden="1">
      <c r="A401" s="161" t="s">
        <v>305</v>
      </c>
      <c r="B401" s="157"/>
      <c r="C401" s="157"/>
      <c r="D401" s="158">
        <f t="shared" si="8"/>
        <v>0</v>
      </c>
    </row>
    <row r="402" spans="1:4" ht="18" hidden="1">
      <c r="A402" s="164" t="s">
        <v>306</v>
      </c>
      <c r="B402" s="157"/>
      <c r="C402" s="157"/>
      <c r="D402" s="158">
        <f t="shared" si="8"/>
        <v>0</v>
      </c>
    </row>
    <row r="403" spans="1:4" ht="18" hidden="1">
      <c r="A403" s="186" t="s">
        <v>307</v>
      </c>
      <c r="B403" s="157"/>
      <c r="C403" s="157"/>
      <c r="D403" s="158">
        <f t="shared" si="8"/>
        <v>0</v>
      </c>
    </row>
    <row r="404" spans="1:4" ht="18" hidden="1">
      <c r="A404" s="161" t="s">
        <v>308</v>
      </c>
      <c r="B404" s="157"/>
      <c r="C404" s="157"/>
      <c r="D404" s="158">
        <f t="shared" si="8"/>
        <v>0</v>
      </c>
    </row>
    <row r="405" spans="1:4" ht="18" hidden="1">
      <c r="A405" s="173" t="s">
        <v>309</v>
      </c>
      <c r="B405" s="157"/>
      <c r="C405" s="157"/>
      <c r="D405" s="158">
        <f t="shared" si="8"/>
        <v>0</v>
      </c>
    </row>
    <row r="406" spans="1:4" ht="18" hidden="1">
      <c r="A406" s="156" t="s">
        <v>311</v>
      </c>
      <c r="B406" s="157"/>
      <c r="C406" s="157"/>
      <c r="D406" s="158">
        <f t="shared" si="8"/>
        <v>0</v>
      </c>
    </row>
    <row r="407" spans="1:4" ht="18" hidden="1">
      <c r="A407" s="164" t="s">
        <v>312</v>
      </c>
      <c r="B407" s="157"/>
      <c r="C407" s="157"/>
      <c r="D407" s="158">
        <f t="shared" si="8"/>
        <v>0</v>
      </c>
    </row>
    <row r="408" spans="1:4" ht="18" hidden="1">
      <c r="A408" s="173" t="s">
        <v>313</v>
      </c>
      <c r="B408" s="157"/>
      <c r="C408" s="157"/>
      <c r="D408" s="158">
        <f t="shared" si="8"/>
        <v>0</v>
      </c>
    </row>
    <row r="409" spans="1:4" ht="18" hidden="1">
      <c r="A409" s="161" t="s">
        <v>314</v>
      </c>
      <c r="B409" s="157"/>
      <c r="C409" s="157"/>
      <c r="D409" s="158">
        <f t="shared" si="8"/>
        <v>0</v>
      </c>
    </row>
    <row r="410" spans="1:4" ht="18" hidden="1">
      <c r="A410" s="164" t="s">
        <v>315</v>
      </c>
      <c r="B410" s="157"/>
      <c r="C410" s="157"/>
      <c r="D410" s="158">
        <f t="shared" si="8"/>
        <v>0</v>
      </c>
    </row>
    <row r="411" spans="1:4" ht="18" hidden="1">
      <c r="A411" s="156" t="s">
        <v>377</v>
      </c>
      <c r="B411" s="157"/>
      <c r="C411" s="157"/>
      <c r="D411" s="158">
        <f t="shared" si="8"/>
        <v>0</v>
      </c>
    </row>
    <row r="412" spans="1:4" ht="18" hidden="1">
      <c r="A412" s="161" t="s">
        <v>378</v>
      </c>
      <c r="B412" s="157"/>
      <c r="C412" s="157"/>
      <c r="D412" s="158">
        <f t="shared" si="8"/>
        <v>0</v>
      </c>
    </row>
    <row r="413" spans="1:4" ht="18" hidden="1">
      <c r="A413" s="159" t="s">
        <v>318</v>
      </c>
      <c r="B413" s="157"/>
      <c r="C413" s="157"/>
      <c r="D413" s="158">
        <f t="shared" si="8"/>
        <v>0</v>
      </c>
    </row>
    <row r="414" spans="1:4" ht="18" hidden="1">
      <c r="A414" s="161" t="s">
        <v>379</v>
      </c>
      <c r="B414" s="157"/>
      <c r="C414" s="157"/>
      <c r="D414" s="158">
        <f t="shared" si="8"/>
        <v>0</v>
      </c>
    </row>
    <row r="415" spans="1:4" ht="18" hidden="1">
      <c r="A415" s="156" t="s">
        <v>319</v>
      </c>
      <c r="B415" s="157"/>
      <c r="C415" s="157"/>
      <c r="D415" s="158">
        <f t="shared" si="8"/>
        <v>0</v>
      </c>
    </row>
    <row r="416" spans="1:4" ht="18" hidden="1">
      <c r="A416" s="156" t="s">
        <v>320</v>
      </c>
      <c r="B416" s="157"/>
      <c r="C416" s="157"/>
      <c r="D416" s="158">
        <f t="shared" si="8"/>
        <v>0</v>
      </c>
    </row>
    <row r="417" spans="1:4" ht="18" hidden="1">
      <c r="A417" s="161" t="s">
        <v>321</v>
      </c>
      <c r="B417" s="157"/>
      <c r="C417" s="157"/>
      <c r="D417" s="158">
        <f t="shared" si="8"/>
        <v>0</v>
      </c>
    </row>
    <row r="418" spans="1:4" ht="18" hidden="1">
      <c r="A418" s="161" t="s">
        <v>322</v>
      </c>
      <c r="B418" s="157"/>
      <c r="C418" s="157"/>
      <c r="D418" s="158">
        <f t="shared" si="8"/>
        <v>0</v>
      </c>
    </row>
    <row r="419" spans="1:4" ht="18" hidden="1">
      <c r="A419" s="161" t="s">
        <v>323</v>
      </c>
      <c r="B419" s="157"/>
      <c r="C419" s="157"/>
      <c r="D419" s="158">
        <f t="shared" si="8"/>
        <v>0</v>
      </c>
    </row>
    <row r="420" spans="1:4" ht="18" hidden="1">
      <c r="A420" s="173" t="s">
        <v>324</v>
      </c>
      <c r="B420" s="157"/>
      <c r="C420" s="157"/>
      <c r="D420" s="158">
        <f t="shared" si="8"/>
        <v>0</v>
      </c>
    </row>
    <row r="421" spans="1:4" ht="18" hidden="1">
      <c r="A421" s="173" t="s">
        <v>325</v>
      </c>
      <c r="B421" s="157"/>
      <c r="C421" s="157"/>
      <c r="D421" s="158">
        <f t="shared" si="8"/>
        <v>0</v>
      </c>
    </row>
    <row r="422" spans="1:4" ht="18" hidden="1">
      <c r="A422" s="163" t="s">
        <v>326</v>
      </c>
      <c r="B422" s="157"/>
      <c r="C422" s="157"/>
      <c r="D422" s="158">
        <f t="shared" si="8"/>
        <v>0</v>
      </c>
    </row>
    <row r="423" spans="1:4" ht="18" hidden="1">
      <c r="A423" s="173" t="s">
        <v>327</v>
      </c>
      <c r="B423" s="157"/>
      <c r="C423" s="157"/>
      <c r="D423" s="158">
        <f t="shared" si="8"/>
        <v>0</v>
      </c>
    </row>
    <row r="424" spans="1:4" ht="18" hidden="1">
      <c r="A424" s="161" t="s">
        <v>328</v>
      </c>
      <c r="B424" s="157"/>
      <c r="C424" s="157"/>
      <c r="D424" s="158">
        <f t="shared" si="8"/>
        <v>0</v>
      </c>
    </row>
    <row r="425" spans="1:4" ht="18" hidden="1">
      <c r="A425" s="161" t="s">
        <v>329</v>
      </c>
      <c r="B425" s="157"/>
      <c r="C425" s="157"/>
      <c r="D425" s="158">
        <f t="shared" si="8"/>
        <v>0</v>
      </c>
    </row>
    <row r="426" spans="1:4" ht="18" hidden="1">
      <c r="A426" s="161" t="s">
        <v>330</v>
      </c>
      <c r="B426" s="157"/>
      <c r="C426" s="157"/>
      <c r="D426" s="158">
        <f t="shared" si="8"/>
        <v>0</v>
      </c>
    </row>
    <row r="427" spans="1:4" ht="18" hidden="1">
      <c r="A427" s="161" t="s">
        <v>331</v>
      </c>
      <c r="B427" s="157"/>
      <c r="C427" s="157"/>
      <c r="D427" s="158">
        <f t="shared" si="8"/>
        <v>0</v>
      </c>
    </row>
    <row r="428" spans="1:4" ht="18" hidden="1">
      <c r="A428" s="163" t="s">
        <v>332</v>
      </c>
      <c r="B428" s="157"/>
      <c r="C428" s="157"/>
      <c r="D428" s="158">
        <f t="shared" si="8"/>
        <v>0</v>
      </c>
    </row>
    <row r="429" spans="1:4" ht="18" hidden="1">
      <c r="A429" s="161" t="s">
        <v>333</v>
      </c>
      <c r="B429" s="157"/>
      <c r="C429" s="157"/>
      <c r="D429" s="158">
        <f t="shared" si="8"/>
        <v>0</v>
      </c>
    </row>
    <row r="430" spans="1:4" ht="18" hidden="1">
      <c r="A430" s="161" t="s">
        <v>334</v>
      </c>
      <c r="B430" s="157"/>
      <c r="C430" s="157"/>
      <c r="D430" s="158">
        <f t="shared" si="8"/>
        <v>0</v>
      </c>
    </row>
    <row r="431" spans="1:4" ht="18" hidden="1">
      <c r="A431" s="156" t="s">
        <v>335</v>
      </c>
      <c r="B431" s="157"/>
      <c r="C431" s="157"/>
      <c r="D431" s="158">
        <f t="shared" si="8"/>
        <v>0</v>
      </c>
    </row>
    <row r="432" spans="1:4" ht="18" hidden="1">
      <c r="A432" s="161" t="s">
        <v>336</v>
      </c>
      <c r="B432" s="174"/>
      <c r="C432" s="174"/>
      <c r="D432" s="158">
        <f t="shared" si="8"/>
        <v>0</v>
      </c>
    </row>
    <row r="433" spans="1:4" ht="18" hidden="1">
      <c r="A433" s="161" t="s">
        <v>337</v>
      </c>
      <c r="B433" s="157"/>
      <c r="C433" s="157"/>
      <c r="D433" s="158">
        <f t="shared" si="8"/>
        <v>0</v>
      </c>
    </row>
    <row r="434" spans="1:4" ht="18" hidden="1">
      <c r="A434" s="161" t="s">
        <v>338</v>
      </c>
      <c r="B434" s="157"/>
      <c r="C434" s="157"/>
      <c r="D434" s="158">
        <f t="shared" si="8"/>
        <v>0</v>
      </c>
    </row>
    <row r="435" spans="1:4" ht="18" hidden="1">
      <c r="A435" s="163" t="s">
        <v>339</v>
      </c>
      <c r="B435" s="157"/>
      <c r="C435" s="157"/>
      <c r="D435" s="158">
        <f t="shared" si="8"/>
        <v>0</v>
      </c>
    </row>
    <row r="436" spans="1:4" ht="18" hidden="1">
      <c r="A436" s="163" t="s">
        <v>340</v>
      </c>
      <c r="B436" s="157"/>
      <c r="C436" s="157"/>
      <c r="D436" s="158">
        <f t="shared" si="8"/>
        <v>0</v>
      </c>
    </row>
    <row r="437" spans="1:4" ht="18" hidden="1">
      <c r="A437" s="161" t="s">
        <v>341</v>
      </c>
      <c r="B437" s="157"/>
      <c r="C437" s="157"/>
      <c r="D437" s="158">
        <f t="shared" si="8"/>
        <v>0</v>
      </c>
    </row>
    <row r="438" spans="1:4" ht="18" hidden="1">
      <c r="A438" s="161" t="s">
        <v>342</v>
      </c>
      <c r="B438" s="157"/>
      <c r="C438" s="157"/>
      <c r="D438" s="158">
        <f t="shared" si="8"/>
        <v>0</v>
      </c>
    </row>
    <row r="439" spans="1:4" ht="18" hidden="1">
      <c r="A439" s="163" t="s">
        <v>343</v>
      </c>
      <c r="B439" s="157"/>
      <c r="C439" s="157"/>
      <c r="D439" s="158">
        <f t="shared" si="8"/>
        <v>0</v>
      </c>
    </row>
    <row r="440" spans="1:4" ht="18" hidden="1">
      <c r="A440" s="161" t="s">
        <v>344</v>
      </c>
      <c r="B440" s="157"/>
      <c r="C440" s="157"/>
      <c r="D440" s="158">
        <f t="shared" si="8"/>
        <v>0</v>
      </c>
    </row>
    <row r="441" spans="1:4" ht="18" hidden="1">
      <c r="A441" s="161" t="s">
        <v>345</v>
      </c>
      <c r="B441" s="157"/>
      <c r="C441" s="157"/>
      <c r="D441" s="158">
        <f t="shared" ref="D441:D448" si="9">B441*C441</f>
        <v>0</v>
      </c>
    </row>
    <row r="442" spans="1:4" ht="18" hidden="1">
      <c r="A442" s="161" t="s">
        <v>346</v>
      </c>
      <c r="B442" s="157"/>
      <c r="C442" s="157"/>
      <c r="D442" s="158">
        <f t="shared" si="9"/>
        <v>0</v>
      </c>
    </row>
    <row r="443" spans="1:4" ht="18" hidden="1">
      <c r="A443" s="161" t="s">
        <v>347</v>
      </c>
      <c r="B443" s="157"/>
      <c r="C443" s="157"/>
      <c r="D443" s="158">
        <f t="shared" si="9"/>
        <v>0</v>
      </c>
    </row>
    <row r="444" spans="1:4" ht="18" hidden="1">
      <c r="A444" s="161" t="s">
        <v>348</v>
      </c>
      <c r="B444" s="157"/>
      <c r="C444" s="157"/>
      <c r="D444" s="158">
        <f t="shared" si="9"/>
        <v>0</v>
      </c>
    </row>
    <row r="445" spans="1:4" ht="18" hidden="1">
      <c r="A445" s="161" t="s">
        <v>349</v>
      </c>
      <c r="B445" s="157"/>
      <c r="C445" s="157"/>
      <c r="D445" s="158">
        <f t="shared" si="9"/>
        <v>0</v>
      </c>
    </row>
    <row r="446" spans="1:4" ht="18" hidden="1">
      <c r="A446" s="161" t="s">
        <v>350</v>
      </c>
      <c r="B446" s="157"/>
      <c r="C446" s="157"/>
      <c r="D446" s="158">
        <f t="shared" si="9"/>
        <v>0</v>
      </c>
    </row>
    <row r="447" spans="1:4" ht="18" hidden="1">
      <c r="A447" s="161" t="s">
        <v>351</v>
      </c>
      <c r="B447" s="157"/>
      <c r="C447" s="157"/>
      <c r="D447" s="158">
        <f t="shared" si="9"/>
        <v>0</v>
      </c>
    </row>
    <row r="448" spans="1:4" ht="18" hidden="1">
      <c r="A448" s="159" t="s">
        <v>353</v>
      </c>
      <c r="B448" s="157"/>
      <c r="C448" s="157"/>
      <c r="D448" s="158">
        <f t="shared" si="9"/>
        <v>0</v>
      </c>
    </row>
    <row r="449" spans="1:4" ht="17.399999999999999">
      <c r="A449" s="188"/>
      <c r="B449" s="189">
        <f>SUM(B122:B448)</f>
        <v>2782</v>
      </c>
      <c r="C449" s="189"/>
      <c r="D449" s="189">
        <f>SUM(D122:D448)</f>
        <v>37507000</v>
      </c>
    </row>
    <row r="451" spans="1:4">
      <c r="D451" s="190">
        <f>D449+D117</f>
        <v>92877000</v>
      </c>
    </row>
  </sheetData>
  <protectedRanges>
    <protectedRange password="CF71" sqref="B3:C3 B1:D2" name="tho"/>
    <protectedRange password="CF71" sqref="D3:D448" name="tho_2"/>
    <protectedRange password="CF71" sqref="B4:C4" name="tho_1"/>
    <protectedRange password="CF71" sqref="B5:C5" name="tho_3"/>
    <protectedRange password="CF71" sqref="B6:C7" name="tho_4"/>
    <protectedRange password="CF71" sqref="B8:C12" name="tho_5"/>
    <protectedRange password="CF71" sqref="B13:C14" name="tho_6"/>
    <protectedRange password="CF71" sqref="B15:C17" name="tho_7"/>
    <protectedRange password="CF71" sqref="B18:C18" name="tho_8"/>
    <protectedRange password="CF71" sqref="B19:C19" name="tho_9"/>
    <protectedRange password="CF71" sqref="B20:C24" name="tho_10"/>
    <protectedRange password="CF71" sqref="B25:C25" name="tho_11"/>
    <protectedRange password="CF71" sqref="B26:C29" name="tho_12"/>
    <protectedRange password="CF71" sqref="B30:C30" name="tho_13"/>
    <protectedRange password="CF71" sqref="B31:C31" name="tho_14"/>
    <protectedRange password="CF71" sqref="B32:C32" name="tho_15"/>
    <protectedRange password="CF71" sqref="B33:C35" name="tho_16"/>
    <protectedRange password="CF71" sqref="B36:C42" name="tho_17"/>
    <protectedRange password="CF71" sqref="B43:C45" name="tho_18"/>
    <protectedRange password="CF71" sqref="B46:C47" name="tho_19"/>
    <protectedRange password="CF71" sqref="B48:C48" name="tho_20"/>
    <protectedRange password="CF71" sqref="B49:C49" name="tho_21"/>
    <protectedRange password="CF71" sqref="B50:C50" name="tho_22"/>
    <protectedRange password="CF71" sqref="B51:C51" name="tho_23"/>
    <protectedRange password="CF71" sqref="B52:C52" name="tho_24"/>
    <protectedRange password="CF71" sqref="B53:C53" name="tho_25"/>
    <protectedRange password="CF71" sqref="B54:C54" name="tho_26"/>
    <protectedRange password="CF71" sqref="B55:C57" name="tho_27"/>
    <protectedRange password="CF71" sqref="B58:C58" name="tho_28"/>
    <protectedRange password="CF71" sqref="B59:C60" name="tho_29"/>
    <protectedRange password="CF71" sqref="B61:C61" name="tho_30"/>
    <protectedRange password="CF71" sqref="B62:C62" name="tho_31"/>
    <protectedRange password="CF71" sqref="B63:C63" name="tho_32"/>
    <protectedRange password="CF71" sqref="B64:C65" name="tho_33"/>
    <protectedRange password="CF71" sqref="B66:C66" name="tho_34"/>
    <protectedRange password="CF71" sqref="B67:C67" name="tho_35"/>
    <protectedRange password="CF71" sqref="B68:C68" name="tho_36"/>
    <protectedRange password="CF71" sqref="B69:C69" name="tho_37"/>
    <protectedRange password="CF71" sqref="B70:C70" name="tho_38"/>
    <protectedRange password="CF71" sqref="B71:C76" name="tho_39"/>
    <protectedRange password="CF71" sqref="B77:C77" name="tho_40"/>
    <protectedRange password="CF71" sqref="B78:C78" name="tho_41"/>
    <protectedRange password="CF71" sqref="B79:C80" name="tho_42"/>
    <protectedRange password="CF71" sqref="B81:C81" name="tho_43"/>
    <protectedRange password="CF71" sqref="B82:C84" name="tho_44"/>
    <protectedRange password="CF71" sqref="B85:C85" name="tho_45"/>
    <protectedRange password="CF71" sqref="B86:C86" name="tho_46"/>
    <protectedRange password="CF71" sqref="B87:C89" name="tho_47"/>
    <protectedRange password="CF71" sqref="B90:C90" name="tho_48"/>
    <protectedRange password="CF71" sqref="B91:C91" name="tho_49"/>
    <protectedRange password="CF71" sqref="B92:C93" name="tho_50"/>
    <protectedRange password="CF71" sqref="B94:C95" name="tho_51"/>
    <protectedRange password="CF71" sqref="B96:C97" name="tho_52"/>
    <protectedRange password="CF71" sqref="B98:C98" name="tho_53"/>
    <protectedRange password="CF71" sqref="B99:C100" name="tho_54"/>
    <protectedRange password="CF71" sqref="B101:C101" name="tho_55"/>
    <protectedRange password="CF71" sqref="B102:C102" name="tho_56"/>
    <protectedRange password="CF71" sqref="B103:C104" name="tho_57"/>
    <protectedRange password="CF71" sqref="B105:C105" name="tho_58"/>
    <protectedRange password="CF71" sqref="B106:C107" name="tho_59"/>
    <protectedRange password="CF71" sqref="B108:C109" name="tho_60"/>
    <protectedRange password="CF71" sqref="B110:C110" name="tho_61"/>
    <protectedRange password="CF71" sqref="B111:C111" name="tho_62"/>
    <protectedRange password="CF71" sqref="B112:C113" name="tho_63"/>
    <protectedRange password="CF71" sqref="B114:C114" name="tho_64"/>
    <protectedRange password="CF71" sqref="B115:C115" name="tho_65"/>
    <protectedRange password="CF71" sqref="B116:C116" name="tho_66"/>
    <protectedRange password="CF71" sqref="B119:C119 C120:C448" name="tho_67"/>
    <protectedRange password="CF71" sqref="B120:B448" name="tho_2_66"/>
  </protectedRanges>
  <autoFilter ref="A2:D449" xr:uid="{00000000-0009-0000-0000-000013000000}">
    <filterColumn colId="1">
      <customFilters>
        <customFilter operator="notEqual" val=" "/>
      </customFilters>
    </filterColumn>
  </autoFilter>
  <mergeCells count="1">
    <mergeCell ref="A120:A1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674"/>
  <sheetViews>
    <sheetView topLeftCell="A449" workbookViewId="0">
      <selection activeCell="D674" sqref="D674"/>
    </sheetView>
  </sheetViews>
  <sheetFormatPr defaultRowHeight="14.4"/>
  <cols>
    <col min="1" max="1" width="39.6640625" customWidth="1"/>
    <col min="2" max="2" width="11.44140625" customWidth="1"/>
    <col min="3" max="3" width="14.6640625" customWidth="1"/>
    <col min="4" max="4" width="23.44140625" customWidth="1"/>
  </cols>
  <sheetData>
    <row r="1" spans="1:4">
      <c r="A1" s="151" t="s">
        <v>415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71" t="s">
        <v>6</v>
      </c>
      <c r="B3" s="157">
        <v>2</v>
      </c>
      <c r="C3" s="157">
        <v>14000</v>
      </c>
      <c r="D3" s="158">
        <f t="shared" ref="D3:D66" si="0">B3*C3</f>
        <v>28000</v>
      </c>
    </row>
    <row r="4" spans="1:4" ht="18" hidden="1">
      <c r="A4" s="172" t="s">
        <v>8</v>
      </c>
      <c r="B4" s="157"/>
      <c r="C4" s="157"/>
      <c r="D4" s="158">
        <f t="shared" si="0"/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22</v>
      </c>
      <c r="C15" s="157">
        <v>18000</v>
      </c>
      <c r="D15" s="158">
        <f t="shared" si="0"/>
        <v>396000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>
      <c r="A19" s="159" t="s">
        <v>26</v>
      </c>
      <c r="B19" s="157">
        <v>14</v>
      </c>
      <c r="C19" s="184">
        <v>14000</v>
      </c>
      <c r="D19" s="158">
        <f t="shared" si="0"/>
        <v>196000</v>
      </c>
    </row>
    <row r="20" spans="1:4" ht="18">
      <c r="A20" s="161" t="s">
        <v>27</v>
      </c>
      <c r="B20" s="157">
        <f>-1000+2700</f>
        <v>1700</v>
      </c>
      <c r="C20" s="157">
        <v>14000</v>
      </c>
      <c r="D20" s="158">
        <f t="shared" si="0"/>
        <v>23800000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-30+44</f>
        <v>14</v>
      </c>
      <c r="C25" s="157">
        <v>11000</v>
      </c>
      <c r="D25" s="158">
        <f t="shared" si="0"/>
        <v>154000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v>10</v>
      </c>
      <c r="C28" s="157">
        <v>17000</v>
      </c>
      <c r="D28" s="158">
        <f t="shared" si="0"/>
        <v>170000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 hidden="1">
      <c r="A54" s="156" t="s">
        <v>65</v>
      </c>
      <c r="B54" s="157"/>
      <c r="C54" s="157"/>
      <c r="D54" s="158">
        <f t="shared" si="0"/>
        <v>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8</v>
      </c>
      <c r="C61" s="157">
        <v>15000</v>
      </c>
      <c r="D61" s="158">
        <f t="shared" si="0"/>
        <v>120000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50</v>
      </c>
      <c r="C64" s="157">
        <v>21000</v>
      </c>
      <c r="D64" s="158">
        <f t="shared" si="0"/>
        <v>1050000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ref="D67:D130" si="1">B67*C67</f>
        <v>0</v>
      </c>
    </row>
    <row r="68" spans="1:4" ht="18" hidden="1">
      <c r="A68" s="160" t="s">
        <v>80</v>
      </c>
      <c r="B68" s="157"/>
      <c r="C68" s="157"/>
      <c r="D68" s="158">
        <f t="shared" si="1"/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20</v>
      </c>
      <c r="C70" s="157">
        <v>10000</v>
      </c>
      <c r="D70" s="158">
        <f t="shared" si="1"/>
        <v>200000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-150+140+28</f>
        <v>18</v>
      </c>
      <c r="C78" s="157">
        <v>24000</v>
      </c>
      <c r="D78" s="158">
        <f t="shared" si="1"/>
        <v>432000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90</v>
      </c>
      <c r="C80" s="157">
        <v>26000</v>
      </c>
      <c r="D80" s="158">
        <f t="shared" si="1"/>
        <v>2340000</v>
      </c>
    </row>
    <row r="81" spans="1:4" ht="18">
      <c r="A81" s="161" t="s">
        <v>94</v>
      </c>
      <c r="B81" s="157">
        <v>17</v>
      </c>
      <c r="C81" s="157">
        <v>22000</v>
      </c>
      <c r="D81" s="158">
        <f t="shared" si="1"/>
        <v>374000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100</v>
      </c>
      <c r="C104" s="157">
        <v>8500</v>
      </c>
      <c r="D104" s="158">
        <f t="shared" si="1"/>
        <v>850000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ref="D131:D194" si="2">B131*C131</f>
        <v>0</v>
      </c>
    </row>
    <row r="132" spans="1:4" ht="18">
      <c r="A132" s="156" t="s">
        <v>146</v>
      </c>
      <c r="B132" s="162">
        <v>7</v>
      </c>
      <c r="C132" s="162">
        <v>16000</v>
      </c>
      <c r="D132" s="158">
        <f t="shared" si="2"/>
        <v>112000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 hidden="1">
      <c r="A136" s="161" t="s">
        <v>150</v>
      </c>
      <c r="B136" s="157"/>
      <c r="C136" s="157"/>
      <c r="D136" s="158">
        <f t="shared" si="2"/>
        <v>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>
      <c r="A156" s="161" t="s">
        <v>170</v>
      </c>
      <c r="B156" s="157">
        <v>3</v>
      </c>
      <c r="C156" s="157">
        <v>9500</v>
      </c>
      <c r="D156" s="158">
        <f t="shared" si="2"/>
        <v>28500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22.8">
      <c r="A169" s="161" t="s">
        <v>183</v>
      </c>
      <c r="B169" s="157">
        <f>54+15+56+30-70-8+220</f>
        <v>297</v>
      </c>
      <c r="C169" s="196">
        <v>6500</v>
      </c>
      <c r="D169" s="158">
        <f t="shared" si="2"/>
        <v>1930500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35</v>
      </c>
      <c r="C171" s="157">
        <v>11000</v>
      </c>
      <c r="D171" s="158">
        <f t="shared" si="2"/>
        <v>385000</v>
      </c>
    </row>
    <row r="172" spans="1:4" ht="18">
      <c r="A172" s="161" t="s">
        <v>186</v>
      </c>
      <c r="B172" s="157">
        <v>4</v>
      </c>
      <c r="C172" s="157">
        <v>11000</v>
      </c>
      <c r="D172" s="158">
        <f t="shared" si="2"/>
        <v>44000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>
      <c r="A176" s="159" t="s">
        <v>190</v>
      </c>
      <c r="B176" s="157">
        <v>1</v>
      </c>
      <c r="C176" s="157">
        <v>9000</v>
      </c>
      <c r="D176" s="158">
        <f t="shared" si="2"/>
        <v>9000</v>
      </c>
    </row>
    <row r="177" spans="1:4" ht="18">
      <c r="A177" s="161" t="s">
        <v>191</v>
      </c>
      <c r="B177" s="157">
        <v>5</v>
      </c>
      <c r="C177" s="157">
        <v>42000</v>
      </c>
      <c r="D177" s="158">
        <f t="shared" si="2"/>
        <v>210000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-500+2050+20</f>
        <v>1570</v>
      </c>
      <c r="C184" s="157">
        <v>8500</v>
      </c>
      <c r="D184" s="158">
        <f t="shared" si="2"/>
        <v>13345000</v>
      </c>
    </row>
    <row r="185" spans="1:4" ht="18" hidden="1">
      <c r="A185" s="161" t="s">
        <v>199</v>
      </c>
      <c r="B185" s="157"/>
      <c r="C185" s="157"/>
      <c r="D185" s="158">
        <f t="shared" si="2"/>
        <v>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ref="D195:D258" si="3">B195*C195</f>
        <v>0</v>
      </c>
    </row>
    <row r="196" spans="1:4" ht="18" hidden="1">
      <c r="A196" s="187" t="s">
        <v>210</v>
      </c>
      <c r="B196" s="157"/>
      <c r="C196" s="157"/>
      <c r="D196" s="158">
        <f t="shared" si="3"/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>
      <c r="A201" s="167" t="s">
        <v>384</v>
      </c>
      <c r="B201" s="157">
        <v>2.5</v>
      </c>
      <c r="C201" s="157">
        <v>20000</v>
      </c>
      <c r="D201" s="158">
        <f t="shared" si="3"/>
        <v>50000</v>
      </c>
    </row>
    <row r="202" spans="1:4" ht="18" hidden="1">
      <c r="A202" s="161" t="s">
        <v>216</v>
      </c>
      <c r="B202" s="157"/>
      <c r="C202" s="157"/>
      <c r="D202" s="158">
        <f t="shared" si="3"/>
        <v>0</v>
      </c>
    </row>
    <row r="203" spans="1:4" ht="18">
      <c r="A203" s="156" t="s">
        <v>217</v>
      </c>
      <c r="B203" s="157">
        <f>60+46+63+60</f>
        <v>229</v>
      </c>
      <c r="C203" s="157">
        <v>20000</v>
      </c>
      <c r="D203" s="158">
        <f t="shared" si="3"/>
        <v>4580000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-400+180+80+180+120</f>
        <v>160</v>
      </c>
      <c r="C205" s="157">
        <v>18500</v>
      </c>
      <c r="D205" s="158">
        <f t="shared" si="3"/>
        <v>2960000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-300+30+40+50+245+420</f>
        <v>485</v>
      </c>
      <c r="C216" s="157">
        <v>15000</v>
      </c>
      <c r="D216" s="158">
        <f t="shared" si="3"/>
        <v>7275000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36</v>
      </c>
      <c r="C218" s="157">
        <v>13000</v>
      </c>
      <c r="D218" s="158">
        <f t="shared" si="3"/>
        <v>468000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>
      <c r="A221" s="164" t="s">
        <v>235</v>
      </c>
      <c r="B221" s="157">
        <v>0.4</v>
      </c>
      <c r="C221" s="157">
        <v>50000</v>
      </c>
      <c r="D221" s="158">
        <f t="shared" si="3"/>
        <v>20000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10</v>
      </c>
      <c r="C248" s="157">
        <v>14000</v>
      </c>
      <c r="D248" s="158">
        <f t="shared" si="3"/>
        <v>140000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-20+17+13+60</f>
        <v>70</v>
      </c>
      <c r="C251" s="157">
        <v>25000</v>
      </c>
      <c r="D251" s="158">
        <f t="shared" si="3"/>
        <v>1750000</v>
      </c>
    </row>
    <row r="252" spans="1:4" ht="18">
      <c r="A252" s="161" t="s">
        <v>266</v>
      </c>
      <c r="B252" s="157">
        <f>8+19+4+2+5</f>
        <v>38</v>
      </c>
      <c r="C252" s="157">
        <v>18000</v>
      </c>
      <c r="D252" s="158">
        <f t="shared" si="3"/>
        <v>684000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-20+13+20+28+22+10</f>
        <v>73</v>
      </c>
      <c r="C259" s="157">
        <v>25000</v>
      </c>
      <c r="D259" s="158">
        <f t="shared" ref="D259" si="4">B259*C259</f>
        <v>1825000</v>
      </c>
    </row>
    <row r="260" spans="1:4" ht="18">
      <c r="A260" s="161" t="s">
        <v>274</v>
      </c>
      <c r="B260" s="157">
        <v>7</v>
      </c>
      <c r="C260" s="157">
        <v>18000</v>
      </c>
      <c r="D260" s="158">
        <f t="shared" ref="D260:D323" si="5">B260*C260</f>
        <v>126000</v>
      </c>
    </row>
    <row r="261" spans="1:4" ht="18" hidden="1">
      <c r="A261" s="161" t="s">
        <v>275</v>
      </c>
      <c r="B261" s="157"/>
      <c r="C261" s="157"/>
      <c r="D261" s="158">
        <f t="shared" si="5"/>
        <v>0</v>
      </c>
    </row>
    <row r="262" spans="1:4" ht="18" hidden="1">
      <c r="A262" s="161" t="s">
        <v>276</v>
      </c>
      <c r="B262" s="157"/>
      <c r="C262" s="157"/>
      <c r="D262" s="158">
        <f t="shared" si="5"/>
        <v>0</v>
      </c>
    </row>
    <row r="263" spans="1:4" ht="18">
      <c r="A263" s="161" t="s">
        <v>277</v>
      </c>
      <c r="B263" s="157">
        <f>-20+31</f>
        <v>11</v>
      </c>
      <c r="C263" s="157">
        <v>18000</v>
      </c>
      <c r="D263" s="158">
        <f t="shared" si="5"/>
        <v>198000</v>
      </c>
    </row>
    <row r="264" spans="1:4" ht="18" hidden="1">
      <c r="A264" s="161" t="s">
        <v>278</v>
      </c>
      <c r="B264" s="157"/>
      <c r="C264" s="157"/>
      <c r="D264" s="158">
        <f t="shared" si="5"/>
        <v>0</v>
      </c>
    </row>
    <row r="265" spans="1:4" ht="18" hidden="1">
      <c r="A265" s="161" t="s">
        <v>279</v>
      </c>
      <c r="B265" s="157"/>
      <c r="C265" s="157"/>
      <c r="D265" s="158">
        <f t="shared" si="5"/>
        <v>0</v>
      </c>
    </row>
    <row r="266" spans="1:4" ht="18" hidden="1">
      <c r="A266" s="161" t="s">
        <v>280</v>
      </c>
      <c r="B266" s="162"/>
      <c r="C266" s="162"/>
      <c r="D266" s="158">
        <f t="shared" si="5"/>
        <v>0</v>
      </c>
    </row>
    <row r="267" spans="1:4" ht="18" hidden="1">
      <c r="A267" s="173" t="s">
        <v>281</v>
      </c>
      <c r="B267" s="157"/>
      <c r="C267" s="157"/>
      <c r="D267" s="158">
        <f t="shared" si="5"/>
        <v>0</v>
      </c>
    </row>
    <row r="268" spans="1:4" ht="18" hidden="1">
      <c r="A268" s="161" t="s">
        <v>282</v>
      </c>
      <c r="B268" s="157"/>
      <c r="C268" s="157"/>
      <c r="D268" s="158">
        <f t="shared" si="5"/>
        <v>0</v>
      </c>
    </row>
    <row r="269" spans="1:4" ht="18" hidden="1">
      <c r="A269" s="159" t="s">
        <v>283</v>
      </c>
      <c r="B269" s="157"/>
      <c r="C269" s="157"/>
      <c r="D269" s="158">
        <f t="shared" si="5"/>
        <v>0</v>
      </c>
    </row>
    <row r="270" spans="1:4" ht="18" hidden="1">
      <c r="A270" s="161" t="s">
        <v>284</v>
      </c>
      <c r="B270" s="157"/>
      <c r="C270" s="157"/>
      <c r="D270" s="158">
        <f t="shared" si="5"/>
        <v>0</v>
      </c>
    </row>
    <row r="271" spans="1:4" ht="18" hidden="1">
      <c r="A271" s="161" t="s">
        <v>285</v>
      </c>
      <c r="B271" s="157"/>
      <c r="C271" s="157"/>
      <c r="D271" s="158">
        <f t="shared" si="5"/>
        <v>0</v>
      </c>
    </row>
    <row r="272" spans="1:4" ht="18" hidden="1">
      <c r="A272" s="161" t="s">
        <v>286</v>
      </c>
      <c r="B272" s="157"/>
      <c r="C272" s="157"/>
      <c r="D272" s="158">
        <f t="shared" si="5"/>
        <v>0</v>
      </c>
    </row>
    <row r="273" spans="1:4" ht="18" hidden="1">
      <c r="A273" s="161" t="s">
        <v>287</v>
      </c>
      <c r="B273" s="157"/>
      <c r="C273" s="157"/>
      <c r="D273" s="158">
        <f t="shared" si="5"/>
        <v>0</v>
      </c>
    </row>
    <row r="274" spans="1:4" ht="18">
      <c r="A274" s="161" t="s">
        <v>288</v>
      </c>
      <c r="B274" s="157">
        <v>3</v>
      </c>
      <c r="C274" s="157">
        <v>14000</v>
      </c>
      <c r="D274" s="158">
        <f t="shared" si="5"/>
        <v>42000</v>
      </c>
    </row>
    <row r="275" spans="1:4" ht="18" hidden="1">
      <c r="A275" s="161" t="s">
        <v>289</v>
      </c>
      <c r="B275" s="157"/>
      <c r="C275" s="157"/>
      <c r="D275" s="158">
        <f t="shared" si="5"/>
        <v>0</v>
      </c>
    </row>
    <row r="276" spans="1:4" ht="18" hidden="1">
      <c r="A276" s="161" t="s">
        <v>290</v>
      </c>
      <c r="B276" s="157"/>
      <c r="C276" s="157"/>
      <c r="D276" s="158">
        <f t="shared" si="5"/>
        <v>0</v>
      </c>
    </row>
    <row r="277" spans="1:4" ht="18" hidden="1">
      <c r="A277" s="187" t="s">
        <v>291</v>
      </c>
      <c r="B277" s="157"/>
      <c r="C277" s="157"/>
      <c r="D277" s="158">
        <f t="shared" si="5"/>
        <v>0</v>
      </c>
    </row>
    <row r="278" spans="1:4" ht="18" hidden="1">
      <c r="A278" s="161" t="s">
        <v>292</v>
      </c>
      <c r="B278" s="157"/>
      <c r="C278" s="157"/>
      <c r="D278" s="158">
        <f t="shared" si="5"/>
        <v>0</v>
      </c>
    </row>
    <row r="279" spans="1:4" ht="18" hidden="1">
      <c r="A279" s="187" t="s">
        <v>293</v>
      </c>
      <c r="B279" s="157"/>
      <c r="C279" s="157"/>
      <c r="D279" s="158">
        <f t="shared" si="5"/>
        <v>0</v>
      </c>
    </row>
    <row r="280" spans="1:4" ht="18" hidden="1">
      <c r="A280" s="187" t="s">
        <v>294</v>
      </c>
      <c r="B280" s="157"/>
      <c r="C280" s="157"/>
      <c r="D280" s="158">
        <f t="shared" si="5"/>
        <v>0</v>
      </c>
    </row>
    <row r="281" spans="1:4" ht="18" hidden="1">
      <c r="A281" s="156" t="s">
        <v>295</v>
      </c>
      <c r="B281" s="162"/>
      <c r="C281" s="162"/>
      <c r="D281" s="158">
        <f t="shared" si="5"/>
        <v>0</v>
      </c>
    </row>
    <row r="282" spans="1:4" ht="18" hidden="1">
      <c r="A282" s="156" t="s">
        <v>296</v>
      </c>
      <c r="B282" s="157"/>
      <c r="C282" s="157"/>
      <c r="D282" s="158">
        <f t="shared" si="5"/>
        <v>0</v>
      </c>
    </row>
    <row r="283" spans="1:4" ht="18" hidden="1">
      <c r="A283" s="159" t="s">
        <v>297</v>
      </c>
      <c r="B283" s="157"/>
      <c r="C283" s="157"/>
      <c r="D283" s="158">
        <f t="shared" si="5"/>
        <v>0</v>
      </c>
    </row>
    <row r="284" spans="1:4" ht="18" hidden="1">
      <c r="A284" s="159" t="s">
        <v>298</v>
      </c>
      <c r="B284" s="157"/>
      <c r="C284" s="157"/>
      <c r="D284" s="158">
        <f t="shared" si="5"/>
        <v>0</v>
      </c>
    </row>
    <row r="285" spans="1:4" ht="18" hidden="1">
      <c r="A285" s="164" t="s">
        <v>299</v>
      </c>
      <c r="B285" s="157"/>
      <c r="C285" s="157"/>
      <c r="D285" s="158">
        <f t="shared" si="5"/>
        <v>0</v>
      </c>
    </row>
    <row r="286" spans="1:4" ht="18" hidden="1">
      <c r="A286" s="164" t="s">
        <v>300</v>
      </c>
      <c r="B286" s="157"/>
      <c r="C286" s="157"/>
      <c r="D286" s="158">
        <f t="shared" si="5"/>
        <v>0</v>
      </c>
    </row>
    <row r="287" spans="1:4" ht="18" hidden="1">
      <c r="A287" s="164" t="s">
        <v>301</v>
      </c>
      <c r="B287" s="157"/>
      <c r="C287" s="157"/>
      <c r="D287" s="158">
        <f t="shared" si="5"/>
        <v>0</v>
      </c>
    </row>
    <row r="288" spans="1:4" ht="18">
      <c r="A288" s="161" t="s">
        <v>302</v>
      </c>
      <c r="B288" s="157">
        <v>3</v>
      </c>
      <c r="C288" s="157">
        <v>11500</v>
      </c>
      <c r="D288" s="158">
        <f t="shared" si="5"/>
        <v>34500</v>
      </c>
    </row>
    <row r="289" spans="1:4" ht="18" hidden="1">
      <c r="A289" s="164" t="s">
        <v>303</v>
      </c>
      <c r="B289" s="157"/>
      <c r="C289" s="157"/>
      <c r="D289" s="158">
        <f t="shared" si="5"/>
        <v>0</v>
      </c>
    </row>
    <row r="290" spans="1:4" ht="18" hidden="1">
      <c r="A290" s="161" t="s">
        <v>304</v>
      </c>
      <c r="B290" s="157"/>
      <c r="C290" s="157"/>
      <c r="D290" s="158">
        <f t="shared" si="5"/>
        <v>0</v>
      </c>
    </row>
    <row r="291" spans="1:4" ht="18">
      <c r="A291" s="161" t="s">
        <v>305</v>
      </c>
      <c r="B291" s="157">
        <v>15</v>
      </c>
      <c r="C291" s="157">
        <v>8500</v>
      </c>
      <c r="D291" s="158">
        <f t="shared" si="5"/>
        <v>127500</v>
      </c>
    </row>
    <row r="292" spans="1:4" ht="18" hidden="1">
      <c r="A292" s="164" t="s">
        <v>306</v>
      </c>
      <c r="B292" s="157"/>
      <c r="C292" s="157"/>
      <c r="D292" s="158">
        <f t="shared" si="5"/>
        <v>0</v>
      </c>
    </row>
    <row r="293" spans="1:4" ht="18" hidden="1">
      <c r="A293" s="186" t="s">
        <v>307</v>
      </c>
      <c r="B293" s="157"/>
      <c r="C293" s="157"/>
      <c r="D293" s="158">
        <f t="shared" si="5"/>
        <v>0</v>
      </c>
    </row>
    <row r="294" spans="1:4" ht="18">
      <c r="A294" s="161" t="s">
        <v>308</v>
      </c>
      <c r="B294" s="157">
        <v>40</v>
      </c>
      <c r="C294" s="157">
        <v>9000</v>
      </c>
      <c r="D294" s="158">
        <f t="shared" si="5"/>
        <v>360000</v>
      </c>
    </row>
    <row r="295" spans="1:4" ht="18" hidden="1">
      <c r="A295" s="173" t="s">
        <v>309</v>
      </c>
      <c r="B295" s="157"/>
      <c r="C295" s="157"/>
      <c r="D295" s="158">
        <f t="shared" si="5"/>
        <v>0</v>
      </c>
    </row>
    <row r="296" spans="1:4" ht="18" hidden="1">
      <c r="A296" s="173" t="s">
        <v>310</v>
      </c>
      <c r="B296" s="157"/>
      <c r="C296" s="157"/>
      <c r="D296" s="158">
        <f t="shared" si="5"/>
        <v>0</v>
      </c>
    </row>
    <row r="297" spans="1:4" ht="18" hidden="1">
      <c r="A297" s="156" t="s">
        <v>311</v>
      </c>
      <c r="B297" s="157"/>
      <c r="C297" s="157"/>
      <c r="D297" s="158">
        <f t="shared" si="5"/>
        <v>0</v>
      </c>
    </row>
    <row r="298" spans="1:4" ht="18" hidden="1">
      <c r="A298" s="164" t="s">
        <v>312</v>
      </c>
      <c r="B298" s="157"/>
      <c r="C298" s="157"/>
      <c r="D298" s="158">
        <f t="shared" si="5"/>
        <v>0</v>
      </c>
    </row>
    <row r="299" spans="1:4" ht="18" hidden="1">
      <c r="A299" s="173" t="s">
        <v>313</v>
      </c>
      <c r="B299" s="157"/>
      <c r="C299" s="157"/>
      <c r="D299" s="158">
        <f t="shared" si="5"/>
        <v>0</v>
      </c>
    </row>
    <row r="300" spans="1:4" ht="18" hidden="1">
      <c r="A300" s="161" t="s">
        <v>314</v>
      </c>
      <c r="B300" s="157"/>
      <c r="C300" s="157"/>
      <c r="D300" s="158">
        <f t="shared" si="5"/>
        <v>0</v>
      </c>
    </row>
    <row r="301" spans="1:4" ht="18" hidden="1">
      <c r="A301" s="164" t="s">
        <v>315</v>
      </c>
      <c r="B301" s="157"/>
      <c r="C301" s="157"/>
      <c r="D301" s="158">
        <f t="shared" si="5"/>
        <v>0</v>
      </c>
    </row>
    <row r="302" spans="1:4" ht="18" hidden="1">
      <c r="A302" s="161" t="s">
        <v>316</v>
      </c>
      <c r="B302" s="157"/>
      <c r="C302" s="157"/>
      <c r="D302" s="158">
        <f t="shared" si="5"/>
        <v>0</v>
      </c>
    </row>
    <row r="303" spans="1:4" ht="18" hidden="1">
      <c r="A303" s="161" t="s">
        <v>317</v>
      </c>
      <c r="B303" s="157"/>
      <c r="C303" s="157"/>
      <c r="D303" s="158">
        <f t="shared" si="5"/>
        <v>0</v>
      </c>
    </row>
    <row r="304" spans="1:4" ht="18" hidden="1">
      <c r="A304" s="159" t="s">
        <v>318</v>
      </c>
      <c r="B304" s="157"/>
      <c r="C304" s="157"/>
      <c r="D304" s="158">
        <f t="shared" si="5"/>
        <v>0</v>
      </c>
    </row>
    <row r="305" spans="1:4" ht="18" hidden="1">
      <c r="A305" s="156" t="s">
        <v>319</v>
      </c>
      <c r="B305" s="157"/>
      <c r="C305" s="157"/>
      <c r="D305" s="158">
        <f t="shared" si="5"/>
        <v>0</v>
      </c>
    </row>
    <row r="306" spans="1:4" ht="18" hidden="1">
      <c r="A306" s="156" t="s">
        <v>320</v>
      </c>
      <c r="B306" s="157"/>
      <c r="C306" s="157"/>
      <c r="D306" s="158">
        <f t="shared" si="5"/>
        <v>0</v>
      </c>
    </row>
    <row r="307" spans="1:4" ht="18" hidden="1">
      <c r="A307" s="161" t="s">
        <v>321</v>
      </c>
      <c r="B307" s="157"/>
      <c r="C307" s="157"/>
      <c r="D307" s="158">
        <f t="shared" si="5"/>
        <v>0</v>
      </c>
    </row>
    <row r="308" spans="1:4" ht="18" hidden="1">
      <c r="A308" s="161" t="s">
        <v>322</v>
      </c>
      <c r="B308" s="157"/>
      <c r="C308" s="157"/>
      <c r="D308" s="158">
        <f t="shared" si="5"/>
        <v>0</v>
      </c>
    </row>
    <row r="309" spans="1:4" ht="18" hidden="1">
      <c r="A309" s="161" t="s">
        <v>323</v>
      </c>
      <c r="B309" s="157"/>
      <c r="C309" s="157"/>
      <c r="D309" s="158">
        <f t="shared" si="5"/>
        <v>0</v>
      </c>
    </row>
    <row r="310" spans="1:4" ht="18" hidden="1">
      <c r="A310" s="173" t="s">
        <v>324</v>
      </c>
      <c r="B310" s="157"/>
      <c r="C310" s="157"/>
      <c r="D310" s="158">
        <f t="shared" si="5"/>
        <v>0</v>
      </c>
    </row>
    <row r="311" spans="1:4" ht="18" hidden="1">
      <c r="A311" s="173" t="s">
        <v>325</v>
      </c>
      <c r="B311" s="157"/>
      <c r="C311" s="157"/>
      <c r="D311" s="158">
        <f t="shared" si="5"/>
        <v>0</v>
      </c>
    </row>
    <row r="312" spans="1:4" ht="18" hidden="1">
      <c r="A312" s="163" t="s">
        <v>326</v>
      </c>
      <c r="B312" s="157"/>
      <c r="C312" s="157"/>
      <c r="D312" s="158">
        <f t="shared" si="5"/>
        <v>0</v>
      </c>
    </row>
    <row r="313" spans="1:4" ht="18" hidden="1">
      <c r="A313" s="173" t="s">
        <v>327</v>
      </c>
      <c r="B313" s="157"/>
      <c r="C313" s="157"/>
      <c r="D313" s="158">
        <f t="shared" si="5"/>
        <v>0</v>
      </c>
    </row>
    <row r="314" spans="1:4" ht="18" hidden="1">
      <c r="A314" s="161" t="s">
        <v>328</v>
      </c>
      <c r="B314" s="157"/>
      <c r="C314" s="157"/>
      <c r="D314" s="158">
        <f t="shared" si="5"/>
        <v>0</v>
      </c>
    </row>
    <row r="315" spans="1:4" ht="18" hidden="1">
      <c r="A315" s="161" t="s">
        <v>329</v>
      </c>
      <c r="B315" s="157"/>
      <c r="C315" s="157"/>
      <c r="D315" s="158">
        <f t="shared" si="5"/>
        <v>0</v>
      </c>
    </row>
    <row r="316" spans="1:4" ht="18" hidden="1">
      <c r="A316" s="161" t="s">
        <v>330</v>
      </c>
      <c r="B316" s="157"/>
      <c r="C316" s="157"/>
      <c r="D316" s="158">
        <f t="shared" si="5"/>
        <v>0</v>
      </c>
    </row>
    <row r="317" spans="1:4" ht="18" hidden="1">
      <c r="A317" s="161" t="s">
        <v>331</v>
      </c>
      <c r="B317" s="157"/>
      <c r="C317" s="157"/>
      <c r="D317" s="158">
        <f t="shared" si="5"/>
        <v>0</v>
      </c>
    </row>
    <row r="318" spans="1:4" ht="18" hidden="1">
      <c r="A318" s="163" t="s">
        <v>332</v>
      </c>
      <c r="B318" s="157"/>
      <c r="C318" s="157"/>
      <c r="D318" s="158">
        <f t="shared" si="5"/>
        <v>0</v>
      </c>
    </row>
    <row r="319" spans="1:4" ht="18" hidden="1">
      <c r="A319" s="161" t="s">
        <v>333</v>
      </c>
      <c r="B319" s="157"/>
      <c r="C319" s="157"/>
      <c r="D319" s="158">
        <f t="shared" si="5"/>
        <v>0</v>
      </c>
    </row>
    <row r="320" spans="1:4" ht="18" hidden="1">
      <c r="A320" s="161" t="s">
        <v>334</v>
      </c>
      <c r="B320" s="157"/>
      <c r="C320" s="157"/>
      <c r="D320" s="158">
        <f t="shared" si="5"/>
        <v>0</v>
      </c>
    </row>
    <row r="321" spans="1:4" ht="18" hidden="1">
      <c r="A321" s="156" t="s">
        <v>335</v>
      </c>
      <c r="B321" s="157"/>
      <c r="C321" s="157"/>
      <c r="D321" s="158">
        <f t="shared" si="5"/>
        <v>0</v>
      </c>
    </row>
    <row r="322" spans="1:4" ht="18" hidden="1">
      <c r="A322" s="161" t="s">
        <v>336</v>
      </c>
      <c r="B322" s="174"/>
      <c r="C322" s="174"/>
      <c r="D322" s="158">
        <f t="shared" si="5"/>
        <v>0</v>
      </c>
    </row>
    <row r="323" spans="1:4" ht="18" hidden="1">
      <c r="A323" s="161" t="s">
        <v>337</v>
      </c>
      <c r="B323" s="157"/>
      <c r="C323" s="157"/>
      <c r="D323" s="158">
        <f t="shared" si="5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6">B324*C324</f>
        <v>0</v>
      </c>
    </row>
    <row r="325" spans="1:4" ht="18" hidden="1">
      <c r="A325" s="163" t="s">
        <v>339</v>
      </c>
      <c r="B325" s="157"/>
      <c r="C325" s="157"/>
      <c r="D325" s="158">
        <f t="shared" si="6"/>
        <v>0</v>
      </c>
    </row>
    <row r="326" spans="1:4" ht="18" hidden="1">
      <c r="A326" s="163" t="s">
        <v>340</v>
      </c>
      <c r="B326" s="157"/>
      <c r="C326" s="157"/>
      <c r="D326" s="158">
        <f t="shared" si="6"/>
        <v>0</v>
      </c>
    </row>
    <row r="327" spans="1:4" ht="18" hidden="1">
      <c r="A327" s="161" t="s">
        <v>341</v>
      </c>
      <c r="B327" s="157"/>
      <c r="C327" s="157"/>
      <c r="D327" s="158">
        <f t="shared" si="6"/>
        <v>0</v>
      </c>
    </row>
    <row r="328" spans="1:4" ht="18" hidden="1">
      <c r="A328" s="161" t="s">
        <v>342</v>
      </c>
      <c r="B328" s="157"/>
      <c r="C328" s="157"/>
      <c r="D328" s="158">
        <f t="shared" si="6"/>
        <v>0</v>
      </c>
    </row>
    <row r="329" spans="1:4" ht="18" hidden="1">
      <c r="A329" s="163" t="s">
        <v>343</v>
      </c>
      <c r="B329" s="157"/>
      <c r="C329" s="157"/>
      <c r="D329" s="158">
        <f t="shared" si="6"/>
        <v>0</v>
      </c>
    </row>
    <row r="330" spans="1:4" ht="18" hidden="1">
      <c r="A330" s="161" t="s">
        <v>344</v>
      </c>
      <c r="B330" s="157"/>
      <c r="C330" s="157"/>
      <c r="D330" s="158">
        <f t="shared" si="6"/>
        <v>0</v>
      </c>
    </row>
    <row r="331" spans="1:4" ht="18" hidden="1">
      <c r="A331" s="161" t="s">
        <v>345</v>
      </c>
      <c r="B331" s="157"/>
      <c r="C331" s="157"/>
      <c r="D331" s="158">
        <f t="shared" si="6"/>
        <v>0</v>
      </c>
    </row>
    <row r="332" spans="1:4" ht="18" hidden="1">
      <c r="A332" s="161" t="s">
        <v>346</v>
      </c>
      <c r="B332" s="157"/>
      <c r="C332" s="157"/>
      <c r="D332" s="158">
        <f t="shared" si="6"/>
        <v>0</v>
      </c>
    </row>
    <row r="333" spans="1:4" ht="18" hidden="1">
      <c r="A333" s="161" t="s">
        <v>347</v>
      </c>
      <c r="B333" s="157"/>
      <c r="C333" s="157"/>
      <c r="D333" s="158">
        <f t="shared" si="6"/>
        <v>0</v>
      </c>
    </row>
    <row r="334" spans="1:4" ht="18" hidden="1">
      <c r="A334" s="161" t="s">
        <v>348</v>
      </c>
      <c r="B334" s="157"/>
      <c r="C334" s="157"/>
      <c r="D334" s="158">
        <f t="shared" si="6"/>
        <v>0</v>
      </c>
    </row>
    <row r="335" spans="1:4" ht="18" hidden="1">
      <c r="A335" s="161" t="s">
        <v>349</v>
      </c>
      <c r="B335" s="157"/>
      <c r="C335" s="157"/>
      <c r="D335" s="158">
        <f t="shared" si="6"/>
        <v>0</v>
      </c>
    </row>
    <row r="336" spans="1:4" ht="18" hidden="1">
      <c r="A336" s="161" t="s">
        <v>350</v>
      </c>
      <c r="B336" s="157"/>
      <c r="C336" s="157"/>
      <c r="D336" s="158">
        <f t="shared" si="6"/>
        <v>0</v>
      </c>
    </row>
    <row r="337" spans="1:4" ht="18" hidden="1">
      <c r="A337" s="161" t="s">
        <v>351</v>
      </c>
      <c r="B337" s="157"/>
      <c r="C337" s="157"/>
      <c r="D337" s="158">
        <f t="shared" si="6"/>
        <v>0</v>
      </c>
    </row>
    <row r="338" spans="1:4" ht="18" hidden="1">
      <c r="A338" s="159" t="s">
        <v>352</v>
      </c>
      <c r="B338" s="157"/>
      <c r="C338" s="157"/>
      <c r="D338" s="158">
        <f t="shared" si="6"/>
        <v>0</v>
      </c>
    </row>
    <row r="339" spans="1:4" ht="18" hidden="1">
      <c r="A339" s="159" t="s">
        <v>353</v>
      </c>
      <c r="B339" s="157"/>
      <c r="C339" s="157"/>
      <c r="D339" s="158">
        <f t="shared" si="6"/>
        <v>0</v>
      </c>
    </row>
    <row r="340" spans="1:4" ht="18">
      <c r="A340" s="188"/>
      <c r="B340" s="189">
        <f>SUM(B3:B339)</f>
        <v>5169.8999999999996</v>
      </c>
      <c r="C340" s="189"/>
      <c r="D340" s="158">
        <f>SUM(D3:D294)</f>
        <v>66814000</v>
      </c>
    </row>
    <row r="341" spans="1:4" ht="18" hidden="1">
      <c r="D341" s="158">
        <f t="shared" si="6"/>
        <v>0</v>
      </c>
    </row>
    <row r="342" spans="1:4" ht="18">
      <c r="A342" s="151" t="s">
        <v>416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387</v>
      </c>
      <c r="D343" s="158" t="s">
        <v>5</v>
      </c>
    </row>
    <row r="344" spans="1:4" ht="18" hidden="1">
      <c r="A344" s="209"/>
      <c r="B344" s="155"/>
      <c r="C344" s="155"/>
      <c r="D344" s="158">
        <f t="shared" si="6"/>
        <v>0</v>
      </c>
    </row>
    <row r="345" spans="1:4" ht="18" hidden="1">
      <c r="A345" s="171" t="s">
        <v>6</v>
      </c>
      <c r="B345" s="157"/>
      <c r="C345" s="157"/>
      <c r="D345" s="158">
        <f t="shared" si="6"/>
        <v>0</v>
      </c>
    </row>
    <row r="346" spans="1:4" ht="18" hidden="1">
      <c r="A346" s="172" t="s">
        <v>8</v>
      </c>
      <c r="B346" s="157"/>
      <c r="C346" s="157"/>
      <c r="D346" s="158">
        <f t="shared" si="6"/>
        <v>0</v>
      </c>
    </row>
    <row r="347" spans="1:4" ht="18" hidden="1">
      <c r="A347" s="171" t="s">
        <v>10</v>
      </c>
      <c r="B347" s="157"/>
      <c r="C347" s="157"/>
      <c r="D347" s="158">
        <f t="shared" si="6"/>
        <v>0</v>
      </c>
    </row>
    <row r="348" spans="1:4" ht="18">
      <c r="A348" s="171" t="s">
        <v>11</v>
      </c>
      <c r="B348" s="157">
        <v>225</v>
      </c>
      <c r="C348" s="157">
        <v>7300</v>
      </c>
      <c r="D348" s="158">
        <f t="shared" si="6"/>
        <v>1642500</v>
      </c>
    </row>
    <row r="349" spans="1:4" ht="18" hidden="1">
      <c r="A349" s="161" t="s">
        <v>12</v>
      </c>
      <c r="B349" s="157"/>
      <c r="C349" s="157"/>
      <c r="D349" s="158">
        <f t="shared" si="6"/>
        <v>0</v>
      </c>
    </row>
    <row r="350" spans="1:4" ht="18" hidden="1">
      <c r="A350" s="178" t="s">
        <v>13</v>
      </c>
      <c r="B350" s="157"/>
      <c r="C350" s="157"/>
      <c r="D350" s="158">
        <f t="shared" si="6"/>
        <v>0</v>
      </c>
    </row>
    <row r="351" spans="1:4" ht="18" hidden="1">
      <c r="A351" s="171" t="s">
        <v>14</v>
      </c>
      <c r="B351" s="157"/>
      <c r="C351" s="157"/>
      <c r="D351" s="158">
        <f t="shared" si="6"/>
        <v>0</v>
      </c>
    </row>
    <row r="352" spans="1:4" ht="18" hidden="1">
      <c r="A352" s="171" t="s">
        <v>15</v>
      </c>
      <c r="B352" s="157"/>
      <c r="C352" s="157"/>
      <c r="D352" s="158">
        <f t="shared" si="6"/>
        <v>0</v>
      </c>
    </row>
    <row r="353" spans="1:4" ht="18" hidden="1">
      <c r="A353" s="159" t="s">
        <v>355</v>
      </c>
      <c r="B353" s="157"/>
      <c r="C353" s="157"/>
      <c r="D353" s="158">
        <f t="shared" si="6"/>
        <v>0</v>
      </c>
    </row>
    <row r="354" spans="1:4" ht="18" hidden="1">
      <c r="A354" s="161" t="s">
        <v>18</v>
      </c>
      <c r="B354" s="157"/>
      <c r="C354" s="157"/>
      <c r="D354" s="158">
        <f t="shared" si="6"/>
        <v>0</v>
      </c>
    </row>
    <row r="355" spans="1:4" ht="18" hidden="1">
      <c r="A355" s="161" t="s">
        <v>19</v>
      </c>
      <c r="B355" s="157"/>
      <c r="C355" s="157"/>
      <c r="D355" s="158">
        <f t="shared" si="6"/>
        <v>0</v>
      </c>
    </row>
    <row r="356" spans="1:4" ht="18" hidden="1">
      <c r="A356" s="156" t="s">
        <v>20</v>
      </c>
      <c r="B356" s="157"/>
      <c r="C356" s="157"/>
      <c r="D356" s="158">
        <f t="shared" si="6"/>
        <v>0</v>
      </c>
    </row>
    <row r="357" spans="1:4" ht="18" hidden="1">
      <c r="A357" s="156" t="s">
        <v>22</v>
      </c>
      <c r="B357" s="157"/>
      <c r="C357" s="157"/>
      <c r="D357" s="158">
        <f t="shared" si="6"/>
        <v>0</v>
      </c>
    </row>
    <row r="358" spans="1:4" ht="18" hidden="1">
      <c r="A358" s="161" t="s">
        <v>23</v>
      </c>
      <c r="B358" s="157"/>
      <c r="C358" s="157"/>
      <c r="D358" s="158">
        <f t="shared" si="6"/>
        <v>0</v>
      </c>
    </row>
    <row r="359" spans="1:4" ht="18" hidden="1">
      <c r="A359" s="161" t="s">
        <v>24</v>
      </c>
      <c r="B359" s="157"/>
      <c r="C359" s="157"/>
      <c r="D359" s="158">
        <f t="shared" si="6"/>
        <v>0</v>
      </c>
    </row>
    <row r="360" spans="1:4" ht="18" hidden="1">
      <c r="A360" s="173" t="s">
        <v>25</v>
      </c>
      <c r="B360" s="157"/>
      <c r="C360" s="157"/>
      <c r="D360" s="158">
        <f t="shared" si="6"/>
        <v>0</v>
      </c>
    </row>
    <row r="361" spans="1:4" ht="18" hidden="1">
      <c r="A361" s="159" t="s">
        <v>26</v>
      </c>
      <c r="B361" s="157"/>
      <c r="C361" s="157"/>
      <c r="D361" s="158">
        <f t="shared" si="6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6"/>
        <v>14000000</v>
      </c>
    </row>
    <row r="363" spans="1:4" ht="18" hidden="1">
      <c r="A363" s="156" t="s">
        <v>28</v>
      </c>
      <c r="B363" s="157"/>
      <c r="C363" s="157"/>
      <c r="D363" s="158">
        <f t="shared" si="6"/>
        <v>0</v>
      </c>
    </row>
    <row r="364" spans="1:4" ht="18" hidden="1">
      <c r="A364" s="156" t="s">
        <v>29</v>
      </c>
      <c r="B364" s="157"/>
      <c r="C364" s="157"/>
      <c r="D364" s="158">
        <f t="shared" si="6"/>
        <v>0</v>
      </c>
    </row>
    <row r="365" spans="1:4" ht="18" hidden="1">
      <c r="A365" s="161" t="s">
        <v>30</v>
      </c>
      <c r="B365" s="157"/>
      <c r="C365" s="157"/>
      <c r="D365" s="158">
        <f t="shared" si="6"/>
        <v>0</v>
      </c>
    </row>
    <row r="366" spans="1:4" ht="18" hidden="1">
      <c r="A366" s="161" t="s">
        <v>31</v>
      </c>
      <c r="B366" s="157"/>
      <c r="C366" s="157"/>
      <c r="D366" s="158">
        <f t="shared" si="6"/>
        <v>0</v>
      </c>
    </row>
    <row r="367" spans="1:4" ht="18">
      <c r="A367" s="161" t="s">
        <v>32</v>
      </c>
      <c r="B367" s="157">
        <v>30</v>
      </c>
      <c r="C367" s="157">
        <v>11000</v>
      </c>
      <c r="D367" s="158">
        <f t="shared" si="6"/>
        <v>330000</v>
      </c>
    </row>
    <row r="368" spans="1:4" ht="18" hidden="1">
      <c r="A368" s="161" t="s">
        <v>33</v>
      </c>
      <c r="B368" s="157"/>
      <c r="C368" s="157"/>
      <c r="D368" s="158">
        <f t="shared" si="6"/>
        <v>0</v>
      </c>
    </row>
    <row r="369" spans="1:4" ht="18" hidden="1">
      <c r="A369" s="161" t="s">
        <v>34</v>
      </c>
      <c r="B369" s="157"/>
      <c r="C369" s="157"/>
      <c r="D369" s="158">
        <f t="shared" si="6"/>
        <v>0</v>
      </c>
    </row>
    <row r="370" spans="1:4" ht="18" hidden="1">
      <c r="A370" s="161" t="s">
        <v>35</v>
      </c>
      <c r="B370" s="157"/>
      <c r="C370" s="157"/>
      <c r="D370" s="158">
        <f t="shared" si="6"/>
        <v>0</v>
      </c>
    </row>
    <row r="371" spans="1:4" ht="18" hidden="1">
      <c r="A371" s="156" t="s">
        <v>37</v>
      </c>
      <c r="B371" s="157"/>
      <c r="C371" s="157"/>
      <c r="D371" s="158">
        <f t="shared" si="6"/>
        <v>0</v>
      </c>
    </row>
    <row r="372" spans="1:4" ht="18" hidden="1">
      <c r="A372" s="156" t="s">
        <v>46</v>
      </c>
      <c r="B372" s="157"/>
      <c r="C372" s="157"/>
      <c r="D372" s="158">
        <f t="shared" si="6"/>
        <v>0</v>
      </c>
    </row>
    <row r="373" spans="1:4" ht="18" hidden="1">
      <c r="A373" s="161" t="s">
        <v>47</v>
      </c>
      <c r="B373" s="157"/>
      <c r="C373" s="157"/>
      <c r="D373" s="158">
        <f t="shared" si="6"/>
        <v>0</v>
      </c>
    </row>
    <row r="374" spans="1:4" ht="18" hidden="1">
      <c r="A374" s="161" t="s">
        <v>48</v>
      </c>
      <c r="B374" s="157"/>
      <c r="C374" s="157"/>
      <c r="D374" s="158">
        <f t="shared" si="6"/>
        <v>0</v>
      </c>
    </row>
    <row r="375" spans="1:4" ht="18" hidden="1">
      <c r="A375" s="159" t="s">
        <v>356</v>
      </c>
      <c r="B375" s="162"/>
      <c r="C375" s="162"/>
      <c r="D375" s="158">
        <f t="shared" si="6"/>
        <v>0</v>
      </c>
    </row>
    <row r="376" spans="1:4" ht="18" hidden="1">
      <c r="A376" s="159" t="s">
        <v>50</v>
      </c>
      <c r="B376" s="162"/>
      <c r="C376" s="162"/>
      <c r="D376" s="158">
        <f t="shared" si="6"/>
        <v>0</v>
      </c>
    </row>
    <row r="377" spans="1:4" ht="18" hidden="1">
      <c r="A377" s="161" t="s">
        <v>51</v>
      </c>
      <c r="B377" s="157"/>
      <c r="C377" s="157"/>
      <c r="D377" s="158">
        <f t="shared" si="6"/>
        <v>0</v>
      </c>
    </row>
    <row r="378" spans="1:4" ht="18" hidden="1">
      <c r="A378" s="161" t="s">
        <v>52</v>
      </c>
      <c r="B378" s="157"/>
      <c r="C378" s="157"/>
      <c r="D378" s="158">
        <f t="shared" si="6"/>
        <v>0</v>
      </c>
    </row>
    <row r="379" spans="1:4" ht="18" hidden="1">
      <c r="A379" s="164" t="s">
        <v>53</v>
      </c>
      <c r="B379" s="157"/>
      <c r="C379" s="157"/>
      <c r="D379" s="158">
        <f t="shared" si="6"/>
        <v>0</v>
      </c>
    </row>
    <row r="380" spans="1:4" ht="18" hidden="1">
      <c r="A380" s="161" t="s">
        <v>55</v>
      </c>
      <c r="B380" s="157"/>
      <c r="C380" s="157"/>
      <c r="D380" s="158">
        <f t="shared" si="6"/>
        <v>0</v>
      </c>
    </row>
    <row r="381" spans="1:4" ht="18" hidden="1">
      <c r="A381" s="161" t="s">
        <v>56</v>
      </c>
      <c r="B381" s="157"/>
      <c r="C381" s="157"/>
      <c r="D381" s="158">
        <f t="shared" si="6"/>
        <v>0</v>
      </c>
    </row>
    <row r="382" spans="1:4" ht="18" hidden="1">
      <c r="A382" s="161" t="s">
        <v>58</v>
      </c>
      <c r="B382" s="157"/>
      <c r="C382" s="157"/>
      <c r="D382" s="158">
        <f t="shared" si="6"/>
        <v>0</v>
      </c>
    </row>
    <row r="383" spans="1:4" ht="18" hidden="1">
      <c r="A383" s="161" t="s">
        <v>59</v>
      </c>
      <c r="B383" s="157"/>
      <c r="C383" s="157"/>
      <c r="D383" s="158">
        <f t="shared" si="6"/>
        <v>0</v>
      </c>
    </row>
    <row r="384" spans="1:4" ht="18" hidden="1">
      <c r="A384" s="173" t="s">
        <v>60</v>
      </c>
      <c r="B384" s="157"/>
      <c r="C384" s="157"/>
      <c r="D384" s="158">
        <f t="shared" si="6"/>
        <v>0</v>
      </c>
    </row>
    <row r="385" spans="1:4" ht="18" hidden="1">
      <c r="A385" s="159" t="s">
        <v>61</v>
      </c>
      <c r="B385" s="157"/>
      <c r="C385" s="157"/>
      <c r="D385" s="158">
        <f t="shared" si="6"/>
        <v>0</v>
      </c>
    </row>
    <row r="386" spans="1:4" ht="18" hidden="1">
      <c r="A386" s="173" t="s">
        <v>62</v>
      </c>
      <c r="B386" s="157"/>
      <c r="C386" s="157"/>
      <c r="D386" s="158">
        <f t="shared" si="6"/>
        <v>0</v>
      </c>
    </row>
    <row r="387" spans="1:4" ht="18" hidden="1">
      <c r="A387" s="161" t="s">
        <v>63</v>
      </c>
      <c r="B387" s="157"/>
      <c r="C387" s="157"/>
      <c r="D387" s="158">
        <f t="shared" si="6"/>
        <v>0</v>
      </c>
    </row>
    <row r="388" spans="1:4" ht="18" hidden="1">
      <c r="A388" s="161" t="s">
        <v>64</v>
      </c>
      <c r="B388" s="157"/>
      <c r="C388" s="157"/>
      <c r="D388" s="158">
        <f t="shared" ref="D388:D451" si="7">B388*C388</f>
        <v>0</v>
      </c>
    </row>
    <row r="389" spans="1:4" ht="18">
      <c r="A389" s="156" t="s">
        <v>65</v>
      </c>
      <c r="B389" s="157">
        <v>30</v>
      </c>
      <c r="C389" s="157">
        <v>24000</v>
      </c>
      <c r="D389" s="158">
        <f t="shared" si="7"/>
        <v>720000</v>
      </c>
    </row>
    <row r="390" spans="1:4" ht="18" hidden="1">
      <c r="A390" s="180" t="s">
        <v>66</v>
      </c>
      <c r="B390" s="157"/>
      <c r="C390" s="157"/>
      <c r="D390" s="158">
        <f t="shared" si="7"/>
        <v>0</v>
      </c>
    </row>
    <row r="391" spans="1:4" ht="18" hidden="1">
      <c r="A391" s="164" t="s">
        <v>67</v>
      </c>
      <c r="B391" s="157"/>
      <c r="C391" s="157"/>
      <c r="D391" s="158">
        <f t="shared" si="7"/>
        <v>0</v>
      </c>
    </row>
    <row r="392" spans="1:4" ht="18" hidden="1">
      <c r="A392" s="164" t="s">
        <v>69</v>
      </c>
      <c r="B392" s="157"/>
      <c r="C392" s="157"/>
      <c r="D392" s="158">
        <f t="shared" si="7"/>
        <v>0</v>
      </c>
    </row>
    <row r="393" spans="1:4" ht="18" hidden="1">
      <c r="A393" s="164" t="s">
        <v>70</v>
      </c>
      <c r="B393" s="157"/>
      <c r="C393" s="157"/>
      <c r="D393" s="158">
        <f t="shared" si="7"/>
        <v>0</v>
      </c>
    </row>
    <row r="394" spans="1:4" ht="18" hidden="1">
      <c r="A394" s="161" t="s">
        <v>71</v>
      </c>
      <c r="B394" s="157"/>
      <c r="C394" s="157"/>
      <c r="D394" s="158">
        <f t="shared" si="7"/>
        <v>0</v>
      </c>
    </row>
    <row r="395" spans="1:4" ht="18" hidden="1">
      <c r="A395" s="159" t="s">
        <v>72</v>
      </c>
      <c r="B395" s="157"/>
      <c r="C395" s="157"/>
      <c r="D395" s="158">
        <f t="shared" si="7"/>
        <v>0</v>
      </c>
    </row>
    <row r="396" spans="1:4" ht="18" hidden="1">
      <c r="A396" s="161" t="s">
        <v>73</v>
      </c>
      <c r="B396" s="157"/>
      <c r="C396" s="157"/>
      <c r="D396" s="158">
        <f t="shared" si="7"/>
        <v>0</v>
      </c>
    </row>
    <row r="397" spans="1:4" ht="18" hidden="1">
      <c r="A397" s="161" t="s">
        <v>74</v>
      </c>
      <c r="B397" s="157"/>
      <c r="C397" s="157"/>
      <c r="D397" s="158">
        <f t="shared" si="7"/>
        <v>0</v>
      </c>
    </row>
    <row r="398" spans="1:4" ht="18" hidden="1">
      <c r="A398" s="164" t="s">
        <v>75</v>
      </c>
      <c r="B398" s="157"/>
      <c r="C398" s="157"/>
      <c r="D398" s="158">
        <f t="shared" si="7"/>
        <v>0</v>
      </c>
    </row>
    <row r="399" spans="1:4" ht="18" hidden="1">
      <c r="A399" s="161" t="s">
        <v>76</v>
      </c>
      <c r="B399" s="157"/>
      <c r="C399" s="157"/>
      <c r="D399" s="158">
        <f t="shared" si="7"/>
        <v>0</v>
      </c>
    </row>
    <row r="400" spans="1:4" ht="18" hidden="1">
      <c r="A400" s="185" t="s">
        <v>77</v>
      </c>
      <c r="B400" s="157"/>
      <c r="C400" s="157"/>
      <c r="D400" s="158">
        <f t="shared" si="7"/>
        <v>0</v>
      </c>
    </row>
    <row r="401" spans="1:4" ht="18" hidden="1">
      <c r="A401" s="161" t="s">
        <v>78</v>
      </c>
      <c r="B401" s="157"/>
      <c r="C401" s="157"/>
      <c r="D401" s="158">
        <f t="shared" si="7"/>
        <v>0</v>
      </c>
    </row>
    <row r="402" spans="1:4" ht="18" hidden="1">
      <c r="A402" s="161" t="s">
        <v>79</v>
      </c>
      <c r="B402" s="157"/>
      <c r="C402" s="157"/>
      <c r="D402" s="158">
        <f t="shared" si="7"/>
        <v>0</v>
      </c>
    </row>
    <row r="403" spans="1:4" ht="18" hidden="1">
      <c r="A403" s="160" t="s">
        <v>80</v>
      </c>
      <c r="B403" s="157"/>
      <c r="C403" s="157"/>
      <c r="D403" s="158">
        <f t="shared" si="7"/>
        <v>0</v>
      </c>
    </row>
    <row r="404" spans="1:4" ht="18" hidden="1">
      <c r="A404" s="168" t="s">
        <v>81</v>
      </c>
      <c r="B404" s="157"/>
      <c r="C404" s="157"/>
      <c r="D404" s="158">
        <f t="shared" si="7"/>
        <v>0</v>
      </c>
    </row>
    <row r="405" spans="1:4" ht="18" hidden="1">
      <c r="A405" s="156" t="s">
        <v>82</v>
      </c>
      <c r="B405" s="157"/>
      <c r="C405" s="157"/>
      <c r="D405" s="158">
        <f t="shared" si="7"/>
        <v>0</v>
      </c>
    </row>
    <row r="406" spans="1:4" ht="18" hidden="1">
      <c r="A406" s="159" t="s">
        <v>83</v>
      </c>
      <c r="B406" s="157"/>
      <c r="C406" s="157"/>
      <c r="D406" s="158">
        <f t="shared" si="7"/>
        <v>0</v>
      </c>
    </row>
    <row r="407" spans="1:4" ht="18" hidden="1">
      <c r="A407" s="156" t="s">
        <v>84</v>
      </c>
      <c r="B407" s="157"/>
      <c r="C407" s="157"/>
      <c r="D407" s="158">
        <f t="shared" si="7"/>
        <v>0</v>
      </c>
    </row>
    <row r="408" spans="1:4" ht="18" hidden="1">
      <c r="A408" s="156" t="s">
        <v>85</v>
      </c>
      <c r="B408" s="157"/>
      <c r="C408" s="157"/>
      <c r="D408" s="158">
        <f t="shared" si="7"/>
        <v>0</v>
      </c>
    </row>
    <row r="409" spans="1:4" ht="18" hidden="1">
      <c r="A409" s="156" t="s">
        <v>86</v>
      </c>
      <c r="B409" s="157"/>
      <c r="C409" s="157"/>
      <c r="D409" s="158">
        <f t="shared" si="7"/>
        <v>0</v>
      </c>
    </row>
    <row r="410" spans="1:4" ht="18" hidden="1">
      <c r="A410" s="160" t="s">
        <v>87</v>
      </c>
      <c r="B410" s="157"/>
      <c r="C410" s="157"/>
      <c r="D410" s="158">
        <f t="shared" si="7"/>
        <v>0</v>
      </c>
    </row>
    <row r="411" spans="1:4" ht="18" hidden="1">
      <c r="A411" s="161" t="s">
        <v>88</v>
      </c>
      <c r="B411" s="157"/>
      <c r="C411" s="157"/>
      <c r="D411" s="158">
        <f t="shared" si="7"/>
        <v>0</v>
      </c>
    </row>
    <row r="412" spans="1:4" ht="18" hidden="1">
      <c r="A412" s="161" t="s">
        <v>89</v>
      </c>
      <c r="B412" s="157"/>
      <c r="C412" s="157"/>
      <c r="D412" s="158">
        <f t="shared" si="7"/>
        <v>0</v>
      </c>
    </row>
    <row r="413" spans="1:4" ht="18" hidden="1">
      <c r="A413" s="156" t="s">
        <v>357</v>
      </c>
      <c r="B413" s="157"/>
      <c r="C413" s="157"/>
      <c r="D413" s="158">
        <f t="shared" si="7"/>
        <v>0</v>
      </c>
    </row>
    <row r="414" spans="1:4" ht="18">
      <c r="A414" s="161" t="s">
        <v>90</v>
      </c>
      <c r="B414" s="157">
        <v>150</v>
      </c>
      <c r="C414" s="157">
        <v>24000</v>
      </c>
      <c r="D414" s="158">
        <f t="shared" si="7"/>
        <v>3600000</v>
      </c>
    </row>
    <row r="415" spans="1:4" ht="18" hidden="1">
      <c r="A415" s="173" t="s">
        <v>91</v>
      </c>
      <c r="B415" s="157"/>
      <c r="C415" s="157"/>
      <c r="D415" s="158">
        <f t="shared" si="7"/>
        <v>0</v>
      </c>
    </row>
    <row r="416" spans="1:4" ht="18" hidden="1">
      <c r="A416" s="161" t="s">
        <v>92</v>
      </c>
      <c r="B416" s="157"/>
      <c r="C416" s="157"/>
      <c r="D416" s="158">
        <f t="shared" si="7"/>
        <v>0</v>
      </c>
    </row>
    <row r="417" spans="1:4" ht="18" hidden="1">
      <c r="A417" s="161" t="s">
        <v>94</v>
      </c>
      <c r="B417" s="157"/>
      <c r="C417" s="157"/>
      <c r="D417" s="158">
        <f t="shared" si="7"/>
        <v>0</v>
      </c>
    </row>
    <row r="418" spans="1:4" ht="18" hidden="1">
      <c r="A418" s="161" t="s">
        <v>95</v>
      </c>
      <c r="B418" s="157"/>
      <c r="C418" s="157"/>
      <c r="D418" s="158">
        <f t="shared" si="7"/>
        <v>0</v>
      </c>
    </row>
    <row r="419" spans="1:4" ht="18" hidden="1">
      <c r="A419" s="156" t="s">
        <v>96</v>
      </c>
      <c r="B419" s="162"/>
      <c r="C419" s="162"/>
      <c r="D419" s="158">
        <f t="shared" si="7"/>
        <v>0</v>
      </c>
    </row>
    <row r="420" spans="1:4" ht="18" hidden="1">
      <c r="A420" s="156" t="s">
        <v>97</v>
      </c>
      <c r="B420" s="162"/>
      <c r="C420" s="162"/>
      <c r="D420" s="158">
        <f t="shared" si="7"/>
        <v>0</v>
      </c>
    </row>
    <row r="421" spans="1:4" ht="18" hidden="1">
      <c r="A421" s="156" t="s">
        <v>98</v>
      </c>
      <c r="B421" s="162"/>
      <c r="C421" s="162"/>
      <c r="D421" s="158">
        <f t="shared" si="7"/>
        <v>0</v>
      </c>
    </row>
    <row r="422" spans="1:4" ht="18" hidden="1">
      <c r="A422" s="161" t="s">
        <v>99</v>
      </c>
      <c r="B422" s="157"/>
      <c r="C422" s="157"/>
      <c r="D422" s="158">
        <f t="shared" si="7"/>
        <v>0</v>
      </c>
    </row>
    <row r="423" spans="1:4" ht="18" hidden="1">
      <c r="A423" s="161" t="s">
        <v>100</v>
      </c>
      <c r="B423" s="157"/>
      <c r="C423" s="157"/>
      <c r="D423" s="158">
        <f t="shared" si="7"/>
        <v>0</v>
      </c>
    </row>
    <row r="424" spans="1:4" ht="18" hidden="1">
      <c r="A424" s="161" t="s">
        <v>101</v>
      </c>
      <c r="B424" s="157"/>
      <c r="C424" s="157"/>
      <c r="D424" s="158">
        <f t="shared" si="7"/>
        <v>0</v>
      </c>
    </row>
    <row r="425" spans="1:4" ht="18" hidden="1">
      <c r="A425" s="161" t="s">
        <v>102</v>
      </c>
      <c r="B425" s="157"/>
      <c r="C425" s="157"/>
      <c r="D425" s="158">
        <f t="shared" si="7"/>
        <v>0</v>
      </c>
    </row>
    <row r="426" spans="1:4" ht="18" hidden="1">
      <c r="A426" s="161" t="s">
        <v>103</v>
      </c>
      <c r="B426" s="157"/>
      <c r="C426" s="157"/>
      <c r="D426" s="158">
        <f t="shared" si="7"/>
        <v>0</v>
      </c>
    </row>
    <row r="427" spans="1:4" ht="18">
      <c r="A427" s="161" t="s">
        <v>104</v>
      </c>
      <c r="B427" s="157">
        <v>5</v>
      </c>
      <c r="C427" s="157">
        <v>9000</v>
      </c>
      <c r="D427" s="158">
        <f t="shared" si="7"/>
        <v>45000</v>
      </c>
    </row>
    <row r="428" spans="1:4" ht="18" hidden="1">
      <c r="A428" s="163" t="s">
        <v>105</v>
      </c>
      <c r="B428" s="157"/>
      <c r="C428" s="157"/>
      <c r="D428" s="158">
        <f t="shared" si="7"/>
        <v>0</v>
      </c>
    </row>
    <row r="429" spans="1:4" ht="18" hidden="1">
      <c r="A429" s="163" t="s">
        <v>106</v>
      </c>
      <c r="B429" s="157"/>
      <c r="C429" s="157"/>
      <c r="D429" s="158">
        <f t="shared" si="7"/>
        <v>0</v>
      </c>
    </row>
    <row r="430" spans="1:4" ht="18" hidden="1">
      <c r="A430" s="163" t="s">
        <v>107</v>
      </c>
      <c r="B430" s="157"/>
      <c r="C430" s="157"/>
      <c r="D430" s="158">
        <f t="shared" si="7"/>
        <v>0</v>
      </c>
    </row>
    <row r="431" spans="1:4" ht="18" hidden="1">
      <c r="A431" s="159" t="s">
        <v>108</v>
      </c>
      <c r="B431" s="157"/>
      <c r="C431" s="157"/>
      <c r="D431" s="158">
        <f t="shared" si="7"/>
        <v>0</v>
      </c>
    </row>
    <row r="432" spans="1:4" ht="18" hidden="1">
      <c r="A432" s="173" t="s">
        <v>109</v>
      </c>
      <c r="B432" s="157"/>
      <c r="C432" s="157"/>
      <c r="D432" s="158">
        <f t="shared" si="7"/>
        <v>0</v>
      </c>
    </row>
    <row r="433" spans="1:4" ht="18" hidden="1">
      <c r="A433" s="159" t="s">
        <v>358</v>
      </c>
      <c r="B433" s="157"/>
      <c r="C433" s="157"/>
      <c r="D433" s="158">
        <f t="shared" si="7"/>
        <v>0</v>
      </c>
    </row>
    <row r="434" spans="1:4" ht="18" hidden="1">
      <c r="A434" s="161" t="s">
        <v>110</v>
      </c>
      <c r="B434" s="157"/>
      <c r="C434" s="157"/>
      <c r="D434" s="158">
        <f t="shared" si="7"/>
        <v>0</v>
      </c>
    </row>
    <row r="435" spans="1:4" ht="18" hidden="1">
      <c r="A435" s="161" t="s">
        <v>111</v>
      </c>
      <c r="B435" s="157"/>
      <c r="C435" s="157"/>
      <c r="D435" s="158">
        <f t="shared" si="7"/>
        <v>0</v>
      </c>
    </row>
    <row r="436" spans="1:4" ht="18" hidden="1">
      <c r="A436" s="159" t="s">
        <v>359</v>
      </c>
      <c r="B436" s="157"/>
      <c r="C436" s="157"/>
      <c r="D436" s="158">
        <f t="shared" si="7"/>
        <v>0</v>
      </c>
    </row>
    <row r="437" spans="1:4" ht="18" hidden="1">
      <c r="A437" s="159" t="s">
        <v>360</v>
      </c>
      <c r="B437" s="157"/>
      <c r="C437" s="157"/>
      <c r="D437" s="158">
        <f t="shared" si="7"/>
        <v>0</v>
      </c>
    </row>
    <row r="438" spans="1:4" ht="18" hidden="1">
      <c r="A438" s="161" t="s">
        <v>113</v>
      </c>
      <c r="B438" s="162"/>
      <c r="C438" s="162"/>
      <c r="D438" s="158">
        <f t="shared" si="7"/>
        <v>0</v>
      </c>
    </row>
    <row r="439" spans="1:4" ht="18" hidden="1">
      <c r="A439" s="163" t="s">
        <v>115</v>
      </c>
      <c r="B439" s="157"/>
      <c r="C439" s="157"/>
      <c r="D439" s="158">
        <f t="shared" si="7"/>
        <v>0</v>
      </c>
    </row>
    <row r="440" spans="1:4" ht="18" hidden="1">
      <c r="A440" s="159" t="s">
        <v>116</v>
      </c>
      <c r="B440" s="157"/>
      <c r="C440" s="157"/>
      <c r="D440" s="158">
        <f t="shared" si="7"/>
        <v>0</v>
      </c>
    </row>
    <row r="441" spans="1:4" ht="18" hidden="1">
      <c r="A441" s="159" t="s">
        <v>361</v>
      </c>
      <c r="B441" s="157"/>
      <c r="C441" s="157"/>
      <c r="D441" s="158">
        <f t="shared" si="7"/>
        <v>0</v>
      </c>
    </row>
    <row r="442" spans="1:4" ht="18" hidden="1">
      <c r="A442" s="161" t="s">
        <v>117</v>
      </c>
      <c r="B442" s="157"/>
      <c r="C442" s="157"/>
      <c r="D442" s="158">
        <f t="shared" si="7"/>
        <v>0</v>
      </c>
    </row>
    <row r="443" spans="1:4" ht="18" hidden="1">
      <c r="A443" s="164" t="s">
        <v>118</v>
      </c>
      <c r="B443" s="157"/>
      <c r="C443" s="157"/>
      <c r="D443" s="158">
        <f t="shared" si="7"/>
        <v>0</v>
      </c>
    </row>
    <row r="444" spans="1:4" ht="18" hidden="1">
      <c r="A444" s="177" t="s">
        <v>119</v>
      </c>
      <c r="B444" s="157"/>
      <c r="C444" s="157"/>
      <c r="D444" s="158">
        <f t="shared" si="7"/>
        <v>0</v>
      </c>
    </row>
    <row r="445" spans="1:4" ht="18" hidden="1">
      <c r="A445" s="177" t="s">
        <v>120</v>
      </c>
      <c r="B445" s="157"/>
      <c r="C445" s="157"/>
      <c r="D445" s="158">
        <f t="shared" si="7"/>
        <v>0</v>
      </c>
    </row>
    <row r="446" spans="1:4" ht="18" hidden="1">
      <c r="A446" s="195" t="s">
        <v>121</v>
      </c>
      <c r="B446" s="157"/>
      <c r="C446" s="157"/>
      <c r="D446" s="158">
        <f t="shared" si="7"/>
        <v>0</v>
      </c>
    </row>
    <row r="447" spans="1:4" ht="18" hidden="1">
      <c r="A447" s="186" t="s">
        <v>122</v>
      </c>
      <c r="B447" s="157"/>
      <c r="C447" s="157"/>
      <c r="D447" s="158">
        <f t="shared" si="7"/>
        <v>0</v>
      </c>
    </row>
    <row r="448" spans="1:4" ht="18" hidden="1">
      <c r="A448" s="161" t="s">
        <v>123</v>
      </c>
      <c r="B448" s="157"/>
      <c r="C448" s="157"/>
      <c r="D448" s="158">
        <f t="shared" si="7"/>
        <v>0</v>
      </c>
    </row>
    <row r="449" spans="1:4" ht="18">
      <c r="A449" s="161" t="s">
        <v>124</v>
      </c>
      <c r="B449" s="157">
        <v>33</v>
      </c>
      <c r="C449" s="157">
        <v>19000</v>
      </c>
      <c r="D449" s="158">
        <f t="shared" si="7"/>
        <v>627000</v>
      </c>
    </row>
    <row r="450" spans="1:4" ht="18" hidden="1">
      <c r="A450" s="161" t="s">
        <v>125</v>
      </c>
      <c r="B450" s="157"/>
      <c r="C450" s="157"/>
      <c r="D450" s="158">
        <f t="shared" si="7"/>
        <v>0</v>
      </c>
    </row>
    <row r="451" spans="1:4" ht="18" hidden="1">
      <c r="A451" s="161" t="s">
        <v>126</v>
      </c>
      <c r="B451" s="157"/>
      <c r="C451" s="157"/>
      <c r="D451" s="158">
        <f t="shared" si="7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8">B452*C452</f>
        <v>0</v>
      </c>
    </row>
    <row r="453" spans="1:4" ht="18" hidden="1">
      <c r="A453" s="161" t="s">
        <v>129</v>
      </c>
      <c r="B453" s="157"/>
      <c r="C453" s="157"/>
      <c r="D453" s="158">
        <f t="shared" si="8"/>
        <v>0</v>
      </c>
    </row>
    <row r="454" spans="1:4" ht="18" hidden="1">
      <c r="A454" s="161" t="s">
        <v>362</v>
      </c>
      <c r="B454" s="157"/>
      <c r="C454" s="157"/>
      <c r="D454" s="158">
        <f t="shared" si="8"/>
        <v>0</v>
      </c>
    </row>
    <row r="455" spans="1:4" ht="18" hidden="1">
      <c r="A455" s="161" t="s">
        <v>130</v>
      </c>
      <c r="B455" s="157"/>
      <c r="C455" s="157"/>
      <c r="D455" s="158">
        <f t="shared" si="8"/>
        <v>0</v>
      </c>
    </row>
    <row r="456" spans="1:4" ht="18" hidden="1">
      <c r="A456" s="159" t="s">
        <v>131</v>
      </c>
      <c r="B456" s="157"/>
      <c r="C456" s="157"/>
      <c r="D456" s="158">
        <f t="shared" si="8"/>
        <v>0</v>
      </c>
    </row>
    <row r="457" spans="1:4" ht="18" hidden="1">
      <c r="A457" s="163" t="s">
        <v>132</v>
      </c>
      <c r="B457" s="157"/>
      <c r="C457" s="157"/>
      <c r="D457" s="158">
        <f t="shared" si="8"/>
        <v>0</v>
      </c>
    </row>
    <row r="458" spans="1:4" ht="18" hidden="1">
      <c r="A458" s="161" t="s">
        <v>133</v>
      </c>
      <c r="B458" s="157"/>
      <c r="C458" s="157"/>
      <c r="D458" s="158">
        <f t="shared" si="8"/>
        <v>0</v>
      </c>
    </row>
    <row r="459" spans="1:4" ht="18" hidden="1">
      <c r="A459" s="159" t="s">
        <v>135</v>
      </c>
      <c r="B459" s="157"/>
      <c r="C459" s="157"/>
      <c r="D459" s="158">
        <f t="shared" si="8"/>
        <v>0</v>
      </c>
    </row>
    <row r="460" spans="1:4" ht="18" hidden="1">
      <c r="A460" s="159" t="s">
        <v>136</v>
      </c>
      <c r="B460" s="157"/>
      <c r="C460" s="157"/>
      <c r="D460" s="158">
        <f t="shared" si="8"/>
        <v>0</v>
      </c>
    </row>
    <row r="461" spans="1:4" ht="18">
      <c r="A461" s="161" t="s">
        <v>137</v>
      </c>
      <c r="B461" s="157">
        <v>15</v>
      </c>
      <c r="C461" s="157">
        <v>11000</v>
      </c>
      <c r="D461" s="158">
        <f t="shared" si="8"/>
        <v>165000</v>
      </c>
    </row>
    <row r="462" spans="1:4" ht="18" hidden="1">
      <c r="A462" s="178" t="s">
        <v>139</v>
      </c>
      <c r="B462" s="157"/>
      <c r="C462" s="157"/>
      <c r="D462" s="158">
        <f t="shared" si="8"/>
        <v>0</v>
      </c>
    </row>
    <row r="463" spans="1:4" ht="18" hidden="1">
      <c r="A463" s="173" t="s">
        <v>140</v>
      </c>
      <c r="B463" s="157"/>
      <c r="C463" s="157"/>
      <c r="D463" s="158">
        <f t="shared" si="8"/>
        <v>0</v>
      </c>
    </row>
    <row r="464" spans="1:4" ht="18" hidden="1">
      <c r="A464" s="156" t="s">
        <v>141</v>
      </c>
      <c r="B464" s="162"/>
      <c r="C464" s="162"/>
      <c r="D464" s="158">
        <f t="shared" si="8"/>
        <v>0</v>
      </c>
    </row>
    <row r="465" spans="1:4" ht="18" hidden="1">
      <c r="A465" s="156" t="s">
        <v>142</v>
      </c>
      <c r="B465" s="162"/>
      <c r="C465" s="162"/>
      <c r="D465" s="158">
        <f t="shared" si="8"/>
        <v>0</v>
      </c>
    </row>
    <row r="466" spans="1:4" ht="18" hidden="1">
      <c r="A466" s="156" t="s">
        <v>143</v>
      </c>
      <c r="B466" s="162"/>
      <c r="C466" s="162"/>
      <c r="D466" s="158">
        <f t="shared" si="8"/>
        <v>0</v>
      </c>
    </row>
    <row r="467" spans="1:4" ht="18" hidden="1">
      <c r="A467" s="156" t="s">
        <v>144</v>
      </c>
      <c r="B467" s="179"/>
      <c r="C467" s="179"/>
      <c r="D467" s="158">
        <f t="shared" si="8"/>
        <v>0</v>
      </c>
    </row>
    <row r="468" spans="1:4" ht="18" hidden="1">
      <c r="A468" s="183" t="s">
        <v>145</v>
      </c>
      <c r="B468" s="157"/>
      <c r="C468" s="157"/>
      <c r="D468" s="158">
        <f t="shared" si="8"/>
        <v>0</v>
      </c>
    </row>
    <row r="469" spans="1:4" ht="18" hidden="1">
      <c r="A469" s="156" t="s">
        <v>146</v>
      </c>
      <c r="B469" s="162"/>
      <c r="C469" s="162"/>
      <c r="D469" s="158">
        <f t="shared" si="8"/>
        <v>0</v>
      </c>
    </row>
    <row r="470" spans="1:4" ht="18" hidden="1">
      <c r="A470" s="161" t="s">
        <v>147</v>
      </c>
      <c r="B470" s="157"/>
      <c r="C470" s="157"/>
      <c r="D470" s="158">
        <f t="shared" si="8"/>
        <v>0</v>
      </c>
    </row>
    <row r="471" spans="1:4" ht="18" hidden="1">
      <c r="A471" s="161" t="s">
        <v>148</v>
      </c>
      <c r="B471" s="157"/>
      <c r="C471" s="157"/>
      <c r="D471" s="158">
        <f t="shared" si="8"/>
        <v>0</v>
      </c>
    </row>
    <row r="472" spans="1:4" ht="18">
      <c r="A472" s="161" t="s">
        <v>150</v>
      </c>
      <c r="B472" s="157">
        <v>50</v>
      </c>
      <c r="C472" s="157">
        <v>15000</v>
      </c>
      <c r="D472" s="158">
        <f t="shared" si="8"/>
        <v>750000</v>
      </c>
    </row>
    <row r="473" spans="1:4" ht="18" hidden="1">
      <c r="A473" s="164" t="s">
        <v>151</v>
      </c>
      <c r="B473" s="157"/>
      <c r="C473" s="157"/>
      <c r="D473" s="158">
        <f t="shared" si="8"/>
        <v>0</v>
      </c>
    </row>
    <row r="474" spans="1:4" ht="18" hidden="1">
      <c r="A474" s="156" t="s">
        <v>152</v>
      </c>
      <c r="B474" s="157"/>
      <c r="C474" s="157"/>
      <c r="D474" s="158">
        <f t="shared" si="8"/>
        <v>0</v>
      </c>
    </row>
    <row r="475" spans="1:4" ht="18" hidden="1">
      <c r="A475" s="156" t="s">
        <v>153</v>
      </c>
      <c r="B475" s="157"/>
      <c r="C475" s="157"/>
      <c r="D475" s="158">
        <f t="shared" si="8"/>
        <v>0</v>
      </c>
    </row>
    <row r="476" spans="1:4" ht="18" hidden="1">
      <c r="A476" s="161" t="s">
        <v>154</v>
      </c>
      <c r="B476" s="157"/>
      <c r="C476" s="157"/>
      <c r="D476" s="158">
        <f t="shared" si="8"/>
        <v>0</v>
      </c>
    </row>
    <row r="477" spans="1:4" ht="18" hidden="1">
      <c r="A477" s="161" t="s">
        <v>363</v>
      </c>
      <c r="B477" s="157"/>
      <c r="C477" s="157"/>
      <c r="D477" s="158">
        <f t="shared" si="8"/>
        <v>0</v>
      </c>
    </row>
    <row r="478" spans="1:4" ht="18" hidden="1">
      <c r="A478" s="161" t="s">
        <v>156</v>
      </c>
      <c r="B478" s="162"/>
      <c r="C478" s="162"/>
      <c r="D478" s="158">
        <f t="shared" si="8"/>
        <v>0</v>
      </c>
    </row>
    <row r="479" spans="1:4" ht="18" hidden="1">
      <c r="A479" s="161" t="s">
        <v>157</v>
      </c>
      <c r="B479" s="162"/>
      <c r="C479" s="162"/>
      <c r="D479" s="158">
        <f t="shared" si="8"/>
        <v>0</v>
      </c>
    </row>
    <row r="480" spans="1:4" ht="18" hidden="1">
      <c r="A480" s="161" t="s">
        <v>158</v>
      </c>
      <c r="B480" s="157"/>
      <c r="C480" s="157"/>
      <c r="D480" s="158">
        <f t="shared" si="8"/>
        <v>0</v>
      </c>
    </row>
    <row r="481" spans="1:4" ht="18" hidden="1">
      <c r="A481" s="161" t="s">
        <v>159</v>
      </c>
      <c r="B481" s="162"/>
      <c r="C481" s="162"/>
      <c r="D481" s="158">
        <f t="shared" si="8"/>
        <v>0</v>
      </c>
    </row>
    <row r="482" spans="1:4" ht="18" hidden="1">
      <c r="A482" s="161" t="s">
        <v>160</v>
      </c>
      <c r="B482" s="162"/>
      <c r="C482" s="162"/>
      <c r="D482" s="158">
        <f t="shared" si="8"/>
        <v>0</v>
      </c>
    </row>
    <row r="483" spans="1:4" ht="18" hidden="1">
      <c r="A483" s="161" t="s">
        <v>161</v>
      </c>
      <c r="B483" s="162"/>
      <c r="C483" s="162"/>
      <c r="D483" s="158">
        <f t="shared" si="8"/>
        <v>0</v>
      </c>
    </row>
    <row r="484" spans="1:4" ht="18" hidden="1">
      <c r="A484" s="161" t="s">
        <v>162</v>
      </c>
      <c r="B484" s="162"/>
      <c r="C484" s="162"/>
      <c r="D484" s="158">
        <f t="shared" si="8"/>
        <v>0</v>
      </c>
    </row>
    <row r="485" spans="1:4" ht="18" hidden="1">
      <c r="A485" s="161" t="s">
        <v>163</v>
      </c>
      <c r="B485" s="162"/>
      <c r="C485" s="162"/>
      <c r="D485" s="158">
        <f t="shared" si="8"/>
        <v>0</v>
      </c>
    </row>
    <row r="486" spans="1:4" ht="18" hidden="1">
      <c r="A486" s="161" t="s">
        <v>164</v>
      </c>
      <c r="B486" s="162"/>
      <c r="C486" s="162"/>
      <c r="D486" s="158">
        <f t="shared" si="8"/>
        <v>0</v>
      </c>
    </row>
    <row r="487" spans="1:4" ht="18" hidden="1">
      <c r="A487" s="161" t="s">
        <v>165</v>
      </c>
      <c r="B487" s="162"/>
      <c r="C487" s="162"/>
      <c r="D487" s="158">
        <f t="shared" si="8"/>
        <v>0</v>
      </c>
    </row>
    <row r="488" spans="1:4" ht="18" hidden="1">
      <c r="A488" s="161" t="s">
        <v>166</v>
      </c>
      <c r="B488" s="162"/>
      <c r="C488" s="162"/>
      <c r="D488" s="158">
        <f t="shared" si="8"/>
        <v>0</v>
      </c>
    </row>
    <row r="489" spans="1:4" ht="18" hidden="1">
      <c r="A489" s="161" t="s">
        <v>167</v>
      </c>
      <c r="B489" s="157"/>
      <c r="C489" s="157"/>
      <c r="D489" s="158">
        <f t="shared" si="8"/>
        <v>0</v>
      </c>
    </row>
    <row r="490" spans="1:4" ht="18" hidden="1">
      <c r="A490" s="161" t="s">
        <v>364</v>
      </c>
      <c r="B490" s="157"/>
      <c r="C490" s="157"/>
      <c r="D490" s="158">
        <f t="shared" si="8"/>
        <v>0</v>
      </c>
    </row>
    <row r="491" spans="1:4" ht="18" hidden="1">
      <c r="A491" s="161" t="s">
        <v>168</v>
      </c>
      <c r="B491" s="157"/>
      <c r="C491" s="157"/>
      <c r="D491" s="158">
        <f t="shared" si="8"/>
        <v>0</v>
      </c>
    </row>
    <row r="492" spans="1:4" ht="18" hidden="1">
      <c r="A492" s="161" t="s">
        <v>169</v>
      </c>
      <c r="B492" s="157"/>
      <c r="C492" s="157"/>
      <c r="D492" s="158">
        <f t="shared" si="8"/>
        <v>0</v>
      </c>
    </row>
    <row r="493" spans="1:4" ht="18" hidden="1">
      <c r="A493" s="161" t="s">
        <v>170</v>
      </c>
      <c r="B493" s="157"/>
      <c r="C493" s="157"/>
      <c r="D493" s="158">
        <f t="shared" si="8"/>
        <v>0</v>
      </c>
    </row>
    <row r="494" spans="1:4" ht="18" hidden="1">
      <c r="A494" s="164" t="s">
        <v>171</v>
      </c>
      <c r="B494" s="157"/>
      <c r="C494" s="157"/>
      <c r="D494" s="158">
        <f t="shared" si="8"/>
        <v>0</v>
      </c>
    </row>
    <row r="495" spans="1:4" ht="18" hidden="1">
      <c r="A495" s="161" t="s">
        <v>172</v>
      </c>
      <c r="B495" s="157"/>
      <c r="C495" s="157"/>
      <c r="D495" s="158">
        <f t="shared" si="8"/>
        <v>0</v>
      </c>
    </row>
    <row r="496" spans="1:4" ht="18" hidden="1">
      <c r="A496" s="161" t="s">
        <v>173</v>
      </c>
      <c r="B496" s="157"/>
      <c r="C496" s="157"/>
      <c r="D496" s="158">
        <f t="shared" si="8"/>
        <v>0</v>
      </c>
    </row>
    <row r="497" spans="1:4" ht="18" hidden="1">
      <c r="A497" s="161" t="s">
        <v>174</v>
      </c>
      <c r="B497" s="157"/>
      <c r="C497" s="157"/>
      <c r="D497" s="158">
        <f t="shared" si="8"/>
        <v>0</v>
      </c>
    </row>
    <row r="498" spans="1:4" ht="18" hidden="1">
      <c r="A498" s="161" t="s">
        <v>175</v>
      </c>
      <c r="B498" s="157"/>
      <c r="C498" s="157"/>
      <c r="D498" s="158">
        <f t="shared" si="8"/>
        <v>0</v>
      </c>
    </row>
    <row r="499" spans="1:4" ht="18" hidden="1">
      <c r="A499" s="161" t="s">
        <v>176</v>
      </c>
      <c r="B499" s="162"/>
      <c r="C499" s="162"/>
      <c r="D499" s="158">
        <f t="shared" si="8"/>
        <v>0</v>
      </c>
    </row>
    <row r="500" spans="1:4" ht="18" hidden="1">
      <c r="A500" s="180" t="s">
        <v>177</v>
      </c>
      <c r="B500" s="162"/>
      <c r="C500" s="162"/>
      <c r="D500" s="158">
        <f t="shared" si="8"/>
        <v>0</v>
      </c>
    </row>
    <row r="501" spans="1:4" ht="18" hidden="1">
      <c r="A501" s="161" t="s">
        <v>178</v>
      </c>
      <c r="B501" s="162"/>
      <c r="C501" s="162"/>
      <c r="D501" s="158">
        <f t="shared" si="8"/>
        <v>0</v>
      </c>
    </row>
    <row r="502" spans="1:4" ht="18" hidden="1">
      <c r="A502" s="161" t="s">
        <v>180</v>
      </c>
      <c r="B502" s="157"/>
      <c r="C502" s="157"/>
      <c r="D502" s="158">
        <f t="shared" si="8"/>
        <v>0</v>
      </c>
    </row>
    <row r="503" spans="1:4" ht="18" hidden="1">
      <c r="A503" s="164" t="s">
        <v>181</v>
      </c>
      <c r="B503" s="157"/>
      <c r="C503" s="157"/>
      <c r="D503" s="158">
        <f t="shared" si="8"/>
        <v>0</v>
      </c>
    </row>
    <row r="504" spans="1:4" ht="18">
      <c r="A504" s="161" t="s">
        <v>365</v>
      </c>
      <c r="B504" s="157">
        <v>260</v>
      </c>
      <c r="C504" s="157">
        <v>6500</v>
      </c>
      <c r="D504" s="158">
        <f t="shared" si="8"/>
        <v>1690000</v>
      </c>
    </row>
    <row r="505" spans="1:4" ht="18" hidden="1">
      <c r="A505" s="156" t="s">
        <v>182</v>
      </c>
      <c r="B505" s="157"/>
      <c r="C505" s="157"/>
      <c r="D505" s="158">
        <f t="shared" si="8"/>
        <v>0</v>
      </c>
    </row>
    <row r="506" spans="1:4" ht="18" hidden="1">
      <c r="A506" s="161" t="s">
        <v>183</v>
      </c>
      <c r="B506" s="157"/>
      <c r="C506" s="157"/>
      <c r="D506" s="158">
        <f t="shared" si="8"/>
        <v>0</v>
      </c>
    </row>
    <row r="507" spans="1:4" ht="18" hidden="1">
      <c r="A507" s="161" t="s">
        <v>185</v>
      </c>
      <c r="B507" s="157"/>
      <c r="C507" s="157"/>
      <c r="D507" s="158">
        <f t="shared" si="8"/>
        <v>0</v>
      </c>
    </row>
    <row r="508" spans="1:4" ht="18" hidden="1">
      <c r="A508" s="161" t="s">
        <v>186</v>
      </c>
      <c r="B508" s="157"/>
      <c r="C508" s="157"/>
      <c r="D508" s="158">
        <f t="shared" si="8"/>
        <v>0</v>
      </c>
    </row>
    <row r="509" spans="1:4" ht="18" hidden="1">
      <c r="A509" s="160" t="s">
        <v>187</v>
      </c>
      <c r="B509" s="157"/>
      <c r="C509" s="157"/>
      <c r="D509" s="158">
        <f t="shared" si="8"/>
        <v>0</v>
      </c>
    </row>
    <row r="510" spans="1:4" ht="18" hidden="1">
      <c r="A510" s="161" t="s">
        <v>188</v>
      </c>
      <c r="B510" s="157"/>
      <c r="C510" s="157"/>
      <c r="D510" s="158">
        <f t="shared" si="8"/>
        <v>0</v>
      </c>
    </row>
    <row r="511" spans="1:4" ht="18" hidden="1">
      <c r="A511" s="169" t="s">
        <v>189</v>
      </c>
      <c r="B511" s="170"/>
      <c r="C511" s="170"/>
      <c r="D511" s="158">
        <f t="shared" si="8"/>
        <v>0</v>
      </c>
    </row>
    <row r="512" spans="1:4" ht="18" hidden="1">
      <c r="A512" s="159" t="s">
        <v>190</v>
      </c>
      <c r="B512" s="157"/>
      <c r="C512" s="157"/>
      <c r="D512" s="158">
        <f t="shared" si="8"/>
        <v>0</v>
      </c>
    </row>
    <row r="513" spans="1:4" ht="18" hidden="1">
      <c r="A513" s="161" t="s">
        <v>191</v>
      </c>
      <c r="B513" s="157"/>
      <c r="C513" s="157"/>
      <c r="D513" s="158">
        <f t="shared" si="8"/>
        <v>0</v>
      </c>
    </row>
    <row r="514" spans="1:4" ht="18" hidden="1">
      <c r="A514" s="161" t="s">
        <v>192</v>
      </c>
      <c r="B514" s="157"/>
      <c r="C514" s="157"/>
      <c r="D514" s="158">
        <f t="shared" si="8"/>
        <v>0</v>
      </c>
    </row>
    <row r="515" spans="1:4" ht="18" hidden="1">
      <c r="A515" s="156" t="s">
        <v>193</v>
      </c>
      <c r="B515" s="157"/>
      <c r="C515" s="157"/>
      <c r="D515" s="158">
        <f t="shared" si="8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9">B516*C516</f>
        <v>0</v>
      </c>
    </row>
    <row r="517" spans="1:4" ht="18" hidden="1">
      <c r="A517" s="161" t="s">
        <v>195</v>
      </c>
      <c r="B517" s="157"/>
      <c r="C517" s="157"/>
      <c r="D517" s="158">
        <f t="shared" si="9"/>
        <v>0</v>
      </c>
    </row>
    <row r="518" spans="1:4" ht="18" hidden="1">
      <c r="A518" s="156" t="s">
        <v>196</v>
      </c>
      <c r="B518" s="157"/>
      <c r="C518" s="157"/>
      <c r="D518" s="158">
        <f t="shared" si="9"/>
        <v>0</v>
      </c>
    </row>
    <row r="519" spans="1:4" ht="18" hidden="1">
      <c r="A519" s="156" t="s">
        <v>197</v>
      </c>
      <c r="B519" s="157"/>
      <c r="C519" s="157"/>
      <c r="D519" s="158">
        <f t="shared" si="9"/>
        <v>0</v>
      </c>
    </row>
    <row r="520" spans="1:4" ht="18">
      <c r="A520" s="156" t="s">
        <v>198</v>
      </c>
      <c r="B520" s="157">
        <v>500</v>
      </c>
      <c r="C520" s="157">
        <v>8500</v>
      </c>
      <c r="D520" s="158">
        <f t="shared" si="9"/>
        <v>4250000</v>
      </c>
    </row>
    <row r="521" spans="1:4" ht="18" hidden="1">
      <c r="A521" s="161" t="s">
        <v>199</v>
      </c>
      <c r="B521" s="157"/>
      <c r="C521" s="157"/>
      <c r="D521" s="158">
        <f t="shared" si="9"/>
        <v>0</v>
      </c>
    </row>
    <row r="522" spans="1:4" ht="18" hidden="1">
      <c r="A522" s="156" t="s">
        <v>200</v>
      </c>
      <c r="B522" s="157"/>
      <c r="C522" s="157"/>
      <c r="D522" s="158">
        <f t="shared" si="9"/>
        <v>0</v>
      </c>
    </row>
    <row r="523" spans="1:4" ht="18" hidden="1">
      <c r="A523" s="156" t="s">
        <v>201</v>
      </c>
      <c r="B523" s="157"/>
      <c r="C523" s="157"/>
      <c r="D523" s="158">
        <f t="shared" si="9"/>
        <v>0</v>
      </c>
    </row>
    <row r="524" spans="1:4" ht="18" hidden="1">
      <c r="A524" s="156" t="s">
        <v>202</v>
      </c>
      <c r="B524" s="157"/>
      <c r="C524" s="157"/>
      <c r="D524" s="158">
        <f t="shared" si="9"/>
        <v>0</v>
      </c>
    </row>
    <row r="525" spans="1:4" ht="18" hidden="1">
      <c r="A525" s="161" t="s">
        <v>203</v>
      </c>
      <c r="B525" s="157"/>
      <c r="C525" s="157"/>
      <c r="D525" s="158">
        <f t="shared" si="9"/>
        <v>0</v>
      </c>
    </row>
    <row r="526" spans="1:4" ht="18" hidden="1">
      <c r="A526" s="164" t="s">
        <v>204</v>
      </c>
      <c r="B526" s="157"/>
      <c r="C526" s="157"/>
      <c r="D526" s="158">
        <f t="shared" si="9"/>
        <v>0</v>
      </c>
    </row>
    <row r="527" spans="1:4" ht="18" hidden="1">
      <c r="A527" s="164" t="s">
        <v>205</v>
      </c>
      <c r="B527" s="157"/>
      <c r="C527" s="157"/>
      <c r="D527" s="158">
        <f t="shared" si="9"/>
        <v>0</v>
      </c>
    </row>
    <row r="528" spans="1:4" ht="18" hidden="1">
      <c r="A528" s="164" t="s">
        <v>206</v>
      </c>
      <c r="B528" s="157"/>
      <c r="C528" s="157"/>
      <c r="D528" s="158">
        <f t="shared" si="9"/>
        <v>0</v>
      </c>
    </row>
    <row r="529" spans="1:4" ht="18" hidden="1">
      <c r="A529" s="164" t="s">
        <v>207</v>
      </c>
      <c r="B529" s="157"/>
      <c r="C529" s="157"/>
      <c r="D529" s="158">
        <f t="shared" si="9"/>
        <v>0</v>
      </c>
    </row>
    <row r="530" spans="1:4" ht="18" hidden="1">
      <c r="A530" s="156" t="s">
        <v>208</v>
      </c>
      <c r="B530" s="157"/>
      <c r="C530" s="157"/>
      <c r="D530" s="158">
        <f t="shared" si="9"/>
        <v>0</v>
      </c>
    </row>
    <row r="531" spans="1:4" ht="18" hidden="1">
      <c r="A531" s="161" t="s">
        <v>209</v>
      </c>
      <c r="B531" s="157"/>
      <c r="C531" s="157"/>
      <c r="D531" s="158">
        <f t="shared" si="9"/>
        <v>0</v>
      </c>
    </row>
    <row r="532" spans="1:4" ht="18" hidden="1">
      <c r="A532" s="187" t="s">
        <v>210</v>
      </c>
      <c r="B532" s="157"/>
      <c r="C532" s="157"/>
      <c r="D532" s="158">
        <f t="shared" si="9"/>
        <v>0</v>
      </c>
    </row>
    <row r="533" spans="1:4" ht="18" hidden="1">
      <c r="A533" s="187" t="s">
        <v>211</v>
      </c>
      <c r="B533" s="157"/>
      <c r="C533" s="157"/>
      <c r="D533" s="158">
        <f t="shared" si="9"/>
        <v>0</v>
      </c>
    </row>
    <row r="534" spans="1:4" ht="18" hidden="1">
      <c r="A534" s="187" t="s">
        <v>212</v>
      </c>
      <c r="B534" s="157"/>
      <c r="C534" s="157"/>
      <c r="D534" s="158">
        <f t="shared" si="9"/>
        <v>0</v>
      </c>
    </row>
    <row r="535" spans="1:4" ht="18" hidden="1">
      <c r="A535" s="187" t="s">
        <v>213</v>
      </c>
      <c r="B535" s="157"/>
      <c r="C535" s="157"/>
      <c r="D535" s="158">
        <f t="shared" si="9"/>
        <v>0</v>
      </c>
    </row>
    <row r="536" spans="1:4" ht="18" hidden="1">
      <c r="A536" s="161" t="s">
        <v>214</v>
      </c>
      <c r="B536" s="157"/>
      <c r="C536" s="157"/>
      <c r="D536" s="158">
        <f t="shared" si="9"/>
        <v>0</v>
      </c>
    </row>
    <row r="537" spans="1:4" ht="18" hidden="1">
      <c r="A537" s="167" t="s">
        <v>215</v>
      </c>
      <c r="B537" s="157"/>
      <c r="C537" s="157"/>
      <c r="D537" s="158">
        <f t="shared" si="9"/>
        <v>0</v>
      </c>
    </row>
    <row r="538" spans="1:4" ht="18" hidden="1">
      <c r="A538" s="161" t="s">
        <v>216</v>
      </c>
      <c r="B538" s="157"/>
      <c r="C538" s="157"/>
      <c r="D538" s="158">
        <f t="shared" si="9"/>
        <v>0</v>
      </c>
    </row>
    <row r="539" spans="1:4" ht="18" hidden="1">
      <c r="A539" s="156" t="s">
        <v>217</v>
      </c>
      <c r="B539" s="157"/>
      <c r="C539" s="157"/>
      <c r="D539" s="158">
        <f t="shared" si="9"/>
        <v>0</v>
      </c>
    </row>
    <row r="540" spans="1:4" ht="18" hidden="1">
      <c r="A540" s="161" t="s">
        <v>366</v>
      </c>
      <c r="B540" s="157"/>
      <c r="C540" s="157"/>
      <c r="D540" s="158">
        <f t="shared" si="9"/>
        <v>0</v>
      </c>
    </row>
    <row r="541" spans="1:4" ht="18" hidden="1">
      <c r="A541" s="161" t="s">
        <v>218</v>
      </c>
      <c r="B541" s="157"/>
      <c r="C541" s="157"/>
      <c r="D541" s="158">
        <f t="shared" si="9"/>
        <v>0</v>
      </c>
    </row>
    <row r="542" spans="1:4" ht="18">
      <c r="A542" s="161" t="s">
        <v>219</v>
      </c>
      <c r="B542" s="157">
        <v>400</v>
      </c>
      <c r="C542" s="157">
        <v>18500</v>
      </c>
      <c r="D542" s="158">
        <f t="shared" si="9"/>
        <v>7400000</v>
      </c>
    </row>
    <row r="543" spans="1:4" ht="18" hidden="1">
      <c r="A543" s="175" t="s">
        <v>220</v>
      </c>
      <c r="B543" s="157"/>
      <c r="C543" s="157"/>
      <c r="D543" s="158">
        <f t="shared" si="9"/>
        <v>0</v>
      </c>
    </row>
    <row r="544" spans="1:4" ht="18" hidden="1">
      <c r="A544" s="175" t="s">
        <v>221</v>
      </c>
      <c r="B544" s="157"/>
      <c r="C544" s="157"/>
      <c r="D544" s="158">
        <f t="shared" si="9"/>
        <v>0</v>
      </c>
    </row>
    <row r="545" spans="1:4" ht="18" hidden="1">
      <c r="A545" s="161" t="s">
        <v>222</v>
      </c>
      <c r="B545" s="157"/>
      <c r="C545" s="157"/>
      <c r="D545" s="158">
        <f t="shared" si="9"/>
        <v>0</v>
      </c>
    </row>
    <row r="546" spans="1:4" ht="18" hidden="1">
      <c r="A546" s="159" t="s">
        <v>223</v>
      </c>
      <c r="B546" s="157"/>
      <c r="C546" s="157"/>
      <c r="D546" s="158">
        <f t="shared" si="9"/>
        <v>0</v>
      </c>
    </row>
    <row r="547" spans="1:4" ht="18" hidden="1">
      <c r="A547" s="161" t="s">
        <v>224</v>
      </c>
      <c r="B547" s="157"/>
      <c r="C547" s="157"/>
      <c r="D547" s="158">
        <f t="shared" si="9"/>
        <v>0</v>
      </c>
    </row>
    <row r="548" spans="1:4" ht="18" hidden="1">
      <c r="A548" s="159" t="s">
        <v>367</v>
      </c>
      <c r="B548" s="157"/>
      <c r="C548" s="157"/>
      <c r="D548" s="158">
        <f t="shared" si="9"/>
        <v>0</v>
      </c>
    </row>
    <row r="549" spans="1:4" ht="18" hidden="1">
      <c r="A549" s="161" t="s">
        <v>225</v>
      </c>
      <c r="B549" s="157"/>
      <c r="C549" s="157"/>
      <c r="D549" s="158">
        <f t="shared" si="9"/>
        <v>0</v>
      </c>
    </row>
    <row r="550" spans="1:4" ht="18" hidden="1">
      <c r="A550" s="161" t="s">
        <v>226</v>
      </c>
      <c r="B550" s="157"/>
      <c r="C550" s="157"/>
      <c r="D550" s="158">
        <f t="shared" si="9"/>
        <v>0</v>
      </c>
    </row>
    <row r="551" spans="1:4" ht="18" hidden="1">
      <c r="A551" s="161" t="s">
        <v>368</v>
      </c>
      <c r="B551" s="157"/>
      <c r="C551" s="157"/>
      <c r="D551" s="158">
        <f t="shared" si="9"/>
        <v>0</v>
      </c>
    </row>
    <row r="552" spans="1:4" ht="18" hidden="1">
      <c r="A552" s="161" t="s">
        <v>369</v>
      </c>
      <c r="B552" s="157"/>
      <c r="C552" s="157"/>
      <c r="D552" s="158">
        <f t="shared" si="9"/>
        <v>0</v>
      </c>
    </row>
    <row r="553" spans="1:4" ht="18" hidden="1">
      <c r="A553" s="161" t="s">
        <v>227</v>
      </c>
      <c r="B553" s="157"/>
      <c r="C553" s="157"/>
      <c r="D553" s="158">
        <f t="shared" si="9"/>
        <v>0</v>
      </c>
    </row>
    <row r="554" spans="1:4" ht="18" hidden="1">
      <c r="A554" s="165" t="s">
        <v>228</v>
      </c>
      <c r="B554" s="157"/>
      <c r="C554" s="157"/>
      <c r="D554" s="158">
        <f t="shared" si="9"/>
        <v>0</v>
      </c>
    </row>
    <row r="555" spans="1:4" ht="18" hidden="1">
      <c r="A555" s="161" t="s">
        <v>229</v>
      </c>
      <c r="B555" s="157"/>
      <c r="C555" s="157"/>
      <c r="D555" s="158">
        <f t="shared" si="9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9"/>
        <v>4500000</v>
      </c>
    </row>
    <row r="557" spans="1:4" ht="18" hidden="1">
      <c r="A557" s="161" t="s">
        <v>231</v>
      </c>
      <c r="B557" s="157"/>
      <c r="C557" s="157"/>
      <c r="D557" s="158">
        <f t="shared" si="9"/>
        <v>0</v>
      </c>
    </row>
    <row r="558" spans="1:4" ht="18" hidden="1">
      <c r="A558" s="161" t="s">
        <v>370</v>
      </c>
      <c r="B558" s="157"/>
      <c r="C558" s="157"/>
      <c r="D558" s="158">
        <f t="shared" si="9"/>
        <v>0</v>
      </c>
    </row>
    <row r="559" spans="1:4" ht="18" hidden="1">
      <c r="A559" s="161" t="s">
        <v>232</v>
      </c>
      <c r="B559" s="157"/>
      <c r="C559" s="157"/>
      <c r="D559" s="158">
        <f t="shared" si="9"/>
        <v>0</v>
      </c>
    </row>
    <row r="560" spans="1:4" ht="18" hidden="1">
      <c r="A560" s="164" t="s">
        <v>233</v>
      </c>
      <c r="B560" s="157"/>
      <c r="C560" s="157"/>
      <c r="D560" s="158">
        <f t="shared" si="9"/>
        <v>0</v>
      </c>
    </row>
    <row r="561" spans="1:4" ht="18" hidden="1">
      <c r="A561" s="164" t="s">
        <v>234</v>
      </c>
      <c r="B561" s="157"/>
      <c r="C561" s="157"/>
      <c r="D561" s="158">
        <f t="shared" si="9"/>
        <v>0</v>
      </c>
    </row>
    <row r="562" spans="1:4" ht="18" hidden="1">
      <c r="A562" s="164" t="s">
        <v>235</v>
      </c>
      <c r="B562" s="157"/>
      <c r="C562" s="157"/>
      <c r="D562" s="158">
        <f t="shared" si="9"/>
        <v>0</v>
      </c>
    </row>
    <row r="563" spans="1:4" ht="18" hidden="1">
      <c r="A563" s="164" t="s">
        <v>236</v>
      </c>
      <c r="B563" s="157"/>
      <c r="C563" s="157"/>
      <c r="D563" s="158">
        <f t="shared" si="9"/>
        <v>0</v>
      </c>
    </row>
    <row r="564" spans="1:4" ht="18" hidden="1">
      <c r="A564" s="161" t="s">
        <v>237</v>
      </c>
      <c r="B564" s="157"/>
      <c r="C564" s="157"/>
      <c r="D564" s="158">
        <f t="shared" si="9"/>
        <v>0</v>
      </c>
    </row>
    <row r="565" spans="1:4" ht="18" hidden="1">
      <c r="A565" s="161" t="s">
        <v>238</v>
      </c>
      <c r="B565" s="157"/>
      <c r="C565" s="157"/>
      <c r="D565" s="158">
        <f t="shared" si="9"/>
        <v>0</v>
      </c>
    </row>
    <row r="566" spans="1:4" ht="18" hidden="1">
      <c r="A566" s="164" t="s">
        <v>239</v>
      </c>
      <c r="B566" s="157"/>
      <c r="C566" s="157"/>
      <c r="D566" s="158">
        <f t="shared" si="9"/>
        <v>0</v>
      </c>
    </row>
    <row r="567" spans="1:4" ht="18" hidden="1">
      <c r="A567" s="164" t="s">
        <v>240</v>
      </c>
      <c r="B567" s="157"/>
      <c r="C567" s="157"/>
      <c r="D567" s="158">
        <f t="shared" si="9"/>
        <v>0</v>
      </c>
    </row>
    <row r="568" spans="1:4" ht="18" hidden="1">
      <c r="A568" s="159" t="s">
        <v>241</v>
      </c>
      <c r="B568" s="157"/>
      <c r="C568" s="157"/>
      <c r="D568" s="158">
        <f t="shared" si="9"/>
        <v>0</v>
      </c>
    </row>
    <row r="569" spans="1:4" ht="18" hidden="1">
      <c r="A569" s="156" t="s">
        <v>242</v>
      </c>
      <c r="B569" s="157"/>
      <c r="C569" s="157"/>
      <c r="D569" s="158">
        <f t="shared" si="9"/>
        <v>0</v>
      </c>
    </row>
    <row r="570" spans="1:4" ht="18" hidden="1">
      <c r="A570" s="163" t="s">
        <v>371</v>
      </c>
      <c r="B570" s="157"/>
      <c r="C570" s="157"/>
      <c r="D570" s="158">
        <f t="shared" si="9"/>
        <v>0</v>
      </c>
    </row>
    <row r="571" spans="1:4" ht="18" hidden="1">
      <c r="A571" s="163" t="s">
        <v>372</v>
      </c>
      <c r="B571" s="157"/>
      <c r="C571" s="157"/>
      <c r="D571" s="158">
        <f t="shared" si="9"/>
        <v>0</v>
      </c>
    </row>
    <row r="572" spans="1:4" ht="18" hidden="1">
      <c r="A572" s="159" t="s">
        <v>247</v>
      </c>
      <c r="B572" s="157"/>
      <c r="C572" s="157"/>
      <c r="D572" s="158">
        <f t="shared" si="9"/>
        <v>0</v>
      </c>
    </row>
    <row r="573" spans="1:4" ht="18" hidden="1">
      <c r="A573" s="161" t="s">
        <v>252</v>
      </c>
      <c r="B573" s="157"/>
      <c r="C573" s="157"/>
      <c r="D573" s="158">
        <f t="shared" si="9"/>
        <v>0</v>
      </c>
    </row>
    <row r="574" spans="1:4" ht="18" hidden="1">
      <c r="A574" s="161" t="s">
        <v>253</v>
      </c>
      <c r="B574" s="157"/>
      <c r="C574" s="157"/>
      <c r="D574" s="158">
        <f t="shared" si="9"/>
        <v>0</v>
      </c>
    </row>
    <row r="575" spans="1:4" ht="18" hidden="1">
      <c r="A575" s="173" t="s">
        <v>254</v>
      </c>
      <c r="B575" s="157"/>
      <c r="C575" s="157"/>
      <c r="D575" s="158">
        <f t="shared" si="9"/>
        <v>0</v>
      </c>
    </row>
    <row r="576" spans="1:4" ht="18" hidden="1">
      <c r="A576" s="173" t="s">
        <v>255</v>
      </c>
      <c r="B576" s="157"/>
      <c r="C576" s="157"/>
      <c r="D576" s="158">
        <f t="shared" si="9"/>
        <v>0</v>
      </c>
    </row>
    <row r="577" spans="1:4" ht="18" hidden="1">
      <c r="A577" s="187" t="s">
        <v>256</v>
      </c>
      <c r="B577" s="157"/>
      <c r="C577" s="157"/>
      <c r="D577" s="158">
        <f t="shared" si="9"/>
        <v>0</v>
      </c>
    </row>
    <row r="578" spans="1:4" ht="18" hidden="1">
      <c r="A578" s="161" t="s">
        <v>257</v>
      </c>
      <c r="B578" s="157"/>
      <c r="C578" s="157"/>
      <c r="D578" s="158">
        <f t="shared" si="9"/>
        <v>0</v>
      </c>
    </row>
    <row r="579" spans="1:4" ht="18" hidden="1">
      <c r="A579" s="161" t="s">
        <v>258</v>
      </c>
      <c r="B579" s="157"/>
      <c r="C579" s="157"/>
      <c r="D579" s="158">
        <f t="shared" si="9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10">B580*C580</f>
        <v>0</v>
      </c>
    </row>
    <row r="581" spans="1:4" ht="18" hidden="1">
      <c r="A581" s="187" t="s">
        <v>260</v>
      </c>
      <c r="B581" s="157"/>
      <c r="C581" s="157"/>
      <c r="D581" s="158">
        <f t="shared" si="10"/>
        <v>0</v>
      </c>
    </row>
    <row r="582" spans="1:4" ht="18" hidden="1">
      <c r="A582" s="161" t="s">
        <v>261</v>
      </c>
      <c r="B582" s="162"/>
      <c r="C582" s="162"/>
      <c r="D582" s="158">
        <f t="shared" si="10"/>
        <v>0</v>
      </c>
    </row>
    <row r="583" spans="1:4" ht="18" hidden="1">
      <c r="A583" s="161" t="s">
        <v>262</v>
      </c>
      <c r="B583" s="157"/>
      <c r="C583" s="157"/>
      <c r="D583" s="158">
        <f t="shared" si="10"/>
        <v>0</v>
      </c>
    </row>
    <row r="584" spans="1:4" ht="18" hidden="1">
      <c r="A584" s="159" t="s">
        <v>264</v>
      </c>
      <c r="B584" s="157"/>
      <c r="C584" s="157"/>
      <c r="D584" s="158">
        <f t="shared" si="10"/>
        <v>0</v>
      </c>
    </row>
    <row r="585" spans="1:4" ht="18">
      <c r="A585" s="161" t="s">
        <v>265</v>
      </c>
      <c r="B585" s="157">
        <v>20</v>
      </c>
      <c r="C585" s="157">
        <v>25000</v>
      </c>
      <c r="D585" s="158">
        <f t="shared" si="10"/>
        <v>500000</v>
      </c>
    </row>
    <row r="586" spans="1:4" ht="18" hidden="1">
      <c r="A586" s="161" t="s">
        <v>266</v>
      </c>
      <c r="B586" s="157"/>
      <c r="C586" s="157"/>
      <c r="D586" s="158">
        <f t="shared" si="10"/>
        <v>0</v>
      </c>
    </row>
    <row r="587" spans="1:4" ht="18" hidden="1">
      <c r="A587" s="161" t="s">
        <v>267</v>
      </c>
      <c r="B587" s="157"/>
      <c r="C587" s="157"/>
      <c r="D587" s="158">
        <f t="shared" si="10"/>
        <v>0</v>
      </c>
    </row>
    <row r="588" spans="1:4" ht="18" hidden="1">
      <c r="A588" s="161" t="s">
        <v>268</v>
      </c>
      <c r="B588" s="157"/>
      <c r="C588" s="157"/>
      <c r="D588" s="158">
        <f t="shared" si="10"/>
        <v>0</v>
      </c>
    </row>
    <row r="589" spans="1:4" ht="18" hidden="1">
      <c r="A589" s="161" t="s">
        <v>269</v>
      </c>
      <c r="B589" s="157"/>
      <c r="C589" s="157"/>
      <c r="D589" s="158">
        <f t="shared" si="10"/>
        <v>0</v>
      </c>
    </row>
    <row r="590" spans="1:4" ht="18" hidden="1">
      <c r="A590" s="164" t="s">
        <v>270</v>
      </c>
      <c r="B590" s="157"/>
      <c r="C590" s="157"/>
      <c r="D590" s="158">
        <f t="shared" si="10"/>
        <v>0</v>
      </c>
    </row>
    <row r="591" spans="1:4" ht="18" hidden="1">
      <c r="A591" s="163" t="s">
        <v>271</v>
      </c>
      <c r="B591" s="157"/>
      <c r="C591" s="157"/>
      <c r="D591" s="158">
        <f t="shared" si="10"/>
        <v>0</v>
      </c>
    </row>
    <row r="592" spans="1:4" ht="18" hidden="1">
      <c r="A592" s="163" t="s">
        <v>272</v>
      </c>
      <c r="B592" s="157"/>
      <c r="C592" s="157"/>
      <c r="D592" s="158">
        <f t="shared" si="10"/>
        <v>0</v>
      </c>
    </row>
    <row r="593" spans="1:4" ht="18">
      <c r="A593" s="161" t="s">
        <v>273</v>
      </c>
      <c r="B593" s="157">
        <v>20</v>
      </c>
      <c r="C593" s="157">
        <v>25000</v>
      </c>
      <c r="D593" s="158">
        <f t="shared" si="10"/>
        <v>500000</v>
      </c>
    </row>
    <row r="594" spans="1:4" ht="18" hidden="1">
      <c r="A594" s="161" t="s">
        <v>274</v>
      </c>
      <c r="B594" s="157"/>
      <c r="C594" s="157"/>
      <c r="D594" s="158">
        <f t="shared" si="10"/>
        <v>0</v>
      </c>
    </row>
    <row r="595" spans="1:4" ht="18" hidden="1">
      <c r="A595" s="161" t="s">
        <v>275</v>
      </c>
      <c r="B595" s="157"/>
      <c r="C595" s="157"/>
      <c r="D595" s="158">
        <f t="shared" si="10"/>
        <v>0</v>
      </c>
    </row>
    <row r="596" spans="1:4" ht="18" hidden="1">
      <c r="A596" s="161" t="s">
        <v>276</v>
      </c>
      <c r="B596" s="157"/>
      <c r="C596" s="157"/>
      <c r="D596" s="158">
        <f t="shared" si="10"/>
        <v>0</v>
      </c>
    </row>
    <row r="597" spans="1:4" ht="18">
      <c r="A597" s="161" t="s">
        <v>277</v>
      </c>
      <c r="B597" s="157">
        <v>20</v>
      </c>
      <c r="C597" s="157">
        <v>18000</v>
      </c>
      <c r="D597" s="158">
        <f t="shared" si="10"/>
        <v>360000</v>
      </c>
    </row>
    <row r="598" spans="1:4" ht="18" hidden="1">
      <c r="A598" s="161" t="s">
        <v>278</v>
      </c>
      <c r="B598" s="157"/>
      <c r="C598" s="157"/>
      <c r="D598" s="158">
        <f t="shared" si="10"/>
        <v>0</v>
      </c>
    </row>
    <row r="599" spans="1:4" ht="18" hidden="1">
      <c r="A599" s="161" t="s">
        <v>279</v>
      </c>
      <c r="B599" s="157"/>
      <c r="C599" s="157"/>
      <c r="D599" s="158">
        <f t="shared" si="10"/>
        <v>0</v>
      </c>
    </row>
    <row r="600" spans="1:4" ht="18" hidden="1">
      <c r="A600" s="161" t="s">
        <v>280</v>
      </c>
      <c r="B600" s="162"/>
      <c r="C600" s="162"/>
      <c r="D600" s="158">
        <f t="shared" si="10"/>
        <v>0</v>
      </c>
    </row>
    <row r="601" spans="1:4" ht="18" hidden="1">
      <c r="A601" s="173" t="s">
        <v>281</v>
      </c>
      <c r="B601" s="157"/>
      <c r="C601" s="157"/>
      <c r="D601" s="158">
        <f t="shared" si="10"/>
        <v>0</v>
      </c>
    </row>
    <row r="602" spans="1:4" ht="18" hidden="1">
      <c r="A602" s="161" t="s">
        <v>282</v>
      </c>
      <c r="B602" s="157"/>
      <c r="C602" s="157"/>
      <c r="D602" s="158">
        <f t="shared" si="10"/>
        <v>0</v>
      </c>
    </row>
    <row r="603" spans="1:4" ht="18" hidden="1">
      <c r="A603" s="159" t="s">
        <v>373</v>
      </c>
      <c r="B603" s="157"/>
      <c r="C603" s="157"/>
      <c r="D603" s="158">
        <f t="shared" si="10"/>
        <v>0</v>
      </c>
    </row>
    <row r="604" spans="1:4" ht="18" hidden="1">
      <c r="A604" s="159" t="s">
        <v>283</v>
      </c>
      <c r="B604" s="157"/>
      <c r="C604" s="157"/>
      <c r="D604" s="158">
        <f t="shared" si="10"/>
        <v>0</v>
      </c>
    </row>
    <row r="605" spans="1:4" ht="18" hidden="1">
      <c r="A605" s="161" t="s">
        <v>284</v>
      </c>
      <c r="B605" s="157"/>
      <c r="C605" s="157"/>
      <c r="D605" s="158">
        <f t="shared" si="10"/>
        <v>0</v>
      </c>
    </row>
    <row r="606" spans="1:4" ht="18" hidden="1">
      <c r="A606" s="161" t="s">
        <v>374</v>
      </c>
      <c r="B606" s="157"/>
      <c r="C606" s="157"/>
      <c r="D606" s="158">
        <f t="shared" si="10"/>
        <v>0</v>
      </c>
    </row>
    <row r="607" spans="1:4" ht="18" hidden="1">
      <c r="A607" s="161" t="s">
        <v>285</v>
      </c>
      <c r="B607" s="157"/>
      <c r="C607" s="157"/>
      <c r="D607" s="158">
        <f t="shared" si="10"/>
        <v>0</v>
      </c>
    </row>
    <row r="608" spans="1:4" ht="18" hidden="1">
      <c r="A608" s="161" t="s">
        <v>375</v>
      </c>
      <c r="B608" s="157"/>
      <c r="C608" s="157"/>
      <c r="D608" s="158">
        <f t="shared" si="10"/>
        <v>0</v>
      </c>
    </row>
    <row r="609" spans="1:4" ht="18" hidden="1">
      <c r="A609" s="161" t="s">
        <v>287</v>
      </c>
      <c r="B609" s="157"/>
      <c r="C609" s="157"/>
      <c r="D609" s="158">
        <f t="shared" si="10"/>
        <v>0</v>
      </c>
    </row>
    <row r="610" spans="1:4" ht="18" hidden="1">
      <c r="A610" s="161" t="s">
        <v>288</v>
      </c>
      <c r="B610" s="157"/>
      <c r="C610" s="157"/>
      <c r="D610" s="158">
        <f t="shared" si="10"/>
        <v>0</v>
      </c>
    </row>
    <row r="611" spans="1:4" ht="18" hidden="1">
      <c r="A611" s="161" t="s">
        <v>289</v>
      </c>
      <c r="B611" s="157"/>
      <c r="C611" s="157"/>
      <c r="D611" s="158">
        <f t="shared" si="10"/>
        <v>0</v>
      </c>
    </row>
    <row r="612" spans="1:4" ht="18" hidden="1">
      <c r="A612" s="187" t="s">
        <v>291</v>
      </c>
      <c r="B612" s="157"/>
      <c r="C612" s="157"/>
      <c r="D612" s="158">
        <f t="shared" si="10"/>
        <v>0</v>
      </c>
    </row>
    <row r="613" spans="1:4" ht="18" hidden="1">
      <c r="A613" s="161" t="s">
        <v>292</v>
      </c>
      <c r="B613" s="157"/>
      <c r="C613" s="157"/>
      <c r="D613" s="158">
        <f t="shared" si="10"/>
        <v>0</v>
      </c>
    </row>
    <row r="614" spans="1:4" ht="18" hidden="1">
      <c r="A614" s="187" t="s">
        <v>293</v>
      </c>
      <c r="B614" s="157"/>
      <c r="C614" s="157"/>
      <c r="D614" s="158">
        <f t="shared" si="10"/>
        <v>0</v>
      </c>
    </row>
    <row r="615" spans="1:4" ht="18" hidden="1">
      <c r="A615" s="159" t="s">
        <v>376</v>
      </c>
      <c r="B615" s="157"/>
      <c r="C615" s="157"/>
      <c r="D615" s="158">
        <f t="shared" si="10"/>
        <v>0</v>
      </c>
    </row>
    <row r="616" spans="1:4" ht="18" hidden="1">
      <c r="A616" s="187" t="s">
        <v>294</v>
      </c>
      <c r="B616" s="157"/>
      <c r="C616" s="157"/>
      <c r="D616" s="158">
        <f t="shared" si="10"/>
        <v>0</v>
      </c>
    </row>
    <row r="617" spans="1:4" ht="18" hidden="1">
      <c r="A617" s="156" t="s">
        <v>295</v>
      </c>
      <c r="B617" s="162"/>
      <c r="C617" s="162"/>
      <c r="D617" s="158">
        <f t="shared" si="10"/>
        <v>0</v>
      </c>
    </row>
    <row r="618" spans="1:4" ht="18" hidden="1">
      <c r="A618" s="164" t="s">
        <v>299</v>
      </c>
      <c r="B618" s="157"/>
      <c r="C618" s="157"/>
      <c r="D618" s="158">
        <f t="shared" si="10"/>
        <v>0</v>
      </c>
    </row>
    <row r="619" spans="1:4" ht="18" hidden="1">
      <c r="A619" s="164" t="s">
        <v>300</v>
      </c>
      <c r="B619" s="157"/>
      <c r="C619" s="157"/>
      <c r="D619" s="158">
        <f t="shared" si="10"/>
        <v>0</v>
      </c>
    </row>
    <row r="620" spans="1:4" ht="18" hidden="1">
      <c r="A620" s="164" t="s">
        <v>301</v>
      </c>
      <c r="B620" s="157"/>
      <c r="C620" s="157"/>
      <c r="D620" s="158">
        <f t="shared" si="10"/>
        <v>0</v>
      </c>
    </row>
    <row r="621" spans="1:4" ht="18" hidden="1">
      <c r="A621" s="161" t="s">
        <v>302</v>
      </c>
      <c r="B621" s="157"/>
      <c r="C621" s="157"/>
      <c r="D621" s="158">
        <f t="shared" si="10"/>
        <v>0</v>
      </c>
    </row>
    <row r="622" spans="1:4" ht="18" hidden="1">
      <c r="A622" s="164" t="s">
        <v>303</v>
      </c>
      <c r="B622" s="157"/>
      <c r="C622" s="157"/>
      <c r="D622" s="158">
        <f t="shared" si="10"/>
        <v>0</v>
      </c>
    </row>
    <row r="623" spans="1:4" ht="18" hidden="1">
      <c r="A623" s="161" t="s">
        <v>304</v>
      </c>
      <c r="B623" s="157"/>
      <c r="C623" s="157"/>
      <c r="D623" s="158">
        <f t="shared" si="10"/>
        <v>0</v>
      </c>
    </row>
    <row r="624" spans="1:4" ht="18" hidden="1">
      <c r="A624" s="161" t="s">
        <v>305</v>
      </c>
      <c r="B624" s="157"/>
      <c r="C624" s="157"/>
      <c r="D624" s="158">
        <f t="shared" si="10"/>
        <v>0</v>
      </c>
    </row>
    <row r="625" spans="1:4" ht="18" hidden="1">
      <c r="A625" s="164" t="s">
        <v>306</v>
      </c>
      <c r="B625" s="157"/>
      <c r="C625" s="157"/>
      <c r="D625" s="158">
        <f t="shared" si="10"/>
        <v>0</v>
      </c>
    </row>
    <row r="626" spans="1:4" ht="18" hidden="1">
      <c r="A626" s="186" t="s">
        <v>307</v>
      </c>
      <c r="B626" s="157"/>
      <c r="C626" s="157"/>
      <c r="D626" s="158">
        <f t="shared" si="10"/>
        <v>0</v>
      </c>
    </row>
    <row r="627" spans="1:4" ht="18" hidden="1">
      <c r="A627" s="161" t="s">
        <v>308</v>
      </c>
      <c r="B627" s="157"/>
      <c r="C627" s="157"/>
      <c r="D627" s="158">
        <f t="shared" si="10"/>
        <v>0</v>
      </c>
    </row>
    <row r="628" spans="1:4" ht="18" hidden="1">
      <c r="A628" s="173" t="s">
        <v>309</v>
      </c>
      <c r="B628" s="157"/>
      <c r="C628" s="157"/>
      <c r="D628" s="158">
        <f t="shared" si="10"/>
        <v>0</v>
      </c>
    </row>
    <row r="629" spans="1:4" ht="18" hidden="1">
      <c r="A629" s="156" t="s">
        <v>311</v>
      </c>
      <c r="B629" s="157"/>
      <c r="C629" s="157"/>
      <c r="D629" s="158">
        <f t="shared" si="10"/>
        <v>0</v>
      </c>
    </row>
    <row r="630" spans="1:4" ht="18" hidden="1">
      <c r="A630" s="164" t="s">
        <v>312</v>
      </c>
      <c r="B630" s="157"/>
      <c r="C630" s="157"/>
      <c r="D630" s="158">
        <f t="shared" si="10"/>
        <v>0</v>
      </c>
    </row>
    <row r="631" spans="1:4" ht="18" hidden="1">
      <c r="A631" s="173" t="s">
        <v>313</v>
      </c>
      <c r="B631" s="157"/>
      <c r="C631" s="157"/>
      <c r="D631" s="158">
        <f t="shared" si="10"/>
        <v>0</v>
      </c>
    </row>
    <row r="632" spans="1:4" ht="18" hidden="1">
      <c r="A632" s="161" t="s">
        <v>314</v>
      </c>
      <c r="B632" s="157"/>
      <c r="C632" s="157"/>
      <c r="D632" s="158">
        <f t="shared" si="10"/>
        <v>0</v>
      </c>
    </row>
    <row r="633" spans="1:4" ht="18" hidden="1">
      <c r="A633" s="164" t="s">
        <v>315</v>
      </c>
      <c r="B633" s="157"/>
      <c r="C633" s="157"/>
      <c r="D633" s="158">
        <f t="shared" si="10"/>
        <v>0</v>
      </c>
    </row>
    <row r="634" spans="1:4" ht="18" hidden="1">
      <c r="A634" s="156" t="s">
        <v>377</v>
      </c>
      <c r="B634" s="157"/>
      <c r="C634" s="157"/>
      <c r="D634" s="158">
        <f t="shared" si="10"/>
        <v>0</v>
      </c>
    </row>
    <row r="635" spans="1:4" ht="18" hidden="1">
      <c r="A635" s="161" t="s">
        <v>378</v>
      </c>
      <c r="B635" s="157"/>
      <c r="C635" s="157"/>
      <c r="D635" s="158">
        <f t="shared" si="10"/>
        <v>0</v>
      </c>
    </row>
    <row r="636" spans="1:4" ht="18" hidden="1">
      <c r="A636" s="159" t="s">
        <v>318</v>
      </c>
      <c r="B636" s="157"/>
      <c r="C636" s="157"/>
      <c r="D636" s="158">
        <f t="shared" si="10"/>
        <v>0</v>
      </c>
    </row>
    <row r="637" spans="1:4" ht="18" hidden="1">
      <c r="A637" s="161" t="s">
        <v>379</v>
      </c>
      <c r="B637" s="157"/>
      <c r="C637" s="157"/>
      <c r="D637" s="158">
        <f t="shared" si="10"/>
        <v>0</v>
      </c>
    </row>
    <row r="638" spans="1:4" ht="18" hidden="1">
      <c r="A638" s="156" t="s">
        <v>319</v>
      </c>
      <c r="B638" s="157"/>
      <c r="C638" s="157"/>
      <c r="D638" s="158">
        <f t="shared" si="10"/>
        <v>0</v>
      </c>
    </row>
    <row r="639" spans="1:4" ht="18" hidden="1">
      <c r="A639" s="156" t="s">
        <v>320</v>
      </c>
      <c r="B639" s="157"/>
      <c r="C639" s="157"/>
      <c r="D639" s="158">
        <f t="shared" si="10"/>
        <v>0</v>
      </c>
    </row>
    <row r="640" spans="1:4" ht="18" hidden="1">
      <c r="A640" s="161" t="s">
        <v>321</v>
      </c>
      <c r="B640" s="157"/>
      <c r="C640" s="157"/>
      <c r="D640" s="158">
        <f t="shared" si="10"/>
        <v>0</v>
      </c>
    </row>
    <row r="641" spans="1:4" ht="18" hidden="1">
      <c r="A641" s="161" t="s">
        <v>322</v>
      </c>
      <c r="B641" s="157"/>
      <c r="C641" s="157"/>
      <c r="D641" s="158">
        <f t="shared" si="10"/>
        <v>0</v>
      </c>
    </row>
    <row r="642" spans="1:4" ht="18" hidden="1">
      <c r="A642" s="161" t="s">
        <v>323</v>
      </c>
      <c r="B642" s="157"/>
      <c r="C642" s="157"/>
      <c r="D642" s="158">
        <f t="shared" si="10"/>
        <v>0</v>
      </c>
    </row>
    <row r="643" spans="1:4" ht="18" hidden="1">
      <c r="A643" s="173" t="s">
        <v>324</v>
      </c>
      <c r="B643" s="157"/>
      <c r="C643" s="157"/>
      <c r="D643" s="158">
        <f t="shared" si="10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1">B644*C644</f>
        <v>0</v>
      </c>
    </row>
    <row r="645" spans="1:4" ht="18" hidden="1">
      <c r="A645" s="163" t="s">
        <v>326</v>
      </c>
      <c r="B645" s="157"/>
      <c r="C645" s="157"/>
      <c r="D645" s="158">
        <f t="shared" si="11"/>
        <v>0</v>
      </c>
    </row>
    <row r="646" spans="1:4" ht="18" hidden="1">
      <c r="A646" s="173" t="s">
        <v>327</v>
      </c>
      <c r="B646" s="157"/>
      <c r="C646" s="157"/>
      <c r="D646" s="158">
        <f t="shared" si="11"/>
        <v>0</v>
      </c>
    </row>
    <row r="647" spans="1:4" ht="18" hidden="1">
      <c r="A647" s="161" t="s">
        <v>328</v>
      </c>
      <c r="B647" s="157"/>
      <c r="C647" s="157"/>
      <c r="D647" s="158">
        <f t="shared" si="11"/>
        <v>0</v>
      </c>
    </row>
    <row r="648" spans="1:4" ht="18" hidden="1">
      <c r="A648" s="161" t="s">
        <v>329</v>
      </c>
      <c r="B648" s="157"/>
      <c r="C648" s="157"/>
      <c r="D648" s="158">
        <f t="shared" si="11"/>
        <v>0</v>
      </c>
    </row>
    <row r="649" spans="1:4" ht="18" hidden="1">
      <c r="A649" s="161" t="s">
        <v>330</v>
      </c>
      <c r="B649" s="157"/>
      <c r="C649" s="157"/>
      <c r="D649" s="158">
        <f t="shared" si="11"/>
        <v>0</v>
      </c>
    </row>
    <row r="650" spans="1:4" ht="18" hidden="1">
      <c r="A650" s="161" t="s">
        <v>331</v>
      </c>
      <c r="B650" s="157"/>
      <c r="C650" s="157"/>
      <c r="D650" s="158">
        <f t="shared" si="11"/>
        <v>0</v>
      </c>
    </row>
    <row r="651" spans="1:4" ht="18" hidden="1">
      <c r="A651" s="163" t="s">
        <v>332</v>
      </c>
      <c r="B651" s="157"/>
      <c r="C651" s="157"/>
      <c r="D651" s="158">
        <f t="shared" si="11"/>
        <v>0</v>
      </c>
    </row>
    <row r="652" spans="1:4" ht="18" hidden="1">
      <c r="A652" s="161" t="s">
        <v>333</v>
      </c>
      <c r="B652" s="157"/>
      <c r="C652" s="157"/>
      <c r="D652" s="158">
        <f t="shared" si="11"/>
        <v>0</v>
      </c>
    </row>
    <row r="653" spans="1:4" ht="18" hidden="1">
      <c r="A653" s="161" t="s">
        <v>334</v>
      </c>
      <c r="B653" s="157"/>
      <c r="C653" s="157"/>
      <c r="D653" s="158">
        <f t="shared" si="11"/>
        <v>0</v>
      </c>
    </row>
    <row r="654" spans="1:4" ht="18" hidden="1">
      <c r="A654" s="156" t="s">
        <v>335</v>
      </c>
      <c r="B654" s="157"/>
      <c r="C654" s="157"/>
      <c r="D654" s="158">
        <f t="shared" si="11"/>
        <v>0</v>
      </c>
    </row>
    <row r="655" spans="1:4" ht="18" hidden="1">
      <c r="A655" s="161" t="s">
        <v>336</v>
      </c>
      <c r="B655" s="174"/>
      <c r="C655" s="174"/>
      <c r="D655" s="158">
        <f t="shared" si="11"/>
        <v>0</v>
      </c>
    </row>
    <row r="656" spans="1:4" ht="18" hidden="1">
      <c r="A656" s="161" t="s">
        <v>337</v>
      </c>
      <c r="B656" s="157"/>
      <c r="C656" s="157"/>
      <c r="D656" s="158">
        <f t="shared" si="11"/>
        <v>0</v>
      </c>
    </row>
    <row r="657" spans="1:4" ht="18" hidden="1">
      <c r="A657" s="161" t="s">
        <v>338</v>
      </c>
      <c r="B657" s="157"/>
      <c r="C657" s="157"/>
      <c r="D657" s="158">
        <f t="shared" si="11"/>
        <v>0</v>
      </c>
    </row>
    <row r="658" spans="1:4" ht="18" hidden="1">
      <c r="A658" s="163" t="s">
        <v>339</v>
      </c>
      <c r="B658" s="157"/>
      <c r="C658" s="157"/>
      <c r="D658" s="158">
        <f t="shared" si="11"/>
        <v>0</v>
      </c>
    </row>
    <row r="659" spans="1:4" ht="18" hidden="1">
      <c r="A659" s="163" t="s">
        <v>340</v>
      </c>
      <c r="B659" s="157"/>
      <c r="C659" s="157"/>
      <c r="D659" s="158">
        <f t="shared" si="11"/>
        <v>0</v>
      </c>
    </row>
    <row r="660" spans="1:4" ht="18" hidden="1">
      <c r="A660" s="161" t="s">
        <v>341</v>
      </c>
      <c r="B660" s="157"/>
      <c r="C660" s="157"/>
      <c r="D660" s="158">
        <f t="shared" si="11"/>
        <v>0</v>
      </c>
    </row>
    <row r="661" spans="1:4" ht="18" hidden="1">
      <c r="A661" s="161" t="s">
        <v>342</v>
      </c>
      <c r="B661" s="157"/>
      <c r="C661" s="157"/>
      <c r="D661" s="158">
        <f t="shared" si="11"/>
        <v>0</v>
      </c>
    </row>
    <row r="662" spans="1:4" ht="18" hidden="1">
      <c r="A662" s="163" t="s">
        <v>343</v>
      </c>
      <c r="B662" s="157"/>
      <c r="C662" s="157"/>
      <c r="D662" s="158">
        <f t="shared" si="11"/>
        <v>0</v>
      </c>
    </row>
    <row r="663" spans="1:4" ht="18" hidden="1">
      <c r="A663" s="161" t="s">
        <v>344</v>
      </c>
      <c r="B663" s="157"/>
      <c r="C663" s="157"/>
      <c r="D663" s="158">
        <f t="shared" si="11"/>
        <v>0</v>
      </c>
    </row>
    <row r="664" spans="1:4" ht="18" hidden="1">
      <c r="A664" s="161" t="s">
        <v>345</v>
      </c>
      <c r="B664" s="157"/>
      <c r="C664" s="157"/>
      <c r="D664" s="158">
        <f t="shared" si="11"/>
        <v>0</v>
      </c>
    </row>
    <row r="665" spans="1:4" ht="18" hidden="1">
      <c r="A665" s="161" t="s">
        <v>346</v>
      </c>
      <c r="B665" s="157"/>
      <c r="C665" s="157"/>
      <c r="D665" s="158">
        <f t="shared" si="11"/>
        <v>0</v>
      </c>
    </row>
    <row r="666" spans="1:4" ht="18" hidden="1">
      <c r="A666" s="161" t="s">
        <v>347</v>
      </c>
      <c r="B666" s="157"/>
      <c r="C666" s="157"/>
      <c r="D666" s="158">
        <f t="shared" si="11"/>
        <v>0</v>
      </c>
    </row>
    <row r="667" spans="1:4" ht="18" hidden="1">
      <c r="A667" s="161" t="s">
        <v>348</v>
      </c>
      <c r="B667" s="157"/>
      <c r="C667" s="157"/>
      <c r="D667" s="158">
        <f t="shared" si="11"/>
        <v>0</v>
      </c>
    </row>
    <row r="668" spans="1:4" ht="18" hidden="1">
      <c r="A668" s="161" t="s">
        <v>349</v>
      </c>
      <c r="B668" s="157"/>
      <c r="C668" s="157"/>
      <c r="D668" s="158">
        <f t="shared" si="11"/>
        <v>0</v>
      </c>
    </row>
    <row r="669" spans="1:4" ht="18" hidden="1">
      <c r="A669" s="161" t="s">
        <v>350</v>
      </c>
      <c r="B669" s="157"/>
      <c r="C669" s="157"/>
      <c r="D669" s="158">
        <f t="shared" si="11"/>
        <v>0</v>
      </c>
    </row>
    <row r="670" spans="1:4" ht="18" hidden="1">
      <c r="A670" s="161" t="s">
        <v>351</v>
      </c>
      <c r="B670" s="157"/>
      <c r="C670" s="157"/>
      <c r="D670" s="158">
        <f t="shared" si="11"/>
        <v>0</v>
      </c>
    </row>
    <row r="671" spans="1:4" ht="18" hidden="1">
      <c r="A671" s="159" t="s">
        <v>353</v>
      </c>
      <c r="B671" s="157"/>
      <c r="C671" s="157"/>
      <c r="D671" s="158">
        <f t="shared" si="11"/>
        <v>0</v>
      </c>
    </row>
    <row r="672" spans="1:4" ht="17.399999999999999">
      <c r="A672" s="188"/>
      <c r="B672" s="189">
        <f>SUM(B345:B671)</f>
        <v>3058</v>
      </c>
      <c r="C672" s="189"/>
      <c r="D672" s="189">
        <f t="shared" ref="D672" si="12">SUM(D345:D671)</f>
        <v>41079500</v>
      </c>
    </row>
    <row r="674" spans="4:4">
      <c r="D674" s="190">
        <f>D672+D340</f>
        <v>107893500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4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674"/>
  <sheetViews>
    <sheetView topLeftCell="A340" workbookViewId="0">
      <selection activeCell="D674" sqref="D674"/>
    </sheetView>
  </sheetViews>
  <sheetFormatPr defaultRowHeight="14.4"/>
  <cols>
    <col min="1" max="1" width="28.44140625" customWidth="1"/>
    <col min="3" max="3" width="12.88671875" customWidth="1"/>
    <col min="4" max="4" width="23.5546875" customWidth="1"/>
  </cols>
  <sheetData>
    <row r="1" spans="1:4">
      <c r="A1" s="151" t="s">
        <v>417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31.2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3</v>
      </c>
      <c r="C15" s="157">
        <v>18000</v>
      </c>
      <c r="D15" s="158">
        <f t="shared" si="0"/>
        <v>54000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>
      <c r="A19" s="159" t="s">
        <v>26</v>
      </c>
      <c r="B19" s="157">
        <v>10</v>
      </c>
      <c r="C19" s="184">
        <v>14000</v>
      </c>
      <c r="D19" s="158">
        <f t="shared" si="0"/>
        <v>140000</v>
      </c>
    </row>
    <row r="20" spans="1:4" ht="18">
      <c r="A20" s="161" t="s">
        <v>27</v>
      </c>
      <c r="B20" s="157">
        <f>-1000+2360</f>
        <v>1360</v>
      </c>
      <c r="C20" s="157">
        <v>14000</v>
      </c>
      <c r="D20" s="158">
        <f t="shared" si="0"/>
        <v>19040000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-30+12+18</f>
        <v>0</v>
      </c>
      <c r="C25" s="157">
        <v>11500</v>
      </c>
      <c r="D25" s="158">
        <f t="shared" si="0"/>
        <v>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v>18</v>
      </c>
      <c r="C38" s="157">
        <v>17000</v>
      </c>
      <c r="D38" s="158">
        <f t="shared" si="0"/>
        <v>306000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>
      <c r="A48" s="180" t="s">
        <v>59</v>
      </c>
      <c r="B48" s="157">
        <v>28</v>
      </c>
      <c r="C48" s="157">
        <v>33000</v>
      </c>
      <c r="D48" s="158">
        <f t="shared" si="0"/>
        <v>924000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-300+60+600</f>
        <v>360</v>
      </c>
      <c r="C54" s="157">
        <v>24000</v>
      </c>
      <c r="D54" s="158">
        <f t="shared" si="0"/>
        <v>8640000</v>
      </c>
    </row>
    <row r="55" spans="1:4" ht="18">
      <c r="A55" s="161" t="s">
        <v>66</v>
      </c>
      <c r="B55" s="157">
        <v>2.5</v>
      </c>
      <c r="C55" s="157">
        <v>11500</v>
      </c>
      <c r="D55" s="158">
        <f t="shared" si="0"/>
        <v>28750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20</v>
      </c>
      <c r="C64" s="157">
        <v>21000</v>
      </c>
      <c r="D64" s="158">
        <f t="shared" si="0"/>
        <v>420000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-150+130+140+20+12+20</f>
        <v>172</v>
      </c>
      <c r="C78" s="157">
        <v>24000</v>
      </c>
      <c r="D78" s="158">
        <f t="shared" si="1"/>
        <v>4128000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40</v>
      </c>
      <c r="C80" s="157">
        <v>26000</v>
      </c>
      <c r="D80" s="158">
        <f t="shared" si="1"/>
        <v>1040000</v>
      </c>
    </row>
    <row r="81" spans="1:4" ht="18">
      <c r="A81" s="161" t="s">
        <v>94</v>
      </c>
      <c r="B81" s="157">
        <v>6</v>
      </c>
      <c r="C81" s="157">
        <v>22000</v>
      </c>
      <c r="D81" s="158">
        <f t="shared" si="1"/>
        <v>132000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>
      <c r="A87" s="161" t="s">
        <v>100</v>
      </c>
      <c r="B87" s="157">
        <f>18+35</f>
        <v>53</v>
      </c>
      <c r="C87" s="157">
        <v>21000</v>
      </c>
      <c r="D87" s="158">
        <f t="shared" si="1"/>
        <v>1113000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>
      <c r="A114" s="161" t="s">
        <v>127</v>
      </c>
      <c r="B114" s="157">
        <v>4.8</v>
      </c>
      <c r="C114" s="157">
        <v>22000</v>
      </c>
      <c r="D114" s="158">
        <f t="shared" si="1"/>
        <v>105600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-20+36</f>
        <v>16</v>
      </c>
      <c r="C123" s="157">
        <v>11000</v>
      </c>
      <c r="D123" s="158">
        <f t="shared" si="1"/>
        <v>176000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>
      <c r="A133" s="161" t="s">
        <v>147</v>
      </c>
      <c r="B133" s="157">
        <v>2</v>
      </c>
      <c r="C133" s="157">
        <v>9500</v>
      </c>
      <c r="D133" s="158">
        <f t="shared" si="2"/>
        <v>19000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-60+107+45</f>
        <v>92</v>
      </c>
      <c r="C136" s="157">
        <v>15000</v>
      </c>
      <c r="D136" s="158">
        <f t="shared" si="2"/>
        <v>1380000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37</v>
      </c>
      <c r="C171" s="157">
        <v>11000</v>
      </c>
      <c r="D171" s="158">
        <f t="shared" si="2"/>
        <v>407000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-500+1780</f>
        <v>1280</v>
      </c>
      <c r="C184" s="157">
        <v>8500</v>
      </c>
      <c r="D184" s="158">
        <f t="shared" si="2"/>
        <v>10880000</v>
      </c>
    </row>
    <row r="185" spans="1:4" ht="18">
      <c r="A185" s="161" t="s">
        <v>199</v>
      </c>
      <c r="B185" s="157">
        <v>98</v>
      </c>
      <c r="C185" s="157">
        <v>4000</v>
      </c>
      <c r="D185" s="158">
        <f t="shared" si="2"/>
        <v>392000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v>180</v>
      </c>
      <c r="C202" s="157">
        <v>20000</v>
      </c>
      <c r="D202" s="158">
        <f t="shared" si="3"/>
        <v>3600000</v>
      </c>
    </row>
    <row r="203" spans="1:4" ht="18">
      <c r="A203" s="156" t="s">
        <v>217</v>
      </c>
      <c r="B203" s="157">
        <f>160+60+40</f>
        <v>260</v>
      </c>
      <c r="C203" s="157">
        <v>20000</v>
      </c>
      <c r="D203" s="158">
        <f t="shared" si="3"/>
        <v>5200000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-400+270+180+270</f>
        <v>320</v>
      </c>
      <c r="C205" s="157">
        <v>20250</v>
      </c>
      <c r="D205" s="158">
        <f t="shared" si="3"/>
        <v>6480000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-300+95+170+70+210+4</f>
        <v>249</v>
      </c>
      <c r="C216" s="157">
        <v>15000</v>
      </c>
      <c r="D216" s="158">
        <f t="shared" si="3"/>
        <v>3735000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60</v>
      </c>
      <c r="C218" s="157">
        <v>13000</v>
      </c>
      <c r="D218" s="158">
        <f t="shared" si="3"/>
        <v>780000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</v>
      </c>
      <c r="C248" s="157">
        <v>14000</v>
      </c>
      <c r="D248" s="158">
        <f t="shared" si="3"/>
        <v>14000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-20+15+40</f>
        <v>35</v>
      </c>
      <c r="C251" s="157">
        <v>25000</v>
      </c>
      <c r="D251" s="158">
        <f t="shared" si="3"/>
        <v>875000</v>
      </c>
    </row>
    <row r="252" spans="1:4" ht="18">
      <c r="A252" s="161" t="s">
        <v>266</v>
      </c>
      <c r="B252" s="157">
        <f>18+4+7+1</f>
        <v>30</v>
      </c>
      <c r="C252" s="157">
        <v>18000</v>
      </c>
      <c r="D252" s="158">
        <f t="shared" si="3"/>
        <v>540000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-20+20+13+27+15+7</f>
        <v>62</v>
      </c>
      <c r="C259" s="157">
        <v>25000</v>
      </c>
      <c r="D259" s="158">
        <f t="shared" si="3"/>
        <v>1550000</v>
      </c>
    </row>
    <row r="260" spans="1:4" ht="18">
      <c r="A260" s="161" t="s">
        <v>274</v>
      </c>
      <c r="B260" s="157">
        <f>10+29</f>
        <v>39</v>
      </c>
      <c r="C260" s="157">
        <v>18000</v>
      </c>
      <c r="D260" s="158">
        <f t="shared" ref="D260:D323" si="4">B260*C260</f>
        <v>702000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-20+32+3+5</f>
        <v>20</v>
      </c>
      <c r="C263" s="157">
        <v>18000</v>
      </c>
      <c r="D263" s="158">
        <f t="shared" si="4"/>
        <v>360000</v>
      </c>
    </row>
    <row r="264" spans="1:4" ht="18">
      <c r="A264" s="161" t="s">
        <v>278</v>
      </c>
      <c r="B264" s="157">
        <v>20</v>
      </c>
      <c r="C264" s="157">
        <v>14000</v>
      </c>
      <c r="D264" s="158">
        <f t="shared" si="4"/>
        <v>280000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2</v>
      </c>
      <c r="C274" s="157">
        <v>14000</v>
      </c>
      <c r="D274" s="158">
        <f t="shared" si="4"/>
        <v>28000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21</v>
      </c>
      <c r="C288" s="157">
        <v>11500</v>
      </c>
      <c r="D288" s="158">
        <f t="shared" si="4"/>
        <v>241500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15</v>
      </c>
      <c r="C291" s="157">
        <v>8500</v>
      </c>
      <c r="D291" s="158">
        <f t="shared" si="4"/>
        <v>127500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52</v>
      </c>
      <c r="C294" s="157">
        <v>9000</v>
      </c>
      <c r="D294" s="158">
        <f t="shared" si="4"/>
        <v>468000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4968.3</v>
      </c>
      <c r="C340" s="189"/>
      <c r="D340" s="158">
        <f>SUM(D15:D294)</f>
        <v>74306350</v>
      </c>
    </row>
    <row r="341" spans="1:4" ht="18" hidden="1">
      <c r="D341" s="158">
        <f t="shared" si="5"/>
        <v>0</v>
      </c>
    </row>
    <row r="342" spans="1:4" ht="18">
      <c r="A342" s="151" t="s">
        <v>418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v>170</v>
      </c>
      <c r="C348" s="157">
        <v>7300</v>
      </c>
      <c r="D348" s="158">
        <f t="shared" si="5"/>
        <v>1241000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31.2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v>1000</v>
      </c>
      <c r="C362" s="157">
        <v>14000</v>
      </c>
      <c r="D362" s="158">
        <f t="shared" si="5"/>
        <v>14000000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11500</v>
      </c>
      <c r="D367" s="158">
        <f t="shared" si="5"/>
        <v>345000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24000</v>
      </c>
      <c r="D389" s="158">
        <f t="shared" si="6"/>
        <v>7200000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150</v>
      </c>
      <c r="C414" s="157">
        <v>24000</v>
      </c>
      <c r="D414" s="158">
        <f t="shared" si="6"/>
        <v>3600000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56</v>
      </c>
      <c r="C449" s="157">
        <v>19000</v>
      </c>
      <c r="D449" s="158">
        <f t="shared" si="6"/>
        <v>1064000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15000</v>
      </c>
      <c r="D472" s="158">
        <f t="shared" si="7"/>
        <v>900000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500</v>
      </c>
      <c r="C520" s="157">
        <v>8500</v>
      </c>
      <c r="D520" s="158">
        <f t="shared" si="8"/>
        <v>4250000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>
      <c r="A540" s="161" t="s">
        <v>366</v>
      </c>
      <c r="B540" s="157">
        <v>10</v>
      </c>
      <c r="C540" s="157">
        <v>12000</v>
      </c>
      <c r="D540" s="158">
        <f t="shared" si="8"/>
        <v>120000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20250</v>
      </c>
      <c r="D542" s="158">
        <f t="shared" si="8"/>
        <v>8100000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25000</v>
      </c>
      <c r="D585" s="158">
        <f t="shared" si="9"/>
        <v>500000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25000</v>
      </c>
      <c r="D593" s="158">
        <f t="shared" si="9"/>
        <v>500000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18000</v>
      </c>
      <c r="D597" s="158">
        <f t="shared" si="9"/>
        <v>360000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3056</v>
      </c>
      <c r="C672" s="189"/>
      <c r="D672" s="189">
        <f t="shared" ref="D672" si="11">SUM(D345:D671)</f>
        <v>46900000</v>
      </c>
    </row>
    <row r="674" spans="4:4">
      <c r="D674" s="190">
        <f>D672+D340</f>
        <v>121206350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5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674"/>
  <sheetViews>
    <sheetView topLeftCell="A454" workbookViewId="0">
      <selection activeCell="D674" sqref="D674"/>
    </sheetView>
  </sheetViews>
  <sheetFormatPr defaultRowHeight="14.4"/>
  <cols>
    <col min="1" max="1" width="37.6640625" customWidth="1"/>
    <col min="2" max="2" width="12.109375" customWidth="1"/>
    <col min="3" max="3" width="16.88671875" customWidth="1"/>
    <col min="4" max="4" width="22.44140625" customWidth="1"/>
  </cols>
  <sheetData>
    <row r="1" spans="1:4">
      <c r="A1" s="151" t="s">
        <v>419</v>
      </c>
      <c r="B1" s="152"/>
      <c r="C1" s="152"/>
      <c r="D1" s="152"/>
    </row>
    <row r="2" spans="1: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6</v>
      </c>
      <c r="C18" s="157">
        <v>4000</v>
      </c>
      <c r="D18" s="158">
        <f t="shared" si="0"/>
        <v>24000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f>-1000+2270+2280+105</f>
        <v>3655</v>
      </c>
      <c r="C20" s="157">
        <v>12500</v>
      </c>
      <c r="D20" s="158">
        <f t="shared" si="0"/>
        <v>45687500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-30+80+95</f>
        <v>145</v>
      </c>
      <c r="C25" s="157">
        <v>11500</v>
      </c>
      <c r="D25" s="158">
        <f t="shared" si="0"/>
        <v>1667500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v>35</v>
      </c>
      <c r="C28" s="157">
        <v>17000</v>
      </c>
      <c r="D28" s="158">
        <f t="shared" si="0"/>
        <v>595000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-300+140+20+400-80</f>
        <v>180</v>
      </c>
      <c r="C54" s="157">
        <v>23000</v>
      </c>
      <c r="D54" s="158">
        <f t="shared" si="0"/>
        <v>4140000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6</v>
      </c>
      <c r="C57" s="157">
        <v>6900</v>
      </c>
      <c r="D57" s="158">
        <f t="shared" si="0"/>
        <v>41400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2</v>
      </c>
      <c r="C61" s="157">
        <v>11500</v>
      </c>
      <c r="D61" s="158">
        <f t="shared" si="0"/>
        <v>23000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108</v>
      </c>
      <c r="C64" s="157">
        <v>21000</v>
      </c>
      <c r="D64" s="158">
        <f t="shared" si="0"/>
        <v>2268000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-150+180</f>
        <v>30</v>
      </c>
      <c r="C78" s="157">
        <v>24000</v>
      </c>
      <c r="D78" s="158">
        <f t="shared" si="1"/>
        <v>720000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120</v>
      </c>
      <c r="C80" s="157">
        <v>26000</v>
      </c>
      <c r="D80" s="158">
        <f t="shared" si="1"/>
        <v>3120000</v>
      </c>
    </row>
    <row r="81" spans="1:4" ht="18">
      <c r="A81" s="161" t="s">
        <v>94</v>
      </c>
      <c r="B81" s="157">
        <v>33</v>
      </c>
      <c r="C81" s="157">
        <v>22000</v>
      </c>
      <c r="D81" s="158">
        <f t="shared" si="1"/>
        <v>726000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-60+110</f>
        <v>50</v>
      </c>
      <c r="C136" s="157">
        <v>15000</v>
      </c>
      <c r="D136" s="158">
        <f t="shared" si="2"/>
        <v>750000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>
      <c r="A169" s="161" t="s">
        <v>183</v>
      </c>
      <c r="B169" s="157">
        <f>230-84</f>
        <v>146</v>
      </c>
      <c r="C169" s="181">
        <v>6500</v>
      </c>
      <c r="D169" s="158">
        <f t="shared" si="2"/>
        <v>949000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42</v>
      </c>
      <c r="C171" s="157">
        <v>11000</v>
      </c>
      <c r="D171" s="158">
        <f t="shared" si="2"/>
        <v>462000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-500+1186+15</f>
        <v>701</v>
      </c>
      <c r="C184" s="157">
        <v>8500</v>
      </c>
      <c r="D184" s="158">
        <f t="shared" si="2"/>
        <v>5958500</v>
      </c>
    </row>
    <row r="185" spans="1:4" ht="18">
      <c r="A185" s="161" t="s">
        <v>199</v>
      </c>
      <c r="B185" s="157">
        <f>40*3+36</f>
        <v>156</v>
      </c>
      <c r="C185" s="157">
        <v>4000</v>
      </c>
      <c r="D185" s="158">
        <f t="shared" si="2"/>
        <v>624000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v>280</v>
      </c>
      <c r="C202" s="157">
        <v>20000</v>
      </c>
      <c r="D202" s="158">
        <f t="shared" si="3"/>
        <v>5600000</v>
      </c>
    </row>
    <row r="203" spans="1:4" ht="18">
      <c r="A203" s="156" t="s">
        <v>217</v>
      </c>
      <c r="B203" s="157">
        <v>260</v>
      </c>
      <c r="C203" s="157">
        <v>20000</v>
      </c>
      <c r="D203" s="158">
        <f t="shared" si="3"/>
        <v>5200000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-400+80+130+180+280+9</f>
        <v>279</v>
      </c>
      <c r="C205" s="157">
        <v>20500</v>
      </c>
      <c r="D205" s="158">
        <f t="shared" si="3"/>
        <v>5719500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-300+210+100</f>
        <v>10</v>
      </c>
      <c r="C216" s="157">
        <v>15000</v>
      </c>
      <c r="D216" s="158">
        <f t="shared" si="3"/>
        <v>150000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40+190</f>
        <v>230</v>
      </c>
      <c r="C218" s="157">
        <v>6500</v>
      </c>
      <c r="D218" s="158">
        <f t="shared" si="3"/>
        <v>1495000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 hidden="1">
      <c r="A248" s="161" t="s">
        <v>262</v>
      </c>
      <c r="B248" s="157"/>
      <c r="C248" s="157"/>
      <c r="D248" s="158">
        <f t="shared" si="3"/>
        <v>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-20+15+30+60+3</f>
        <v>88</v>
      </c>
      <c r="C251" s="157">
        <v>23000</v>
      </c>
      <c r="D251" s="158">
        <f t="shared" si="3"/>
        <v>2024000</v>
      </c>
    </row>
    <row r="252" spans="1:4" ht="18">
      <c r="A252" s="161" t="s">
        <v>266</v>
      </c>
      <c r="B252" s="157">
        <v>7</v>
      </c>
      <c r="C252" s="157">
        <v>18000</v>
      </c>
      <c r="D252" s="158">
        <f t="shared" si="3"/>
        <v>126000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-20+20+40+10+3</f>
        <v>53</v>
      </c>
      <c r="C259" s="157">
        <v>23000</v>
      </c>
      <c r="D259" s="158">
        <f t="shared" si="3"/>
        <v>1219000</v>
      </c>
    </row>
    <row r="260" spans="1:4" ht="18">
      <c r="A260" s="161" t="s">
        <v>274</v>
      </c>
      <c r="B260" s="157">
        <v>8</v>
      </c>
      <c r="C260" s="157">
        <v>18000</v>
      </c>
      <c r="D260" s="158">
        <f t="shared" ref="D260:D323" si="4">B260*C260</f>
        <v>144000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-20+40+20+20+3</f>
        <v>63</v>
      </c>
      <c r="C263" s="157">
        <v>15000</v>
      </c>
      <c r="D263" s="158">
        <f t="shared" si="4"/>
        <v>945000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13</v>
      </c>
      <c r="C274" s="157">
        <v>13000</v>
      </c>
      <c r="D274" s="158">
        <f t="shared" si="4"/>
        <v>169000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f>14+26</f>
        <v>40</v>
      </c>
      <c r="C288" s="157">
        <v>11000</v>
      </c>
      <c r="D288" s="158">
        <f t="shared" si="4"/>
        <v>440000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2</v>
      </c>
      <c r="C291" s="157">
        <v>8500</v>
      </c>
      <c r="D291" s="158">
        <f t="shared" si="4"/>
        <v>17000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 hidden="1">
      <c r="A294" s="161" t="s">
        <v>308</v>
      </c>
      <c r="B294" s="157"/>
      <c r="C294" s="157"/>
      <c r="D294" s="158">
        <f t="shared" si="4"/>
        <v>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6748</v>
      </c>
      <c r="C340" s="189"/>
      <c r="D340" s="158">
        <f>SUM(D18:D291)</f>
        <v>91004400</v>
      </c>
    </row>
    <row r="341" spans="1:4" ht="18" hidden="1">
      <c r="D341" s="158">
        <f t="shared" si="5"/>
        <v>0</v>
      </c>
    </row>
    <row r="342" spans="1:4" ht="18">
      <c r="A342" s="151" t="s">
        <v>420</v>
      </c>
      <c r="B342" s="152"/>
      <c r="C342" s="152"/>
      <c r="D342" s="158"/>
    </row>
    <row r="343" spans="1:4" ht="18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56" t="s">
        <v>82</v>
      </c>
      <c r="B345" s="157"/>
      <c r="C345" s="157"/>
      <c r="D345" s="158">
        <f t="shared" si="5"/>
        <v>0</v>
      </c>
    </row>
    <row r="346" spans="1:4" ht="18" hidden="1">
      <c r="A346" s="159" t="s">
        <v>83</v>
      </c>
      <c r="B346" s="157"/>
      <c r="C346" s="157"/>
      <c r="D346" s="158">
        <f t="shared" si="5"/>
        <v>0</v>
      </c>
    </row>
    <row r="347" spans="1:4" ht="18" hidden="1">
      <c r="A347" s="156" t="s">
        <v>84</v>
      </c>
      <c r="B347" s="157"/>
      <c r="C347" s="157"/>
      <c r="D347" s="158">
        <f t="shared" si="5"/>
        <v>0</v>
      </c>
    </row>
    <row r="348" spans="1:4" ht="18" hidden="1">
      <c r="A348" s="156" t="s">
        <v>85</v>
      </c>
      <c r="B348" s="157"/>
      <c r="C348" s="157"/>
      <c r="D348" s="158">
        <f t="shared" si="5"/>
        <v>0</v>
      </c>
    </row>
    <row r="349" spans="1:4" ht="18" hidden="1">
      <c r="A349" s="156" t="s">
        <v>86</v>
      </c>
      <c r="B349" s="157"/>
      <c r="C349" s="157"/>
      <c r="D349" s="158">
        <f t="shared" si="5"/>
        <v>0</v>
      </c>
    </row>
    <row r="350" spans="1:4" ht="18" hidden="1">
      <c r="A350" s="160" t="s">
        <v>87</v>
      </c>
      <c r="B350" s="157"/>
      <c r="C350" s="157"/>
      <c r="D350" s="158">
        <f t="shared" si="5"/>
        <v>0</v>
      </c>
    </row>
    <row r="351" spans="1:4" ht="18" hidden="1">
      <c r="A351" s="161" t="s">
        <v>88</v>
      </c>
      <c r="B351" s="157"/>
      <c r="C351" s="157"/>
      <c r="D351" s="158">
        <f t="shared" si="5"/>
        <v>0</v>
      </c>
    </row>
    <row r="352" spans="1:4" ht="18" hidden="1">
      <c r="A352" s="156" t="s">
        <v>96</v>
      </c>
      <c r="B352" s="162"/>
      <c r="C352" s="162"/>
      <c r="D352" s="158">
        <f t="shared" si="5"/>
        <v>0</v>
      </c>
    </row>
    <row r="353" spans="1:4" ht="18" hidden="1">
      <c r="A353" s="156" t="s">
        <v>97</v>
      </c>
      <c r="B353" s="162"/>
      <c r="C353" s="162"/>
      <c r="D353" s="158">
        <f t="shared" si="5"/>
        <v>0</v>
      </c>
    </row>
    <row r="354" spans="1:4" ht="18" hidden="1">
      <c r="A354" s="156" t="s">
        <v>98</v>
      </c>
      <c r="B354" s="162"/>
      <c r="C354" s="162"/>
      <c r="D354" s="158">
        <f t="shared" si="5"/>
        <v>0</v>
      </c>
    </row>
    <row r="355" spans="1:4" ht="18" hidden="1">
      <c r="A355" s="161" t="s">
        <v>110</v>
      </c>
      <c r="B355" s="157"/>
      <c r="C355" s="157"/>
      <c r="D355" s="158">
        <f t="shared" si="5"/>
        <v>0</v>
      </c>
    </row>
    <row r="356" spans="1:4" ht="18" hidden="1">
      <c r="A356" s="161" t="s">
        <v>111</v>
      </c>
      <c r="B356" s="157"/>
      <c r="C356" s="157"/>
      <c r="D356" s="158">
        <f t="shared" si="5"/>
        <v>0</v>
      </c>
    </row>
    <row r="357" spans="1:4" ht="18" hidden="1">
      <c r="A357" s="161" t="s">
        <v>113</v>
      </c>
      <c r="B357" s="162"/>
      <c r="C357" s="162"/>
      <c r="D357" s="158">
        <f t="shared" si="5"/>
        <v>0</v>
      </c>
    </row>
    <row r="358" spans="1:4" ht="18" hidden="1">
      <c r="A358" s="163" t="s">
        <v>115</v>
      </c>
      <c r="B358" s="157"/>
      <c r="C358" s="157"/>
      <c r="D358" s="158">
        <f t="shared" si="5"/>
        <v>0</v>
      </c>
    </row>
    <row r="359" spans="1:4" ht="18" hidden="1">
      <c r="A359" s="159" t="s">
        <v>131</v>
      </c>
      <c r="B359" s="157"/>
      <c r="C359" s="157"/>
      <c r="D359" s="158">
        <f t="shared" si="5"/>
        <v>0</v>
      </c>
    </row>
    <row r="360" spans="1:4" ht="18" hidden="1">
      <c r="A360" s="163" t="s">
        <v>132</v>
      </c>
      <c r="B360" s="157"/>
      <c r="C360" s="157"/>
      <c r="D360" s="158">
        <f t="shared" si="5"/>
        <v>0</v>
      </c>
    </row>
    <row r="361" spans="1:4" ht="18">
      <c r="A361" s="161" t="s">
        <v>124</v>
      </c>
      <c r="B361" s="157">
        <f>45+8</f>
        <v>53</v>
      </c>
      <c r="C361" s="157">
        <v>19000</v>
      </c>
      <c r="D361" s="158">
        <f t="shared" si="5"/>
        <v>1007000</v>
      </c>
    </row>
    <row r="362" spans="1:4" ht="18" hidden="1">
      <c r="A362" s="161" t="s">
        <v>125</v>
      </c>
      <c r="B362" s="157"/>
      <c r="C362" s="157"/>
      <c r="D362" s="158">
        <f t="shared" si="5"/>
        <v>0</v>
      </c>
    </row>
    <row r="363" spans="1:4" ht="18" hidden="1">
      <c r="A363" s="161" t="s">
        <v>126</v>
      </c>
      <c r="B363" s="157"/>
      <c r="C363" s="157"/>
      <c r="D363" s="158">
        <f t="shared" si="5"/>
        <v>0</v>
      </c>
    </row>
    <row r="364" spans="1:4" ht="18" hidden="1">
      <c r="A364" s="159" t="s">
        <v>264</v>
      </c>
      <c r="B364" s="157"/>
      <c r="C364" s="157"/>
      <c r="D364" s="158">
        <f t="shared" si="5"/>
        <v>0</v>
      </c>
    </row>
    <row r="365" spans="1:4" ht="18">
      <c r="A365" s="161" t="s">
        <v>265</v>
      </c>
      <c r="B365" s="157">
        <v>20</v>
      </c>
      <c r="C365" s="157">
        <v>23000</v>
      </c>
      <c r="D365" s="158">
        <f t="shared" si="5"/>
        <v>460000</v>
      </c>
    </row>
    <row r="366" spans="1:4" ht="18" hidden="1">
      <c r="A366" s="161" t="s">
        <v>266</v>
      </c>
      <c r="B366" s="157"/>
      <c r="C366" s="157"/>
      <c r="D366" s="158">
        <f t="shared" si="5"/>
        <v>0</v>
      </c>
    </row>
    <row r="367" spans="1:4" ht="18" hidden="1">
      <c r="A367" s="161" t="s">
        <v>267</v>
      </c>
      <c r="B367" s="157"/>
      <c r="C367" s="157"/>
      <c r="D367" s="158">
        <f t="shared" si="5"/>
        <v>0</v>
      </c>
    </row>
    <row r="368" spans="1:4" ht="18" hidden="1">
      <c r="A368" s="161" t="s">
        <v>268</v>
      </c>
      <c r="B368" s="157"/>
      <c r="C368" s="157"/>
      <c r="D368" s="158">
        <f t="shared" si="5"/>
        <v>0</v>
      </c>
    </row>
    <row r="369" spans="1:4" ht="18" hidden="1">
      <c r="A369" s="161" t="s">
        <v>269</v>
      </c>
      <c r="B369" s="157"/>
      <c r="C369" s="157"/>
      <c r="D369" s="158">
        <f t="shared" si="5"/>
        <v>0</v>
      </c>
    </row>
    <row r="370" spans="1:4" ht="18">
      <c r="A370" s="161" t="s">
        <v>273</v>
      </c>
      <c r="B370" s="157">
        <v>20</v>
      </c>
      <c r="C370" s="157">
        <v>23000</v>
      </c>
      <c r="D370" s="158">
        <f t="shared" si="5"/>
        <v>460000</v>
      </c>
    </row>
    <row r="371" spans="1:4" ht="18" hidden="1">
      <c r="A371" s="161" t="s">
        <v>274</v>
      </c>
      <c r="B371" s="157"/>
      <c r="C371" s="157"/>
      <c r="D371" s="158">
        <f t="shared" si="5"/>
        <v>0</v>
      </c>
    </row>
    <row r="372" spans="1:4" ht="18" hidden="1">
      <c r="A372" s="161" t="s">
        <v>275</v>
      </c>
      <c r="B372" s="157"/>
      <c r="C372" s="157"/>
      <c r="D372" s="158">
        <f t="shared" si="5"/>
        <v>0</v>
      </c>
    </row>
    <row r="373" spans="1:4" ht="18" hidden="1">
      <c r="A373" s="161" t="s">
        <v>276</v>
      </c>
      <c r="B373" s="157"/>
      <c r="C373" s="157"/>
      <c r="D373" s="158">
        <f t="shared" si="5"/>
        <v>0</v>
      </c>
    </row>
    <row r="374" spans="1:4" ht="18">
      <c r="A374" s="161" t="s">
        <v>277</v>
      </c>
      <c r="B374" s="157">
        <v>20</v>
      </c>
      <c r="C374" s="157">
        <v>15000</v>
      </c>
      <c r="D374" s="158">
        <f t="shared" si="5"/>
        <v>300000</v>
      </c>
    </row>
    <row r="375" spans="1:4" ht="18" hidden="1">
      <c r="A375" s="161" t="s">
        <v>278</v>
      </c>
      <c r="B375" s="157"/>
      <c r="C375" s="157"/>
      <c r="D375" s="158">
        <f t="shared" si="5"/>
        <v>0</v>
      </c>
    </row>
    <row r="376" spans="1:4" ht="18" hidden="1">
      <c r="A376" s="161" t="s">
        <v>279</v>
      </c>
      <c r="B376" s="157"/>
      <c r="C376" s="157"/>
      <c r="D376" s="158">
        <f t="shared" si="5"/>
        <v>0</v>
      </c>
    </row>
    <row r="377" spans="1:4" ht="18">
      <c r="A377" s="161" t="s">
        <v>150</v>
      </c>
      <c r="B377" s="157">
        <v>60</v>
      </c>
      <c r="C377" s="157">
        <v>15000</v>
      </c>
      <c r="D377" s="158">
        <f t="shared" si="5"/>
        <v>900000</v>
      </c>
    </row>
    <row r="378" spans="1:4" ht="18" hidden="1">
      <c r="A378" s="164" t="s">
        <v>151</v>
      </c>
      <c r="B378" s="157"/>
      <c r="C378" s="157"/>
      <c r="D378" s="158">
        <f t="shared" si="5"/>
        <v>0</v>
      </c>
    </row>
    <row r="379" spans="1:4" ht="18" hidden="1">
      <c r="A379" s="161" t="s">
        <v>192</v>
      </c>
      <c r="B379" s="157"/>
      <c r="C379" s="157"/>
      <c r="D379" s="158">
        <f t="shared" si="5"/>
        <v>0</v>
      </c>
    </row>
    <row r="380" spans="1:4" ht="18" hidden="1">
      <c r="A380" s="156" t="s">
        <v>208</v>
      </c>
      <c r="B380" s="157"/>
      <c r="C380" s="157"/>
      <c r="D380" s="158">
        <f t="shared" si="5"/>
        <v>0</v>
      </c>
    </row>
    <row r="381" spans="1:4" ht="18" hidden="1">
      <c r="A381" s="161" t="s">
        <v>334</v>
      </c>
      <c r="B381" s="157"/>
      <c r="C381" s="157"/>
      <c r="D381" s="158">
        <f t="shared" si="5"/>
        <v>0</v>
      </c>
    </row>
    <row r="382" spans="1:4" ht="18" hidden="1">
      <c r="A382" s="161" t="s">
        <v>227</v>
      </c>
      <c r="B382" s="157"/>
      <c r="C382" s="157"/>
      <c r="D382" s="158">
        <f t="shared" si="5"/>
        <v>0</v>
      </c>
    </row>
    <row r="383" spans="1:4" ht="18" hidden="1">
      <c r="A383" s="165" t="s">
        <v>228</v>
      </c>
      <c r="B383" s="157"/>
      <c r="C383" s="157"/>
      <c r="D383" s="158">
        <f t="shared" si="5"/>
        <v>0</v>
      </c>
    </row>
    <row r="384" spans="1:4" ht="18" hidden="1">
      <c r="A384" s="161" t="s">
        <v>229</v>
      </c>
      <c r="B384" s="157"/>
      <c r="C384" s="157"/>
      <c r="D384" s="158">
        <f t="shared" si="5"/>
        <v>0</v>
      </c>
    </row>
    <row r="385" spans="1:4" ht="18">
      <c r="A385" s="161" t="s">
        <v>230</v>
      </c>
      <c r="B385" s="157">
        <v>300</v>
      </c>
      <c r="C385" s="157">
        <v>15000</v>
      </c>
      <c r="D385" s="158">
        <f t="shared" si="5"/>
        <v>4500000</v>
      </c>
    </row>
    <row r="386" spans="1:4" ht="18" hidden="1">
      <c r="A386" s="161" t="s">
        <v>231</v>
      </c>
      <c r="B386" s="157"/>
      <c r="C386" s="157"/>
      <c r="D386" s="158">
        <f t="shared" si="5"/>
        <v>0</v>
      </c>
    </row>
    <row r="387" spans="1:4" ht="18" hidden="1">
      <c r="A387" s="161" t="s">
        <v>370</v>
      </c>
      <c r="B387" s="157"/>
      <c r="C387" s="157"/>
      <c r="D387" s="158">
        <f t="shared" si="5"/>
        <v>0</v>
      </c>
    </row>
    <row r="388" spans="1:4" ht="18" hidden="1">
      <c r="A388" s="161" t="s">
        <v>232</v>
      </c>
      <c r="B388" s="157"/>
      <c r="C388" s="157"/>
      <c r="D388" s="158">
        <f t="shared" ref="D388:D451" si="6">B388*C388</f>
        <v>0</v>
      </c>
    </row>
    <row r="389" spans="1:4" ht="18" hidden="1">
      <c r="A389" s="161" t="s">
        <v>117</v>
      </c>
      <c r="B389" s="157"/>
      <c r="C389" s="157"/>
      <c r="D389" s="158">
        <f t="shared" si="6"/>
        <v>0</v>
      </c>
    </row>
    <row r="390" spans="1:4" ht="18" hidden="1">
      <c r="A390" s="166" t="s">
        <v>118</v>
      </c>
      <c r="B390" s="157"/>
      <c r="C390" s="157"/>
      <c r="D390" s="158">
        <f t="shared" si="6"/>
        <v>0</v>
      </c>
    </row>
    <row r="391" spans="1:4" ht="18" hidden="1">
      <c r="A391" s="159" t="s">
        <v>121</v>
      </c>
      <c r="B391" s="157"/>
      <c r="C391" s="157"/>
      <c r="D391" s="158">
        <f t="shared" si="6"/>
        <v>0</v>
      </c>
    </row>
    <row r="392" spans="1:4" ht="18" hidden="1">
      <c r="A392" s="161" t="s">
        <v>123</v>
      </c>
      <c r="B392" s="157"/>
      <c r="C392" s="157"/>
      <c r="D392" s="158">
        <f t="shared" si="6"/>
        <v>0</v>
      </c>
    </row>
    <row r="393" spans="1:4" ht="18" hidden="1">
      <c r="A393" s="161" t="s">
        <v>18</v>
      </c>
      <c r="B393" s="157"/>
      <c r="C393" s="157"/>
      <c r="D393" s="158">
        <f t="shared" si="6"/>
        <v>0</v>
      </c>
    </row>
    <row r="394" spans="1:4" ht="18">
      <c r="A394" s="161" t="s">
        <v>19</v>
      </c>
      <c r="B394" s="157">
        <v>5</v>
      </c>
      <c r="C394" s="157">
        <v>6000</v>
      </c>
      <c r="D394" s="158">
        <f t="shared" si="6"/>
        <v>30000</v>
      </c>
    </row>
    <row r="395" spans="1:4" ht="18" hidden="1">
      <c r="A395" s="156" t="s">
        <v>20</v>
      </c>
      <c r="B395" s="157"/>
      <c r="C395" s="157"/>
      <c r="D395" s="158">
        <f t="shared" si="6"/>
        <v>0</v>
      </c>
    </row>
    <row r="396" spans="1:4" ht="18" hidden="1">
      <c r="A396" s="161" t="s">
        <v>180</v>
      </c>
      <c r="B396" s="157"/>
      <c r="C396" s="157"/>
      <c r="D396" s="158">
        <f t="shared" si="6"/>
        <v>0</v>
      </c>
    </row>
    <row r="397" spans="1:4" ht="18" hidden="1">
      <c r="A397" s="164" t="s">
        <v>181</v>
      </c>
      <c r="B397" s="157"/>
      <c r="C397" s="157"/>
      <c r="D397" s="158">
        <f t="shared" si="6"/>
        <v>0</v>
      </c>
    </row>
    <row r="398" spans="1:4" ht="18" hidden="1">
      <c r="A398" s="161" t="s">
        <v>214</v>
      </c>
      <c r="B398" s="157"/>
      <c r="C398" s="157"/>
      <c r="D398" s="158">
        <f t="shared" si="6"/>
        <v>0</v>
      </c>
    </row>
    <row r="399" spans="1:4" ht="18" hidden="1">
      <c r="A399" s="167" t="s">
        <v>215</v>
      </c>
      <c r="B399" s="157"/>
      <c r="C399" s="157"/>
      <c r="D399" s="158">
        <f t="shared" si="6"/>
        <v>0</v>
      </c>
    </row>
    <row r="400" spans="1:4" ht="18" hidden="1">
      <c r="A400" s="161" t="s">
        <v>252</v>
      </c>
      <c r="B400" s="157"/>
      <c r="C400" s="157"/>
      <c r="D400" s="158">
        <f t="shared" si="6"/>
        <v>0</v>
      </c>
    </row>
    <row r="401" spans="1:4" ht="18" hidden="1">
      <c r="A401" s="161" t="s">
        <v>253</v>
      </c>
      <c r="B401" s="157"/>
      <c r="C401" s="157"/>
      <c r="D401" s="158">
        <f t="shared" si="6"/>
        <v>0</v>
      </c>
    </row>
    <row r="402" spans="1:4" ht="18" hidden="1">
      <c r="A402" s="156" t="s">
        <v>28</v>
      </c>
      <c r="B402" s="157"/>
      <c r="C402" s="157"/>
      <c r="D402" s="158">
        <f t="shared" si="6"/>
        <v>0</v>
      </c>
    </row>
    <row r="403" spans="1:4" ht="18" hidden="1">
      <c r="A403" s="156" t="s">
        <v>29</v>
      </c>
      <c r="B403" s="157"/>
      <c r="C403" s="157"/>
      <c r="D403" s="158">
        <f t="shared" si="6"/>
        <v>0</v>
      </c>
    </row>
    <row r="404" spans="1:4" ht="18" hidden="1">
      <c r="A404" s="180" t="s">
        <v>188</v>
      </c>
      <c r="B404" s="157"/>
      <c r="C404" s="157"/>
      <c r="D404" s="158">
        <f t="shared" si="6"/>
        <v>0</v>
      </c>
    </row>
    <row r="405" spans="1:4" ht="18" hidden="1">
      <c r="A405" s="169" t="s">
        <v>189</v>
      </c>
      <c r="B405" s="170"/>
      <c r="C405" s="170"/>
      <c r="D405" s="158">
        <f t="shared" si="6"/>
        <v>0</v>
      </c>
    </row>
    <row r="406" spans="1:4" ht="18" hidden="1">
      <c r="A406" s="161" t="s">
        <v>35</v>
      </c>
      <c r="B406" s="157"/>
      <c r="C406" s="157"/>
      <c r="D406" s="158">
        <f t="shared" si="6"/>
        <v>0</v>
      </c>
    </row>
    <row r="407" spans="1:4" ht="18" hidden="1">
      <c r="A407" s="156" t="s">
        <v>37</v>
      </c>
      <c r="B407" s="157"/>
      <c r="C407" s="157"/>
      <c r="D407" s="158">
        <f t="shared" si="6"/>
        <v>0</v>
      </c>
    </row>
    <row r="408" spans="1:4" ht="18" hidden="1">
      <c r="A408" s="156" t="s">
        <v>46</v>
      </c>
      <c r="B408" s="157"/>
      <c r="C408" s="157"/>
      <c r="D408" s="158">
        <f t="shared" si="6"/>
        <v>0</v>
      </c>
    </row>
    <row r="409" spans="1:4" ht="18" hidden="1">
      <c r="A409" s="161" t="s">
        <v>216</v>
      </c>
      <c r="B409" s="157"/>
      <c r="C409" s="157"/>
      <c r="D409" s="158">
        <f t="shared" si="6"/>
        <v>0</v>
      </c>
    </row>
    <row r="410" spans="1:4" ht="18" hidden="1">
      <c r="A410" s="156" t="s">
        <v>217</v>
      </c>
      <c r="B410" s="157"/>
      <c r="C410" s="157"/>
      <c r="D410" s="158">
        <f t="shared" si="6"/>
        <v>0</v>
      </c>
    </row>
    <row r="411" spans="1:4" ht="18" hidden="1">
      <c r="A411" s="161" t="s">
        <v>366</v>
      </c>
      <c r="B411" s="157"/>
      <c r="C411" s="157"/>
      <c r="D411" s="158">
        <f t="shared" si="6"/>
        <v>0</v>
      </c>
    </row>
    <row r="412" spans="1:4" ht="18" hidden="1">
      <c r="A412" s="161" t="s">
        <v>218</v>
      </c>
      <c r="B412" s="157"/>
      <c r="C412" s="157"/>
      <c r="D412" s="158">
        <f t="shared" si="6"/>
        <v>0</v>
      </c>
    </row>
    <row r="413" spans="1:4" ht="18" hidden="1">
      <c r="A413" s="161" t="s">
        <v>288</v>
      </c>
      <c r="B413" s="157"/>
      <c r="C413" s="157"/>
      <c r="D413" s="158">
        <f t="shared" si="6"/>
        <v>0</v>
      </c>
    </row>
    <row r="414" spans="1:4" ht="18" hidden="1">
      <c r="A414" s="161" t="s">
        <v>289</v>
      </c>
      <c r="B414" s="157"/>
      <c r="C414" s="157"/>
      <c r="D414" s="158">
        <f t="shared" si="6"/>
        <v>0</v>
      </c>
    </row>
    <row r="415" spans="1:4" ht="18" hidden="1">
      <c r="A415" s="171" t="s">
        <v>6</v>
      </c>
      <c r="B415" s="157"/>
      <c r="C415" s="157"/>
      <c r="D415" s="158">
        <f t="shared" si="6"/>
        <v>0</v>
      </c>
    </row>
    <row r="416" spans="1:4" ht="18" hidden="1">
      <c r="A416" s="172" t="s">
        <v>8</v>
      </c>
      <c r="B416" s="157"/>
      <c r="C416" s="157"/>
      <c r="D416" s="158">
        <f t="shared" si="6"/>
        <v>0</v>
      </c>
    </row>
    <row r="417" spans="1:4" ht="18" hidden="1">
      <c r="A417" s="171" t="s">
        <v>10</v>
      </c>
      <c r="B417" s="157"/>
      <c r="C417" s="157"/>
      <c r="D417" s="158">
        <f t="shared" si="6"/>
        <v>0</v>
      </c>
    </row>
    <row r="418" spans="1:4" ht="18" hidden="1">
      <c r="A418" s="164" t="s">
        <v>75</v>
      </c>
      <c r="B418" s="157"/>
      <c r="C418" s="157"/>
      <c r="D418" s="158">
        <f t="shared" si="6"/>
        <v>0</v>
      </c>
    </row>
    <row r="419" spans="1:4" ht="18" hidden="1">
      <c r="A419" s="173" t="s">
        <v>313</v>
      </c>
      <c r="B419" s="157"/>
      <c r="C419" s="157"/>
      <c r="D419" s="158">
        <f t="shared" si="6"/>
        <v>0</v>
      </c>
    </row>
    <row r="420" spans="1:4" ht="18" hidden="1">
      <c r="A420" s="173" t="s">
        <v>324</v>
      </c>
      <c r="B420" s="157"/>
      <c r="C420" s="157"/>
      <c r="D420" s="158">
        <f t="shared" si="6"/>
        <v>0</v>
      </c>
    </row>
    <row r="421" spans="1:4" ht="18" hidden="1">
      <c r="A421" s="173" t="s">
        <v>325</v>
      </c>
      <c r="B421" s="157"/>
      <c r="C421" s="157"/>
      <c r="D421" s="158">
        <f t="shared" si="6"/>
        <v>0</v>
      </c>
    </row>
    <row r="422" spans="1:4" ht="18" hidden="1">
      <c r="A422" s="173" t="s">
        <v>327</v>
      </c>
      <c r="B422" s="157"/>
      <c r="C422" s="157"/>
      <c r="D422" s="158">
        <f t="shared" si="6"/>
        <v>0</v>
      </c>
    </row>
    <row r="423" spans="1:4" ht="18" hidden="1">
      <c r="A423" s="161" t="s">
        <v>336</v>
      </c>
      <c r="B423" s="174"/>
      <c r="C423" s="174"/>
      <c r="D423" s="158">
        <f t="shared" si="6"/>
        <v>0</v>
      </c>
    </row>
    <row r="424" spans="1:4" ht="18" hidden="1">
      <c r="A424" s="161" t="s">
        <v>99</v>
      </c>
      <c r="B424" s="157"/>
      <c r="C424" s="157"/>
      <c r="D424" s="158">
        <f t="shared" si="6"/>
        <v>0</v>
      </c>
    </row>
    <row r="425" spans="1:4" ht="18" hidden="1">
      <c r="A425" s="161" t="s">
        <v>100</v>
      </c>
      <c r="B425" s="157"/>
      <c r="C425" s="157"/>
      <c r="D425" s="158">
        <f t="shared" si="6"/>
        <v>0</v>
      </c>
    </row>
    <row r="426" spans="1:4" ht="18" hidden="1">
      <c r="A426" s="161" t="s">
        <v>101</v>
      </c>
      <c r="B426" s="157"/>
      <c r="C426" s="157"/>
      <c r="D426" s="158">
        <f t="shared" si="6"/>
        <v>0</v>
      </c>
    </row>
    <row r="427" spans="1:4" ht="18" hidden="1">
      <c r="A427" s="161" t="s">
        <v>102</v>
      </c>
      <c r="B427" s="157"/>
      <c r="C427" s="157"/>
      <c r="D427" s="158">
        <f t="shared" si="6"/>
        <v>0</v>
      </c>
    </row>
    <row r="428" spans="1:4" ht="18" hidden="1">
      <c r="A428" s="161" t="s">
        <v>103</v>
      </c>
      <c r="B428" s="157"/>
      <c r="C428" s="157"/>
      <c r="D428" s="158">
        <f t="shared" si="6"/>
        <v>0</v>
      </c>
    </row>
    <row r="429" spans="1:4" ht="18" hidden="1">
      <c r="A429" s="161" t="s">
        <v>191</v>
      </c>
      <c r="B429" s="157"/>
      <c r="C429" s="157"/>
      <c r="D429" s="158">
        <f t="shared" si="6"/>
        <v>0</v>
      </c>
    </row>
    <row r="430" spans="1:4" ht="18" hidden="1">
      <c r="A430" s="161" t="s">
        <v>257</v>
      </c>
      <c r="B430" s="157"/>
      <c r="C430" s="157"/>
      <c r="D430" s="158">
        <f t="shared" si="6"/>
        <v>0</v>
      </c>
    </row>
    <row r="431" spans="1:4" ht="18" hidden="1">
      <c r="A431" s="161" t="s">
        <v>258</v>
      </c>
      <c r="B431" s="157"/>
      <c r="C431" s="157"/>
      <c r="D431" s="158">
        <f t="shared" si="6"/>
        <v>0</v>
      </c>
    </row>
    <row r="432" spans="1:4" ht="18" hidden="1">
      <c r="A432" s="161" t="s">
        <v>280</v>
      </c>
      <c r="B432" s="162"/>
      <c r="C432" s="162"/>
      <c r="D432" s="158">
        <f t="shared" si="6"/>
        <v>0</v>
      </c>
    </row>
    <row r="433" spans="1:4" ht="18" hidden="1">
      <c r="A433" s="173" t="s">
        <v>281</v>
      </c>
      <c r="B433" s="157"/>
      <c r="C433" s="157"/>
      <c r="D433" s="158">
        <f t="shared" si="6"/>
        <v>0</v>
      </c>
    </row>
    <row r="434" spans="1:4" ht="18" hidden="1">
      <c r="A434" s="156" t="s">
        <v>311</v>
      </c>
      <c r="B434" s="157"/>
      <c r="C434" s="157"/>
      <c r="D434" s="158">
        <f t="shared" si="6"/>
        <v>0</v>
      </c>
    </row>
    <row r="435" spans="1:4" ht="18" hidden="1">
      <c r="A435" s="164" t="s">
        <v>312</v>
      </c>
      <c r="B435" s="157"/>
      <c r="C435" s="157"/>
      <c r="D435" s="158">
        <f t="shared" si="6"/>
        <v>0</v>
      </c>
    </row>
    <row r="436" spans="1:4" ht="18">
      <c r="A436" s="161" t="s">
        <v>137</v>
      </c>
      <c r="B436" s="157">
        <v>15</v>
      </c>
      <c r="C436" s="157">
        <v>11000</v>
      </c>
      <c r="D436" s="158">
        <f t="shared" si="6"/>
        <v>165000</v>
      </c>
    </row>
    <row r="437" spans="1:4" ht="18" hidden="1">
      <c r="A437" s="164" t="s">
        <v>53</v>
      </c>
      <c r="B437" s="157"/>
      <c r="C437" s="157"/>
      <c r="D437" s="158">
        <f t="shared" si="6"/>
        <v>0</v>
      </c>
    </row>
    <row r="438" spans="1:4" ht="18" hidden="1">
      <c r="A438" s="161" t="s">
        <v>55</v>
      </c>
      <c r="B438" s="157"/>
      <c r="C438" s="157"/>
      <c r="D438" s="158">
        <f t="shared" si="6"/>
        <v>0</v>
      </c>
    </row>
    <row r="439" spans="1:4" ht="18" hidden="1">
      <c r="A439" s="161" t="s">
        <v>56</v>
      </c>
      <c r="B439" s="157"/>
      <c r="C439" s="157"/>
      <c r="D439" s="158">
        <f t="shared" si="6"/>
        <v>0</v>
      </c>
    </row>
    <row r="440" spans="1:4" ht="18" hidden="1">
      <c r="A440" s="164" t="s">
        <v>300</v>
      </c>
      <c r="B440" s="157"/>
      <c r="C440" s="157"/>
      <c r="D440" s="158">
        <f t="shared" si="6"/>
        <v>0</v>
      </c>
    </row>
    <row r="441" spans="1:4" ht="18" hidden="1">
      <c r="A441" s="164" t="s">
        <v>301</v>
      </c>
      <c r="B441" s="157"/>
      <c r="C441" s="157"/>
      <c r="D441" s="158">
        <f t="shared" si="6"/>
        <v>0</v>
      </c>
    </row>
    <row r="442" spans="1:4" ht="18" hidden="1">
      <c r="A442" s="161" t="s">
        <v>156</v>
      </c>
      <c r="B442" s="162"/>
      <c r="C442" s="162"/>
      <c r="D442" s="158">
        <f t="shared" si="6"/>
        <v>0</v>
      </c>
    </row>
    <row r="443" spans="1:4" ht="18" hidden="1">
      <c r="A443" s="161" t="s">
        <v>157</v>
      </c>
      <c r="B443" s="162"/>
      <c r="C443" s="162"/>
      <c r="D443" s="158">
        <f t="shared" si="6"/>
        <v>0</v>
      </c>
    </row>
    <row r="444" spans="1:4" ht="18" hidden="1">
      <c r="A444" s="177" t="s">
        <v>159</v>
      </c>
      <c r="B444" s="162"/>
      <c r="C444" s="162"/>
      <c r="D444" s="158">
        <f t="shared" si="6"/>
        <v>0</v>
      </c>
    </row>
    <row r="445" spans="1:4" ht="18" hidden="1">
      <c r="A445" s="177" t="s">
        <v>160</v>
      </c>
      <c r="B445" s="162"/>
      <c r="C445" s="162"/>
      <c r="D445" s="158">
        <f t="shared" si="6"/>
        <v>0</v>
      </c>
    </row>
    <row r="446" spans="1:4" ht="18" hidden="1">
      <c r="A446" s="177" t="s">
        <v>161</v>
      </c>
      <c r="B446" s="162"/>
      <c r="C446" s="162"/>
      <c r="D446" s="158">
        <f t="shared" si="6"/>
        <v>0</v>
      </c>
    </row>
    <row r="447" spans="1:4" ht="18" hidden="1">
      <c r="A447" s="161" t="s">
        <v>162</v>
      </c>
      <c r="B447" s="162"/>
      <c r="C447" s="162"/>
      <c r="D447" s="158">
        <f t="shared" si="6"/>
        <v>0</v>
      </c>
    </row>
    <row r="448" spans="1:4" ht="18" hidden="1">
      <c r="A448" s="161" t="s">
        <v>164</v>
      </c>
      <c r="B448" s="162"/>
      <c r="C448" s="162"/>
      <c r="D448" s="158">
        <f t="shared" si="6"/>
        <v>0</v>
      </c>
    </row>
    <row r="449" spans="1:4" ht="18" hidden="1">
      <c r="A449" s="161" t="s">
        <v>165</v>
      </c>
      <c r="B449" s="162"/>
      <c r="C449" s="162"/>
      <c r="D449" s="158">
        <f t="shared" si="6"/>
        <v>0</v>
      </c>
    </row>
    <row r="450" spans="1:4" ht="18" hidden="1">
      <c r="A450" s="161" t="s">
        <v>166</v>
      </c>
      <c r="B450" s="162"/>
      <c r="C450" s="162"/>
      <c r="D450" s="158">
        <f t="shared" si="6"/>
        <v>0</v>
      </c>
    </row>
    <row r="451" spans="1:4" ht="18" hidden="1">
      <c r="A451" s="161" t="s">
        <v>176</v>
      </c>
      <c r="B451" s="162"/>
      <c r="C451" s="162"/>
      <c r="D451" s="158">
        <f t="shared" si="6"/>
        <v>0</v>
      </c>
    </row>
    <row r="452" spans="1:4" ht="18" hidden="1">
      <c r="A452" s="161" t="s">
        <v>177</v>
      </c>
      <c r="B452" s="162"/>
      <c r="C452" s="162"/>
      <c r="D452" s="158">
        <f t="shared" ref="D452:D515" si="7">B452*C452</f>
        <v>0</v>
      </c>
    </row>
    <row r="453" spans="1:4" ht="18" hidden="1">
      <c r="A453" s="161" t="s">
        <v>178</v>
      </c>
      <c r="B453" s="162"/>
      <c r="C453" s="162"/>
      <c r="D453" s="158">
        <f t="shared" si="7"/>
        <v>0</v>
      </c>
    </row>
    <row r="454" spans="1:4" ht="18">
      <c r="A454" s="156" t="s">
        <v>65</v>
      </c>
      <c r="B454" s="157">
        <v>300</v>
      </c>
      <c r="C454" s="157">
        <v>23000</v>
      </c>
      <c r="D454" s="158">
        <f t="shared" si="7"/>
        <v>6900000</v>
      </c>
    </row>
    <row r="455" spans="1:4" ht="18" hidden="1">
      <c r="A455" s="161" t="s">
        <v>76</v>
      </c>
      <c r="B455" s="157"/>
      <c r="C455" s="157"/>
      <c r="D455" s="158">
        <f t="shared" si="7"/>
        <v>0</v>
      </c>
    </row>
    <row r="456" spans="1:4" ht="18" hidden="1">
      <c r="A456" s="161" t="s">
        <v>89</v>
      </c>
      <c r="B456" s="157"/>
      <c r="C456" s="157"/>
      <c r="D456" s="158">
        <f t="shared" si="7"/>
        <v>0</v>
      </c>
    </row>
    <row r="457" spans="1:4" ht="18" hidden="1">
      <c r="A457" s="156" t="s">
        <v>357</v>
      </c>
      <c r="B457" s="157"/>
      <c r="C457" s="157"/>
      <c r="D457" s="158">
        <f t="shared" si="7"/>
        <v>0</v>
      </c>
    </row>
    <row r="458" spans="1:4" ht="18" hidden="1">
      <c r="A458" s="161" t="s">
        <v>23</v>
      </c>
      <c r="B458" s="157"/>
      <c r="C458" s="157"/>
      <c r="D458" s="158">
        <f t="shared" si="7"/>
        <v>0</v>
      </c>
    </row>
    <row r="459" spans="1:4" ht="18" hidden="1">
      <c r="A459" s="161" t="s">
        <v>375</v>
      </c>
      <c r="B459" s="157"/>
      <c r="C459" s="157"/>
      <c r="D459" s="158">
        <f t="shared" si="7"/>
        <v>0</v>
      </c>
    </row>
    <row r="460" spans="1:4" ht="18" hidden="1">
      <c r="A460" s="161" t="s">
        <v>379</v>
      </c>
      <c r="B460" s="157"/>
      <c r="C460" s="157"/>
      <c r="D460" s="158">
        <f t="shared" si="7"/>
        <v>0</v>
      </c>
    </row>
    <row r="461" spans="1:4" ht="18">
      <c r="A461" s="161" t="s">
        <v>27</v>
      </c>
      <c r="B461" s="157">
        <v>1000</v>
      </c>
      <c r="C461" s="157">
        <v>12500</v>
      </c>
      <c r="D461" s="158">
        <f t="shared" si="7"/>
        <v>12500000</v>
      </c>
    </row>
    <row r="462" spans="1:4" ht="18" hidden="1">
      <c r="A462" s="161" t="s">
        <v>51</v>
      </c>
      <c r="B462" s="157"/>
      <c r="C462" s="157"/>
      <c r="D462" s="158">
        <f t="shared" si="7"/>
        <v>0</v>
      </c>
    </row>
    <row r="463" spans="1:4" ht="18" hidden="1">
      <c r="A463" s="159" t="s">
        <v>61</v>
      </c>
      <c r="B463" s="157"/>
      <c r="C463" s="157"/>
      <c r="D463" s="158">
        <f t="shared" si="7"/>
        <v>0</v>
      </c>
    </row>
    <row r="464" spans="1:4" ht="18" hidden="1">
      <c r="A464" s="173" t="s">
        <v>62</v>
      </c>
      <c r="B464" s="157"/>
      <c r="C464" s="157"/>
      <c r="D464" s="158">
        <f t="shared" si="7"/>
        <v>0</v>
      </c>
    </row>
    <row r="465" spans="1:4" ht="18" hidden="1">
      <c r="A465" s="178" t="s">
        <v>139</v>
      </c>
      <c r="B465" s="157"/>
      <c r="C465" s="157"/>
      <c r="D465" s="158">
        <f t="shared" si="7"/>
        <v>0</v>
      </c>
    </row>
    <row r="466" spans="1:4" ht="18" hidden="1">
      <c r="A466" s="173" t="s">
        <v>140</v>
      </c>
      <c r="B466" s="157"/>
      <c r="C466" s="157"/>
      <c r="D466" s="158">
        <f t="shared" si="7"/>
        <v>0</v>
      </c>
    </row>
    <row r="467" spans="1:4" ht="18" hidden="1">
      <c r="A467" s="156" t="s">
        <v>141</v>
      </c>
      <c r="B467" s="162"/>
      <c r="C467" s="162"/>
      <c r="D467" s="158">
        <f t="shared" si="7"/>
        <v>0</v>
      </c>
    </row>
    <row r="468" spans="1:4" ht="18" hidden="1">
      <c r="A468" s="156" t="s">
        <v>142</v>
      </c>
      <c r="B468" s="162"/>
      <c r="C468" s="162"/>
      <c r="D468" s="158">
        <f t="shared" si="7"/>
        <v>0</v>
      </c>
    </row>
    <row r="469" spans="1:4" ht="18" hidden="1">
      <c r="A469" s="156" t="s">
        <v>143</v>
      </c>
      <c r="B469" s="162"/>
      <c r="C469" s="162"/>
      <c r="D469" s="158">
        <f t="shared" si="7"/>
        <v>0</v>
      </c>
    </row>
    <row r="470" spans="1:4" ht="18" hidden="1">
      <c r="A470" s="156" t="s">
        <v>144</v>
      </c>
      <c r="B470" s="179"/>
      <c r="C470" s="179"/>
      <c r="D470" s="158">
        <f t="shared" si="7"/>
        <v>0</v>
      </c>
    </row>
    <row r="471" spans="1:4" ht="18" hidden="1">
      <c r="A471" s="161" t="s">
        <v>163</v>
      </c>
      <c r="B471" s="162"/>
      <c r="C471" s="162"/>
      <c r="D471" s="158">
        <f t="shared" si="7"/>
        <v>0</v>
      </c>
    </row>
    <row r="472" spans="1:4" ht="18" hidden="1">
      <c r="A472" s="164" t="s">
        <v>233</v>
      </c>
      <c r="B472" s="157"/>
      <c r="C472" s="157"/>
      <c r="D472" s="158">
        <f t="shared" si="7"/>
        <v>0</v>
      </c>
    </row>
    <row r="473" spans="1:4" ht="18" hidden="1">
      <c r="A473" s="164" t="s">
        <v>234</v>
      </c>
      <c r="B473" s="157"/>
      <c r="C473" s="157"/>
      <c r="D473" s="158">
        <f t="shared" si="7"/>
        <v>0</v>
      </c>
    </row>
    <row r="474" spans="1:4" ht="18" hidden="1">
      <c r="A474" s="164" t="s">
        <v>235</v>
      </c>
      <c r="B474" s="157"/>
      <c r="C474" s="157"/>
      <c r="D474" s="158">
        <f t="shared" si="7"/>
        <v>0</v>
      </c>
    </row>
    <row r="475" spans="1:4" ht="18" hidden="1">
      <c r="A475" s="164" t="s">
        <v>236</v>
      </c>
      <c r="B475" s="157"/>
      <c r="C475" s="157"/>
      <c r="D475" s="158">
        <f t="shared" si="7"/>
        <v>0</v>
      </c>
    </row>
    <row r="476" spans="1:4" ht="18" hidden="1">
      <c r="A476" s="161" t="s">
        <v>237</v>
      </c>
      <c r="B476" s="157"/>
      <c r="C476" s="157"/>
      <c r="D476" s="158">
        <f t="shared" si="7"/>
        <v>0</v>
      </c>
    </row>
    <row r="477" spans="1:4" ht="18" hidden="1">
      <c r="A477" s="161" t="s">
        <v>238</v>
      </c>
      <c r="B477" s="157"/>
      <c r="C477" s="157"/>
      <c r="D477" s="158">
        <f t="shared" si="7"/>
        <v>0</v>
      </c>
    </row>
    <row r="478" spans="1:4" ht="18" hidden="1">
      <c r="A478" s="164" t="s">
        <v>239</v>
      </c>
      <c r="B478" s="157"/>
      <c r="C478" s="157"/>
      <c r="D478" s="158">
        <f t="shared" si="7"/>
        <v>0</v>
      </c>
    </row>
    <row r="479" spans="1:4" ht="18" hidden="1">
      <c r="A479" s="164" t="s">
        <v>240</v>
      </c>
      <c r="B479" s="157"/>
      <c r="C479" s="157"/>
      <c r="D479" s="158">
        <f t="shared" si="7"/>
        <v>0</v>
      </c>
    </row>
    <row r="480" spans="1:4" ht="18" hidden="1">
      <c r="A480" s="161" t="s">
        <v>259</v>
      </c>
      <c r="B480" s="162"/>
      <c r="C480" s="162"/>
      <c r="D480" s="158">
        <f t="shared" si="7"/>
        <v>0</v>
      </c>
    </row>
    <row r="481" spans="1:4" ht="18" hidden="1">
      <c r="A481" s="161" t="s">
        <v>261</v>
      </c>
      <c r="B481" s="162"/>
      <c r="C481" s="162"/>
      <c r="D481" s="158">
        <f t="shared" si="7"/>
        <v>0</v>
      </c>
    </row>
    <row r="482" spans="1:4" ht="18" hidden="1">
      <c r="A482" s="156" t="s">
        <v>295</v>
      </c>
      <c r="B482" s="162"/>
      <c r="C482" s="162"/>
      <c r="D482" s="158">
        <f t="shared" si="7"/>
        <v>0</v>
      </c>
    </row>
    <row r="483" spans="1:4" ht="18" hidden="1">
      <c r="A483" s="161" t="s">
        <v>308</v>
      </c>
      <c r="B483" s="157"/>
      <c r="C483" s="157"/>
      <c r="D483" s="158">
        <f t="shared" si="7"/>
        <v>0</v>
      </c>
    </row>
    <row r="484" spans="1:4" ht="18" hidden="1">
      <c r="A484" s="173" t="s">
        <v>309</v>
      </c>
      <c r="B484" s="157"/>
      <c r="C484" s="157"/>
      <c r="D484" s="158">
        <f t="shared" si="7"/>
        <v>0</v>
      </c>
    </row>
    <row r="485" spans="1:4" ht="18" hidden="1">
      <c r="A485" s="156" t="s">
        <v>319</v>
      </c>
      <c r="B485" s="157"/>
      <c r="C485" s="157"/>
      <c r="D485" s="158">
        <f t="shared" si="7"/>
        <v>0</v>
      </c>
    </row>
    <row r="486" spans="1:4" ht="18">
      <c r="A486" s="161" t="s">
        <v>219</v>
      </c>
      <c r="B486" s="157">
        <v>400</v>
      </c>
      <c r="C486" s="157">
        <v>20500</v>
      </c>
      <c r="D486" s="158">
        <f t="shared" si="7"/>
        <v>8200000</v>
      </c>
    </row>
    <row r="487" spans="1:4" ht="18" hidden="1">
      <c r="A487" s="175" t="s">
        <v>220</v>
      </c>
      <c r="B487" s="157"/>
      <c r="C487" s="157"/>
      <c r="D487" s="158">
        <f t="shared" si="7"/>
        <v>0</v>
      </c>
    </row>
    <row r="488" spans="1:4" ht="18" hidden="1">
      <c r="A488" s="175" t="s">
        <v>221</v>
      </c>
      <c r="B488" s="157"/>
      <c r="C488" s="157"/>
      <c r="D488" s="158">
        <f t="shared" si="7"/>
        <v>0</v>
      </c>
    </row>
    <row r="489" spans="1:4" ht="18" hidden="1">
      <c r="A489" s="161" t="s">
        <v>52</v>
      </c>
      <c r="B489" s="157"/>
      <c r="C489" s="157"/>
      <c r="D489" s="158">
        <f t="shared" si="7"/>
        <v>0</v>
      </c>
    </row>
    <row r="490" spans="1:4" ht="18" hidden="1">
      <c r="A490" s="161" t="s">
        <v>292</v>
      </c>
      <c r="B490" s="157"/>
      <c r="C490" s="157"/>
      <c r="D490" s="158">
        <f t="shared" si="7"/>
        <v>0</v>
      </c>
    </row>
    <row r="491" spans="1:4" ht="18" hidden="1">
      <c r="A491" s="161" t="s">
        <v>66</v>
      </c>
      <c r="B491" s="157"/>
      <c r="C491" s="157"/>
      <c r="D491" s="158">
        <f t="shared" si="7"/>
        <v>0</v>
      </c>
    </row>
    <row r="492" spans="1:4" ht="18" hidden="1">
      <c r="A492" s="164" t="s">
        <v>67</v>
      </c>
      <c r="B492" s="157"/>
      <c r="C492" s="157"/>
      <c r="D492" s="158">
        <f t="shared" si="7"/>
        <v>0</v>
      </c>
    </row>
    <row r="493" spans="1:4" ht="18" hidden="1">
      <c r="A493" s="164" t="s">
        <v>69</v>
      </c>
      <c r="B493" s="157"/>
      <c r="C493" s="157"/>
      <c r="D493" s="158">
        <f t="shared" si="7"/>
        <v>0</v>
      </c>
    </row>
    <row r="494" spans="1:4" ht="18" hidden="1">
      <c r="A494" s="164" t="s">
        <v>70</v>
      </c>
      <c r="B494" s="157"/>
      <c r="C494" s="157"/>
      <c r="D494" s="158">
        <f t="shared" si="7"/>
        <v>0</v>
      </c>
    </row>
    <row r="495" spans="1:4" ht="18" hidden="1">
      <c r="A495" s="161" t="s">
        <v>71</v>
      </c>
      <c r="B495" s="157"/>
      <c r="C495" s="157"/>
      <c r="D495" s="158">
        <f t="shared" si="7"/>
        <v>0</v>
      </c>
    </row>
    <row r="496" spans="1:4" ht="18" hidden="1">
      <c r="A496" s="159" t="s">
        <v>72</v>
      </c>
      <c r="B496" s="157"/>
      <c r="C496" s="157"/>
      <c r="D496" s="158">
        <f t="shared" si="7"/>
        <v>0</v>
      </c>
    </row>
    <row r="497" spans="1:4" ht="18" hidden="1">
      <c r="A497" s="161" t="s">
        <v>73</v>
      </c>
      <c r="B497" s="157"/>
      <c r="C497" s="157"/>
      <c r="D497" s="158">
        <f t="shared" si="7"/>
        <v>0</v>
      </c>
    </row>
    <row r="498" spans="1:4" ht="18" hidden="1">
      <c r="A498" s="161" t="s">
        <v>74</v>
      </c>
      <c r="B498" s="157"/>
      <c r="C498" s="157"/>
      <c r="D498" s="158">
        <f t="shared" si="7"/>
        <v>0</v>
      </c>
    </row>
    <row r="499" spans="1:4" ht="18" hidden="1">
      <c r="A499" s="161" t="s">
        <v>78</v>
      </c>
      <c r="B499" s="157"/>
      <c r="C499" s="157"/>
      <c r="D499" s="158">
        <f t="shared" si="7"/>
        <v>0</v>
      </c>
    </row>
    <row r="500" spans="1:4" ht="18" hidden="1">
      <c r="A500" s="180" t="s">
        <v>79</v>
      </c>
      <c r="B500" s="157"/>
      <c r="C500" s="157"/>
      <c r="D500" s="158">
        <f t="shared" si="7"/>
        <v>0</v>
      </c>
    </row>
    <row r="501" spans="1:4" ht="18" hidden="1">
      <c r="A501" s="160" t="s">
        <v>80</v>
      </c>
      <c r="B501" s="157"/>
      <c r="C501" s="157"/>
      <c r="D501" s="158">
        <f t="shared" si="7"/>
        <v>0</v>
      </c>
    </row>
    <row r="502" spans="1:4" ht="18" hidden="1">
      <c r="A502" s="161" t="s">
        <v>167</v>
      </c>
      <c r="B502" s="157"/>
      <c r="C502" s="157"/>
      <c r="D502" s="158">
        <f t="shared" si="7"/>
        <v>0</v>
      </c>
    </row>
    <row r="503" spans="1:4" ht="18" hidden="1">
      <c r="A503" s="161" t="s">
        <v>364</v>
      </c>
      <c r="B503" s="157"/>
      <c r="C503" s="157"/>
      <c r="D503" s="158">
        <f t="shared" si="7"/>
        <v>0</v>
      </c>
    </row>
    <row r="504" spans="1:4" ht="18" hidden="1">
      <c r="A504" s="161" t="s">
        <v>168</v>
      </c>
      <c r="B504" s="157"/>
      <c r="C504" s="157"/>
      <c r="D504" s="158">
        <f t="shared" si="7"/>
        <v>0</v>
      </c>
    </row>
    <row r="505" spans="1:4" ht="18">
      <c r="A505" s="161" t="s">
        <v>169</v>
      </c>
      <c r="B505" s="157">
        <v>23</v>
      </c>
      <c r="C505" s="157">
        <v>9500</v>
      </c>
      <c r="D505" s="158">
        <f t="shared" si="7"/>
        <v>218500</v>
      </c>
    </row>
    <row r="506" spans="1:4" ht="18" hidden="1">
      <c r="A506" s="161" t="s">
        <v>170</v>
      </c>
      <c r="B506" s="157"/>
      <c r="C506" s="157"/>
      <c r="D506" s="158">
        <f t="shared" si="7"/>
        <v>0</v>
      </c>
    </row>
    <row r="507" spans="1:4" ht="18" hidden="1">
      <c r="A507" s="164" t="s">
        <v>171</v>
      </c>
      <c r="B507" s="157"/>
      <c r="C507" s="157"/>
      <c r="D507" s="158">
        <f t="shared" si="7"/>
        <v>0</v>
      </c>
    </row>
    <row r="508" spans="1:4" ht="18">
      <c r="A508" s="161" t="s">
        <v>90</v>
      </c>
      <c r="B508" s="157">
        <v>150</v>
      </c>
      <c r="C508" s="157">
        <v>24000</v>
      </c>
      <c r="D508" s="158">
        <f t="shared" si="7"/>
        <v>3600000</v>
      </c>
    </row>
    <row r="509" spans="1:4" ht="18" hidden="1">
      <c r="A509" s="173" t="s">
        <v>91</v>
      </c>
      <c r="B509" s="157"/>
      <c r="C509" s="157"/>
      <c r="D509" s="158">
        <f t="shared" si="7"/>
        <v>0</v>
      </c>
    </row>
    <row r="510" spans="1:4" ht="18" hidden="1">
      <c r="A510" s="161" t="s">
        <v>92</v>
      </c>
      <c r="B510" s="157"/>
      <c r="C510" s="157"/>
      <c r="D510" s="158">
        <f t="shared" si="7"/>
        <v>0</v>
      </c>
    </row>
    <row r="511" spans="1:4" ht="18" hidden="1">
      <c r="A511" s="161" t="s">
        <v>94</v>
      </c>
      <c r="B511" s="157"/>
      <c r="C511" s="157"/>
      <c r="D511" s="158">
        <f t="shared" si="7"/>
        <v>0</v>
      </c>
    </row>
    <row r="512" spans="1:4" ht="18" hidden="1">
      <c r="A512" s="161" t="s">
        <v>95</v>
      </c>
      <c r="B512" s="157"/>
      <c r="C512" s="157"/>
      <c r="D512" s="158">
        <f t="shared" si="7"/>
        <v>0</v>
      </c>
    </row>
    <row r="513" spans="1:4" ht="18" hidden="1">
      <c r="A513" s="173" t="s">
        <v>109</v>
      </c>
      <c r="B513" s="157"/>
      <c r="C513" s="157"/>
      <c r="D513" s="158">
        <f t="shared" si="7"/>
        <v>0</v>
      </c>
    </row>
    <row r="514" spans="1:4" ht="18" hidden="1">
      <c r="A514" s="161" t="s">
        <v>321</v>
      </c>
      <c r="B514" s="157"/>
      <c r="C514" s="157"/>
      <c r="D514" s="158">
        <f t="shared" si="7"/>
        <v>0</v>
      </c>
    </row>
    <row r="515" spans="1:4" ht="18" hidden="1">
      <c r="A515" s="156" t="s">
        <v>335</v>
      </c>
      <c r="B515" s="157"/>
      <c r="C515" s="157"/>
      <c r="D515" s="158">
        <f t="shared" si="7"/>
        <v>0</v>
      </c>
    </row>
    <row r="516" spans="1:4" ht="18" hidden="1">
      <c r="A516" s="161" t="s">
        <v>338</v>
      </c>
      <c r="B516" s="157"/>
      <c r="C516" s="157"/>
      <c r="D516" s="158">
        <f t="shared" ref="D516:D579" si="8">B516*C516</f>
        <v>0</v>
      </c>
    </row>
    <row r="517" spans="1:4" ht="18" hidden="1">
      <c r="A517" s="163" t="s">
        <v>106</v>
      </c>
      <c r="B517" s="157"/>
      <c r="C517" s="157"/>
      <c r="D517" s="158">
        <f t="shared" si="8"/>
        <v>0</v>
      </c>
    </row>
    <row r="518" spans="1:4" ht="18" hidden="1">
      <c r="A518" s="163" t="s">
        <v>107</v>
      </c>
      <c r="B518" s="157"/>
      <c r="C518" s="157"/>
      <c r="D518" s="158">
        <f t="shared" si="8"/>
        <v>0</v>
      </c>
    </row>
    <row r="519" spans="1:4" ht="18" hidden="1">
      <c r="A519" s="159" t="s">
        <v>108</v>
      </c>
      <c r="B519" s="157"/>
      <c r="C519" s="157"/>
      <c r="D519" s="158">
        <f t="shared" si="8"/>
        <v>0</v>
      </c>
    </row>
    <row r="520" spans="1:4" ht="18" hidden="1">
      <c r="A520" s="156" t="s">
        <v>196</v>
      </c>
      <c r="B520" s="157"/>
      <c r="C520" s="157"/>
      <c r="D520" s="158">
        <f t="shared" si="8"/>
        <v>0</v>
      </c>
    </row>
    <row r="521" spans="1:4" ht="18" hidden="1">
      <c r="A521" s="156" t="s">
        <v>197</v>
      </c>
      <c r="B521" s="157"/>
      <c r="C521" s="157"/>
      <c r="D521" s="158">
        <f t="shared" si="8"/>
        <v>0</v>
      </c>
    </row>
    <row r="522" spans="1:4" ht="18">
      <c r="A522" s="156" t="s">
        <v>198</v>
      </c>
      <c r="B522" s="157">
        <v>500</v>
      </c>
      <c r="C522" s="157">
        <v>8500</v>
      </c>
      <c r="D522" s="158">
        <f t="shared" si="8"/>
        <v>4250000</v>
      </c>
    </row>
    <row r="523" spans="1:4" ht="18" hidden="1">
      <c r="A523" s="161" t="s">
        <v>199</v>
      </c>
      <c r="B523" s="157"/>
      <c r="C523" s="157"/>
      <c r="D523" s="158">
        <f t="shared" si="8"/>
        <v>0</v>
      </c>
    </row>
    <row r="524" spans="1:4" ht="18" hidden="1">
      <c r="A524" s="156" t="s">
        <v>200</v>
      </c>
      <c r="B524" s="157"/>
      <c r="C524" s="157"/>
      <c r="D524" s="158">
        <f t="shared" si="8"/>
        <v>0</v>
      </c>
    </row>
    <row r="525" spans="1:4" ht="18" hidden="1">
      <c r="A525" s="156" t="s">
        <v>201</v>
      </c>
      <c r="B525" s="157"/>
      <c r="C525" s="157"/>
      <c r="D525" s="158">
        <f t="shared" si="8"/>
        <v>0</v>
      </c>
    </row>
    <row r="526" spans="1:4" ht="18" hidden="1">
      <c r="A526" s="156" t="s">
        <v>202</v>
      </c>
      <c r="B526" s="157"/>
      <c r="C526" s="157"/>
      <c r="D526" s="158">
        <f t="shared" si="8"/>
        <v>0</v>
      </c>
    </row>
    <row r="527" spans="1:4" ht="18" hidden="1">
      <c r="A527" s="161" t="s">
        <v>203</v>
      </c>
      <c r="B527" s="157"/>
      <c r="C527" s="157"/>
      <c r="D527" s="158">
        <f t="shared" si="8"/>
        <v>0</v>
      </c>
    </row>
    <row r="528" spans="1:4" ht="18" hidden="1">
      <c r="A528" s="161" t="s">
        <v>225</v>
      </c>
      <c r="B528" s="157"/>
      <c r="C528" s="157"/>
      <c r="D528" s="158">
        <f t="shared" si="8"/>
        <v>0</v>
      </c>
    </row>
    <row r="529" spans="1:4" ht="18" hidden="1">
      <c r="A529" s="161" t="s">
        <v>226</v>
      </c>
      <c r="B529" s="157"/>
      <c r="C529" s="157"/>
      <c r="D529" s="158">
        <f t="shared" si="8"/>
        <v>0</v>
      </c>
    </row>
    <row r="530" spans="1:4" ht="18" hidden="1">
      <c r="A530" s="161" t="s">
        <v>368</v>
      </c>
      <c r="B530" s="157"/>
      <c r="C530" s="157"/>
      <c r="D530" s="158">
        <f t="shared" si="8"/>
        <v>0</v>
      </c>
    </row>
    <row r="531" spans="1:4" ht="18" hidden="1">
      <c r="A531" s="161" t="s">
        <v>369</v>
      </c>
      <c r="B531" s="157"/>
      <c r="C531" s="157"/>
      <c r="D531" s="158">
        <f t="shared" si="8"/>
        <v>0</v>
      </c>
    </row>
    <row r="532" spans="1:4" ht="18" hidden="1">
      <c r="A532" s="161" t="s">
        <v>119</v>
      </c>
      <c r="B532" s="157"/>
      <c r="C532" s="157"/>
      <c r="D532" s="158">
        <f t="shared" si="8"/>
        <v>0</v>
      </c>
    </row>
    <row r="533" spans="1:4" ht="18" hidden="1">
      <c r="A533" s="161" t="s">
        <v>120</v>
      </c>
      <c r="B533" s="157"/>
      <c r="C533" s="157"/>
      <c r="D533" s="158">
        <f t="shared" si="8"/>
        <v>0</v>
      </c>
    </row>
    <row r="534" spans="1:4" ht="18">
      <c r="A534" s="161" t="s">
        <v>104</v>
      </c>
      <c r="B534" s="157">
        <v>14</v>
      </c>
      <c r="C534" s="157">
        <v>9000</v>
      </c>
      <c r="D534" s="158">
        <f t="shared" si="8"/>
        <v>126000</v>
      </c>
    </row>
    <row r="535" spans="1:4" ht="18" hidden="1">
      <c r="A535" s="163" t="s">
        <v>105</v>
      </c>
      <c r="B535" s="157"/>
      <c r="C535" s="157"/>
      <c r="D535" s="158">
        <f t="shared" si="8"/>
        <v>0</v>
      </c>
    </row>
    <row r="536" spans="1:4" ht="18">
      <c r="A536" s="171" t="s">
        <v>11</v>
      </c>
      <c r="B536" s="157">
        <f>432+185+36</f>
        <v>653</v>
      </c>
      <c r="C536" s="157">
        <v>5500</v>
      </c>
      <c r="D536" s="158">
        <f t="shared" si="8"/>
        <v>3591500</v>
      </c>
    </row>
    <row r="537" spans="1:4" ht="18" hidden="1">
      <c r="A537" s="161" t="s">
        <v>12</v>
      </c>
      <c r="B537" s="157"/>
      <c r="C537" s="157"/>
      <c r="D537" s="158">
        <f t="shared" si="8"/>
        <v>0</v>
      </c>
    </row>
    <row r="538" spans="1:4" ht="18" hidden="1">
      <c r="A538" s="171" t="s">
        <v>15</v>
      </c>
      <c r="B538" s="157"/>
      <c r="C538" s="157"/>
      <c r="D538" s="158">
        <f t="shared" si="8"/>
        <v>0</v>
      </c>
    </row>
    <row r="539" spans="1:4" ht="18">
      <c r="A539" s="161" t="s">
        <v>365</v>
      </c>
      <c r="B539" s="157">
        <v>50</v>
      </c>
      <c r="C539" s="157">
        <v>6500</v>
      </c>
      <c r="D539" s="158">
        <f t="shared" si="8"/>
        <v>325000</v>
      </c>
    </row>
    <row r="540" spans="1:4" ht="18" hidden="1">
      <c r="A540" s="156" t="s">
        <v>182</v>
      </c>
      <c r="B540" s="157"/>
      <c r="C540" s="157"/>
      <c r="D540" s="158">
        <f t="shared" si="8"/>
        <v>0</v>
      </c>
    </row>
    <row r="541" spans="1:4" ht="18" hidden="1">
      <c r="A541" s="161" t="s">
        <v>183</v>
      </c>
      <c r="B541" s="157"/>
      <c r="C541" s="157"/>
      <c r="D541" s="158">
        <f t="shared" si="8"/>
        <v>0</v>
      </c>
    </row>
    <row r="542" spans="1:4" ht="18" hidden="1">
      <c r="A542" s="161" t="s">
        <v>185</v>
      </c>
      <c r="B542" s="157"/>
      <c r="C542" s="157"/>
      <c r="D542" s="158">
        <f t="shared" si="8"/>
        <v>0</v>
      </c>
    </row>
    <row r="543" spans="1:4" ht="18" hidden="1">
      <c r="A543" s="161" t="s">
        <v>186</v>
      </c>
      <c r="B543" s="157"/>
      <c r="C543" s="157"/>
      <c r="D543" s="158">
        <f t="shared" si="8"/>
        <v>0</v>
      </c>
    </row>
    <row r="544" spans="1:4" ht="18" hidden="1">
      <c r="A544" s="160" t="s">
        <v>187</v>
      </c>
      <c r="B544" s="157"/>
      <c r="C544" s="157"/>
      <c r="D544" s="158">
        <f t="shared" si="8"/>
        <v>0</v>
      </c>
    </row>
    <row r="545" spans="1:4" ht="18" hidden="1">
      <c r="A545" s="156" t="s">
        <v>242</v>
      </c>
      <c r="B545" s="157"/>
      <c r="C545" s="157"/>
      <c r="D545" s="158">
        <f t="shared" si="8"/>
        <v>0</v>
      </c>
    </row>
    <row r="546" spans="1:4" ht="18" hidden="1">
      <c r="A546" s="156" t="s">
        <v>22</v>
      </c>
      <c r="B546" s="157"/>
      <c r="C546" s="157"/>
      <c r="D546" s="158">
        <f t="shared" si="8"/>
        <v>0</v>
      </c>
    </row>
    <row r="547" spans="1:4" ht="18" hidden="1">
      <c r="A547" s="159" t="s">
        <v>358</v>
      </c>
      <c r="B547" s="157"/>
      <c r="C547" s="157"/>
      <c r="D547" s="158">
        <f t="shared" si="8"/>
        <v>0</v>
      </c>
    </row>
    <row r="548" spans="1:4" ht="18" hidden="1">
      <c r="A548" s="159" t="s">
        <v>359</v>
      </c>
      <c r="B548" s="157"/>
      <c r="C548" s="157"/>
      <c r="D548" s="158">
        <f t="shared" si="8"/>
        <v>0</v>
      </c>
    </row>
    <row r="549" spans="1:4" ht="18" hidden="1">
      <c r="A549" s="159" t="s">
        <v>360</v>
      </c>
      <c r="B549" s="157"/>
      <c r="C549" s="157"/>
      <c r="D549" s="158">
        <f t="shared" si="8"/>
        <v>0</v>
      </c>
    </row>
    <row r="550" spans="1:4" ht="18" hidden="1">
      <c r="A550" s="159" t="s">
        <v>361</v>
      </c>
      <c r="B550" s="157"/>
      <c r="C550" s="157"/>
      <c r="D550" s="158">
        <f t="shared" si="8"/>
        <v>0</v>
      </c>
    </row>
    <row r="551" spans="1:4" ht="18" hidden="1">
      <c r="A551" s="161" t="s">
        <v>128</v>
      </c>
      <c r="B551" s="157"/>
      <c r="C551" s="157"/>
      <c r="D551" s="158">
        <f t="shared" si="8"/>
        <v>0</v>
      </c>
    </row>
    <row r="552" spans="1:4" ht="18" hidden="1">
      <c r="A552" s="161" t="s">
        <v>129</v>
      </c>
      <c r="B552" s="157"/>
      <c r="C552" s="157"/>
      <c r="D552" s="158">
        <f t="shared" si="8"/>
        <v>0</v>
      </c>
    </row>
    <row r="553" spans="1:4" ht="18">
      <c r="A553" s="161" t="s">
        <v>362</v>
      </c>
      <c r="B553" s="157">
        <v>1.5</v>
      </c>
      <c r="C553" s="157">
        <v>22000</v>
      </c>
      <c r="D553" s="158">
        <f t="shared" si="8"/>
        <v>33000</v>
      </c>
    </row>
    <row r="554" spans="1:4" ht="18" hidden="1">
      <c r="A554" s="161" t="s">
        <v>130</v>
      </c>
      <c r="B554" s="157"/>
      <c r="C554" s="157"/>
      <c r="D554" s="158">
        <f t="shared" si="8"/>
        <v>0</v>
      </c>
    </row>
    <row r="555" spans="1:4" ht="18" hidden="1">
      <c r="A555" s="156" t="s">
        <v>152</v>
      </c>
      <c r="B555" s="157"/>
      <c r="C555" s="157"/>
      <c r="D555" s="158">
        <f t="shared" si="8"/>
        <v>0</v>
      </c>
    </row>
    <row r="556" spans="1:4" ht="18" hidden="1">
      <c r="A556" s="156" t="s">
        <v>153</v>
      </c>
      <c r="B556" s="157"/>
      <c r="C556" s="157"/>
      <c r="D556" s="158">
        <f t="shared" si="8"/>
        <v>0</v>
      </c>
    </row>
    <row r="557" spans="1:4" ht="18" hidden="1">
      <c r="A557" s="161" t="s">
        <v>154</v>
      </c>
      <c r="B557" s="157"/>
      <c r="C557" s="157"/>
      <c r="D557" s="158">
        <f t="shared" si="8"/>
        <v>0</v>
      </c>
    </row>
    <row r="558" spans="1:4" ht="18" hidden="1">
      <c r="A558" s="161" t="s">
        <v>363</v>
      </c>
      <c r="B558" s="157"/>
      <c r="C558" s="157"/>
      <c r="D558" s="158">
        <f t="shared" si="8"/>
        <v>0</v>
      </c>
    </row>
    <row r="559" spans="1:4" ht="18" hidden="1">
      <c r="A559" s="161" t="s">
        <v>222</v>
      </c>
      <c r="B559" s="157"/>
      <c r="C559" s="157"/>
      <c r="D559" s="158">
        <f t="shared" si="8"/>
        <v>0</v>
      </c>
    </row>
    <row r="560" spans="1:4" ht="18" hidden="1">
      <c r="A560" s="159" t="s">
        <v>223</v>
      </c>
      <c r="B560" s="157"/>
      <c r="C560" s="157"/>
      <c r="D560" s="158">
        <f t="shared" si="8"/>
        <v>0</v>
      </c>
    </row>
    <row r="561" spans="1:4" ht="18" hidden="1">
      <c r="A561" s="161" t="s">
        <v>224</v>
      </c>
      <c r="B561" s="157"/>
      <c r="C561" s="157"/>
      <c r="D561" s="158">
        <f t="shared" si="8"/>
        <v>0</v>
      </c>
    </row>
    <row r="562" spans="1:4" ht="18" hidden="1">
      <c r="A562" s="159" t="s">
        <v>367</v>
      </c>
      <c r="B562" s="157"/>
      <c r="C562" s="157"/>
      <c r="D562" s="158">
        <f t="shared" si="8"/>
        <v>0</v>
      </c>
    </row>
    <row r="563" spans="1:4" ht="18" hidden="1">
      <c r="A563" s="161" t="s">
        <v>262</v>
      </c>
      <c r="B563" s="157"/>
      <c r="C563" s="157"/>
      <c r="D563" s="158">
        <f t="shared" si="8"/>
        <v>0</v>
      </c>
    </row>
    <row r="564" spans="1:4" ht="18" hidden="1">
      <c r="A564" s="161" t="s">
        <v>282</v>
      </c>
      <c r="B564" s="157"/>
      <c r="C564" s="157"/>
      <c r="D564" s="158">
        <f t="shared" si="8"/>
        <v>0</v>
      </c>
    </row>
    <row r="565" spans="1:4" ht="18" hidden="1">
      <c r="A565" s="161" t="s">
        <v>285</v>
      </c>
      <c r="B565" s="157"/>
      <c r="C565" s="157"/>
      <c r="D565" s="158">
        <f t="shared" si="8"/>
        <v>0</v>
      </c>
    </row>
    <row r="566" spans="1:4" ht="18" hidden="1">
      <c r="A566" s="161" t="s">
        <v>314</v>
      </c>
      <c r="B566" s="157"/>
      <c r="C566" s="157"/>
      <c r="D566" s="158">
        <f t="shared" si="8"/>
        <v>0</v>
      </c>
    </row>
    <row r="567" spans="1:4" ht="18" hidden="1">
      <c r="A567" s="164" t="s">
        <v>315</v>
      </c>
      <c r="B567" s="157"/>
      <c r="C567" s="157"/>
      <c r="D567" s="158">
        <f t="shared" si="8"/>
        <v>0</v>
      </c>
    </row>
    <row r="568" spans="1:4" ht="18" hidden="1">
      <c r="A568" s="156" t="s">
        <v>377</v>
      </c>
      <c r="B568" s="157"/>
      <c r="C568" s="157"/>
      <c r="D568" s="158">
        <f t="shared" si="8"/>
        <v>0</v>
      </c>
    </row>
    <row r="569" spans="1:4" ht="18" hidden="1">
      <c r="A569" s="159" t="s">
        <v>355</v>
      </c>
      <c r="B569" s="157"/>
      <c r="C569" s="157"/>
      <c r="D569" s="158">
        <f t="shared" si="8"/>
        <v>0</v>
      </c>
    </row>
    <row r="570" spans="1:4" ht="18" hidden="1">
      <c r="A570" s="161" t="s">
        <v>47</v>
      </c>
      <c r="B570" s="157"/>
      <c r="C570" s="157"/>
      <c r="D570" s="158">
        <f t="shared" si="8"/>
        <v>0</v>
      </c>
    </row>
    <row r="571" spans="1:4" ht="18" hidden="1">
      <c r="A571" s="161" t="s">
        <v>48</v>
      </c>
      <c r="B571" s="157"/>
      <c r="C571" s="157"/>
      <c r="D571" s="158">
        <f t="shared" si="8"/>
        <v>0</v>
      </c>
    </row>
    <row r="572" spans="1:4" ht="18" hidden="1">
      <c r="A572" s="159" t="s">
        <v>356</v>
      </c>
      <c r="B572" s="162"/>
      <c r="C572" s="162"/>
      <c r="D572" s="158">
        <f t="shared" si="8"/>
        <v>0</v>
      </c>
    </row>
    <row r="573" spans="1:4" ht="18" hidden="1">
      <c r="A573" s="159" t="s">
        <v>50</v>
      </c>
      <c r="B573" s="162"/>
      <c r="C573" s="162"/>
      <c r="D573" s="158">
        <f t="shared" si="8"/>
        <v>0</v>
      </c>
    </row>
    <row r="574" spans="1:4" ht="18" hidden="1">
      <c r="A574" s="164" t="s">
        <v>270</v>
      </c>
      <c r="B574" s="157"/>
      <c r="C574" s="157"/>
      <c r="D574" s="158">
        <f t="shared" si="8"/>
        <v>0</v>
      </c>
    </row>
    <row r="575" spans="1:4" ht="18" hidden="1">
      <c r="A575" s="163" t="s">
        <v>271</v>
      </c>
      <c r="B575" s="157"/>
      <c r="C575" s="157"/>
      <c r="D575" s="158">
        <f t="shared" si="8"/>
        <v>0</v>
      </c>
    </row>
    <row r="576" spans="1:4" ht="18" hidden="1">
      <c r="A576" s="163" t="s">
        <v>272</v>
      </c>
      <c r="B576" s="157"/>
      <c r="C576" s="157"/>
      <c r="D576" s="158">
        <f t="shared" si="8"/>
        <v>0</v>
      </c>
    </row>
    <row r="577" spans="1:4" ht="18" hidden="1">
      <c r="A577" s="159" t="s">
        <v>373</v>
      </c>
      <c r="B577" s="157"/>
      <c r="C577" s="157"/>
      <c r="D577" s="158">
        <f t="shared" si="8"/>
        <v>0</v>
      </c>
    </row>
    <row r="578" spans="1:4" ht="18" hidden="1">
      <c r="A578" s="159" t="s">
        <v>283</v>
      </c>
      <c r="B578" s="157"/>
      <c r="C578" s="157"/>
      <c r="D578" s="158">
        <f t="shared" si="8"/>
        <v>0</v>
      </c>
    </row>
    <row r="579" spans="1:4" ht="18" hidden="1">
      <c r="A579" s="161" t="s">
        <v>284</v>
      </c>
      <c r="B579" s="157"/>
      <c r="C579" s="157"/>
      <c r="D579" s="158">
        <f t="shared" si="8"/>
        <v>0</v>
      </c>
    </row>
    <row r="580" spans="1:4" ht="18" hidden="1">
      <c r="A580" s="161" t="s">
        <v>374</v>
      </c>
      <c r="B580" s="157"/>
      <c r="C580" s="157"/>
      <c r="D580" s="158">
        <f t="shared" ref="D580:D643" si="9">B580*C580</f>
        <v>0</v>
      </c>
    </row>
    <row r="581" spans="1:4" ht="18" hidden="1">
      <c r="A581" s="161" t="s">
        <v>287</v>
      </c>
      <c r="B581" s="157"/>
      <c r="C581" s="157"/>
      <c r="D581" s="158">
        <f t="shared" si="9"/>
        <v>0</v>
      </c>
    </row>
    <row r="582" spans="1:4" ht="18" hidden="1">
      <c r="A582" s="164" t="s">
        <v>299</v>
      </c>
      <c r="B582" s="157"/>
      <c r="C582" s="157"/>
      <c r="D582" s="158">
        <f t="shared" si="9"/>
        <v>0</v>
      </c>
    </row>
    <row r="583" spans="1:4" ht="18" hidden="1">
      <c r="A583" s="156" t="s">
        <v>193</v>
      </c>
      <c r="B583" s="157"/>
      <c r="C583" s="157"/>
      <c r="D583" s="158">
        <f t="shared" si="9"/>
        <v>0</v>
      </c>
    </row>
    <row r="584" spans="1:4" ht="18" hidden="1">
      <c r="A584" s="161" t="s">
        <v>194</v>
      </c>
      <c r="B584" s="157"/>
      <c r="C584" s="157"/>
      <c r="D584" s="158">
        <f t="shared" si="9"/>
        <v>0</v>
      </c>
    </row>
    <row r="585" spans="1:4" ht="18" hidden="1">
      <c r="A585" s="161" t="s">
        <v>195</v>
      </c>
      <c r="B585" s="157"/>
      <c r="C585" s="157"/>
      <c r="D585" s="158">
        <f t="shared" si="9"/>
        <v>0</v>
      </c>
    </row>
    <row r="586" spans="1:4" ht="18" hidden="1">
      <c r="A586" s="156" t="s">
        <v>320</v>
      </c>
      <c r="B586" s="157"/>
      <c r="C586" s="157"/>
      <c r="D586" s="158">
        <f t="shared" si="9"/>
        <v>0</v>
      </c>
    </row>
    <row r="587" spans="1:4" ht="18" hidden="1">
      <c r="A587" s="161" t="s">
        <v>322</v>
      </c>
      <c r="B587" s="157"/>
      <c r="C587" s="157"/>
      <c r="D587" s="158">
        <f t="shared" si="9"/>
        <v>0</v>
      </c>
    </row>
    <row r="588" spans="1:4" ht="18" hidden="1">
      <c r="A588" s="161" t="s">
        <v>323</v>
      </c>
      <c r="B588" s="157"/>
      <c r="C588" s="157"/>
      <c r="D588" s="158">
        <f t="shared" si="9"/>
        <v>0</v>
      </c>
    </row>
    <row r="589" spans="1:4" ht="18" hidden="1">
      <c r="A589" s="163" t="s">
        <v>326</v>
      </c>
      <c r="B589" s="157"/>
      <c r="C589" s="157"/>
      <c r="D589" s="158">
        <f t="shared" si="9"/>
        <v>0</v>
      </c>
    </row>
    <row r="590" spans="1:4" ht="18" hidden="1">
      <c r="A590" s="161" t="s">
        <v>328</v>
      </c>
      <c r="B590" s="157"/>
      <c r="C590" s="157"/>
      <c r="D590" s="158">
        <f t="shared" si="9"/>
        <v>0</v>
      </c>
    </row>
    <row r="591" spans="1:4" ht="18" hidden="1">
      <c r="A591" s="161" t="s">
        <v>329</v>
      </c>
      <c r="B591" s="157"/>
      <c r="C591" s="157"/>
      <c r="D591" s="158">
        <f t="shared" si="9"/>
        <v>0</v>
      </c>
    </row>
    <row r="592" spans="1:4" ht="18" hidden="1">
      <c r="A592" s="161" t="s">
        <v>330</v>
      </c>
      <c r="B592" s="157"/>
      <c r="C592" s="157"/>
      <c r="D592" s="158">
        <f t="shared" si="9"/>
        <v>0</v>
      </c>
    </row>
    <row r="593" spans="1:4" ht="18" hidden="1">
      <c r="A593" s="161" t="s">
        <v>331</v>
      </c>
      <c r="B593" s="157"/>
      <c r="C593" s="157"/>
      <c r="D593" s="158">
        <f t="shared" si="9"/>
        <v>0</v>
      </c>
    </row>
    <row r="594" spans="1:4" ht="18" hidden="1">
      <c r="A594" s="163" t="s">
        <v>332</v>
      </c>
      <c r="B594" s="157"/>
      <c r="C594" s="157"/>
      <c r="D594" s="158">
        <f t="shared" si="9"/>
        <v>0</v>
      </c>
    </row>
    <row r="595" spans="1:4" ht="18" hidden="1">
      <c r="A595" s="161" t="s">
        <v>333</v>
      </c>
      <c r="B595" s="157"/>
      <c r="C595" s="157"/>
      <c r="D595" s="158">
        <f t="shared" si="9"/>
        <v>0</v>
      </c>
    </row>
    <row r="596" spans="1:4" ht="18" hidden="1">
      <c r="A596" s="161" t="s">
        <v>337</v>
      </c>
      <c r="B596" s="157"/>
      <c r="C596" s="157"/>
      <c r="D596" s="158">
        <f t="shared" si="9"/>
        <v>0</v>
      </c>
    </row>
    <row r="597" spans="1:4" ht="18" hidden="1">
      <c r="A597" s="163" t="s">
        <v>339</v>
      </c>
      <c r="B597" s="157"/>
      <c r="C597" s="157"/>
      <c r="D597" s="158">
        <f t="shared" si="9"/>
        <v>0</v>
      </c>
    </row>
    <row r="598" spans="1:4" ht="18" hidden="1">
      <c r="A598" s="163" t="s">
        <v>340</v>
      </c>
      <c r="B598" s="157"/>
      <c r="C598" s="157"/>
      <c r="D598" s="158">
        <f t="shared" si="9"/>
        <v>0</v>
      </c>
    </row>
    <row r="599" spans="1:4" ht="18" hidden="1">
      <c r="A599" s="161" t="s">
        <v>341</v>
      </c>
      <c r="B599" s="157"/>
      <c r="C599" s="157"/>
      <c r="D599" s="158">
        <f t="shared" si="9"/>
        <v>0</v>
      </c>
    </row>
    <row r="600" spans="1:4" ht="18" hidden="1">
      <c r="A600" s="161" t="s">
        <v>342</v>
      </c>
      <c r="B600" s="157"/>
      <c r="C600" s="157"/>
      <c r="D600" s="158">
        <f t="shared" si="9"/>
        <v>0</v>
      </c>
    </row>
    <row r="601" spans="1:4" ht="18" hidden="1">
      <c r="A601" s="163" t="s">
        <v>343</v>
      </c>
      <c r="B601" s="157"/>
      <c r="C601" s="157"/>
      <c r="D601" s="158">
        <f t="shared" si="9"/>
        <v>0</v>
      </c>
    </row>
    <row r="602" spans="1:4" ht="18" hidden="1">
      <c r="A602" s="161" t="s">
        <v>344</v>
      </c>
      <c r="B602" s="157"/>
      <c r="C602" s="157"/>
      <c r="D602" s="158">
        <f t="shared" si="9"/>
        <v>0</v>
      </c>
    </row>
    <row r="603" spans="1:4" ht="18" hidden="1">
      <c r="A603" s="161" t="s">
        <v>345</v>
      </c>
      <c r="B603" s="157"/>
      <c r="C603" s="157"/>
      <c r="D603" s="158">
        <f t="shared" si="9"/>
        <v>0</v>
      </c>
    </row>
    <row r="604" spans="1:4" ht="18" hidden="1">
      <c r="A604" s="161" t="s">
        <v>346</v>
      </c>
      <c r="B604" s="157"/>
      <c r="C604" s="157"/>
      <c r="D604" s="158">
        <f t="shared" si="9"/>
        <v>0</v>
      </c>
    </row>
    <row r="605" spans="1:4" ht="18" hidden="1">
      <c r="A605" s="161" t="s">
        <v>347</v>
      </c>
      <c r="B605" s="157"/>
      <c r="C605" s="157"/>
      <c r="D605" s="158">
        <f t="shared" si="9"/>
        <v>0</v>
      </c>
    </row>
    <row r="606" spans="1:4" ht="18" hidden="1">
      <c r="A606" s="161" t="s">
        <v>348</v>
      </c>
      <c r="B606" s="157"/>
      <c r="C606" s="157"/>
      <c r="D606" s="158">
        <f t="shared" si="9"/>
        <v>0</v>
      </c>
    </row>
    <row r="607" spans="1:4" ht="18" hidden="1">
      <c r="A607" s="161" t="s">
        <v>349</v>
      </c>
      <c r="B607" s="157"/>
      <c r="C607" s="157"/>
      <c r="D607" s="158">
        <f t="shared" si="9"/>
        <v>0</v>
      </c>
    </row>
    <row r="608" spans="1:4" ht="18" hidden="1">
      <c r="A608" s="161" t="s">
        <v>350</v>
      </c>
      <c r="B608" s="157"/>
      <c r="C608" s="157"/>
      <c r="D608" s="158">
        <f t="shared" si="9"/>
        <v>0</v>
      </c>
    </row>
    <row r="609" spans="1:4" ht="18" hidden="1">
      <c r="A609" s="161" t="s">
        <v>351</v>
      </c>
      <c r="B609" s="157"/>
      <c r="C609" s="157"/>
      <c r="D609" s="158">
        <f t="shared" si="9"/>
        <v>0</v>
      </c>
    </row>
    <row r="610" spans="1:4" ht="18" hidden="1">
      <c r="A610" s="161" t="s">
        <v>302</v>
      </c>
      <c r="B610" s="157"/>
      <c r="C610" s="157"/>
      <c r="D610" s="158">
        <f t="shared" si="9"/>
        <v>0</v>
      </c>
    </row>
    <row r="611" spans="1:4" ht="18" hidden="1">
      <c r="A611" s="164" t="s">
        <v>303</v>
      </c>
      <c r="B611" s="157"/>
      <c r="C611" s="157"/>
      <c r="D611" s="158">
        <f t="shared" si="9"/>
        <v>0</v>
      </c>
    </row>
    <row r="612" spans="1:4" ht="18" hidden="1">
      <c r="A612" s="161" t="s">
        <v>304</v>
      </c>
      <c r="B612" s="157"/>
      <c r="C612" s="157"/>
      <c r="D612" s="158">
        <f t="shared" si="9"/>
        <v>0</v>
      </c>
    </row>
    <row r="613" spans="1:4" ht="18" hidden="1">
      <c r="A613" s="161" t="s">
        <v>30</v>
      </c>
      <c r="B613" s="157"/>
      <c r="C613" s="157"/>
      <c r="D613" s="158">
        <f t="shared" si="9"/>
        <v>0</v>
      </c>
    </row>
    <row r="614" spans="1:4" ht="18" hidden="1">
      <c r="A614" s="161" t="s">
        <v>31</v>
      </c>
      <c r="B614" s="157"/>
      <c r="C614" s="157"/>
      <c r="D614" s="158">
        <f t="shared" si="9"/>
        <v>0</v>
      </c>
    </row>
    <row r="615" spans="1:4" ht="18">
      <c r="A615" s="161" t="s">
        <v>32</v>
      </c>
      <c r="B615" s="157">
        <v>30</v>
      </c>
      <c r="C615" s="157">
        <v>11500</v>
      </c>
      <c r="D615" s="158">
        <f t="shared" si="9"/>
        <v>345000</v>
      </c>
    </row>
    <row r="616" spans="1:4" ht="18" hidden="1">
      <c r="A616" s="161" t="s">
        <v>33</v>
      </c>
      <c r="B616" s="157"/>
      <c r="C616" s="157"/>
      <c r="D616" s="158">
        <f t="shared" si="9"/>
        <v>0</v>
      </c>
    </row>
    <row r="617" spans="1:4" ht="18" hidden="1">
      <c r="A617" s="161" t="s">
        <v>34</v>
      </c>
      <c r="B617" s="157"/>
      <c r="C617" s="157"/>
      <c r="D617" s="158">
        <f t="shared" si="9"/>
        <v>0</v>
      </c>
    </row>
    <row r="618" spans="1:4" ht="18" hidden="1">
      <c r="A618" s="161" t="s">
        <v>58</v>
      </c>
      <c r="B618" s="157"/>
      <c r="C618" s="157"/>
      <c r="D618" s="158">
        <f t="shared" si="9"/>
        <v>0</v>
      </c>
    </row>
    <row r="619" spans="1:4" ht="18" hidden="1">
      <c r="A619" s="161" t="s">
        <v>59</v>
      </c>
      <c r="B619" s="157"/>
      <c r="C619" s="157"/>
      <c r="D619" s="158">
        <f t="shared" si="9"/>
        <v>0</v>
      </c>
    </row>
    <row r="620" spans="1:4" ht="18" hidden="1">
      <c r="A620" s="173" t="s">
        <v>60</v>
      </c>
      <c r="B620" s="157"/>
      <c r="C620" s="157"/>
      <c r="D620" s="158">
        <f t="shared" si="9"/>
        <v>0</v>
      </c>
    </row>
    <row r="621" spans="1:4" ht="18" hidden="1">
      <c r="A621" s="161" t="s">
        <v>63</v>
      </c>
      <c r="B621" s="157"/>
      <c r="C621" s="157"/>
      <c r="D621" s="158">
        <f t="shared" si="9"/>
        <v>0</v>
      </c>
    </row>
    <row r="622" spans="1:4" ht="18" hidden="1">
      <c r="A622" s="161" t="s">
        <v>64</v>
      </c>
      <c r="B622" s="157"/>
      <c r="C622" s="157"/>
      <c r="D622" s="158">
        <f t="shared" si="9"/>
        <v>0</v>
      </c>
    </row>
    <row r="623" spans="1:4" ht="18" hidden="1">
      <c r="A623" s="183" t="s">
        <v>145</v>
      </c>
      <c r="B623" s="157"/>
      <c r="C623" s="157"/>
      <c r="D623" s="158">
        <f t="shared" si="9"/>
        <v>0</v>
      </c>
    </row>
    <row r="624" spans="1:4" ht="18" hidden="1">
      <c r="A624" s="156" t="s">
        <v>146</v>
      </c>
      <c r="B624" s="162"/>
      <c r="C624" s="162"/>
      <c r="D624" s="158">
        <f t="shared" si="9"/>
        <v>0</v>
      </c>
    </row>
    <row r="625" spans="1:4" ht="18" hidden="1">
      <c r="A625" s="161" t="s">
        <v>147</v>
      </c>
      <c r="B625" s="157"/>
      <c r="C625" s="157"/>
      <c r="D625" s="158">
        <f t="shared" si="9"/>
        <v>0</v>
      </c>
    </row>
    <row r="626" spans="1:4" ht="18" hidden="1">
      <c r="A626" s="161" t="s">
        <v>148</v>
      </c>
      <c r="B626" s="157"/>
      <c r="C626" s="157"/>
      <c r="D626" s="158">
        <f t="shared" si="9"/>
        <v>0</v>
      </c>
    </row>
    <row r="627" spans="1:4" ht="18" hidden="1">
      <c r="A627" s="161" t="s">
        <v>305</v>
      </c>
      <c r="B627" s="157"/>
      <c r="C627" s="157"/>
      <c r="D627" s="158">
        <f t="shared" si="9"/>
        <v>0</v>
      </c>
    </row>
    <row r="628" spans="1:4" ht="18" hidden="1">
      <c r="A628" s="164" t="s">
        <v>306</v>
      </c>
      <c r="B628" s="157"/>
      <c r="C628" s="157"/>
      <c r="D628" s="158">
        <f t="shared" si="9"/>
        <v>0</v>
      </c>
    </row>
    <row r="629" spans="1:4" ht="18" hidden="1">
      <c r="A629" s="161" t="s">
        <v>24</v>
      </c>
      <c r="B629" s="157"/>
      <c r="C629" s="157"/>
      <c r="D629" s="158">
        <f t="shared" si="9"/>
        <v>0</v>
      </c>
    </row>
    <row r="630" spans="1:4" ht="18" hidden="1">
      <c r="A630" s="173" t="s">
        <v>25</v>
      </c>
      <c r="B630" s="157"/>
      <c r="C630" s="157"/>
      <c r="D630" s="158">
        <f t="shared" si="9"/>
        <v>0</v>
      </c>
    </row>
    <row r="631" spans="1:4" ht="18" hidden="1">
      <c r="A631" s="159" t="s">
        <v>26</v>
      </c>
      <c r="B631" s="157"/>
      <c r="C631" s="157"/>
      <c r="D631" s="158">
        <f t="shared" si="9"/>
        <v>0</v>
      </c>
    </row>
    <row r="632" spans="1:4" ht="18" hidden="1">
      <c r="A632" s="161" t="s">
        <v>172</v>
      </c>
      <c r="B632" s="157"/>
      <c r="C632" s="157"/>
      <c r="D632" s="158">
        <f t="shared" si="9"/>
        <v>0</v>
      </c>
    </row>
    <row r="633" spans="1:4" ht="18" hidden="1">
      <c r="A633" s="161" t="s">
        <v>173</v>
      </c>
      <c r="B633" s="157"/>
      <c r="C633" s="157"/>
      <c r="D633" s="158">
        <f t="shared" si="9"/>
        <v>0</v>
      </c>
    </row>
    <row r="634" spans="1:4" ht="18">
      <c r="A634" s="161" t="s">
        <v>174</v>
      </c>
      <c r="B634" s="157">
        <v>5</v>
      </c>
      <c r="C634" s="157">
        <v>8000</v>
      </c>
      <c r="D634" s="158">
        <f t="shared" si="9"/>
        <v>40000</v>
      </c>
    </row>
    <row r="635" spans="1:4" ht="18" hidden="1">
      <c r="A635" s="161" t="s">
        <v>175</v>
      </c>
      <c r="B635" s="157"/>
      <c r="C635" s="157"/>
      <c r="D635" s="158">
        <f t="shared" si="9"/>
        <v>0</v>
      </c>
    </row>
    <row r="636" spans="1:4" ht="18" hidden="1">
      <c r="A636" s="178" t="s">
        <v>13</v>
      </c>
      <c r="B636" s="157"/>
      <c r="C636" s="157"/>
      <c r="D636" s="158">
        <f t="shared" si="9"/>
        <v>0</v>
      </c>
    </row>
    <row r="637" spans="1:4" ht="18" hidden="1">
      <c r="A637" s="171" t="s">
        <v>14</v>
      </c>
      <c r="B637" s="157"/>
      <c r="C637" s="157"/>
      <c r="D637" s="158">
        <f t="shared" si="9"/>
        <v>0</v>
      </c>
    </row>
    <row r="638" spans="1:4" ht="18" hidden="1">
      <c r="A638" s="185" t="s">
        <v>77</v>
      </c>
      <c r="B638" s="157"/>
      <c r="C638" s="157"/>
      <c r="D638" s="158">
        <f t="shared" si="9"/>
        <v>0</v>
      </c>
    </row>
    <row r="639" spans="1:4" ht="18" hidden="1">
      <c r="A639" s="156" t="s">
        <v>81</v>
      </c>
      <c r="B639" s="157"/>
      <c r="C639" s="157"/>
      <c r="D639" s="158">
        <f t="shared" si="9"/>
        <v>0</v>
      </c>
    </row>
    <row r="640" spans="1:4" ht="18" hidden="1">
      <c r="A640" s="159" t="s">
        <v>116</v>
      </c>
      <c r="B640" s="157"/>
      <c r="C640" s="157"/>
      <c r="D640" s="158">
        <f t="shared" si="9"/>
        <v>0</v>
      </c>
    </row>
    <row r="641" spans="1:4" ht="18" hidden="1">
      <c r="A641" s="186" t="s">
        <v>122</v>
      </c>
      <c r="B641" s="157"/>
      <c r="C641" s="157"/>
      <c r="D641" s="158">
        <f t="shared" si="9"/>
        <v>0</v>
      </c>
    </row>
    <row r="642" spans="1:4" ht="18" hidden="1">
      <c r="A642" s="161" t="s">
        <v>133</v>
      </c>
      <c r="B642" s="157"/>
      <c r="C642" s="157"/>
      <c r="D642" s="158">
        <f t="shared" si="9"/>
        <v>0</v>
      </c>
    </row>
    <row r="643" spans="1:4" ht="18" hidden="1">
      <c r="A643" s="159" t="s">
        <v>135</v>
      </c>
      <c r="B643" s="157"/>
      <c r="C643" s="157"/>
      <c r="D643" s="158">
        <f t="shared" si="9"/>
        <v>0</v>
      </c>
    </row>
    <row r="644" spans="1:4" ht="18" hidden="1">
      <c r="A644" s="159" t="s">
        <v>136</v>
      </c>
      <c r="B644" s="157"/>
      <c r="C644" s="157"/>
      <c r="D644" s="158">
        <f t="shared" ref="D644:D671" si="10">B644*C644</f>
        <v>0</v>
      </c>
    </row>
    <row r="645" spans="1:4" ht="18" hidden="1">
      <c r="A645" s="161" t="s">
        <v>158</v>
      </c>
      <c r="B645" s="157"/>
      <c r="C645" s="157"/>
      <c r="D645" s="158">
        <f t="shared" si="10"/>
        <v>0</v>
      </c>
    </row>
    <row r="646" spans="1:4" ht="18" hidden="1">
      <c r="A646" s="159" t="s">
        <v>190</v>
      </c>
      <c r="B646" s="157"/>
      <c r="C646" s="157"/>
      <c r="D646" s="158">
        <f t="shared" si="10"/>
        <v>0</v>
      </c>
    </row>
    <row r="647" spans="1:4" ht="18" hidden="1">
      <c r="A647" s="164" t="s">
        <v>204</v>
      </c>
      <c r="B647" s="157"/>
      <c r="C647" s="157"/>
      <c r="D647" s="158">
        <f t="shared" si="10"/>
        <v>0</v>
      </c>
    </row>
    <row r="648" spans="1:4" ht="18" hidden="1">
      <c r="A648" s="164" t="s">
        <v>205</v>
      </c>
      <c r="B648" s="157"/>
      <c r="C648" s="157"/>
      <c r="D648" s="158">
        <f t="shared" si="10"/>
        <v>0</v>
      </c>
    </row>
    <row r="649" spans="1:4" ht="18" hidden="1">
      <c r="A649" s="164" t="s">
        <v>206</v>
      </c>
      <c r="B649" s="157"/>
      <c r="C649" s="157"/>
      <c r="D649" s="158">
        <f t="shared" si="10"/>
        <v>0</v>
      </c>
    </row>
    <row r="650" spans="1:4" ht="18" hidden="1">
      <c r="A650" s="164" t="s">
        <v>207</v>
      </c>
      <c r="B650" s="157"/>
      <c r="C650" s="157"/>
      <c r="D650" s="158">
        <f t="shared" si="10"/>
        <v>0</v>
      </c>
    </row>
    <row r="651" spans="1:4" ht="18" hidden="1">
      <c r="A651" s="161" t="s">
        <v>209</v>
      </c>
      <c r="B651" s="157"/>
      <c r="C651" s="157"/>
      <c r="D651" s="158">
        <f t="shared" si="10"/>
        <v>0</v>
      </c>
    </row>
    <row r="652" spans="1:4" ht="18" hidden="1">
      <c r="A652" s="187" t="s">
        <v>210</v>
      </c>
      <c r="B652" s="157"/>
      <c r="C652" s="157"/>
      <c r="D652" s="158">
        <f t="shared" si="10"/>
        <v>0</v>
      </c>
    </row>
    <row r="653" spans="1:4" ht="18" hidden="1">
      <c r="A653" s="187" t="s">
        <v>211</v>
      </c>
      <c r="B653" s="157"/>
      <c r="C653" s="157"/>
      <c r="D653" s="158">
        <f t="shared" si="10"/>
        <v>0</v>
      </c>
    </row>
    <row r="654" spans="1:4" ht="18" hidden="1">
      <c r="A654" s="187" t="s">
        <v>212</v>
      </c>
      <c r="B654" s="157"/>
      <c r="C654" s="157"/>
      <c r="D654" s="158">
        <f t="shared" si="10"/>
        <v>0</v>
      </c>
    </row>
    <row r="655" spans="1:4" ht="18" hidden="1">
      <c r="A655" s="187" t="s">
        <v>213</v>
      </c>
      <c r="B655" s="157"/>
      <c r="C655" s="157"/>
      <c r="D655" s="158">
        <f t="shared" si="10"/>
        <v>0</v>
      </c>
    </row>
    <row r="656" spans="1:4" ht="18" hidden="1">
      <c r="A656" s="159" t="s">
        <v>241</v>
      </c>
      <c r="B656" s="157"/>
      <c r="C656" s="157"/>
      <c r="D656" s="158">
        <f t="shared" si="10"/>
        <v>0</v>
      </c>
    </row>
    <row r="657" spans="1:4" ht="18" hidden="1">
      <c r="A657" s="163" t="s">
        <v>371</v>
      </c>
      <c r="B657" s="157"/>
      <c r="C657" s="157"/>
      <c r="D657" s="158">
        <f t="shared" si="10"/>
        <v>0</v>
      </c>
    </row>
    <row r="658" spans="1:4" ht="18" hidden="1">
      <c r="A658" s="163" t="s">
        <v>372</v>
      </c>
      <c r="B658" s="157"/>
      <c r="C658" s="157"/>
      <c r="D658" s="158">
        <f t="shared" si="10"/>
        <v>0</v>
      </c>
    </row>
    <row r="659" spans="1:4" ht="18" hidden="1">
      <c r="A659" s="159" t="s">
        <v>247</v>
      </c>
      <c r="B659" s="157"/>
      <c r="C659" s="157"/>
      <c r="D659" s="158">
        <f t="shared" si="10"/>
        <v>0</v>
      </c>
    </row>
    <row r="660" spans="1:4" ht="18" hidden="1">
      <c r="A660" s="173" t="s">
        <v>254</v>
      </c>
      <c r="B660" s="157"/>
      <c r="C660" s="157"/>
      <c r="D660" s="158">
        <f t="shared" si="10"/>
        <v>0</v>
      </c>
    </row>
    <row r="661" spans="1:4" ht="18" hidden="1">
      <c r="A661" s="173" t="s">
        <v>255</v>
      </c>
      <c r="B661" s="157"/>
      <c r="C661" s="157"/>
      <c r="D661" s="158">
        <f t="shared" si="10"/>
        <v>0</v>
      </c>
    </row>
    <row r="662" spans="1:4" ht="18" hidden="1">
      <c r="A662" s="187" t="s">
        <v>256</v>
      </c>
      <c r="B662" s="157"/>
      <c r="C662" s="157"/>
      <c r="D662" s="158">
        <f t="shared" si="10"/>
        <v>0</v>
      </c>
    </row>
    <row r="663" spans="1:4" ht="18" hidden="1">
      <c r="A663" s="187" t="s">
        <v>260</v>
      </c>
      <c r="B663" s="157"/>
      <c r="C663" s="157"/>
      <c r="D663" s="158">
        <f t="shared" si="10"/>
        <v>0</v>
      </c>
    </row>
    <row r="664" spans="1:4" ht="18" hidden="1">
      <c r="A664" s="187" t="s">
        <v>291</v>
      </c>
      <c r="B664" s="157"/>
      <c r="C664" s="157"/>
      <c r="D664" s="158">
        <f t="shared" si="10"/>
        <v>0</v>
      </c>
    </row>
    <row r="665" spans="1:4" ht="18" hidden="1">
      <c r="A665" s="187" t="s">
        <v>293</v>
      </c>
      <c r="B665" s="157"/>
      <c r="C665" s="157"/>
      <c r="D665" s="158">
        <f t="shared" si="10"/>
        <v>0</v>
      </c>
    </row>
    <row r="666" spans="1:4" ht="18" hidden="1">
      <c r="A666" s="159" t="s">
        <v>376</v>
      </c>
      <c r="B666" s="157"/>
      <c r="C666" s="157"/>
      <c r="D666" s="158">
        <f t="shared" si="10"/>
        <v>0</v>
      </c>
    </row>
    <row r="667" spans="1:4" ht="18" hidden="1">
      <c r="A667" s="187" t="s">
        <v>294</v>
      </c>
      <c r="B667" s="157"/>
      <c r="C667" s="157"/>
      <c r="D667" s="158">
        <f t="shared" si="10"/>
        <v>0</v>
      </c>
    </row>
    <row r="668" spans="1:4" ht="18" hidden="1">
      <c r="A668" s="186" t="s">
        <v>307</v>
      </c>
      <c r="B668" s="157"/>
      <c r="C668" s="157"/>
      <c r="D668" s="158">
        <f t="shared" si="10"/>
        <v>0</v>
      </c>
    </row>
    <row r="669" spans="1:4" ht="18" hidden="1">
      <c r="A669" s="161" t="s">
        <v>378</v>
      </c>
      <c r="B669" s="157"/>
      <c r="C669" s="157"/>
      <c r="D669" s="158">
        <f t="shared" si="10"/>
        <v>0</v>
      </c>
    </row>
    <row r="670" spans="1:4" ht="18" hidden="1">
      <c r="A670" s="159" t="s">
        <v>318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3619.5</v>
      </c>
      <c r="C672" s="189"/>
      <c r="D672" s="189">
        <f t="shared" ref="D672" si="11">SUM(D345:D671)</f>
        <v>47951000</v>
      </c>
    </row>
    <row r="674" spans="4:4">
      <c r="D674" s="190">
        <f>D672+D340</f>
        <v>138955400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6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674"/>
  <sheetViews>
    <sheetView topLeftCell="A367" workbookViewId="0">
      <selection activeCell="D674" sqref="D674"/>
    </sheetView>
  </sheetViews>
  <sheetFormatPr defaultRowHeight="14.4"/>
  <cols>
    <col min="1" max="1" width="41.44140625" customWidth="1"/>
    <col min="3" max="3" width="13.44140625" customWidth="1"/>
    <col min="4" max="4" width="18" customWidth="1"/>
  </cols>
  <sheetData>
    <row r="1" spans="1:4">
      <c r="A1" s="151" t="s">
        <v>421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>
      <c r="A15" s="156" t="s">
        <v>22</v>
      </c>
      <c r="B15" s="157">
        <v>9</v>
      </c>
      <c r="C15" s="157">
        <v>18000</v>
      </c>
      <c r="D15" s="158">
        <f t="shared" si="0"/>
        <v>162000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10</v>
      </c>
      <c r="C18" s="157">
        <v>4000</v>
      </c>
      <c r="D18" s="158">
        <f t="shared" si="0"/>
        <v>40000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v>1500</v>
      </c>
      <c r="C20" s="157">
        <v>11500</v>
      </c>
      <c r="D20" s="158">
        <f t="shared" si="0"/>
        <v>17250000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-30+2+150</f>
        <v>122</v>
      </c>
      <c r="C25" s="157">
        <v>11500</v>
      </c>
      <c r="D25" s="158">
        <f t="shared" si="0"/>
        <v>1403000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>
      <c r="A45" s="161" t="s">
        <v>55</v>
      </c>
      <c r="B45" s="157">
        <v>7</v>
      </c>
      <c r="C45" s="157">
        <v>17000</v>
      </c>
      <c r="D45" s="158">
        <f t="shared" si="0"/>
        <v>119000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>
      <c r="A48" s="180" t="s">
        <v>59</v>
      </c>
      <c r="B48" s="157">
        <v>10</v>
      </c>
      <c r="C48" s="157">
        <v>32000</v>
      </c>
      <c r="D48" s="158">
        <f t="shared" si="0"/>
        <v>320000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 hidden="1">
      <c r="A54" s="156" t="s">
        <v>65</v>
      </c>
      <c r="B54" s="157"/>
      <c r="C54" s="157"/>
      <c r="D54" s="158">
        <f t="shared" si="0"/>
        <v>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21</v>
      </c>
      <c r="C57" s="157">
        <v>6900</v>
      </c>
      <c r="D57" s="158">
        <f t="shared" si="0"/>
        <v>144900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 hidden="1">
      <c r="A64" s="161" t="s">
        <v>76</v>
      </c>
      <c r="B64" s="157"/>
      <c r="C64" s="157"/>
      <c r="D64" s="158">
        <f t="shared" si="0"/>
        <v>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9</v>
      </c>
      <c r="C70" s="157">
        <v>10000</v>
      </c>
      <c r="D70" s="158">
        <f t="shared" si="1"/>
        <v>90000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 hidden="1">
      <c r="A80" s="161" t="s">
        <v>92</v>
      </c>
      <c r="B80" s="157"/>
      <c r="C80" s="157"/>
      <c r="D80" s="158">
        <f t="shared" si="1"/>
        <v>0</v>
      </c>
    </row>
    <row r="81" spans="1:4" ht="18">
      <c r="A81" s="161" t="s">
        <v>94</v>
      </c>
      <c r="B81" s="157">
        <v>8</v>
      </c>
      <c r="C81" s="157">
        <v>22000</v>
      </c>
      <c r="D81" s="158">
        <f t="shared" si="1"/>
        <v>176000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 hidden="1">
      <c r="A104" s="177" t="s">
        <v>117</v>
      </c>
      <c r="B104" s="157"/>
      <c r="C104" s="157"/>
      <c r="D104" s="158">
        <f t="shared" si="1"/>
        <v>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-20+30</f>
        <v>10</v>
      </c>
      <c r="C123" s="157">
        <v>11000</v>
      </c>
      <c r="D123" s="158">
        <f t="shared" si="1"/>
        <v>110000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-60+60+20+10</f>
        <v>30</v>
      </c>
      <c r="C136" s="157">
        <v>15000</v>
      </c>
      <c r="D136" s="158">
        <f t="shared" si="2"/>
        <v>450000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21">
      <c r="A169" s="161" t="s">
        <v>183</v>
      </c>
      <c r="B169" s="157">
        <v>180</v>
      </c>
      <c r="C169" s="197">
        <v>6500</v>
      </c>
      <c r="D169" s="158">
        <f t="shared" si="2"/>
        <v>1170000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30</v>
      </c>
      <c r="C171" s="157">
        <v>11000</v>
      </c>
      <c r="D171" s="158">
        <f t="shared" si="2"/>
        <v>330000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>
      <c r="A184" s="156" t="s">
        <v>198</v>
      </c>
      <c r="B184" s="157">
        <f>-500+880</f>
        <v>380</v>
      </c>
      <c r="C184" s="157">
        <v>8500</v>
      </c>
      <c r="D184" s="158">
        <f t="shared" si="2"/>
        <v>3230000</v>
      </c>
    </row>
    <row r="185" spans="1:4" ht="18">
      <c r="A185" s="161" t="s">
        <v>199</v>
      </c>
      <c r="B185" s="157">
        <v>210</v>
      </c>
      <c r="C185" s="157">
        <v>4000</v>
      </c>
      <c r="D185" s="158">
        <f t="shared" si="2"/>
        <v>840000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46+120+60+70</f>
        <v>296</v>
      </c>
      <c r="C202" s="157">
        <v>21000</v>
      </c>
      <c r="D202" s="158">
        <f t="shared" si="3"/>
        <v>6216000</v>
      </c>
    </row>
    <row r="203" spans="1:4" ht="18">
      <c r="A203" s="156" t="s">
        <v>217</v>
      </c>
      <c r="B203" s="157">
        <v>110</v>
      </c>
      <c r="C203" s="157">
        <v>21000</v>
      </c>
      <c r="D203" s="158">
        <f t="shared" si="3"/>
        <v>2310000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-400+40+80+400+150</f>
        <v>270</v>
      </c>
      <c r="C205" s="157">
        <v>20500</v>
      </c>
      <c r="D205" s="158">
        <f t="shared" si="3"/>
        <v>5535000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-300+250+50+60+60</f>
        <v>120</v>
      </c>
      <c r="C216" s="157">
        <v>15000</v>
      </c>
      <c r="D216" s="158">
        <f t="shared" si="3"/>
        <v>1800000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140</v>
      </c>
      <c r="C218" s="157">
        <v>13000</v>
      </c>
      <c r="D218" s="158">
        <f t="shared" si="3"/>
        <v>1820000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9</v>
      </c>
      <c r="C248" s="157">
        <v>14000</v>
      </c>
      <c r="D248" s="158">
        <f t="shared" si="3"/>
        <v>126000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-20+35+30</f>
        <v>45</v>
      </c>
      <c r="C251" s="157">
        <v>24000</v>
      </c>
      <c r="D251" s="158">
        <f t="shared" si="3"/>
        <v>1080000</v>
      </c>
    </row>
    <row r="252" spans="1:4" ht="18" hidden="1">
      <c r="A252" s="161" t="s">
        <v>266</v>
      </c>
      <c r="B252" s="157"/>
      <c r="C252" s="157"/>
      <c r="D252" s="158">
        <f t="shared" si="3"/>
        <v>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-20+12+13+10+40</f>
        <v>55</v>
      </c>
      <c r="C259" s="157">
        <v>19000</v>
      </c>
      <c r="D259" s="158">
        <f t="shared" si="3"/>
        <v>1045000</v>
      </c>
    </row>
    <row r="260" spans="1:4" ht="18" hidden="1">
      <c r="A260" s="161" t="s">
        <v>274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 hidden="1">
      <c r="A263" s="161" t="s">
        <v>277</v>
      </c>
      <c r="B263" s="157"/>
      <c r="C263" s="157"/>
      <c r="D263" s="158">
        <f t="shared" si="4"/>
        <v>0</v>
      </c>
    </row>
    <row r="264" spans="1:4" ht="18">
      <c r="A264" s="161" t="s">
        <v>278</v>
      </c>
      <c r="B264" s="157">
        <v>10</v>
      </c>
      <c r="C264" s="157">
        <v>23000</v>
      </c>
      <c r="D264" s="158">
        <f t="shared" si="4"/>
        <v>230000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>
      <c r="A269" s="159" t="s">
        <v>283</v>
      </c>
      <c r="B269" s="157">
        <v>2</v>
      </c>
      <c r="C269" s="157">
        <v>38000</v>
      </c>
      <c r="D269" s="158">
        <f t="shared" si="4"/>
        <v>76000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35</v>
      </c>
      <c r="C274" s="157">
        <v>13000</v>
      </c>
      <c r="D274" s="158">
        <f t="shared" si="4"/>
        <v>455000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f>15+20</f>
        <v>35</v>
      </c>
      <c r="C288" s="157">
        <v>11000</v>
      </c>
      <c r="D288" s="158">
        <f t="shared" si="4"/>
        <v>385000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f>15+35</f>
        <v>50</v>
      </c>
      <c r="C291" s="157">
        <v>7000</v>
      </c>
      <c r="D291" s="158">
        <f t="shared" si="4"/>
        <v>350000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60</v>
      </c>
      <c r="C294" s="157">
        <v>8000</v>
      </c>
      <c r="D294" s="158">
        <f t="shared" si="4"/>
        <v>480000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3773</v>
      </c>
      <c r="C340" s="189"/>
      <c r="D340" s="158">
        <f>SUM(D15:D294)</f>
        <v>47742900</v>
      </c>
    </row>
    <row r="341" spans="1:4" ht="18" hidden="1">
      <c r="D341" s="158">
        <f t="shared" si="5"/>
        <v>0</v>
      </c>
    </row>
    <row r="342" spans="1:4" ht="18">
      <c r="A342" s="151" t="s">
        <v>423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v>120</v>
      </c>
      <c r="C348" s="157">
        <v>7300</v>
      </c>
      <c r="D348" s="158">
        <f t="shared" si="5"/>
        <v>876000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15</v>
      </c>
      <c r="C355" s="157">
        <v>6000</v>
      </c>
      <c r="D355" s="158">
        <f t="shared" si="5"/>
        <v>90000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f>-1500+4370</f>
        <v>2870</v>
      </c>
      <c r="C362" s="157">
        <v>11500</v>
      </c>
      <c r="D362" s="158">
        <f t="shared" si="5"/>
        <v>33005000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12000</v>
      </c>
      <c r="D367" s="158">
        <f t="shared" si="5"/>
        <v>360000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280</v>
      </c>
      <c r="C389" s="157">
        <v>23000</v>
      </c>
      <c r="D389" s="158">
        <f t="shared" si="6"/>
        <v>6440000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145</v>
      </c>
      <c r="C414" s="157">
        <v>25000</v>
      </c>
      <c r="D414" s="158">
        <f t="shared" si="6"/>
        <v>3625000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>
      <c r="A427" s="161" t="s">
        <v>104</v>
      </c>
      <c r="B427" s="157">
        <v>10</v>
      </c>
      <c r="C427" s="157">
        <v>9000</v>
      </c>
      <c r="D427" s="158">
        <f t="shared" si="6"/>
        <v>90000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20</v>
      </c>
      <c r="C449" s="157">
        <v>20000</v>
      </c>
      <c r="D449" s="158">
        <f t="shared" si="6"/>
        <v>400000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>
      <c r="A454" s="161" t="s">
        <v>362</v>
      </c>
      <c r="B454" s="157">
        <v>2</v>
      </c>
      <c r="C454" s="157">
        <v>21000</v>
      </c>
      <c r="D454" s="158">
        <f t="shared" si="7"/>
        <v>42000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20</v>
      </c>
      <c r="C461" s="157">
        <v>11000</v>
      </c>
      <c r="D461" s="158">
        <f t="shared" si="7"/>
        <v>220000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15000</v>
      </c>
      <c r="D472" s="158">
        <f t="shared" si="7"/>
        <v>900000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>
      <c r="A497" s="161" t="s">
        <v>174</v>
      </c>
      <c r="B497" s="157">
        <v>9</v>
      </c>
      <c r="C497" s="157">
        <v>8500</v>
      </c>
      <c r="D497" s="158">
        <f t="shared" si="7"/>
        <v>76500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500</v>
      </c>
      <c r="C520" s="157">
        <v>8500</v>
      </c>
      <c r="D520" s="158">
        <f t="shared" si="8"/>
        <v>4250000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20500</v>
      </c>
      <c r="D542" s="158">
        <f t="shared" si="8"/>
        <v>8200000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23000</v>
      </c>
      <c r="D585" s="158">
        <f t="shared" si="9"/>
        <v>460000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21000</v>
      </c>
      <c r="D593" s="158">
        <f t="shared" si="9"/>
        <v>420000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 hidden="1">
      <c r="A597" s="161" t="s">
        <v>277</v>
      </c>
      <c r="B597" s="157"/>
      <c r="C597" s="157"/>
      <c r="D597" s="158">
        <f t="shared" si="9"/>
        <v>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4821</v>
      </c>
      <c r="C672" s="189"/>
      <c r="D672" s="189">
        <f t="shared" ref="D672" si="11">SUM(D345:D671)</f>
        <v>63954500</v>
      </c>
    </row>
    <row r="674" spans="4:4">
      <c r="D674" s="190">
        <f>D672+D340</f>
        <v>111697400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7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674"/>
  <sheetViews>
    <sheetView topLeftCell="A385" workbookViewId="0">
      <selection activeCell="D674" sqref="D674"/>
    </sheetView>
  </sheetViews>
  <sheetFormatPr defaultRowHeight="14.4"/>
  <cols>
    <col min="1" max="1" width="34.33203125" customWidth="1"/>
    <col min="3" max="3" width="15.44140625" customWidth="1"/>
    <col min="4" max="4" width="20.109375" customWidth="1"/>
  </cols>
  <sheetData>
    <row r="1" spans="1:4">
      <c r="A1" s="151" t="s">
        <v>422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34</v>
      </c>
      <c r="C18" s="157">
        <v>4000</v>
      </c>
      <c r="D18" s="158">
        <f t="shared" si="0"/>
        <v>136000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v>1500</v>
      </c>
      <c r="C20" s="157">
        <v>11500</v>
      </c>
      <c r="D20" s="158">
        <f t="shared" si="0"/>
        <v>17250000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 hidden="1">
      <c r="A25" s="161" t="s">
        <v>32</v>
      </c>
      <c r="B25" s="157"/>
      <c r="C25" s="157"/>
      <c r="D25" s="158">
        <f t="shared" si="0"/>
        <v>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-300+165+320+120+20+20</f>
        <v>345</v>
      </c>
      <c r="C54" s="157">
        <v>23000</v>
      </c>
      <c r="D54" s="158">
        <f t="shared" si="0"/>
        <v>7935000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6</v>
      </c>
      <c r="C57" s="157">
        <v>6900</v>
      </c>
      <c r="D57" s="158">
        <f t="shared" si="0"/>
        <v>41400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8.5</v>
      </c>
      <c r="C61" s="157">
        <v>11500</v>
      </c>
      <c r="D61" s="158">
        <f t="shared" si="0"/>
        <v>97750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20</v>
      </c>
      <c r="C64" s="157">
        <v>19000</v>
      </c>
      <c r="D64" s="158">
        <f t="shared" si="0"/>
        <v>380000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 hidden="1">
      <c r="A78" s="161" t="s">
        <v>90</v>
      </c>
      <c r="B78" s="157"/>
      <c r="C78" s="157"/>
      <c r="D78" s="158">
        <f t="shared" si="1"/>
        <v>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20</v>
      </c>
      <c r="C80" s="157">
        <v>27000</v>
      </c>
      <c r="D80" s="158">
        <f t="shared" si="1"/>
        <v>540000</v>
      </c>
    </row>
    <row r="81" spans="1:4" ht="18">
      <c r="A81" s="161" t="s">
        <v>94</v>
      </c>
      <c r="B81" s="157">
        <v>25</v>
      </c>
      <c r="C81" s="157">
        <v>22000</v>
      </c>
      <c r="D81" s="158">
        <f t="shared" si="1"/>
        <v>550000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13</v>
      </c>
      <c r="C104" s="157">
        <v>8500</v>
      </c>
      <c r="D104" s="158">
        <f t="shared" si="1"/>
        <v>110500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>
      <c r="A123" s="161" t="s">
        <v>137</v>
      </c>
      <c r="B123" s="157">
        <f>-20+10+11</f>
        <v>1</v>
      </c>
      <c r="C123" s="157">
        <v>11000</v>
      </c>
      <c r="D123" s="158">
        <f t="shared" si="1"/>
        <v>11000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 hidden="1">
      <c r="A136" s="161" t="s">
        <v>150</v>
      </c>
      <c r="B136" s="157"/>
      <c r="C136" s="157"/>
      <c r="D136" s="158">
        <f t="shared" si="2"/>
        <v>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>
      <c r="A147" s="161" t="s">
        <v>161</v>
      </c>
      <c r="B147" s="162">
        <v>1</v>
      </c>
      <c r="C147" s="162">
        <v>80000</v>
      </c>
      <c r="D147" s="158">
        <f t="shared" si="2"/>
        <v>80000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>
      <c r="A169" s="161" t="s">
        <v>183</v>
      </c>
      <c r="B169" s="157">
        <f>27+24+215+40+30+10-100+240</f>
        <v>486</v>
      </c>
      <c r="C169" s="198">
        <v>6500</v>
      </c>
      <c r="D169" s="158">
        <f t="shared" si="2"/>
        <v>3159000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v>50</v>
      </c>
      <c r="C171" s="157">
        <v>11000</v>
      </c>
      <c r="D171" s="158">
        <f t="shared" si="2"/>
        <v>550000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>
      <c r="A177" s="161" t="s">
        <v>191</v>
      </c>
      <c r="B177" s="157">
        <v>7</v>
      </c>
      <c r="C177" s="157">
        <v>45000</v>
      </c>
      <c r="D177" s="158">
        <f t="shared" si="2"/>
        <v>315000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 hidden="1">
      <c r="A185" s="161" t="s">
        <v>199</v>
      </c>
      <c r="B185" s="157"/>
      <c r="C185" s="157"/>
      <c r="D185" s="158">
        <f t="shared" si="2"/>
        <v>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40+40+200+100</f>
        <v>380</v>
      </c>
      <c r="C202" s="157">
        <v>21000</v>
      </c>
      <c r="D202" s="158">
        <f t="shared" si="3"/>
        <v>7980000</v>
      </c>
    </row>
    <row r="203" spans="1:4" ht="18">
      <c r="A203" s="156" t="s">
        <v>217</v>
      </c>
      <c r="B203" s="157">
        <v>70</v>
      </c>
      <c r="C203" s="157">
        <v>21000</v>
      </c>
      <c r="D203" s="158">
        <f t="shared" si="3"/>
        <v>1470000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-400+460+150</f>
        <v>210</v>
      </c>
      <c r="C205" s="157">
        <v>20500</v>
      </c>
      <c r="D205" s="158">
        <f t="shared" si="3"/>
        <v>4305000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30</v>
      </c>
      <c r="C211" s="157">
        <v>12000</v>
      </c>
      <c r="D211" s="158">
        <f t="shared" si="3"/>
        <v>360000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-300+40+10+10+45+90+280</f>
        <v>175</v>
      </c>
      <c r="C216" s="157">
        <v>15000</v>
      </c>
      <c r="D216" s="158">
        <f t="shared" si="3"/>
        <v>2625000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56+120</f>
        <v>176</v>
      </c>
      <c r="C218" s="157">
        <v>13000</v>
      </c>
      <c r="D218" s="158">
        <f t="shared" si="3"/>
        <v>2288000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5</v>
      </c>
      <c r="C248" s="157">
        <v>14000</v>
      </c>
      <c r="D248" s="158">
        <f t="shared" si="3"/>
        <v>70000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 hidden="1">
      <c r="A251" s="161" t="s">
        <v>265</v>
      </c>
      <c r="B251" s="157"/>
      <c r="C251" s="157"/>
      <c r="D251" s="158">
        <f t="shared" si="3"/>
        <v>0</v>
      </c>
    </row>
    <row r="252" spans="1:4" ht="18">
      <c r="A252" s="161" t="s">
        <v>266</v>
      </c>
      <c r="B252" s="157">
        <v>14</v>
      </c>
      <c r="C252" s="157">
        <v>16000</v>
      </c>
      <c r="D252" s="158">
        <f t="shared" si="3"/>
        <v>224000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-20+60</f>
        <v>40</v>
      </c>
      <c r="C259" s="157">
        <v>19000</v>
      </c>
      <c r="D259" s="158">
        <f t="shared" si="3"/>
        <v>760000</v>
      </c>
    </row>
    <row r="260" spans="1:4" ht="18">
      <c r="A260" s="161" t="s">
        <v>274</v>
      </c>
      <c r="B260" s="157">
        <v>16</v>
      </c>
      <c r="C260" s="157">
        <v>14000</v>
      </c>
      <c r="D260" s="158">
        <f t="shared" ref="D260:D323" si="4">B260*C260</f>
        <v>224000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-20+20+12</f>
        <v>12</v>
      </c>
      <c r="C263" s="157">
        <v>15000</v>
      </c>
      <c r="D263" s="158">
        <f t="shared" si="4"/>
        <v>180000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>
      <c r="A269" s="159" t="s">
        <v>283</v>
      </c>
      <c r="B269" s="157">
        <v>3</v>
      </c>
      <c r="C269" s="157">
        <v>38000</v>
      </c>
      <c r="D269" s="158">
        <f t="shared" si="4"/>
        <v>114000</v>
      </c>
    </row>
    <row r="270" spans="1:4" ht="18">
      <c r="A270" s="161" t="s">
        <v>284</v>
      </c>
      <c r="B270" s="157">
        <v>29</v>
      </c>
      <c r="C270" s="157">
        <v>14000</v>
      </c>
      <c r="D270" s="158">
        <f t="shared" si="4"/>
        <v>406000</v>
      </c>
    </row>
    <row r="271" spans="1:4" ht="18">
      <c r="A271" s="161" t="s">
        <v>285</v>
      </c>
      <c r="B271" s="157">
        <v>0.5</v>
      </c>
      <c r="C271" s="157">
        <v>50000</v>
      </c>
      <c r="D271" s="158">
        <f t="shared" si="4"/>
        <v>25000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 hidden="1">
      <c r="A274" s="161" t="s">
        <v>288</v>
      </c>
      <c r="B274" s="157"/>
      <c r="C274" s="157"/>
      <c r="D274" s="158">
        <f t="shared" si="4"/>
        <v>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2</v>
      </c>
      <c r="C288" s="157">
        <v>11000</v>
      </c>
      <c r="D288" s="158">
        <f t="shared" si="4"/>
        <v>22000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3</v>
      </c>
      <c r="C291" s="157">
        <v>7000</v>
      </c>
      <c r="D291" s="158">
        <f t="shared" si="4"/>
        <v>21000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 hidden="1">
      <c r="A294" s="161" t="s">
        <v>308</v>
      </c>
      <c r="B294" s="157"/>
      <c r="C294" s="157"/>
      <c r="D294" s="158">
        <f t="shared" si="4"/>
        <v>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>
      <c r="A331" s="161" t="s">
        <v>345</v>
      </c>
      <c r="B331" s="157">
        <v>8</v>
      </c>
      <c r="C331" s="157">
        <v>7000</v>
      </c>
      <c r="D331" s="158">
        <f t="shared" si="5"/>
        <v>56000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3690</v>
      </c>
      <c r="C340" s="189"/>
      <c r="D340" s="158">
        <f>SUM(D18:D331)</f>
        <v>52285650</v>
      </c>
    </row>
    <row r="341" spans="1:4" ht="18" hidden="1">
      <c r="D341" s="158">
        <f t="shared" si="5"/>
        <v>0</v>
      </c>
    </row>
    <row r="342" spans="1:4" ht="18">
      <c r="A342" s="151" t="s">
        <v>424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56" t="s">
        <v>82</v>
      </c>
      <c r="B345" s="157"/>
      <c r="C345" s="157"/>
      <c r="D345" s="158">
        <f t="shared" si="5"/>
        <v>0</v>
      </c>
    </row>
    <row r="346" spans="1:4" ht="18" hidden="1">
      <c r="A346" s="159" t="s">
        <v>83</v>
      </c>
      <c r="B346" s="157"/>
      <c r="C346" s="157"/>
      <c r="D346" s="158">
        <f t="shared" si="5"/>
        <v>0</v>
      </c>
    </row>
    <row r="347" spans="1:4" ht="18" hidden="1">
      <c r="A347" s="156" t="s">
        <v>84</v>
      </c>
      <c r="B347" s="157"/>
      <c r="C347" s="157"/>
      <c r="D347" s="158">
        <f t="shared" si="5"/>
        <v>0</v>
      </c>
    </row>
    <row r="348" spans="1:4" ht="18" hidden="1">
      <c r="A348" s="156" t="s">
        <v>85</v>
      </c>
      <c r="B348" s="157"/>
      <c r="C348" s="157"/>
      <c r="D348" s="158">
        <f t="shared" si="5"/>
        <v>0</v>
      </c>
    </row>
    <row r="349" spans="1:4" ht="18" hidden="1">
      <c r="A349" s="156" t="s">
        <v>86</v>
      </c>
      <c r="B349" s="157"/>
      <c r="C349" s="157"/>
      <c r="D349" s="158">
        <f t="shared" si="5"/>
        <v>0</v>
      </c>
    </row>
    <row r="350" spans="1:4" ht="18" hidden="1">
      <c r="A350" s="160" t="s">
        <v>87</v>
      </c>
      <c r="B350" s="157"/>
      <c r="C350" s="157"/>
      <c r="D350" s="158">
        <f t="shared" si="5"/>
        <v>0</v>
      </c>
    </row>
    <row r="351" spans="1:4" ht="18" hidden="1">
      <c r="A351" s="161" t="s">
        <v>88</v>
      </c>
      <c r="B351" s="157"/>
      <c r="C351" s="157"/>
      <c r="D351" s="158">
        <f t="shared" si="5"/>
        <v>0</v>
      </c>
    </row>
    <row r="352" spans="1:4" ht="18" hidden="1">
      <c r="A352" s="156" t="s">
        <v>96</v>
      </c>
      <c r="B352" s="162"/>
      <c r="C352" s="162"/>
      <c r="D352" s="158">
        <f t="shared" si="5"/>
        <v>0</v>
      </c>
    </row>
    <row r="353" spans="1:4" ht="18" hidden="1">
      <c r="A353" s="156" t="s">
        <v>97</v>
      </c>
      <c r="B353" s="162"/>
      <c r="C353" s="162"/>
      <c r="D353" s="158">
        <f t="shared" si="5"/>
        <v>0</v>
      </c>
    </row>
    <row r="354" spans="1:4" ht="18" hidden="1">
      <c r="A354" s="156" t="s">
        <v>98</v>
      </c>
      <c r="B354" s="162"/>
      <c r="C354" s="162"/>
      <c r="D354" s="158">
        <f t="shared" si="5"/>
        <v>0</v>
      </c>
    </row>
    <row r="355" spans="1:4" ht="18" hidden="1">
      <c r="A355" s="161" t="s">
        <v>110</v>
      </c>
      <c r="B355" s="157"/>
      <c r="C355" s="157"/>
      <c r="D355" s="158">
        <f t="shared" si="5"/>
        <v>0</v>
      </c>
    </row>
    <row r="356" spans="1:4" ht="18" hidden="1">
      <c r="A356" s="161" t="s">
        <v>111</v>
      </c>
      <c r="B356" s="157"/>
      <c r="C356" s="157"/>
      <c r="D356" s="158">
        <f t="shared" si="5"/>
        <v>0</v>
      </c>
    </row>
    <row r="357" spans="1:4" ht="18" hidden="1">
      <c r="A357" s="161" t="s">
        <v>113</v>
      </c>
      <c r="B357" s="162"/>
      <c r="C357" s="162"/>
      <c r="D357" s="158">
        <f t="shared" si="5"/>
        <v>0</v>
      </c>
    </row>
    <row r="358" spans="1:4" ht="18" hidden="1">
      <c r="A358" s="163" t="s">
        <v>115</v>
      </c>
      <c r="B358" s="157"/>
      <c r="C358" s="157"/>
      <c r="D358" s="158">
        <f t="shared" si="5"/>
        <v>0</v>
      </c>
    </row>
    <row r="359" spans="1:4" ht="18" hidden="1">
      <c r="A359" s="159" t="s">
        <v>131</v>
      </c>
      <c r="B359" s="157"/>
      <c r="C359" s="157"/>
      <c r="D359" s="158">
        <f t="shared" si="5"/>
        <v>0</v>
      </c>
    </row>
    <row r="360" spans="1:4" ht="18" hidden="1">
      <c r="A360" s="163" t="s">
        <v>132</v>
      </c>
      <c r="B360" s="157"/>
      <c r="C360" s="157"/>
      <c r="D360" s="158">
        <f t="shared" si="5"/>
        <v>0</v>
      </c>
    </row>
    <row r="361" spans="1:4" ht="18">
      <c r="A361" s="161" t="s">
        <v>124</v>
      </c>
      <c r="B361" s="157">
        <v>45</v>
      </c>
      <c r="C361" s="157">
        <v>14000</v>
      </c>
      <c r="D361" s="158">
        <f t="shared" si="5"/>
        <v>630000</v>
      </c>
    </row>
    <row r="362" spans="1:4" ht="18" hidden="1">
      <c r="A362" s="161" t="s">
        <v>125</v>
      </c>
      <c r="B362" s="157"/>
      <c r="C362" s="157"/>
      <c r="D362" s="158">
        <f t="shared" si="5"/>
        <v>0</v>
      </c>
    </row>
    <row r="363" spans="1:4" ht="18" hidden="1">
      <c r="A363" s="161" t="s">
        <v>126</v>
      </c>
      <c r="B363" s="157"/>
      <c r="C363" s="157"/>
      <c r="D363" s="158">
        <f t="shared" si="5"/>
        <v>0</v>
      </c>
    </row>
    <row r="364" spans="1:4" ht="18" hidden="1">
      <c r="A364" s="159" t="s">
        <v>264</v>
      </c>
      <c r="B364" s="157"/>
      <c r="C364" s="157"/>
      <c r="D364" s="158">
        <f t="shared" si="5"/>
        <v>0</v>
      </c>
    </row>
    <row r="365" spans="1:4" ht="18">
      <c r="A365" s="161" t="s">
        <v>265</v>
      </c>
      <c r="B365" s="157">
        <v>13</v>
      </c>
      <c r="C365" s="157">
        <v>23000</v>
      </c>
      <c r="D365" s="158">
        <f t="shared" si="5"/>
        <v>299000</v>
      </c>
    </row>
    <row r="366" spans="1:4" ht="18" hidden="1">
      <c r="A366" s="161" t="s">
        <v>266</v>
      </c>
      <c r="B366" s="157"/>
      <c r="C366" s="157"/>
      <c r="D366" s="158">
        <f t="shared" si="5"/>
        <v>0</v>
      </c>
    </row>
    <row r="367" spans="1:4" ht="18" hidden="1">
      <c r="A367" s="161" t="s">
        <v>267</v>
      </c>
      <c r="B367" s="157"/>
      <c r="C367" s="157"/>
      <c r="D367" s="158">
        <f t="shared" si="5"/>
        <v>0</v>
      </c>
    </row>
    <row r="368" spans="1:4" ht="18" hidden="1">
      <c r="A368" s="161" t="s">
        <v>268</v>
      </c>
      <c r="B368" s="157"/>
      <c r="C368" s="157"/>
      <c r="D368" s="158">
        <f t="shared" si="5"/>
        <v>0</v>
      </c>
    </row>
    <row r="369" spans="1:4" ht="18" hidden="1">
      <c r="A369" s="161" t="s">
        <v>269</v>
      </c>
      <c r="B369" s="157"/>
      <c r="C369" s="157"/>
      <c r="D369" s="158">
        <f t="shared" si="5"/>
        <v>0</v>
      </c>
    </row>
    <row r="370" spans="1:4" ht="18">
      <c r="A370" s="161" t="s">
        <v>273</v>
      </c>
      <c r="B370" s="157">
        <v>20</v>
      </c>
      <c r="C370" s="157">
        <v>21000</v>
      </c>
      <c r="D370" s="158">
        <f t="shared" si="5"/>
        <v>420000</v>
      </c>
    </row>
    <row r="371" spans="1:4" ht="18" hidden="1">
      <c r="A371" s="161" t="s">
        <v>274</v>
      </c>
      <c r="B371" s="157"/>
      <c r="C371" s="157"/>
      <c r="D371" s="158">
        <f t="shared" si="5"/>
        <v>0</v>
      </c>
    </row>
    <row r="372" spans="1:4" ht="18" hidden="1">
      <c r="A372" s="161" t="s">
        <v>275</v>
      </c>
      <c r="B372" s="157"/>
      <c r="C372" s="157"/>
      <c r="D372" s="158">
        <f t="shared" si="5"/>
        <v>0</v>
      </c>
    </row>
    <row r="373" spans="1:4" ht="18" hidden="1">
      <c r="A373" s="161" t="s">
        <v>276</v>
      </c>
      <c r="B373" s="157"/>
      <c r="C373" s="157"/>
      <c r="D373" s="158">
        <f t="shared" si="5"/>
        <v>0</v>
      </c>
    </row>
    <row r="374" spans="1:4" ht="18">
      <c r="A374" s="161" t="s">
        <v>277</v>
      </c>
      <c r="B374" s="157">
        <v>20</v>
      </c>
      <c r="C374" s="157">
        <v>25000</v>
      </c>
      <c r="D374" s="158">
        <f t="shared" si="5"/>
        <v>500000</v>
      </c>
    </row>
    <row r="375" spans="1:4" ht="18" hidden="1">
      <c r="A375" s="161" t="s">
        <v>278</v>
      </c>
      <c r="B375" s="157"/>
      <c r="C375" s="157"/>
      <c r="D375" s="158">
        <f t="shared" si="5"/>
        <v>0</v>
      </c>
    </row>
    <row r="376" spans="1:4" ht="18" hidden="1">
      <c r="A376" s="161" t="s">
        <v>279</v>
      </c>
      <c r="B376" s="157"/>
      <c r="C376" s="157"/>
      <c r="D376" s="158">
        <f t="shared" si="5"/>
        <v>0</v>
      </c>
    </row>
    <row r="377" spans="1:4" ht="18">
      <c r="A377" s="161" t="s">
        <v>150</v>
      </c>
      <c r="B377" s="157">
        <v>25</v>
      </c>
      <c r="C377" s="157">
        <v>15000</v>
      </c>
      <c r="D377" s="158">
        <f t="shared" si="5"/>
        <v>375000</v>
      </c>
    </row>
    <row r="378" spans="1:4" ht="18" hidden="1">
      <c r="A378" s="164" t="s">
        <v>151</v>
      </c>
      <c r="B378" s="157"/>
      <c r="C378" s="157"/>
      <c r="D378" s="158">
        <f t="shared" si="5"/>
        <v>0</v>
      </c>
    </row>
    <row r="379" spans="1:4" ht="18" hidden="1">
      <c r="A379" s="161" t="s">
        <v>192</v>
      </c>
      <c r="B379" s="157"/>
      <c r="C379" s="157"/>
      <c r="D379" s="158">
        <f t="shared" si="5"/>
        <v>0</v>
      </c>
    </row>
    <row r="380" spans="1:4" ht="18" hidden="1">
      <c r="A380" s="156" t="s">
        <v>208</v>
      </c>
      <c r="B380" s="157"/>
      <c r="C380" s="157"/>
      <c r="D380" s="158">
        <f t="shared" si="5"/>
        <v>0</v>
      </c>
    </row>
    <row r="381" spans="1:4" ht="18" hidden="1">
      <c r="A381" s="161" t="s">
        <v>334</v>
      </c>
      <c r="B381" s="157"/>
      <c r="C381" s="157"/>
      <c r="D381" s="158">
        <f t="shared" si="5"/>
        <v>0</v>
      </c>
    </row>
    <row r="382" spans="1:4" ht="18" hidden="1">
      <c r="A382" s="161" t="s">
        <v>227</v>
      </c>
      <c r="B382" s="157"/>
      <c r="C382" s="157"/>
      <c r="D382" s="158">
        <f t="shared" si="5"/>
        <v>0</v>
      </c>
    </row>
    <row r="383" spans="1:4" ht="18" hidden="1">
      <c r="A383" s="165" t="s">
        <v>228</v>
      </c>
      <c r="B383" s="157"/>
      <c r="C383" s="157"/>
      <c r="D383" s="158">
        <f t="shared" si="5"/>
        <v>0</v>
      </c>
    </row>
    <row r="384" spans="1:4" ht="18" hidden="1">
      <c r="A384" s="161" t="s">
        <v>229</v>
      </c>
      <c r="B384" s="157"/>
      <c r="C384" s="157"/>
      <c r="D384" s="158">
        <f t="shared" si="5"/>
        <v>0</v>
      </c>
    </row>
    <row r="385" spans="1:4" ht="18">
      <c r="A385" s="161" t="s">
        <v>230</v>
      </c>
      <c r="B385" s="157">
        <v>300</v>
      </c>
      <c r="C385" s="157">
        <v>15000</v>
      </c>
      <c r="D385" s="158">
        <f t="shared" si="5"/>
        <v>4500000</v>
      </c>
    </row>
    <row r="386" spans="1:4" ht="18" hidden="1">
      <c r="A386" s="161" t="s">
        <v>231</v>
      </c>
      <c r="B386" s="157"/>
      <c r="C386" s="157"/>
      <c r="D386" s="158">
        <f t="shared" si="5"/>
        <v>0</v>
      </c>
    </row>
    <row r="387" spans="1:4" ht="18" hidden="1">
      <c r="A387" s="161" t="s">
        <v>370</v>
      </c>
      <c r="B387" s="157"/>
      <c r="C387" s="157"/>
      <c r="D387" s="158">
        <f t="shared" si="5"/>
        <v>0</v>
      </c>
    </row>
    <row r="388" spans="1:4" ht="18" hidden="1">
      <c r="A388" s="161" t="s">
        <v>232</v>
      </c>
      <c r="B388" s="157"/>
      <c r="C388" s="157"/>
      <c r="D388" s="158">
        <f t="shared" ref="D388:D451" si="6">B388*C388</f>
        <v>0</v>
      </c>
    </row>
    <row r="389" spans="1:4" ht="18" hidden="1">
      <c r="A389" s="161" t="s">
        <v>117</v>
      </c>
      <c r="B389" s="157"/>
      <c r="C389" s="157"/>
      <c r="D389" s="158">
        <f t="shared" si="6"/>
        <v>0</v>
      </c>
    </row>
    <row r="390" spans="1:4" ht="18" hidden="1">
      <c r="A390" s="166" t="s">
        <v>118</v>
      </c>
      <c r="B390" s="157"/>
      <c r="C390" s="157"/>
      <c r="D390" s="158">
        <f t="shared" si="6"/>
        <v>0</v>
      </c>
    </row>
    <row r="391" spans="1:4" ht="18" hidden="1">
      <c r="A391" s="159" t="s">
        <v>121</v>
      </c>
      <c r="B391" s="157"/>
      <c r="C391" s="157"/>
      <c r="D391" s="158">
        <f t="shared" si="6"/>
        <v>0</v>
      </c>
    </row>
    <row r="392" spans="1:4" ht="18" hidden="1">
      <c r="A392" s="161" t="s">
        <v>123</v>
      </c>
      <c r="B392" s="157"/>
      <c r="C392" s="157"/>
      <c r="D392" s="158">
        <f t="shared" si="6"/>
        <v>0</v>
      </c>
    </row>
    <row r="393" spans="1:4" ht="18" hidden="1">
      <c r="A393" s="161" t="s">
        <v>18</v>
      </c>
      <c r="B393" s="157"/>
      <c r="C393" s="157"/>
      <c r="D393" s="158">
        <f t="shared" si="6"/>
        <v>0</v>
      </c>
    </row>
    <row r="394" spans="1:4" ht="18" hidden="1">
      <c r="A394" s="161" t="s">
        <v>19</v>
      </c>
      <c r="B394" s="157"/>
      <c r="C394" s="157"/>
      <c r="D394" s="158">
        <f t="shared" si="6"/>
        <v>0</v>
      </c>
    </row>
    <row r="395" spans="1:4" ht="18" hidden="1">
      <c r="A395" s="156" t="s">
        <v>20</v>
      </c>
      <c r="B395" s="157"/>
      <c r="C395" s="157"/>
      <c r="D395" s="158">
        <f t="shared" si="6"/>
        <v>0</v>
      </c>
    </row>
    <row r="396" spans="1:4" ht="18" hidden="1">
      <c r="A396" s="161" t="s">
        <v>180</v>
      </c>
      <c r="B396" s="157"/>
      <c r="C396" s="157"/>
      <c r="D396" s="158">
        <f t="shared" si="6"/>
        <v>0</v>
      </c>
    </row>
    <row r="397" spans="1:4" ht="18" hidden="1">
      <c r="A397" s="164" t="s">
        <v>181</v>
      </c>
      <c r="B397" s="157"/>
      <c r="C397" s="157"/>
      <c r="D397" s="158">
        <f t="shared" si="6"/>
        <v>0</v>
      </c>
    </row>
    <row r="398" spans="1:4" ht="18" hidden="1">
      <c r="A398" s="161" t="s">
        <v>214</v>
      </c>
      <c r="B398" s="157"/>
      <c r="C398" s="157"/>
      <c r="D398" s="158">
        <f t="shared" si="6"/>
        <v>0</v>
      </c>
    </row>
    <row r="399" spans="1:4" ht="18" hidden="1">
      <c r="A399" s="167" t="s">
        <v>215</v>
      </c>
      <c r="B399" s="157"/>
      <c r="C399" s="157"/>
      <c r="D399" s="158">
        <f t="shared" si="6"/>
        <v>0</v>
      </c>
    </row>
    <row r="400" spans="1:4" ht="18" hidden="1">
      <c r="A400" s="161" t="s">
        <v>252</v>
      </c>
      <c r="B400" s="157"/>
      <c r="C400" s="157"/>
      <c r="D400" s="158">
        <f t="shared" si="6"/>
        <v>0</v>
      </c>
    </row>
    <row r="401" spans="1:4" ht="18" hidden="1">
      <c r="A401" s="161" t="s">
        <v>253</v>
      </c>
      <c r="B401" s="157"/>
      <c r="C401" s="157"/>
      <c r="D401" s="158">
        <f t="shared" si="6"/>
        <v>0</v>
      </c>
    </row>
    <row r="402" spans="1:4" ht="18" hidden="1">
      <c r="A402" s="156" t="s">
        <v>28</v>
      </c>
      <c r="B402" s="157"/>
      <c r="C402" s="157"/>
      <c r="D402" s="158">
        <f t="shared" si="6"/>
        <v>0</v>
      </c>
    </row>
    <row r="403" spans="1:4" ht="18" hidden="1">
      <c r="A403" s="156" t="s">
        <v>29</v>
      </c>
      <c r="B403" s="157"/>
      <c r="C403" s="157"/>
      <c r="D403" s="158">
        <f t="shared" si="6"/>
        <v>0</v>
      </c>
    </row>
    <row r="404" spans="1:4" ht="18" hidden="1">
      <c r="A404" s="180" t="s">
        <v>188</v>
      </c>
      <c r="B404" s="157"/>
      <c r="C404" s="157"/>
      <c r="D404" s="158">
        <f t="shared" si="6"/>
        <v>0</v>
      </c>
    </row>
    <row r="405" spans="1:4" ht="18" hidden="1">
      <c r="A405" s="169" t="s">
        <v>189</v>
      </c>
      <c r="B405" s="170"/>
      <c r="C405" s="170"/>
      <c r="D405" s="158">
        <f t="shared" si="6"/>
        <v>0</v>
      </c>
    </row>
    <row r="406" spans="1:4" ht="18" hidden="1">
      <c r="A406" s="161" t="s">
        <v>35</v>
      </c>
      <c r="B406" s="157"/>
      <c r="C406" s="157"/>
      <c r="D406" s="158">
        <f t="shared" si="6"/>
        <v>0</v>
      </c>
    </row>
    <row r="407" spans="1:4" ht="18" hidden="1">
      <c r="A407" s="156" t="s">
        <v>37</v>
      </c>
      <c r="B407" s="157"/>
      <c r="C407" s="157"/>
      <c r="D407" s="158">
        <f t="shared" si="6"/>
        <v>0</v>
      </c>
    </row>
    <row r="408" spans="1:4" ht="18" hidden="1">
      <c r="A408" s="156" t="s">
        <v>46</v>
      </c>
      <c r="B408" s="157"/>
      <c r="C408" s="157"/>
      <c r="D408" s="158">
        <f t="shared" si="6"/>
        <v>0</v>
      </c>
    </row>
    <row r="409" spans="1:4" ht="18" hidden="1">
      <c r="A409" s="161" t="s">
        <v>216</v>
      </c>
      <c r="B409" s="157"/>
      <c r="C409" s="157"/>
      <c r="D409" s="158">
        <f t="shared" si="6"/>
        <v>0</v>
      </c>
    </row>
    <row r="410" spans="1:4" ht="18" hidden="1">
      <c r="A410" s="156" t="s">
        <v>217</v>
      </c>
      <c r="B410" s="157"/>
      <c r="C410" s="157"/>
      <c r="D410" s="158">
        <f t="shared" si="6"/>
        <v>0</v>
      </c>
    </row>
    <row r="411" spans="1:4" ht="18" hidden="1">
      <c r="A411" s="161" t="s">
        <v>366</v>
      </c>
      <c r="B411" s="157"/>
      <c r="C411" s="157"/>
      <c r="D411" s="158">
        <f t="shared" si="6"/>
        <v>0</v>
      </c>
    </row>
    <row r="412" spans="1:4" ht="18" hidden="1">
      <c r="A412" s="161" t="s">
        <v>218</v>
      </c>
      <c r="B412" s="157"/>
      <c r="C412" s="157"/>
      <c r="D412" s="158">
        <f t="shared" si="6"/>
        <v>0</v>
      </c>
    </row>
    <row r="413" spans="1:4" ht="18" hidden="1">
      <c r="A413" s="161" t="s">
        <v>288</v>
      </c>
      <c r="B413" s="157"/>
      <c r="C413" s="157"/>
      <c r="D413" s="158">
        <f t="shared" si="6"/>
        <v>0</v>
      </c>
    </row>
    <row r="414" spans="1:4" ht="18" hidden="1">
      <c r="A414" s="161" t="s">
        <v>289</v>
      </c>
      <c r="B414" s="157"/>
      <c r="C414" s="157"/>
      <c r="D414" s="158">
        <f t="shared" si="6"/>
        <v>0</v>
      </c>
    </row>
    <row r="415" spans="1:4" ht="18" hidden="1">
      <c r="A415" s="171" t="s">
        <v>6</v>
      </c>
      <c r="B415" s="157"/>
      <c r="C415" s="157"/>
      <c r="D415" s="158">
        <f t="shared" si="6"/>
        <v>0</v>
      </c>
    </row>
    <row r="416" spans="1:4" ht="18" hidden="1">
      <c r="A416" s="172" t="s">
        <v>8</v>
      </c>
      <c r="B416" s="157"/>
      <c r="C416" s="157"/>
      <c r="D416" s="158">
        <f t="shared" si="6"/>
        <v>0</v>
      </c>
    </row>
    <row r="417" spans="1:4" ht="18" hidden="1">
      <c r="A417" s="171" t="s">
        <v>10</v>
      </c>
      <c r="B417" s="157"/>
      <c r="C417" s="157"/>
      <c r="D417" s="158">
        <f t="shared" si="6"/>
        <v>0</v>
      </c>
    </row>
    <row r="418" spans="1:4" ht="18" hidden="1">
      <c r="A418" s="164" t="s">
        <v>75</v>
      </c>
      <c r="B418" s="157"/>
      <c r="C418" s="157"/>
      <c r="D418" s="158">
        <f t="shared" si="6"/>
        <v>0</v>
      </c>
    </row>
    <row r="419" spans="1:4" ht="18" hidden="1">
      <c r="A419" s="173" t="s">
        <v>313</v>
      </c>
      <c r="B419" s="157"/>
      <c r="C419" s="157"/>
      <c r="D419" s="158">
        <f t="shared" si="6"/>
        <v>0</v>
      </c>
    </row>
    <row r="420" spans="1:4" ht="18" hidden="1">
      <c r="A420" s="173" t="s">
        <v>324</v>
      </c>
      <c r="B420" s="157"/>
      <c r="C420" s="157"/>
      <c r="D420" s="158">
        <f t="shared" si="6"/>
        <v>0</v>
      </c>
    </row>
    <row r="421" spans="1:4" ht="18" hidden="1">
      <c r="A421" s="173" t="s">
        <v>325</v>
      </c>
      <c r="B421" s="157"/>
      <c r="C421" s="157"/>
      <c r="D421" s="158">
        <f t="shared" si="6"/>
        <v>0</v>
      </c>
    </row>
    <row r="422" spans="1:4" ht="18" hidden="1">
      <c r="A422" s="173" t="s">
        <v>327</v>
      </c>
      <c r="B422" s="157"/>
      <c r="C422" s="157"/>
      <c r="D422" s="158">
        <f t="shared" si="6"/>
        <v>0</v>
      </c>
    </row>
    <row r="423" spans="1:4" ht="18" hidden="1">
      <c r="A423" s="161" t="s">
        <v>336</v>
      </c>
      <c r="B423" s="174"/>
      <c r="C423" s="174"/>
      <c r="D423" s="158">
        <f t="shared" si="6"/>
        <v>0</v>
      </c>
    </row>
    <row r="424" spans="1:4" ht="18" hidden="1">
      <c r="A424" s="161" t="s">
        <v>99</v>
      </c>
      <c r="B424" s="157"/>
      <c r="C424" s="157"/>
      <c r="D424" s="158">
        <f t="shared" si="6"/>
        <v>0</v>
      </c>
    </row>
    <row r="425" spans="1:4" ht="18" hidden="1">
      <c r="A425" s="161" t="s">
        <v>100</v>
      </c>
      <c r="B425" s="157"/>
      <c r="C425" s="157"/>
      <c r="D425" s="158">
        <f t="shared" si="6"/>
        <v>0</v>
      </c>
    </row>
    <row r="426" spans="1:4" ht="18" hidden="1">
      <c r="A426" s="161" t="s">
        <v>101</v>
      </c>
      <c r="B426" s="157"/>
      <c r="C426" s="157"/>
      <c r="D426" s="158">
        <f t="shared" si="6"/>
        <v>0</v>
      </c>
    </row>
    <row r="427" spans="1:4" ht="18" hidden="1">
      <c r="A427" s="161" t="s">
        <v>102</v>
      </c>
      <c r="B427" s="157"/>
      <c r="C427" s="157"/>
      <c r="D427" s="158">
        <f t="shared" si="6"/>
        <v>0</v>
      </c>
    </row>
    <row r="428" spans="1:4" ht="18" hidden="1">
      <c r="A428" s="161" t="s">
        <v>103</v>
      </c>
      <c r="B428" s="157"/>
      <c r="C428" s="157"/>
      <c r="D428" s="158">
        <f t="shared" si="6"/>
        <v>0</v>
      </c>
    </row>
    <row r="429" spans="1:4" ht="18" hidden="1">
      <c r="A429" s="161" t="s">
        <v>191</v>
      </c>
      <c r="B429" s="157"/>
      <c r="C429" s="157"/>
      <c r="D429" s="158">
        <f t="shared" si="6"/>
        <v>0</v>
      </c>
    </row>
    <row r="430" spans="1:4" ht="18" hidden="1">
      <c r="A430" s="161" t="s">
        <v>257</v>
      </c>
      <c r="B430" s="157"/>
      <c r="C430" s="157"/>
      <c r="D430" s="158">
        <f t="shared" si="6"/>
        <v>0</v>
      </c>
    </row>
    <row r="431" spans="1:4" ht="18" hidden="1">
      <c r="A431" s="161" t="s">
        <v>258</v>
      </c>
      <c r="B431" s="157"/>
      <c r="C431" s="157"/>
      <c r="D431" s="158">
        <f t="shared" si="6"/>
        <v>0</v>
      </c>
    </row>
    <row r="432" spans="1:4" ht="18" hidden="1">
      <c r="A432" s="161" t="s">
        <v>280</v>
      </c>
      <c r="B432" s="162"/>
      <c r="C432" s="162"/>
      <c r="D432" s="158">
        <f t="shared" si="6"/>
        <v>0</v>
      </c>
    </row>
    <row r="433" spans="1:4" ht="18" hidden="1">
      <c r="A433" s="173" t="s">
        <v>281</v>
      </c>
      <c r="B433" s="157"/>
      <c r="C433" s="157"/>
      <c r="D433" s="158">
        <f t="shared" si="6"/>
        <v>0</v>
      </c>
    </row>
    <row r="434" spans="1:4" ht="18" hidden="1">
      <c r="A434" s="156" t="s">
        <v>311</v>
      </c>
      <c r="B434" s="157"/>
      <c r="C434" s="157"/>
      <c r="D434" s="158">
        <f t="shared" si="6"/>
        <v>0</v>
      </c>
    </row>
    <row r="435" spans="1:4" ht="18" hidden="1">
      <c r="A435" s="164" t="s">
        <v>312</v>
      </c>
      <c r="B435" s="157"/>
      <c r="C435" s="157"/>
      <c r="D435" s="158">
        <f t="shared" si="6"/>
        <v>0</v>
      </c>
    </row>
    <row r="436" spans="1:4" ht="18">
      <c r="A436" s="161" t="s">
        <v>137</v>
      </c>
      <c r="B436" s="157">
        <v>20</v>
      </c>
      <c r="C436" s="157">
        <v>11000</v>
      </c>
      <c r="D436" s="158">
        <f t="shared" si="6"/>
        <v>220000</v>
      </c>
    </row>
    <row r="437" spans="1:4" ht="18" hidden="1">
      <c r="A437" s="164" t="s">
        <v>53</v>
      </c>
      <c r="B437" s="157"/>
      <c r="C437" s="157"/>
      <c r="D437" s="158">
        <f t="shared" si="6"/>
        <v>0</v>
      </c>
    </row>
    <row r="438" spans="1:4" ht="18" hidden="1">
      <c r="A438" s="161" t="s">
        <v>55</v>
      </c>
      <c r="B438" s="157"/>
      <c r="C438" s="157"/>
      <c r="D438" s="158">
        <f t="shared" si="6"/>
        <v>0</v>
      </c>
    </row>
    <row r="439" spans="1:4" ht="18" hidden="1">
      <c r="A439" s="161" t="s">
        <v>56</v>
      </c>
      <c r="B439" s="157"/>
      <c r="C439" s="157"/>
      <c r="D439" s="158">
        <f t="shared" si="6"/>
        <v>0</v>
      </c>
    </row>
    <row r="440" spans="1:4" ht="18" hidden="1">
      <c r="A440" s="164" t="s">
        <v>300</v>
      </c>
      <c r="B440" s="157"/>
      <c r="C440" s="157"/>
      <c r="D440" s="158">
        <f t="shared" si="6"/>
        <v>0</v>
      </c>
    </row>
    <row r="441" spans="1:4" ht="18" hidden="1">
      <c r="A441" s="164" t="s">
        <v>301</v>
      </c>
      <c r="B441" s="157"/>
      <c r="C441" s="157"/>
      <c r="D441" s="158">
        <f t="shared" si="6"/>
        <v>0</v>
      </c>
    </row>
    <row r="442" spans="1:4" ht="18" hidden="1">
      <c r="A442" s="161" t="s">
        <v>156</v>
      </c>
      <c r="B442" s="162"/>
      <c r="C442" s="162"/>
      <c r="D442" s="158">
        <f t="shared" si="6"/>
        <v>0</v>
      </c>
    </row>
    <row r="443" spans="1:4" ht="18" hidden="1">
      <c r="A443" s="161" t="s">
        <v>157</v>
      </c>
      <c r="B443" s="162"/>
      <c r="C443" s="162"/>
      <c r="D443" s="158">
        <f t="shared" si="6"/>
        <v>0</v>
      </c>
    </row>
    <row r="444" spans="1:4" ht="18" hidden="1">
      <c r="A444" s="177" t="s">
        <v>159</v>
      </c>
      <c r="B444" s="162"/>
      <c r="C444" s="162"/>
      <c r="D444" s="158">
        <f t="shared" si="6"/>
        <v>0</v>
      </c>
    </row>
    <row r="445" spans="1:4" ht="18" hidden="1">
      <c r="A445" s="177" t="s">
        <v>160</v>
      </c>
      <c r="B445" s="162"/>
      <c r="C445" s="162"/>
      <c r="D445" s="158">
        <f t="shared" si="6"/>
        <v>0</v>
      </c>
    </row>
    <row r="446" spans="1:4" ht="18" hidden="1">
      <c r="A446" s="177" t="s">
        <v>161</v>
      </c>
      <c r="B446" s="162"/>
      <c r="C446" s="162"/>
      <c r="D446" s="158">
        <f t="shared" si="6"/>
        <v>0</v>
      </c>
    </row>
    <row r="447" spans="1:4" ht="18" hidden="1">
      <c r="A447" s="161" t="s">
        <v>162</v>
      </c>
      <c r="B447" s="162"/>
      <c r="C447" s="162"/>
      <c r="D447" s="158">
        <f t="shared" si="6"/>
        <v>0</v>
      </c>
    </row>
    <row r="448" spans="1:4" ht="18" hidden="1">
      <c r="A448" s="161" t="s">
        <v>164</v>
      </c>
      <c r="B448" s="162"/>
      <c r="C448" s="162"/>
      <c r="D448" s="158">
        <f t="shared" si="6"/>
        <v>0</v>
      </c>
    </row>
    <row r="449" spans="1:4" ht="18" hidden="1">
      <c r="A449" s="161" t="s">
        <v>165</v>
      </c>
      <c r="B449" s="162"/>
      <c r="C449" s="162"/>
      <c r="D449" s="158">
        <f t="shared" si="6"/>
        <v>0</v>
      </c>
    </row>
    <row r="450" spans="1:4" ht="18" hidden="1">
      <c r="A450" s="161" t="s">
        <v>166</v>
      </c>
      <c r="B450" s="162"/>
      <c r="C450" s="162"/>
      <c r="D450" s="158">
        <f t="shared" si="6"/>
        <v>0</v>
      </c>
    </row>
    <row r="451" spans="1:4" ht="18" hidden="1">
      <c r="A451" s="161" t="s">
        <v>176</v>
      </c>
      <c r="B451" s="162"/>
      <c r="C451" s="162"/>
      <c r="D451" s="158">
        <f t="shared" si="6"/>
        <v>0</v>
      </c>
    </row>
    <row r="452" spans="1:4" ht="18" hidden="1">
      <c r="A452" s="161" t="s">
        <v>177</v>
      </c>
      <c r="B452" s="162"/>
      <c r="C452" s="162"/>
      <c r="D452" s="158">
        <f t="shared" ref="D452:D515" si="7">B452*C452</f>
        <v>0</v>
      </c>
    </row>
    <row r="453" spans="1:4" ht="18" hidden="1">
      <c r="A453" s="161" t="s">
        <v>178</v>
      </c>
      <c r="B453" s="162"/>
      <c r="C453" s="162"/>
      <c r="D453" s="158">
        <f t="shared" si="7"/>
        <v>0</v>
      </c>
    </row>
    <row r="454" spans="1:4" ht="18">
      <c r="A454" s="156" t="s">
        <v>65</v>
      </c>
      <c r="B454" s="157">
        <v>300</v>
      </c>
      <c r="C454" s="157">
        <v>22000</v>
      </c>
      <c r="D454" s="158">
        <f t="shared" si="7"/>
        <v>6600000</v>
      </c>
    </row>
    <row r="455" spans="1:4" ht="18" hidden="1">
      <c r="A455" s="161" t="s">
        <v>76</v>
      </c>
      <c r="B455" s="157"/>
      <c r="C455" s="157"/>
      <c r="D455" s="158">
        <f t="shared" si="7"/>
        <v>0</v>
      </c>
    </row>
    <row r="456" spans="1:4" ht="18" hidden="1">
      <c r="A456" s="161" t="s">
        <v>89</v>
      </c>
      <c r="B456" s="157"/>
      <c r="C456" s="157"/>
      <c r="D456" s="158">
        <f t="shared" si="7"/>
        <v>0</v>
      </c>
    </row>
    <row r="457" spans="1:4" ht="18" hidden="1">
      <c r="A457" s="156" t="s">
        <v>357</v>
      </c>
      <c r="B457" s="157"/>
      <c r="C457" s="157"/>
      <c r="D457" s="158">
        <f t="shared" si="7"/>
        <v>0</v>
      </c>
    </row>
    <row r="458" spans="1:4" ht="18" hidden="1">
      <c r="A458" s="161" t="s">
        <v>23</v>
      </c>
      <c r="B458" s="157"/>
      <c r="C458" s="157"/>
      <c r="D458" s="158">
        <f t="shared" si="7"/>
        <v>0</v>
      </c>
    </row>
    <row r="459" spans="1:4" ht="18" hidden="1">
      <c r="A459" s="161" t="s">
        <v>375</v>
      </c>
      <c r="B459" s="157"/>
      <c r="C459" s="157"/>
      <c r="D459" s="158">
        <f t="shared" si="7"/>
        <v>0</v>
      </c>
    </row>
    <row r="460" spans="1:4" ht="18" hidden="1">
      <c r="A460" s="161" t="s">
        <v>379</v>
      </c>
      <c r="B460" s="157"/>
      <c r="C460" s="157"/>
      <c r="D460" s="158">
        <f t="shared" si="7"/>
        <v>0</v>
      </c>
    </row>
    <row r="461" spans="1:4" ht="18">
      <c r="A461" s="161" t="s">
        <v>27</v>
      </c>
      <c r="B461" s="157">
        <f>-1500+4040</f>
        <v>2540</v>
      </c>
      <c r="C461" s="157">
        <v>11500</v>
      </c>
      <c r="D461" s="158">
        <f t="shared" si="7"/>
        <v>29210000</v>
      </c>
    </row>
    <row r="462" spans="1:4" ht="18" hidden="1">
      <c r="A462" s="161" t="s">
        <v>51</v>
      </c>
      <c r="B462" s="157"/>
      <c r="C462" s="157"/>
      <c r="D462" s="158">
        <f t="shared" si="7"/>
        <v>0</v>
      </c>
    </row>
    <row r="463" spans="1:4" ht="18" hidden="1">
      <c r="A463" s="159" t="s">
        <v>61</v>
      </c>
      <c r="B463" s="157"/>
      <c r="C463" s="157"/>
      <c r="D463" s="158">
        <f t="shared" si="7"/>
        <v>0</v>
      </c>
    </row>
    <row r="464" spans="1:4" ht="18" hidden="1">
      <c r="A464" s="173" t="s">
        <v>62</v>
      </c>
      <c r="B464" s="157"/>
      <c r="C464" s="157"/>
      <c r="D464" s="158">
        <f t="shared" si="7"/>
        <v>0</v>
      </c>
    </row>
    <row r="465" spans="1:4" ht="18" hidden="1">
      <c r="A465" s="178" t="s">
        <v>139</v>
      </c>
      <c r="B465" s="157"/>
      <c r="C465" s="157"/>
      <c r="D465" s="158">
        <f t="shared" si="7"/>
        <v>0</v>
      </c>
    </row>
    <row r="466" spans="1:4" ht="18" hidden="1">
      <c r="A466" s="173" t="s">
        <v>140</v>
      </c>
      <c r="B466" s="157"/>
      <c r="C466" s="157"/>
      <c r="D466" s="158">
        <f t="shared" si="7"/>
        <v>0</v>
      </c>
    </row>
    <row r="467" spans="1:4" ht="18" hidden="1">
      <c r="A467" s="156" t="s">
        <v>141</v>
      </c>
      <c r="B467" s="162"/>
      <c r="C467" s="162"/>
      <c r="D467" s="158">
        <f t="shared" si="7"/>
        <v>0</v>
      </c>
    </row>
    <row r="468" spans="1:4" ht="18" hidden="1">
      <c r="A468" s="156" t="s">
        <v>142</v>
      </c>
      <c r="B468" s="162"/>
      <c r="C468" s="162"/>
      <c r="D468" s="158">
        <f t="shared" si="7"/>
        <v>0</v>
      </c>
    </row>
    <row r="469" spans="1:4" ht="18" hidden="1">
      <c r="A469" s="156" t="s">
        <v>143</v>
      </c>
      <c r="B469" s="162"/>
      <c r="C469" s="162"/>
      <c r="D469" s="158">
        <f t="shared" si="7"/>
        <v>0</v>
      </c>
    </row>
    <row r="470" spans="1:4" ht="18" hidden="1">
      <c r="A470" s="156" t="s">
        <v>144</v>
      </c>
      <c r="B470" s="179"/>
      <c r="C470" s="179"/>
      <c r="D470" s="158">
        <f t="shared" si="7"/>
        <v>0</v>
      </c>
    </row>
    <row r="471" spans="1:4" ht="18" hidden="1">
      <c r="A471" s="161" t="s">
        <v>163</v>
      </c>
      <c r="B471" s="162"/>
      <c r="C471" s="162"/>
      <c r="D471" s="158">
        <f t="shared" si="7"/>
        <v>0</v>
      </c>
    </row>
    <row r="472" spans="1:4" ht="18" hidden="1">
      <c r="A472" s="164" t="s">
        <v>233</v>
      </c>
      <c r="B472" s="157"/>
      <c r="C472" s="157"/>
      <c r="D472" s="158">
        <f t="shared" si="7"/>
        <v>0</v>
      </c>
    </row>
    <row r="473" spans="1:4" ht="18" hidden="1">
      <c r="A473" s="164" t="s">
        <v>234</v>
      </c>
      <c r="B473" s="157"/>
      <c r="C473" s="157"/>
      <c r="D473" s="158">
        <f t="shared" si="7"/>
        <v>0</v>
      </c>
    </row>
    <row r="474" spans="1:4" ht="18" hidden="1">
      <c r="A474" s="164" t="s">
        <v>235</v>
      </c>
      <c r="B474" s="157"/>
      <c r="C474" s="157"/>
      <c r="D474" s="158">
        <f t="shared" si="7"/>
        <v>0</v>
      </c>
    </row>
    <row r="475" spans="1:4" ht="18" hidden="1">
      <c r="A475" s="164" t="s">
        <v>236</v>
      </c>
      <c r="B475" s="157"/>
      <c r="C475" s="157"/>
      <c r="D475" s="158">
        <f t="shared" si="7"/>
        <v>0</v>
      </c>
    </row>
    <row r="476" spans="1:4" ht="18" hidden="1">
      <c r="A476" s="161" t="s">
        <v>237</v>
      </c>
      <c r="B476" s="157"/>
      <c r="C476" s="157"/>
      <c r="D476" s="158">
        <f t="shared" si="7"/>
        <v>0</v>
      </c>
    </row>
    <row r="477" spans="1:4" ht="18" hidden="1">
      <c r="A477" s="161" t="s">
        <v>238</v>
      </c>
      <c r="B477" s="157"/>
      <c r="C477" s="157"/>
      <c r="D477" s="158">
        <f t="shared" si="7"/>
        <v>0</v>
      </c>
    </row>
    <row r="478" spans="1:4" ht="18" hidden="1">
      <c r="A478" s="164" t="s">
        <v>239</v>
      </c>
      <c r="B478" s="157"/>
      <c r="C478" s="157"/>
      <c r="D478" s="158">
        <f t="shared" si="7"/>
        <v>0</v>
      </c>
    </row>
    <row r="479" spans="1:4" ht="18" hidden="1">
      <c r="A479" s="164" t="s">
        <v>240</v>
      </c>
      <c r="B479" s="157"/>
      <c r="C479" s="157"/>
      <c r="D479" s="158">
        <f t="shared" si="7"/>
        <v>0</v>
      </c>
    </row>
    <row r="480" spans="1:4" ht="18" hidden="1">
      <c r="A480" s="161" t="s">
        <v>259</v>
      </c>
      <c r="B480" s="162"/>
      <c r="C480" s="162"/>
      <c r="D480" s="158">
        <f t="shared" si="7"/>
        <v>0</v>
      </c>
    </row>
    <row r="481" spans="1:4" ht="18" hidden="1">
      <c r="A481" s="161" t="s">
        <v>261</v>
      </c>
      <c r="B481" s="162"/>
      <c r="C481" s="162"/>
      <c r="D481" s="158">
        <f t="shared" si="7"/>
        <v>0</v>
      </c>
    </row>
    <row r="482" spans="1:4" ht="18" hidden="1">
      <c r="A482" s="156" t="s">
        <v>295</v>
      </c>
      <c r="B482" s="162"/>
      <c r="C482" s="162"/>
      <c r="D482" s="158">
        <f t="shared" si="7"/>
        <v>0</v>
      </c>
    </row>
    <row r="483" spans="1:4" ht="18" hidden="1">
      <c r="A483" s="161" t="s">
        <v>308</v>
      </c>
      <c r="B483" s="157"/>
      <c r="C483" s="157"/>
      <c r="D483" s="158">
        <f t="shared" si="7"/>
        <v>0</v>
      </c>
    </row>
    <row r="484" spans="1:4" ht="18" hidden="1">
      <c r="A484" s="173" t="s">
        <v>309</v>
      </c>
      <c r="B484" s="157"/>
      <c r="C484" s="157"/>
      <c r="D484" s="158">
        <f t="shared" si="7"/>
        <v>0</v>
      </c>
    </row>
    <row r="485" spans="1:4" ht="18" hidden="1">
      <c r="A485" s="156" t="s">
        <v>319</v>
      </c>
      <c r="B485" s="157"/>
      <c r="C485" s="157"/>
      <c r="D485" s="158">
        <f t="shared" si="7"/>
        <v>0</v>
      </c>
    </row>
    <row r="486" spans="1:4" ht="18">
      <c r="A486" s="161" t="s">
        <v>219</v>
      </c>
      <c r="B486" s="157">
        <v>400</v>
      </c>
      <c r="C486" s="157">
        <v>20500</v>
      </c>
      <c r="D486" s="158">
        <f t="shared" si="7"/>
        <v>8200000</v>
      </c>
    </row>
    <row r="487" spans="1:4" ht="18" hidden="1">
      <c r="A487" s="175" t="s">
        <v>220</v>
      </c>
      <c r="B487" s="157"/>
      <c r="C487" s="157"/>
      <c r="D487" s="158">
        <f t="shared" si="7"/>
        <v>0</v>
      </c>
    </row>
    <row r="488" spans="1:4" ht="18" hidden="1">
      <c r="A488" s="175" t="s">
        <v>221</v>
      </c>
      <c r="B488" s="157"/>
      <c r="C488" s="157"/>
      <c r="D488" s="158">
        <f t="shared" si="7"/>
        <v>0</v>
      </c>
    </row>
    <row r="489" spans="1:4" ht="18" hidden="1">
      <c r="A489" s="161" t="s">
        <v>52</v>
      </c>
      <c r="B489" s="157"/>
      <c r="C489" s="157"/>
      <c r="D489" s="158">
        <f t="shared" si="7"/>
        <v>0</v>
      </c>
    </row>
    <row r="490" spans="1:4" ht="18" hidden="1">
      <c r="A490" s="161" t="s">
        <v>292</v>
      </c>
      <c r="B490" s="157"/>
      <c r="C490" s="157"/>
      <c r="D490" s="158">
        <f t="shared" si="7"/>
        <v>0</v>
      </c>
    </row>
    <row r="491" spans="1:4" ht="18" hidden="1">
      <c r="A491" s="161" t="s">
        <v>66</v>
      </c>
      <c r="B491" s="157"/>
      <c r="C491" s="157"/>
      <c r="D491" s="158">
        <f t="shared" si="7"/>
        <v>0</v>
      </c>
    </row>
    <row r="492" spans="1:4" ht="18" hidden="1">
      <c r="A492" s="164" t="s">
        <v>67</v>
      </c>
      <c r="B492" s="157"/>
      <c r="C492" s="157"/>
      <c r="D492" s="158">
        <f t="shared" si="7"/>
        <v>0</v>
      </c>
    </row>
    <row r="493" spans="1:4" ht="18" hidden="1">
      <c r="A493" s="164" t="s">
        <v>69</v>
      </c>
      <c r="B493" s="157"/>
      <c r="C493" s="157"/>
      <c r="D493" s="158">
        <f t="shared" si="7"/>
        <v>0</v>
      </c>
    </row>
    <row r="494" spans="1:4" ht="18" hidden="1">
      <c r="A494" s="164" t="s">
        <v>70</v>
      </c>
      <c r="B494" s="157"/>
      <c r="C494" s="157"/>
      <c r="D494" s="158">
        <f t="shared" si="7"/>
        <v>0</v>
      </c>
    </row>
    <row r="495" spans="1:4" ht="18" hidden="1">
      <c r="A495" s="161" t="s">
        <v>71</v>
      </c>
      <c r="B495" s="157"/>
      <c r="C495" s="157"/>
      <c r="D495" s="158">
        <f t="shared" si="7"/>
        <v>0</v>
      </c>
    </row>
    <row r="496" spans="1:4" ht="18" hidden="1">
      <c r="A496" s="159" t="s">
        <v>72</v>
      </c>
      <c r="B496" s="157"/>
      <c r="C496" s="157"/>
      <c r="D496" s="158">
        <f t="shared" si="7"/>
        <v>0</v>
      </c>
    </row>
    <row r="497" spans="1:4" ht="18" hidden="1">
      <c r="A497" s="161" t="s">
        <v>73</v>
      </c>
      <c r="B497" s="157"/>
      <c r="C497" s="157"/>
      <c r="D497" s="158">
        <f t="shared" si="7"/>
        <v>0</v>
      </c>
    </row>
    <row r="498" spans="1:4" ht="18" hidden="1">
      <c r="A498" s="161" t="s">
        <v>74</v>
      </c>
      <c r="B498" s="157"/>
      <c r="C498" s="157"/>
      <c r="D498" s="158">
        <f t="shared" si="7"/>
        <v>0</v>
      </c>
    </row>
    <row r="499" spans="1:4" ht="18" hidden="1">
      <c r="A499" s="161" t="s">
        <v>78</v>
      </c>
      <c r="B499" s="157"/>
      <c r="C499" s="157"/>
      <c r="D499" s="158">
        <f t="shared" si="7"/>
        <v>0</v>
      </c>
    </row>
    <row r="500" spans="1:4" ht="18" hidden="1">
      <c r="A500" s="180" t="s">
        <v>79</v>
      </c>
      <c r="B500" s="157"/>
      <c r="C500" s="157"/>
      <c r="D500" s="158">
        <f t="shared" si="7"/>
        <v>0</v>
      </c>
    </row>
    <row r="501" spans="1:4" ht="18" hidden="1">
      <c r="A501" s="160" t="s">
        <v>80</v>
      </c>
      <c r="B501" s="157"/>
      <c r="C501" s="157"/>
      <c r="D501" s="158">
        <f t="shared" si="7"/>
        <v>0</v>
      </c>
    </row>
    <row r="502" spans="1:4" ht="18" hidden="1">
      <c r="A502" s="161" t="s">
        <v>167</v>
      </c>
      <c r="B502" s="157"/>
      <c r="C502" s="157"/>
      <c r="D502" s="158">
        <f t="shared" si="7"/>
        <v>0</v>
      </c>
    </row>
    <row r="503" spans="1:4" ht="18" hidden="1">
      <c r="A503" s="161" t="s">
        <v>364</v>
      </c>
      <c r="B503" s="157"/>
      <c r="C503" s="157"/>
      <c r="D503" s="158">
        <f t="shared" si="7"/>
        <v>0</v>
      </c>
    </row>
    <row r="504" spans="1:4" ht="18" hidden="1">
      <c r="A504" s="161" t="s">
        <v>168</v>
      </c>
      <c r="B504" s="157"/>
      <c r="C504" s="157"/>
      <c r="D504" s="158">
        <f t="shared" si="7"/>
        <v>0</v>
      </c>
    </row>
    <row r="505" spans="1:4" ht="18" hidden="1">
      <c r="A505" s="161" t="s">
        <v>169</v>
      </c>
      <c r="B505" s="157"/>
      <c r="C505" s="157"/>
      <c r="D505" s="158">
        <f t="shared" si="7"/>
        <v>0</v>
      </c>
    </row>
    <row r="506" spans="1:4" ht="18" hidden="1">
      <c r="A506" s="161" t="s">
        <v>170</v>
      </c>
      <c r="B506" s="157"/>
      <c r="C506" s="157"/>
      <c r="D506" s="158">
        <f t="shared" si="7"/>
        <v>0</v>
      </c>
    </row>
    <row r="507" spans="1:4" ht="18" hidden="1">
      <c r="A507" s="164" t="s">
        <v>171</v>
      </c>
      <c r="B507" s="157"/>
      <c r="C507" s="157"/>
      <c r="D507" s="158">
        <f t="shared" si="7"/>
        <v>0</v>
      </c>
    </row>
    <row r="508" spans="1:4" ht="18">
      <c r="A508" s="161" t="s">
        <v>90</v>
      </c>
      <c r="B508" s="157">
        <v>80</v>
      </c>
      <c r="C508" s="157">
        <v>25000</v>
      </c>
      <c r="D508" s="158">
        <f t="shared" si="7"/>
        <v>2000000</v>
      </c>
    </row>
    <row r="509" spans="1:4" ht="18" hidden="1">
      <c r="A509" s="173" t="s">
        <v>91</v>
      </c>
      <c r="B509" s="157"/>
      <c r="C509" s="157"/>
      <c r="D509" s="158">
        <f t="shared" si="7"/>
        <v>0</v>
      </c>
    </row>
    <row r="510" spans="1:4" ht="18" hidden="1">
      <c r="A510" s="161" t="s">
        <v>92</v>
      </c>
      <c r="B510" s="157"/>
      <c r="C510" s="157"/>
      <c r="D510" s="158">
        <f t="shared" si="7"/>
        <v>0</v>
      </c>
    </row>
    <row r="511" spans="1:4" ht="18" hidden="1">
      <c r="A511" s="161" t="s">
        <v>94</v>
      </c>
      <c r="B511" s="157"/>
      <c r="C511" s="157"/>
      <c r="D511" s="158">
        <f t="shared" si="7"/>
        <v>0</v>
      </c>
    </row>
    <row r="512" spans="1:4" ht="18" hidden="1">
      <c r="A512" s="161" t="s">
        <v>95</v>
      </c>
      <c r="B512" s="157"/>
      <c r="C512" s="157"/>
      <c r="D512" s="158">
        <f t="shared" si="7"/>
        <v>0</v>
      </c>
    </row>
    <row r="513" spans="1:4" ht="18" hidden="1">
      <c r="A513" s="173" t="s">
        <v>109</v>
      </c>
      <c r="B513" s="157"/>
      <c r="C513" s="157"/>
      <c r="D513" s="158">
        <f t="shared" si="7"/>
        <v>0</v>
      </c>
    </row>
    <row r="514" spans="1:4" ht="18" hidden="1">
      <c r="A514" s="161" t="s">
        <v>321</v>
      </c>
      <c r="B514" s="157"/>
      <c r="C514" s="157"/>
      <c r="D514" s="158">
        <f t="shared" si="7"/>
        <v>0</v>
      </c>
    </row>
    <row r="515" spans="1:4" ht="18" hidden="1">
      <c r="A515" s="156" t="s">
        <v>335</v>
      </c>
      <c r="B515" s="157"/>
      <c r="C515" s="157"/>
      <c r="D515" s="158">
        <f t="shared" si="7"/>
        <v>0</v>
      </c>
    </row>
    <row r="516" spans="1:4" ht="18" hidden="1">
      <c r="A516" s="161" t="s">
        <v>338</v>
      </c>
      <c r="B516" s="157"/>
      <c r="C516" s="157"/>
      <c r="D516" s="158">
        <f t="shared" ref="D516:D579" si="8">B516*C516</f>
        <v>0</v>
      </c>
    </row>
    <row r="517" spans="1:4" ht="18" hidden="1">
      <c r="A517" s="163" t="s">
        <v>106</v>
      </c>
      <c r="B517" s="157"/>
      <c r="C517" s="157"/>
      <c r="D517" s="158">
        <f t="shared" si="8"/>
        <v>0</v>
      </c>
    </row>
    <row r="518" spans="1:4" ht="18" hidden="1">
      <c r="A518" s="163" t="s">
        <v>107</v>
      </c>
      <c r="B518" s="157"/>
      <c r="C518" s="157"/>
      <c r="D518" s="158">
        <f t="shared" si="8"/>
        <v>0</v>
      </c>
    </row>
    <row r="519" spans="1:4" ht="18" hidden="1">
      <c r="A519" s="159" t="s">
        <v>108</v>
      </c>
      <c r="B519" s="157"/>
      <c r="C519" s="157"/>
      <c r="D519" s="158">
        <f t="shared" si="8"/>
        <v>0</v>
      </c>
    </row>
    <row r="520" spans="1:4" ht="18" hidden="1">
      <c r="A520" s="156" t="s">
        <v>196</v>
      </c>
      <c r="B520" s="157"/>
      <c r="C520" s="157"/>
      <c r="D520" s="158">
        <f t="shared" si="8"/>
        <v>0</v>
      </c>
    </row>
    <row r="521" spans="1:4" ht="18" hidden="1">
      <c r="A521" s="156" t="s">
        <v>197</v>
      </c>
      <c r="B521" s="157"/>
      <c r="C521" s="157"/>
      <c r="D521" s="158">
        <f t="shared" si="8"/>
        <v>0</v>
      </c>
    </row>
    <row r="522" spans="1:4" ht="18">
      <c r="A522" s="156" t="s">
        <v>198</v>
      </c>
      <c r="B522" s="157">
        <v>440</v>
      </c>
      <c r="C522" s="157">
        <v>8500</v>
      </c>
      <c r="D522" s="158">
        <f t="shared" si="8"/>
        <v>3740000</v>
      </c>
    </row>
    <row r="523" spans="1:4" ht="18" hidden="1">
      <c r="A523" s="161" t="s">
        <v>199</v>
      </c>
      <c r="B523" s="157"/>
      <c r="C523" s="157"/>
      <c r="D523" s="158">
        <f t="shared" si="8"/>
        <v>0</v>
      </c>
    </row>
    <row r="524" spans="1:4" ht="18" hidden="1">
      <c r="A524" s="156" t="s">
        <v>200</v>
      </c>
      <c r="B524" s="157"/>
      <c r="C524" s="157"/>
      <c r="D524" s="158">
        <f t="shared" si="8"/>
        <v>0</v>
      </c>
    </row>
    <row r="525" spans="1:4" ht="18" hidden="1">
      <c r="A525" s="156" t="s">
        <v>201</v>
      </c>
      <c r="B525" s="157"/>
      <c r="C525" s="157"/>
      <c r="D525" s="158">
        <f t="shared" si="8"/>
        <v>0</v>
      </c>
    </row>
    <row r="526" spans="1:4" ht="18" hidden="1">
      <c r="A526" s="156" t="s">
        <v>202</v>
      </c>
      <c r="B526" s="157"/>
      <c r="C526" s="157"/>
      <c r="D526" s="158">
        <f t="shared" si="8"/>
        <v>0</v>
      </c>
    </row>
    <row r="527" spans="1:4" ht="18" hidden="1">
      <c r="A527" s="161" t="s">
        <v>203</v>
      </c>
      <c r="B527" s="157"/>
      <c r="C527" s="157"/>
      <c r="D527" s="158">
        <f t="shared" si="8"/>
        <v>0</v>
      </c>
    </row>
    <row r="528" spans="1:4" ht="18" hidden="1">
      <c r="A528" s="161" t="s">
        <v>225</v>
      </c>
      <c r="B528" s="157"/>
      <c r="C528" s="157"/>
      <c r="D528" s="158">
        <f t="shared" si="8"/>
        <v>0</v>
      </c>
    </row>
    <row r="529" spans="1:4" ht="18" hidden="1">
      <c r="A529" s="161" t="s">
        <v>226</v>
      </c>
      <c r="B529" s="157"/>
      <c r="C529" s="157"/>
      <c r="D529" s="158">
        <f t="shared" si="8"/>
        <v>0</v>
      </c>
    </row>
    <row r="530" spans="1:4" ht="18" hidden="1">
      <c r="A530" s="161" t="s">
        <v>368</v>
      </c>
      <c r="B530" s="157"/>
      <c r="C530" s="157"/>
      <c r="D530" s="158">
        <f t="shared" si="8"/>
        <v>0</v>
      </c>
    </row>
    <row r="531" spans="1:4" ht="18" hidden="1">
      <c r="A531" s="161" t="s">
        <v>369</v>
      </c>
      <c r="B531" s="157"/>
      <c r="C531" s="157"/>
      <c r="D531" s="158">
        <f t="shared" si="8"/>
        <v>0</v>
      </c>
    </row>
    <row r="532" spans="1:4" ht="18" hidden="1">
      <c r="A532" s="161" t="s">
        <v>119</v>
      </c>
      <c r="B532" s="157"/>
      <c r="C532" s="157"/>
      <c r="D532" s="158">
        <f t="shared" si="8"/>
        <v>0</v>
      </c>
    </row>
    <row r="533" spans="1:4" ht="18" hidden="1">
      <c r="A533" s="161" t="s">
        <v>120</v>
      </c>
      <c r="B533" s="157"/>
      <c r="C533" s="157"/>
      <c r="D533" s="158">
        <f t="shared" si="8"/>
        <v>0</v>
      </c>
    </row>
    <row r="534" spans="1:4" ht="18">
      <c r="A534" s="161" t="s">
        <v>104</v>
      </c>
      <c r="B534" s="157">
        <v>20</v>
      </c>
      <c r="C534" s="157">
        <v>9000</v>
      </c>
      <c r="D534" s="158">
        <f t="shared" si="8"/>
        <v>180000</v>
      </c>
    </row>
    <row r="535" spans="1:4" ht="18" hidden="1">
      <c r="A535" s="163" t="s">
        <v>105</v>
      </c>
      <c r="B535" s="157"/>
      <c r="C535" s="157"/>
      <c r="D535" s="158">
        <f t="shared" si="8"/>
        <v>0</v>
      </c>
    </row>
    <row r="536" spans="1:4" ht="18">
      <c r="A536" s="171" t="s">
        <v>11</v>
      </c>
      <c r="B536" s="157">
        <f>70+35+110</f>
        <v>215</v>
      </c>
      <c r="C536" s="157">
        <v>7300</v>
      </c>
      <c r="D536" s="158">
        <f t="shared" si="8"/>
        <v>1569500</v>
      </c>
    </row>
    <row r="537" spans="1:4" ht="18" hidden="1">
      <c r="A537" s="161" t="s">
        <v>12</v>
      </c>
      <c r="B537" s="157"/>
      <c r="C537" s="157"/>
      <c r="D537" s="158">
        <f t="shared" si="8"/>
        <v>0</v>
      </c>
    </row>
    <row r="538" spans="1:4" ht="18" hidden="1">
      <c r="A538" s="171" t="s">
        <v>15</v>
      </c>
      <c r="B538" s="157"/>
      <c r="C538" s="157"/>
      <c r="D538" s="158">
        <f t="shared" si="8"/>
        <v>0</v>
      </c>
    </row>
    <row r="539" spans="1:4" ht="18">
      <c r="A539" s="161" t="s">
        <v>365</v>
      </c>
      <c r="B539" s="157">
        <v>20</v>
      </c>
      <c r="C539" s="157">
        <v>6500</v>
      </c>
      <c r="D539" s="158">
        <f t="shared" si="8"/>
        <v>130000</v>
      </c>
    </row>
    <row r="540" spans="1:4" ht="18" hidden="1">
      <c r="A540" s="156" t="s">
        <v>182</v>
      </c>
      <c r="B540" s="157"/>
      <c r="C540" s="157"/>
      <c r="D540" s="158">
        <f t="shared" si="8"/>
        <v>0</v>
      </c>
    </row>
    <row r="541" spans="1:4" ht="18" hidden="1">
      <c r="A541" s="161" t="s">
        <v>183</v>
      </c>
      <c r="B541" s="157"/>
      <c r="C541" s="157"/>
      <c r="D541" s="158">
        <f t="shared" si="8"/>
        <v>0</v>
      </c>
    </row>
    <row r="542" spans="1:4" ht="18" hidden="1">
      <c r="A542" s="161" t="s">
        <v>185</v>
      </c>
      <c r="B542" s="157"/>
      <c r="C542" s="157"/>
      <c r="D542" s="158">
        <f t="shared" si="8"/>
        <v>0</v>
      </c>
    </row>
    <row r="543" spans="1:4" ht="18" hidden="1">
      <c r="A543" s="161" t="s">
        <v>186</v>
      </c>
      <c r="B543" s="157"/>
      <c r="C543" s="157"/>
      <c r="D543" s="158">
        <f t="shared" si="8"/>
        <v>0</v>
      </c>
    </row>
    <row r="544" spans="1:4" ht="18" hidden="1">
      <c r="A544" s="160" t="s">
        <v>187</v>
      </c>
      <c r="B544" s="157"/>
      <c r="C544" s="157"/>
      <c r="D544" s="158">
        <f t="shared" si="8"/>
        <v>0</v>
      </c>
    </row>
    <row r="545" spans="1:4" ht="18" hidden="1">
      <c r="A545" s="156" t="s">
        <v>242</v>
      </c>
      <c r="B545" s="157"/>
      <c r="C545" s="157"/>
      <c r="D545" s="158">
        <f t="shared" si="8"/>
        <v>0</v>
      </c>
    </row>
    <row r="546" spans="1:4" ht="18" hidden="1">
      <c r="A546" s="156" t="s">
        <v>22</v>
      </c>
      <c r="B546" s="157"/>
      <c r="C546" s="157"/>
      <c r="D546" s="158">
        <f t="shared" si="8"/>
        <v>0</v>
      </c>
    </row>
    <row r="547" spans="1:4" ht="18" hidden="1">
      <c r="A547" s="159" t="s">
        <v>358</v>
      </c>
      <c r="B547" s="157"/>
      <c r="C547" s="157"/>
      <c r="D547" s="158">
        <f t="shared" si="8"/>
        <v>0</v>
      </c>
    </row>
    <row r="548" spans="1:4" ht="18" hidden="1">
      <c r="A548" s="159" t="s">
        <v>359</v>
      </c>
      <c r="B548" s="157"/>
      <c r="C548" s="157"/>
      <c r="D548" s="158">
        <f t="shared" si="8"/>
        <v>0</v>
      </c>
    </row>
    <row r="549" spans="1:4" ht="18" hidden="1">
      <c r="A549" s="159" t="s">
        <v>360</v>
      </c>
      <c r="B549" s="157"/>
      <c r="C549" s="157"/>
      <c r="D549" s="158">
        <f t="shared" si="8"/>
        <v>0</v>
      </c>
    </row>
    <row r="550" spans="1:4" ht="18" hidden="1">
      <c r="A550" s="159" t="s">
        <v>361</v>
      </c>
      <c r="B550" s="157"/>
      <c r="C550" s="157"/>
      <c r="D550" s="158">
        <f t="shared" si="8"/>
        <v>0</v>
      </c>
    </row>
    <row r="551" spans="1:4" ht="18" hidden="1">
      <c r="A551" s="161" t="s">
        <v>128</v>
      </c>
      <c r="B551" s="157"/>
      <c r="C551" s="157"/>
      <c r="D551" s="158">
        <f t="shared" si="8"/>
        <v>0</v>
      </c>
    </row>
    <row r="552" spans="1:4" ht="18" hidden="1">
      <c r="A552" s="161" t="s">
        <v>129</v>
      </c>
      <c r="B552" s="157"/>
      <c r="C552" s="157"/>
      <c r="D552" s="158">
        <f t="shared" si="8"/>
        <v>0</v>
      </c>
    </row>
    <row r="553" spans="1:4" ht="18" hidden="1">
      <c r="A553" s="161" t="s">
        <v>362</v>
      </c>
      <c r="B553" s="157"/>
      <c r="C553" s="157"/>
      <c r="D553" s="158">
        <f t="shared" si="8"/>
        <v>0</v>
      </c>
    </row>
    <row r="554" spans="1:4" ht="18" hidden="1">
      <c r="A554" s="161" t="s">
        <v>130</v>
      </c>
      <c r="B554" s="157"/>
      <c r="C554" s="157"/>
      <c r="D554" s="158">
        <f t="shared" si="8"/>
        <v>0</v>
      </c>
    </row>
    <row r="555" spans="1:4" ht="18" hidden="1">
      <c r="A555" s="156" t="s">
        <v>152</v>
      </c>
      <c r="B555" s="157"/>
      <c r="C555" s="157"/>
      <c r="D555" s="158">
        <f t="shared" si="8"/>
        <v>0</v>
      </c>
    </row>
    <row r="556" spans="1:4" ht="18" hidden="1">
      <c r="A556" s="156" t="s">
        <v>153</v>
      </c>
      <c r="B556" s="157"/>
      <c r="C556" s="157"/>
      <c r="D556" s="158">
        <f t="shared" si="8"/>
        <v>0</v>
      </c>
    </row>
    <row r="557" spans="1:4" ht="18" hidden="1">
      <c r="A557" s="161" t="s">
        <v>154</v>
      </c>
      <c r="B557" s="157"/>
      <c r="C557" s="157"/>
      <c r="D557" s="158">
        <f t="shared" si="8"/>
        <v>0</v>
      </c>
    </row>
    <row r="558" spans="1:4" ht="18" hidden="1">
      <c r="A558" s="161" t="s">
        <v>363</v>
      </c>
      <c r="B558" s="157"/>
      <c r="C558" s="157"/>
      <c r="D558" s="158">
        <f t="shared" si="8"/>
        <v>0</v>
      </c>
    </row>
    <row r="559" spans="1:4" ht="18" hidden="1">
      <c r="A559" s="161" t="s">
        <v>222</v>
      </c>
      <c r="B559" s="157"/>
      <c r="C559" s="157"/>
      <c r="D559" s="158">
        <f t="shared" si="8"/>
        <v>0</v>
      </c>
    </row>
    <row r="560" spans="1:4" ht="18" hidden="1">
      <c r="A560" s="159" t="s">
        <v>223</v>
      </c>
      <c r="B560" s="157"/>
      <c r="C560" s="157"/>
      <c r="D560" s="158">
        <f t="shared" si="8"/>
        <v>0</v>
      </c>
    </row>
    <row r="561" spans="1:4" ht="18" hidden="1">
      <c r="A561" s="161" t="s">
        <v>224</v>
      </c>
      <c r="B561" s="157"/>
      <c r="C561" s="157"/>
      <c r="D561" s="158">
        <f t="shared" si="8"/>
        <v>0</v>
      </c>
    </row>
    <row r="562" spans="1:4" ht="18" hidden="1">
      <c r="A562" s="159" t="s">
        <v>367</v>
      </c>
      <c r="B562" s="157"/>
      <c r="C562" s="157"/>
      <c r="D562" s="158">
        <f t="shared" si="8"/>
        <v>0</v>
      </c>
    </row>
    <row r="563" spans="1:4" ht="18" hidden="1">
      <c r="A563" s="161" t="s">
        <v>262</v>
      </c>
      <c r="B563" s="157"/>
      <c r="C563" s="157"/>
      <c r="D563" s="158">
        <f t="shared" si="8"/>
        <v>0</v>
      </c>
    </row>
    <row r="564" spans="1:4" ht="18" hidden="1">
      <c r="A564" s="161" t="s">
        <v>282</v>
      </c>
      <c r="B564" s="157"/>
      <c r="C564" s="157"/>
      <c r="D564" s="158">
        <f t="shared" si="8"/>
        <v>0</v>
      </c>
    </row>
    <row r="565" spans="1:4" ht="18" hidden="1">
      <c r="A565" s="161" t="s">
        <v>285</v>
      </c>
      <c r="B565" s="157"/>
      <c r="C565" s="157"/>
      <c r="D565" s="158">
        <f t="shared" si="8"/>
        <v>0</v>
      </c>
    </row>
    <row r="566" spans="1:4" ht="18" hidden="1">
      <c r="A566" s="161" t="s">
        <v>314</v>
      </c>
      <c r="B566" s="157"/>
      <c r="C566" s="157"/>
      <c r="D566" s="158">
        <f t="shared" si="8"/>
        <v>0</v>
      </c>
    </row>
    <row r="567" spans="1:4" ht="18" hidden="1">
      <c r="A567" s="164" t="s">
        <v>315</v>
      </c>
      <c r="B567" s="157"/>
      <c r="C567" s="157"/>
      <c r="D567" s="158">
        <f t="shared" si="8"/>
        <v>0</v>
      </c>
    </row>
    <row r="568" spans="1:4" ht="18" hidden="1">
      <c r="A568" s="156" t="s">
        <v>377</v>
      </c>
      <c r="B568" s="157"/>
      <c r="C568" s="157"/>
      <c r="D568" s="158">
        <f t="shared" si="8"/>
        <v>0</v>
      </c>
    </row>
    <row r="569" spans="1:4" ht="18" hidden="1">
      <c r="A569" s="159" t="s">
        <v>355</v>
      </c>
      <c r="B569" s="157"/>
      <c r="C569" s="157"/>
      <c r="D569" s="158">
        <f t="shared" si="8"/>
        <v>0</v>
      </c>
    </row>
    <row r="570" spans="1:4" ht="18" hidden="1">
      <c r="A570" s="161" t="s">
        <v>47</v>
      </c>
      <c r="B570" s="157"/>
      <c r="C570" s="157"/>
      <c r="D570" s="158">
        <f t="shared" si="8"/>
        <v>0</v>
      </c>
    </row>
    <row r="571" spans="1:4" ht="18" hidden="1">
      <c r="A571" s="161" t="s">
        <v>48</v>
      </c>
      <c r="B571" s="157"/>
      <c r="C571" s="157"/>
      <c r="D571" s="158">
        <f t="shared" si="8"/>
        <v>0</v>
      </c>
    </row>
    <row r="572" spans="1:4" ht="18" hidden="1">
      <c r="A572" s="159" t="s">
        <v>356</v>
      </c>
      <c r="B572" s="162"/>
      <c r="C572" s="162"/>
      <c r="D572" s="158">
        <f t="shared" si="8"/>
        <v>0</v>
      </c>
    </row>
    <row r="573" spans="1:4" ht="18" hidden="1">
      <c r="A573" s="159" t="s">
        <v>50</v>
      </c>
      <c r="B573" s="162"/>
      <c r="C573" s="162"/>
      <c r="D573" s="158">
        <f t="shared" si="8"/>
        <v>0</v>
      </c>
    </row>
    <row r="574" spans="1:4" ht="18" hidden="1">
      <c r="A574" s="164" t="s">
        <v>270</v>
      </c>
      <c r="B574" s="157"/>
      <c r="C574" s="157"/>
      <c r="D574" s="158">
        <f t="shared" si="8"/>
        <v>0</v>
      </c>
    </row>
    <row r="575" spans="1:4" ht="18" hidden="1">
      <c r="A575" s="163" t="s">
        <v>271</v>
      </c>
      <c r="B575" s="157"/>
      <c r="C575" s="157"/>
      <c r="D575" s="158">
        <f t="shared" si="8"/>
        <v>0</v>
      </c>
    </row>
    <row r="576" spans="1:4" ht="18" hidden="1">
      <c r="A576" s="163" t="s">
        <v>272</v>
      </c>
      <c r="B576" s="157"/>
      <c r="C576" s="157"/>
      <c r="D576" s="158">
        <f t="shared" si="8"/>
        <v>0</v>
      </c>
    </row>
    <row r="577" spans="1:4" ht="18" hidden="1">
      <c r="A577" s="159" t="s">
        <v>373</v>
      </c>
      <c r="B577" s="157"/>
      <c r="C577" s="157"/>
      <c r="D577" s="158">
        <f t="shared" si="8"/>
        <v>0</v>
      </c>
    </row>
    <row r="578" spans="1:4" ht="18" hidden="1">
      <c r="A578" s="159" t="s">
        <v>283</v>
      </c>
      <c r="B578" s="157"/>
      <c r="C578" s="157"/>
      <c r="D578" s="158">
        <f t="shared" si="8"/>
        <v>0</v>
      </c>
    </row>
    <row r="579" spans="1:4" ht="18" hidden="1">
      <c r="A579" s="161" t="s">
        <v>284</v>
      </c>
      <c r="B579" s="157"/>
      <c r="C579" s="157"/>
      <c r="D579" s="158">
        <f t="shared" si="8"/>
        <v>0</v>
      </c>
    </row>
    <row r="580" spans="1:4" ht="18" hidden="1">
      <c r="A580" s="161" t="s">
        <v>374</v>
      </c>
      <c r="B580" s="157"/>
      <c r="C580" s="157"/>
      <c r="D580" s="158">
        <f t="shared" ref="D580:D643" si="9">B580*C580</f>
        <v>0</v>
      </c>
    </row>
    <row r="581" spans="1:4" ht="18" hidden="1">
      <c r="A581" s="161" t="s">
        <v>287</v>
      </c>
      <c r="B581" s="157"/>
      <c r="C581" s="157"/>
      <c r="D581" s="158">
        <f t="shared" si="9"/>
        <v>0</v>
      </c>
    </row>
    <row r="582" spans="1:4" ht="18" hidden="1">
      <c r="A582" s="164" t="s">
        <v>299</v>
      </c>
      <c r="B582" s="157"/>
      <c r="C582" s="157"/>
      <c r="D582" s="158">
        <f t="shared" si="9"/>
        <v>0</v>
      </c>
    </row>
    <row r="583" spans="1:4" ht="18" hidden="1">
      <c r="A583" s="156" t="s">
        <v>193</v>
      </c>
      <c r="B583" s="157"/>
      <c r="C583" s="157"/>
      <c r="D583" s="158">
        <f t="shared" si="9"/>
        <v>0</v>
      </c>
    </row>
    <row r="584" spans="1:4" ht="18" hidden="1">
      <c r="A584" s="161" t="s">
        <v>194</v>
      </c>
      <c r="B584" s="157"/>
      <c r="C584" s="157"/>
      <c r="D584" s="158">
        <f t="shared" si="9"/>
        <v>0</v>
      </c>
    </row>
    <row r="585" spans="1:4" ht="18" hidden="1">
      <c r="A585" s="161" t="s">
        <v>195</v>
      </c>
      <c r="B585" s="157"/>
      <c r="C585" s="157"/>
      <c r="D585" s="158">
        <f t="shared" si="9"/>
        <v>0</v>
      </c>
    </row>
    <row r="586" spans="1:4" ht="18" hidden="1">
      <c r="A586" s="156" t="s">
        <v>320</v>
      </c>
      <c r="B586" s="157"/>
      <c r="C586" s="157"/>
      <c r="D586" s="158">
        <f t="shared" si="9"/>
        <v>0</v>
      </c>
    </row>
    <row r="587" spans="1:4" ht="18" hidden="1">
      <c r="A587" s="161" t="s">
        <v>322</v>
      </c>
      <c r="B587" s="157"/>
      <c r="C587" s="157"/>
      <c r="D587" s="158">
        <f t="shared" si="9"/>
        <v>0</v>
      </c>
    </row>
    <row r="588" spans="1:4" ht="18" hidden="1">
      <c r="A588" s="161" t="s">
        <v>323</v>
      </c>
      <c r="B588" s="157"/>
      <c r="C588" s="157"/>
      <c r="D588" s="158">
        <f t="shared" si="9"/>
        <v>0</v>
      </c>
    </row>
    <row r="589" spans="1:4" ht="18" hidden="1">
      <c r="A589" s="163" t="s">
        <v>326</v>
      </c>
      <c r="B589" s="157"/>
      <c r="C589" s="157"/>
      <c r="D589" s="158">
        <f t="shared" si="9"/>
        <v>0</v>
      </c>
    </row>
    <row r="590" spans="1:4" ht="18" hidden="1">
      <c r="A590" s="161" t="s">
        <v>328</v>
      </c>
      <c r="B590" s="157"/>
      <c r="C590" s="157"/>
      <c r="D590" s="158">
        <f t="shared" si="9"/>
        <v>0</v>
      </c>
    </row>
    <row r="591" spans="1:4" ht="18" hidden="1">
      <c r="A591" s="161" t="s">
        <v>329</v>
      </c>
      <c r="B591" s="157"/>
      <c r="C591" s="157"/>
      <c r="D591" s="158">
        <f t="shared" si="9"/>
        <v>0</v>
      </c>
    </row>
    <row r="592" spans="1:4" ht="18" hidden="1">
      <c r="A592" s="161" t="s">
        <v>330</v>
      </c>
      <c r="B592" s="157"/>
      <c r="C592" s="157"/>
      <c r="D592" s="158">
        <f t="shared" si="9"/>
        <v>0</v>
      </c>
    </row>
    <row r="593" spans="1:4" ht="18" hidden="1">
      <c r="A593" s="161" t="s">
        <v>331</v>
      </c>
      <c r="B593" s="157"/>
      <c r="C593" s="157"/>
      <c r="D593" s="158">
        <f t="shared" si="9"/>
        <v>0</v>
      </c>
    </row>
    <row r="594" spans="1:4" ht="18" hidden="1">
      <c r="A594" s="163" t="s">
        <v>332</v>
      </c>
      <c r="B594" s="157"/>
      <c r="C594" s="157"/>
      <c r="D594" s="158">
        <f t="shared" si="9"/>
        <v>0</v>
      </c>
    </row>
    <row r="595" spans="1:4" ht="18" hidden="1">
      <c r="A595" s="161" t="s">
        <v>333</v>
      </c>
      <c r="B595" s="157"/>
      <c r="C595" s="157"/>
      <c r="D595" s="158">
        <f t="shared" si="9"/>
        <v>0</v>
      </c>
    </row>
    <row r="596" spans="1:4" ht="18" hidden="1">
      <c r="A596" s="161" t="s">
        <v>337</v>
      </c>
      <c r="B596" s="157"/>
      <c r="C596" s="157"/>
      <c r="D596" s="158">
        <f t="shared" si="9"/>
        <v>0</v>
      </c>
    </row>
    <row r="597" spans="1:4" ht="18" hidden="1">
      <c r="A597" s="163" t="s">
        <v>339</v>
      </c>
      <c r="B597" s="157"/>
      <c r="C597" s="157"/>
      <c r="D597" s="158">
        <f t="shared" si="9"/>
        <v>0</v>
      </c>
    </row>
    <row r="598" spans="1:4" ht="18" hidden="1">
      <c r="A598" s="163" t="s">
        <v>340</v>
      </c>
      <c r="B598" s="157"/>
      <c r="C598" s="157"/>
      <c r="D598" s="158">
        <f t="shared" si="9"/>
        <v>0</v>
      </c>
    </row>
    <row r="599" spans="1:4" ht="18" hidden="1">
      <c r="A599" s="161" t="s">
        <v>341</v>
      </c>
      <c r="B599" s="157"/>
      <c r="C599" s="157"/>
      <c r="D599" s="158">
        <f t="shared" si="9"/>
        <v>0</v>
      </c>
    </row>
    <row r="600" spans="1:4" ht="18" hidden="1">
      <c r="A600" s="161" t="s">
        <v>342</v>
      </c>
      <c r="B600" s="157"/>
      <c r="C600" s="157"/>
      <c r="D600" s="158">
        <f t="shared" si="9"/>
        <v>0</v>
      </c>
    </row>
    <row r="601" spans="1:4" ht="18" hidden="1">
      <c r="A601" s="163" t="s">
        <v>343</v>
      </c>
      <c r="B601" s="157"/>
      <c r="C601" s="157"/>
      <c r="D601" s="158">
        <f t="shared" si="9"/>
        <v>0</v>
      </c>
    </row>
    <row r="602" spans="1:4" ht="18" hidden="1">
      <c r="A602" s="161" t="s">
        <v>344</v>
      </c>
      <c r="B602" s="157"/>
      <c r="C602" s="157"/>
      <c r="D602" s="158">
        <f t="shared" si="9"/>
        <v>0</v>
      </c>
    </row>
    <row r="603" spans="1:4" ht="18" hidden="1">
      <c r="A603" s="161" t="s">
        <v>345</v>
      </c>
      <c r="B603" s="157"/>
      <c r="C603" s="157"/>
      <c r="D603" s="158">
        <f t="shared" si="9"/>
        <v>0</v>
      </c>
    </row>
    <row r="604" spans="1:4" ht="18" hidden="1">
      <c r="A604" s="161" t="s">
        <v>346</v>
      </c>
      <c r="B604" s="157"/>
      <c r="C604" s="157"/>
      <c r="D604" s="158">
        <f t="shared" si="9"/>
        <v>0</v>
      </c>
    </row>
    <row r="605" spans="1:4" ht="18" hidden="1">
      <c r="A605" s="161" t="s">
        <v>347</v>
      </c>
      <c r="B605" s="157"/>
      <c r="C605" s="157"/>
      <c r="D605" s="158">
        <f t="shared" si="9"/>
        <v>0</v>
      </c>
    </row>
    <row r="606" spans="1:4" ht="18" hidden="1">
      <c r="A606" s="161" t="s">
        <v>348</v>
      </c>
      <c r="B606" s="157"/>
      <c r="C606" s="157"/>
      <c r="D606" s="158">
        <f t="shared" si="9"/>
        <v>0</v>
      </c>
    </row>
    <row r="607" spans="1:4" ht="18" hidden="1">
      <c r="A607" s="161" t="s">
        <v>349</v>
      </c>
      <c r="B607" s="157"/>
      <c r="C607" s="157"/>
      <c r="D607" s="158">
        <f t="shared" si="9"/>
        <v>0</v>
      </c>
    </row>
    <row r="608" spans="1:4" ht="18" hidden="1">
      <c r="A608" s="161" t="s">
        <v>350</v>
      </c>
      <c r="B608" s="157"/>
      <c r="C608" s="157"/>
      <c r="D608" s="158">
        <f t="shared" si="9"/>
        <v>0</v>
      </c>
    </row>
    <row r="609" spans="1:4" ht="18" hidden="1">
      <c r="A609" s="161" t="s">
        <v>351</v>
      </c>
      <c r="B609" s="157"/>
      <c r="C609" s="157"/>
      <c r="D609" s="158">
        <f t="shared" si="9"/>
        <v>0</v>
      </c>
    </row>
    <row r="610" spans="1:4" ht="18" hidden="1">
      <c r="A610" s="161" t="s">
        <v>302</v>
      </c>
      <c r="B610" s="157"/>
      <c r="C610" s="157"/>
      <c r="D610" s="158">
        <f t="shared" si="9"/>
        <v>0</v>
      </c>
    </row>
    <row r="611" spans="1:4" ht="18" hidden="1">
      <c r="A611" s="164" t="s">
        <v>303</v>
      </c>
      <c r="B611" s="157"/>
      <c r="C611" s="157"/>
      <c r="D611" s="158">
        <f t="shared" si="9"/>
        <v>0</v>
      </c>
    </row>
    <row r="612" spans="1:4" ht="18" hidden="1">
      <c r="A612" s="161" t="s">
        <v>304</v>
      </c>
      <c r="B612" s="157"/>
      <c r="C612" s="157"/>
      <c r="D612" s="158">
        <f t="shared" si="9"/>
        <v>0</v>
      </c>
    </row>
    <row r="613" spans="1:4" ht="18" hidden="1">
      <c r="A613" s="161" t="s">
        <v>30</v>
      </c>
      <c r="B613" s="157"/>
      <c r="C613" s="157"/>
      <c r="D613" s="158">
        <f t="shared" si="9"/>
        <v>0</v>
      </c>
    </row>
    <row r="614" spans="1:4" ht="18" hidden="1">
      <c r="A614" s="161" t="s">
        <v>31</v>
      </c>
      <c r="B614" s="157"/>
      <c r="C614" s="157"/>
      <c r="D614" s="158">
        <f t="shared" si="9"/>
        <v>0</v>
      </c>
    </row>
    <row r="615" spans="1:4" ht="18">
      <c r="A615" s="161" t="s">
        <v>32</v>
      </c>
      <c r="B615" s="157">
        <v>6</v>
      </c>
      <c r="C615" s="157">
        <v>12000</v>
      </c>
      <c r="D615" s="158">
        <f t="shared" si="9"/>
        <v>72000</v>
      </c>
    </row>
    <row r="616" spans="1:4" ht="18" hidden="1">
      <c r="A616" s="161" t="s">
        <v>33</v>
      </c>
      <c r="B616" s="157"/>
      <c r="C616" s="157"/>
      <c r="D616" s="158">
        <f t="shared" si="9"/>
        <v>0</v>
      </c>
    </row>
    <row r="617" spans="1:4" ht="18" hidden="1">
      <c r="A617" s="161" t="s">
        <v>34</v>
      </c>
      <c r="B617" s="157"/>
      <c r="C617" s="157"/>
      <c r="D617" s="158">
        <f t="shared" si="9"/>
        <v>0</v>
      </c>
    </row>
    <row r="618" spans="1:4" ht="18" hidden="1">
      <c r="A618" s="161" t="s">
        <v>58</v>
      </c>
      <c r="B618" s="157"/>
      <c r="C618" s="157"/>
      <c r="D618" s="158">
        <f t="shared" si="9"/>
        <v>0</v>
      </c>
    </row>
    <row r="619" spans="1:4" ht="18" hidden="1">
      <c r="A619" s="161" t="s">
        <v>59</v>
      </c>
      <c r="B619" s="157"/>
      <c r="C619" s="157"/>
      <c r="D619" s="158">
        <f t="shared" si="9"/>
        <v>0</v>
      </c>
    </row>
    <row r="620" spans="1:4" ht="18" hidden="1">
      <c r="A620" s="173" t="s">
        <v>60</v>
      </c>
      <c r="B620" s="157"/>
      <c r="C620" s="157"/>
      <c r="D620" s="158">
        <f t="shared" si="9"/>
        <v>0</v>
      </c>
    </row>
    <row r="621" spans="1:4" ht="18" hidden="1">
      <c r="A621" s="161" t="s">
        <v>63</v>
      </c>
      <c r="B621" s="157"/>
      <c r="C621" s="157"/>
      <c r="D621" s="158">
        <f t="shared" si="9"/>
        <v>0</v>
      </c>
    </row>
    <row r="622" spans="1:4" ht="18" hidden="1">
      <c r="A622" s="161" t="s">
        <v>64</v>
      </c>
      <c r="B622" s="157"/>
      <c r="C622" s="157"/>
      <c r="D622" s="158">
        <f t="shared" si="9"/>
        <v>0</v>
      </c>
    </row>
    <row r="623" spans="1:4" ht="18" hidden="1">
      <c r="A623" s="183" t="s">
        <v>145</v>
      </c>
      <c r="B623" s="157"/>
      <c r="C623" s="157"/>
      <c r="D623" s="158">
        <f t="shared" si="9"/>
        <v>0</v>
      </c>
    </row>
    <row r="624" spans="1:4" ht="18" hidden="1">
      <c r="A624" s="156" t="s">
        <v>146</v>
      </c>
      <c r="B624" s="162"/>
      <c r="C624" s="162"/>
      <c r="D624" s="158">
        <f t="shared" si="9"/>
        <v>0</v>
      </c>
    </row>
    <row r="625" spans="1:4" ht="18" hidden="1">
      <c r="A625" s="161" t="s">
        <v>147</v>
      </c>
      <c r="B625" s="157"/>
      <c r="C625" s="157"/>
      <c r="D625" s="158">
        <f t="shared" si="9"/>
        <v>0</v>
      </c>
    </row>
    <row r="626" spans="1:4" ht="18" hidden="1">
      <c r="A626" s="161" t="s">
        <v>148</v>
      </c>
      <c r="B626" s="157"/>
      <c r="C626" s="157"/>
      <c r="D626" s="158">
        <f t="shared" si="9"/>
        <v>0</v>
      </c>
    </row>
    <row r="627" spans="1:4" ht="18" hidden="1">
      <c r="A627" s="161" t="s">
        <v>305</v>
      </c>
      <c r="B627" s="157"/>
      <c r="C627" s="157"/>
      <c r="D627" s="158">
        <f t="shared" si="9"/>
        <v>0</v>
      </c>
    </row>
    <row r="628" spans="1:4" ht="18" hidden="1">
      <c r="A628" s="164" t="s">
        <v>306</v>
      </c>
      <c r="B628" s="157"/>
      <c r="C628" s="157"/>
      <c r="D628" s="158">
        <f t="shared" si="9"/>
        <v>0</v>
      </c>
    </row>
    <row r="629" spans="1:4" ht="18" hidden="1">
      <c r="A629" s="161" t="s">
        <v>24</v>
      </c>
      <c r="B629" s="157"/>
      <c r="C629" s="157"/>
      <c r="D629" s="158">
        <f t="shared" si="9"/>
        <v>0</v>
      </c>
    </row>
    <row r="630" spans="1:4" ht="18" hidden="1">
      <c r="A630" s="173" t="s">
        <v>25</v>
      </c>
      <c r="B630" s="157"/>
      <c r="C630" s="157"/>
      <c r="D630" s="158">
        <f t="shared" si="9"/>
        <v>0</v>
      </c>
    </row>
    <row r="631" spans="1:4" ht="18" hidden="1">
      <c r="A631" s="159" t="s">
        <v>26</v>
      </c>
      <c r="B631" s="157"/>
      <c r="C631" s="157"/>
      <c r="D631" s="158">
        <f t="shared" si="9"/>
        <v>0</v>
      </c>
    </row>
    <row r="632" spans="1:4" ht="18" hidden="1">
      <c r="A632" s="161" t="s">
        <v>172</v>
      </c>
      <c r="B632" s="157"/>
      <c r="C632" s="157"/>
      <c r="D632" s="158">
        <f t="shared" si="9"/>
        <v>0</v>
      </c>
    </row>
    <row r="633" spans="1:4" ht="18" hidden="1">
      <c r="A633" s="161" t="s">
        <v>173</v>
      </c>
      <c r="B633" s="157"/>
      <c r="C633" s="157"/>
      <c r="D633" s="158">
        <f t="shared" si="9"/>
        <v>0</v>
      </c>
    </row>
    <row r="634" spans="1:4" ht="18">
      <c r="A634" s="161" t="s">
        <v>174</v>
      </c>
      <c r="B634" s="157">
        <v>9</v>
      </c>
      <c r="C634" s="157">
        <v>8500</v>
      </c>
      <c r="D634" s="158">
        <f t="shared" si="9"/>
        <v>76500</v>
      </c>
    </row>
    <row r="635" spans="1:4" ht="18" hidden="1">
      <c r="A635" s="161" t="s">
        <v>175</v>
      </c>
      <c r="B635" s="157"/>
      <c r="C635" s="157"/>
      <c r="D635" s="158">
        <f t="shared" si="9"/>
        <v>0</v>
      </c>
    </row>
    <row r="636" spans="1:4" ht="18" hidden="1">
      <c r="A636" s="178" t="s">
        <v>13</v>
      </c>
      <c r="B636" s="157"/>
      <c r="C636" s="157"/>
      <c r="D636" s="158">
        <f t="shared" si="9"/>
        <v>0</v>
      </c>
    </row>
    <row r="637" spans="1:4" ht="18" hidden="1">
      <c r="A637" s="171" t="s">
        <v>14</v>
      </c>
      <c r="B637" s="157"/>
      <c r="C637" s="157"/>
      <c r="D637" s="158">
        <f t="shared" si="9"/>
        <v>0</v>
      </c>
    </row>
    <row r="638" spans="1:4" ht="18" hidden="1">
      <c r="A638" s="185" t="s">
        <v>77</v>
      </c>
      <c r="B638" s="157"/>
      <c r="C638" s="157"/>
      <c r="D638" s="158">
        <f t="shared" si="9"/>
        <v>0</v>
      </c>
    </row>
    <row r="639" spans="1:4" ht="18" hidden="1">
      <c r="A639" s="156" t="s">
        <v>81</v>
      </c>
      <c r="B639" s="157"/>
      <c r="C639" s="157"/>
      <c r="D639" s="158">
        <f t="shared" si="9"/>
        <v>0</v>
      </c>
    </row>
    <row r="640" spans="1:4" ht="18" hidden="1">
      <c r="A640" s="159" t="s">
        <v>116</v>
      </c>
      <c r="B640" s="157"/>
      <c r="C640" s="157"/>
      <c r="D640" s="158">
        <f t="shared" si="9"/>
        <v>0</v>
      </c>
    </row>
    <row r="641" spans="1:4" ht="18" hidden="1">
      <c r="A641" s="186" t="s">
        <v>122</v>
      </c>
      <c r="B641" s="157"/>
      <c r="C641" s="157"/>
      <c r="D641" s="158">
        <f t="shared" si="9"/>
        <v>0</v>
      </c>
    </row>
    <row r="642" spans="1:4" ht="18" hidden="1">
      <c r="A642" s="161" t="s">
        <v>133</v>
      </c>
      <c r="B642" s="157"/>
      <c r="C642" s="157"/>
      <c r="D642" s="158">
        <f t="shared" si="9"/>
        <v>0</v>
      </c>
    </row>
    <row r="643" spans="1:4" ht="18" hidden="1">
      <c r="A643" s="159" t="s">
        <v>135</v>
      </c>
      <c r="B643" s="157"/>
      <c r="C643" s="157"/>
      <c r="D643" s="158">
        <f t="shared" si="9"/>
        <v>0</v>
      </c>
    </row>
    <row r="644" spans="1:4" ht="18" hidden="1">
      <c r="A644" s="159" t="s">
        <v>136</v>
      </c>
      <c r="B644" s="157"/>
      <c r="C644" s="157"/>
      <c r="D644" s="158">
        <f t="shared" ref="D644:D671" si="10">B644*C644</f>
        <v>0</v>
      </c>
    </row>
    <row r="645" spans="1:4" ht="18" hidden="1">
      <c r="A645" s="161" t="s">
        <v>158</v>
      </c>
      <c r="B645" s="157"/>
      <c r="C645" s="157"/>
      <c r="D645" s="158">
        <f t="shared" si="10"/>
        <v>0</v>
      </c>
    </row>
    <row r="646" spans="1:4" ht="18" hidden="1">
      <c r="A646" s="159" t="s">
        <v>190</v>
      </c>
      <c r="B646" s="157"/>
      <c r="C646" s="157"/>
      <c r="D646" s="158">
        <f t="shared" si="10"/>
        <v>0</v>
      </c>
    </row>
    <row r="647" spans="1:4" ht="18" hidden="1">
      <c r="A647" s="164" t="s">
        <v>204</v>
      </c>
      <c r="B647" s="157"/>
      <c r="C647" s="157"/>
      <c r="D647" s="158">
        <f t="shared" si="10"/>
        <v>0</v>
      </c>
    </row>
    <row r="648" spans="1:4" ht="18" hidden="1">
      <c r="A648" s="164" t="s">
        <v>205</v>
      </c>
      <c r="B648" s="157"/>
      <c r="C648" s="157"/>
      <c r="D648" s="158">
        <f t="shared" si="10"/>
        <v>0</v>
      </c>
    </row>
    <row r="649" spans="1:4" ht="18" hidden="1">
      <c r="A649" s="164" t="s">
        <v>206</v>
      </c>
      <c r="B649" s="157"/>
      <c r="C649" s="157"/>
      <c r="D649" s="158">
        <f t="shared" si="10"/>
        <v>0</v>
      </c>
    </row>
    <row r="650" spans="1:4" ht="18" hidden="1">
      <c r="A650" s="164" t="s">
        <v>207</v>
      </c>
      <c r="B650" s="157"/>
      <c r="C650" s="157"/>
      <c r="D650" s="158">
        <f t="shared" si="10"/>
        <v>0</v>
      </c>
    </row>
    <row r="651" spans="1:4" ht="18" hidden="1">
      <c r="A651" s="161" t="s">
        <v>209</v>
      </c>
      <c r="B651" s="157"/>
      <c r="C651" s="157"/>
      <c r="D651" s="158">
        <f t="shared" si="10"/>
        <v>0</v>
      </c>
    </row>
    <row r="652" spans="1:4" ht="18" hidden="1">
      <c r="A652" s="187" t="s">
        <v>210</v>
      </c>
      <c r="B652" s="157"/>
      <c r="C652" s="157"/>
      <c r="D652" s="158">
        <f t="shared" si="10"/>
        <v>0</v>
      </c>
    </row>
    <row r="653" spans="1:4" ht="18" hidden="1">
      <c r="A653" s="187" t="s">
        <v>211</v>
      </c>
      <c r="B653" s="157"/>
      <c r="C653" s="157"/>
      <c r="D653" s="158">
        <f t="shared" si="10"/>
        <v>0</v>
      </c>
    </row>
    <row r="654" spans="1:4" ht="18" hidden="1">
      <c r="A654" s="187" t="s">
        <v>212</v>
      </c>
      <c r="B654" s="157"/>
      <c r="C654" s="157"/>
      <c r="D654" s="158">
        <f t="shared" si="10"/>
        <v>0</v>
      </c>
    </row>
    <row r="655" spans="1:4" ht="18" hidden="1">
      <c r="A655" s="187" t="s">
        <v>213</v>
      </c>
      <c r="B655" s="157"/>
      <c r="C655" s="157"/>
      <c r="D655" s="158">
        <f t="shared" si="10"/>
        <v>0</v>
      </c>
    </row>
    <row r="656" spans="1:4" ht="18" hidden="1">
      <c r="A656" s="159" t="s">
        <v>241</v>
      </c>
      <c r="B656" s="157"/>
      <c r="C656" s="157"/>
      <c r="D656" s="158">
        <f t="shared" si="10"/>
        <v>0</v>
      </c>
    </row>
    <row r="657" spans="1:4" ht="18" hidden="1">
      <c r="A657" s="163" t="s">
        <v>371</v>
      </c>
      <c r="B657" s="157"/>
      <c r="C657" s="157"/>
      <c r="D657" s="158">
        <f t="shared" si="10"/>
        <v>0</v>
      </c>
    </row>
    <row r="658" spans="1:4" ht="18" hidden="1">
      <c r="A658" s="163" t="s">
        <v>372</v>
      </c>
      <c r="B658" s="157"/>
      <c r="C658" s="157"/>
      <c r="D658" s="158">
        <f t="shared" si="10"/>
        <v>0</v>
      </c>
    </row>
    <row r="659" spans="1:4" ht="18" hidden="1">
      <c r="A659" s="159" t="s">
        <v>247</v>
      </c>
      <c r="B659" s="157"/>
      <c r="C659" s="157"/>
      <c r="D659" s="158">
        <f t="shared" si="10"/>
        <v>0</v>
      </c>
    </row>
    <row r="660" spans="1:4" ht="18" hidden="1">
      <c r="A660" s="173" t="s">
        <v>254</v>
      </c>
      <c r="B660" s="157"/>
      <c r="C660" s="157"/>
      <c r="D660" s="158">
        <f t="shared" si="10"/>
        <v>0</v>
      </c>
    </row>
    <row r="661" spans="1:4" ht="18" hidden="1">
      <c r="A661" s="173" t="s">
        <v>255</v>
      </c>
      <c r="B661" s="157"/>
      <c r="C661" s="157"/>
      <c r="D661" s="158">
        <f t="shared" si="10"/>
        <v>0</v>
      </c>
    </row>
    <row r="662" spans="1:4" ht="18" hidden="1">
      <c r="A662" s="187" t="s">
        <v>256</v>
      </c>
      <c r="B662" s="157"/>
      <c r="C662" s="157"/>
      <c r="D662" s="158">
        <f t="shared" si="10"/>
        <v>0</v>
      </c>
    </row>
    <row r="663" spans="1:4" ht="18" hidden="1">
      <c r="A663" s="187" t="s">
        <v>260</v>
      </c>
      <c r="B663" s="157"/>
      <c r="C663" s="157"/>
      <c r="D663" s="158">
        <f t="shared" si="10"/>
        <v>0</v>
      </c>
    </row>
    <row r="664" spans="1:4" ht="18" hidden="1">
      <c r="A664" s="187" t="s">
        <v>291</v>
      </c>
      <c r="B664" s="157"/>
      <c r="C664" s="157"/>
      <c r="D664" s="158">
        <f t="shared" si="10"/>
        <v>0</v>
      </c>
    </row>
    <row r="665" spans="1:4" ht="18" hidden="1">
      <c r="A665" s="187" t="s">
        <v>293</v>
      </c>
      <c r="B665" s="157"/>
      <c r="C665" s="157"/>
      <c r="D665" s="158">
        <f t="shared" si="10"/>
        <v>0</v>
      </c>
    </row>
    <row r="666" spans="1:4" ht="18" hidden="1">
      <c r="A666" s="159" t="s">
        <v>376</v>
      </c>
      <c r="B666" s="157"/>
      <c r="C666" s="157"/>
      <c r="D666" s="158">
        <f t="shared" si="10"/>
        <v>0</v>
      </c>
    </row>
    <row r="667" spans="1:4" ht="18" hidden="1">
      <c r="A667" s="187" t="s">
        <v>294</v>
      </c>
      <c r="B667" s="157"/>
      <c r="C667" s="157"/>
      <c r="D667" s="158">
        <f t="shared" si="10"/>
        <v>0</v>
      </c>
    </row>
    <row r="668" spans="1:4" ht="18" hidden="1">
      <c r="A668" s="186" t="s">
        <v>307</v>
      </c>
      <c r="B668" s="157"/>
      <c r="C668" s="157"/>
      <c r="D668" s="158">
        <f t="shared" si="10"/>
        <v>0</v>
      </c>
    </row>
    <row r="669" spans="1:4" ht="18" hidden="1">
      <c r="A669" s="161" t="s">
        <v>378</v>
      </c>
      <c r="B669" s="157"/>
      <c r="C669" s="157"/>
      <c r="D669" s="158">
        <f t="shared" si="10"/>
        <v>0</v>
      </c>
    </row>
    <row r="670" spans="1:4" ht="18" hidden="1">
      <c r="A670" s="159" t="s">
        <v>318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4473</v>
      </c>
      <c r="C672" s="189"/>
      <c r="D672" s="189">
        <f t="shared" ref="D672" si="11">SUM(D345:D671)</f>
        <v>58722000</v>
      </c>
    </row>
    <row r="674" spans="4:4">
      <c r="D674" s="190">
        <f>D672+D340</f>
        <v>111007650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8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674"/>
  <sheetViews>
    <sheetView topLeftCell="A348" workbookViewId="0">
      <selection activeCell="D674" sqref="D674"/>
    </sheetView>
  </sheetViews>
  <sheetFormatPr defaultRowHeight="14.4"/>
  <cols>
    <col min="1" max="1" width="32.44140625" customWidth="1"/>
    <col min="3" max="3" width="15.44140625" customWidth="1"/>
    <col min="4" max="4" width="23.33203125" customWidth="1"/>
  </cols>
  <sheetData>
    <row r="1" spans="1:4">
      <c r="A1" s="151" t="s">
        <v>425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56" t="s">
        <v>82</v>
      </c>
      <c r="B3" s="157"/>
      <c r="C3" s="157"/>
      <c r="D3" s="158">
        <f>B3*C3</f>
        <v>0</v>
      </c>
    </row>
    <row r="4" spans="1:4" ht="18" hidden="1">
      <c r="A4" s="159" t="s">
        <v>83</v>
      </c>
      <c r="B4" s="157"/>
      <c r="C4" s="157"/>
      <c r="D4" s="158">
        <f t="shared" ref="D4:D67" si="0">B4*C4</f>
        <v>0</v>
      </c>
    </row>
    <row r="5" spans="1:4" ht="18" hidden="1">
      <c r="A5" s="156" t="s">
        <v>84</v>
      </c>
      <c r="B5" s="157"/>
      <c r="C5" s="157"/>
      <c r="D5" s="158">
        <f t="shared" si="0"/>
        <v>0</v>
      </c>
    </row>
    <row r="6" spans="1:4" ht="18" hidden="1">
      <c r="A6" s="156" t="s">
        <v>85</v>
      </c>
      <c r="B6" s="157"/>
      <c r="C6" s="157"/>
      <c r="D6" s="158">
        <f t="shared" si="0"/>
        <v>0</v>
      </c>
    </row>
    <row r="7" spans="1:4" ht="18" hidden="1">
      <c r="A7" s="156" t="s">
        <v>86</v>
      </c>
      <c r="B7" s="157"/>
      <c r="C7" s="157"/>
      <c r="D7" s="158">
        <f t="shared" si="0"/>
        <v>0</v>
      </c>
    </row>
    <row r="8" spans="1:4" ht="18" hidden="1">
      <c r="A8" s="160" t="s">
        <v>87</v>
      </c>
      <c r="B8" s="157"/>
      <c r="C8" s="157"/>
      <c r="D8" s="158">
        <f t="shared" si="0"/>
        <v>0</v>
      </c>
    </row>
    <row r="9" spans="1:4" ht="18" hidden="1">
      <c r="A9" s="161" t="s">
        <v>88</v>
      </c>
      <c r="B9" s="157"/>
      <c r="C9" s="157"/>
      <c r="D9" s="158">
        <f t="shared" si="0"/>
        <v>0</v>
      </c>
    </row>
    <row r="10" spans="1:4" ht="18" hidden="1">
      <c r="A10" s="156" t="s">
        <v>96</v>
      </c>
      <c r="B10" s="162"/>
      <c r="C10" s="162"/>
      <c r="D10" s="158">
        <f t="shared" si="0"/>
        <v>0</v>
      </c>
    </row>
    <row r="11" spans="1:4" ht="18" hidden="1">
      <c r="A11" s="156" t="s">
        <v>97</v>
      </c>
      <c r="B11" s="162"/>
      <c r="C11" s="162"/>
      <c r="D11" s="158">
        <f t="shared" si="0"/>
        <v>0</v>
      </c>
    </row>
    <row r="12" spans="1:4" ht="18" hidden="1">
      <c r="A12" s="156" t="s">
        <v>98</v>
      </c>
      <c r="B12" s="162"/>
      <c r="C12" s="162"/>
      <c r="D12" s="158">
        <f t="shared" si="0"/>
        <v>0</v>
      </c>
    </row>
    <row r="13" spans="1:4" ht="18" hidden="1">
      <c r="A13" s="161" t="s">
        <v>110</v>
      </c>
      <c r="B13" s="157"/>
      <c r="C13" s="157"/>
      <c r="D13" s="158">
        <f t="shared" si="0"/>
        <v>0</v>
      </c>
    </row>
    <row r="14" spans="1:4" ht="18" hidden="1">
      <c r="A14" s="161" t="s">
        <v>111</v>
      </c>
      <c r="B14" s="157"/>
      <c r="C14" s="157"/>
      <c r="D14" s="158">
        <f t="shared" si="0"/>
        <v>0</v>
      </c>
    </row>
    <row r="15" spans="1:4" ht="18" hidden="1">
      <c r="A15" s="161" t="s">
        <v>113</v>
      </c>
      <c r="B15" s="162"/>
      <c r="C15" s="162"/>
      <c r="D15" s="158">
        <f t="shared" si="0"/>
        <v>0</v>
      </c>
    </row>
    <row r="16" spans="1:4" ht="18" hidden="1">
      <c r="A16" s="159" t="s">
        <v>114</v>
      </c>
      <c r="B16" s="157"/>
      <c r="C16" s="157"/>
      <c r="D16" s="158">
        <f t="shared" si="0"/>
        <v>0</v>
      </c>
    </row>
    <row r="17" spans="1:4" ht="18" hidden="1">
      <c r="A17" s="163" t="s">
        <v>115</v>
      </c>
      <c r="B17" s="157"/>
      <c r="C17" s="157"/>
      <c r="D17" s="158">
        <f t="shared" si="0"/>
        <v>0</v>
      </c>
    </row>
    <row r="18" spans="1:4" ht="18" hidden="1">
      <c r="A18" s="159" t="s">
        <v>131</v>
      </c>
      <c r="B18" s="157"/>
      <c r="C18" s="157"/>
      <c r="D18" s="158">
        <f t="shared" si="0"/>
        <v>0</v>
      </c>
    </row>
    <row r="19" spans="1:4" ht="18" hidden="1">
      <c r="A19" s="163" t="s">
        <v>132</v>
      </c>
      <c r="B19" s="157"/>
      <c r="C19" s="157"/>
      <c r="D19" s="158">
        <f t="shared" si="0"/>
        <v>0</v>
      </c>
    </row>
    <row r="20" spans="1:4" ht="18" hidden="1">
      <c r="A20" s="161" t="s">
        <v>124</v>
      </c>
      <c r="B20" s="157"/>
      <c r="C20" s="157"/>
      <c r="D20" s="158">
        <f t="shared" si="0"/>
        <v>0</v>
      </c>
    </row>
    <row r="21" spans="1:4" ht="18" hidden="1">
      <c r="A21" s="161" t="s">
        <v>125</v>
      </c>
      <c r="B21" s="157"/>
      <c r="C21" s="157"/>
      <c r="D21" s="158">
        <f t="shared" si="0"/>
        <v>0</v>
      </c>
    </row>
    <row r="22" spans="1:4" ht="18" hidden="1">
      <c r="A22" s="161" t="s">
        <v>126</v>
      </c>
      <c r="B22" s="157"/>
      <c r="C22" s="157"/>
      <c r="D22" s="158">
        <f t="shared" si="0"/>
        <v>0</v>
      </c>
    </row>
    <row r="23" spans="1:4" ht="18" hidden="1">
      <c r="A23" s="159" t="s">
        <v>264</v>
      </c>
      <c r="B23" s="157"/>
      <c r="C23" s="157"/>
      <c r="D23" s="158">
        <f t="shared" si="0"/>
        <v>0</v>
      </c>
    </row>
    <row r="24" spans="1:4" ht="18">
      <c r="A24" s="161" t="s">
        <v>265</v>
      </c>
      <c r="B24" s="157">
        <f>-20+20+35+60</f>
        <v>95</v>
      </c>
      <c r="C24" s="157">
        <v>23000</v>
      </c>
      <c r="D24" s="158">
        <f t="shared" si="0"/>
        <v>2185000</v>
      </c>
    </row>
    <row r="25" spans="1:4" ht="18">
      <c r="A25" s="161" t="s">
        <v>266</v>
      </c>
      <c r="B25" s="157">
        <v>1</v>
      </c>
      <c r="C25" s="157">
        <v>16000</v>
      </c>
      <c r="D25" s="158">
        <f t="shared" si="0"/>
        <v>16000</v>
      </c>
    </row>
    <row r="26" spans="1:4" ht="18" hidden="1">
      <c r="A26" s="161" t="s">
        <v>267</v>
      </c>
      <c r="B26" s="157"/>
      <c r="C26" s="157"/>
      <c r="D26" s="158">
        <f t="shared" si="0"/>
        <v>0</v>
      </c>
    </row>
    <row r="27" spans="1:4" ht="18" hidden="1">
      <c r="A27" s="161" t="s">
        <v>268</v>
      </c>
      <c r="B27" s="157"/>
      <c r="C27" s="157"/>
      <c r="D27" s="158">
        <f t="shared" si="0"/>
        <v>0</v>
      </c>
    </row>
    <row r="28" spans="1:4" ht="18" hidden="1">
      <c r="A28" s="161" t="s">
        <v>269</v>
      </c>
      <c r="B28" s="157"/>
      <c r="C28" s="157"/>
      <c r="D28" s="158">
        <f t="shared" si="0"/>
        <v>0</v>
      </c>
    </row>
    <row r="29" spans="1:4" ht="18">
      <c r="A29" s="161" t="s">
        <v>273</v>
      </c>
      <c r="B29" s="157">
        <f>-20+78</f>
        <v>58</v>
      </c>
      <c r="C29" s="157">
        <v>21000</v>
      </c>
      <c r="D29" s="158">
        <f t="shared" si="0"/>
        <v>1218000</v>
      </c>
    </row>
    <row r="30" spans="1:4" ht="18">
      <c r="A30" s="161" t="s">
        <v>274</v>
      </c>
      <c r="B30" s="157">
        <v>22</v>
      </c>
      <c r="C30" s="157">
        <v>15000</v>
      </c>
      <c r="D30" s="158">
        <f t="shared" si="0"/>
        <v>330000</v>
      </c>
    </row>
    <row r="31" spans="1:4" ht="18" hidden="1">
      <c r="A31" s="161" t="s">
        <v>275</v>
      </c>
      <c r="B31" s="157"/>
      <c r="C31" s="157"/>
      <c r="D31" s="158">
        <f t="shared" si="0"/>
        <v>0</v>
      </c>
    </row>
    <row r="32" spans="1:4" ht="18" hidden="1">
      <c r="A32" s="161" t="s">
        <v>276</v>
      </c>
      <c r="B32" s="157"/>
      <c r="C32" s="157"/>
      <c r="D32" s="158">
        <f t="shared" si="0"/>
        <v>0</v>
      </c>
    </row>
    <row r="33" spans="1:4" ht="18" hidden="1">
      <c r="A33" s="161" t="s">
        <v>277</v>
      </c>
      <c r="B33" s="157"/>
      <c r="C33" s="157"/>
      <c r="D33" s="158">
        <f t="shared" si="0"/>
        <v>0</v>
      </c>
    </row>
    <row r="34" spans="1:4" ht="18" hidden="1">
      <c r="A34" s="161" t="s">
        <v>278</v>
      </c>
      <c r="B34" s="157"/>
      <c r="C34" s="157"/>
      <c r="D34" s="158">
        <f t="shared" si="0"/>
        <v>0</v>
      </c>
    </row>
    <row r="35" spans="1:4" ht="18" hidden="1">
      <c r="A35" s="161" t="s">
        <v>279</v>
      </c>
      <c r="B35" s="157"/>
      <c r="C35" s="157"/>
      <c r="D35" s="158">
        <f t="shared" si="0"/>
        <v>0</v>
      </c>
    </row>
    <row r="36" spans="1:4" ht="18" hidden="1">
      <c r="A36" s="161" t="s">
        <v>150</v>
      </c>
      <c r="B36" s="157"/>
      <c r="C36" s="157"/>
      <c r="D36" s="158">
        <f t="shared" si="0"/>
        <v>0</v>
      </c>
    </row>
    <row r="37" spans="1:4" ht="18" hidden="1">
      <c r="A37" s="164" t="s">
        <v>151</v>
      </c>
      <c r="B37" s="157"/>
      <c r="C37" s="157"/>
      <c r="D37" s="158">
        <f t="shared" si="0"/>
        <v>0</v>
      </c>
    </row>
    <row r="38" spans="1:4" ht="18" hidden="1">
      <c r="A38" s="161" t="s">
        <v>192</v>
      </c>
      <c r="B38" s="157"/>
      <c r="C38" s="157"/>
      <c r="D38" s="158">
        <f t="shared" si="0"/>
        <v>0</v>
      </c>
    </row>
    <row r="39" spans="1:4" ht="18" hidden="1">
      <c r="A39" s="156" t="s">
        <v>208</v>
      </c>
      <c r="B39" s="157"/>
      <c r="C39" s="157"/>
      <c r="D39" s="158">
        <f t="shared" si="0"/>
        <v>0</v>
      </c>
    </row>
    <row r="40" spans="1:4" ht="18" hidden="1">
      <c r="A40" s="161" t="s">
        <v>334</v>
      </c>
      <c r="B40" s="157"/>
      <c r="C40" s="157"/>
      <c r="D40" s="158">
        <f t="shared" si="0"/>
        <v>0</v>
      </c>
    </row>
    <row r="41" spans="1:4" ht="18" hidden="1">
      <c r="A41" s="161" t="s">
        <v>227</v>
      </c>
      <c r="B41" s="157"/>
      <c r="C41" s="157"/>
      <c r="D41" s="158">
        <f t="shared" si="0"/>
        <v>0</v>
      </c>
    </row>
    <row r="42" spans="1:4" ht="18" hidden="1">
      <c r="A42" s="165" t="s">
        <v>228</v>
      </c>
      <c r="B42" s="157"/>
      <c r="C42" s="157"/>
      <c r="D42" s="158">
        <f t="shared" si="0"/>
        <v>0</v>
      </c>
    </row>
    <row r="43" spans="1:4" ht="18" hidden="1">
      <c r="A43" s="161" t="s">
        <v>229</v>
      </c>
      <c r="B43" s="157"/>
      <c r="C43" s="157"/>
      <c r="D43" s="158">
        <f t="shared" si="0"/>
        <v>0</v>
      </c>
    </row>
    <row r="44" spans="1:4" ht="18">
      <c r="A44" s="161" t="s">
        <v>230</v>
      </c>
      <c r="B44" s="157">
        <f>-300+10+140+140+140</f>
        <v>130</v>
      </c>
      <c r="C44" s="157">
        <v>15000</v>
      </c>
      <c r="D44" s="158">
        <f t="shared" si="0"/>
        <v>1950000</v>
      </c>
    </row>
    <row r="45" spans="1:4" ht="18" hidden="1">
      <c r="A45" s="161" t="s">
        <v>231</v>
      </c>
      <c r="B45" s="157"/>
      <c r="C45" s="157"/>
      <c r="D45" s="158">
        <f t="shared" si="0"/>
        <v>0</v>
      </c>
    </row>
    <row r="46" spans="1:4" ht="18">
      <c r="A46" s="161" t="s">
        <v>232</v>
      </c>
      <c r="B46" s="157">
        <v>80</v>
      </c>
      <c r="C46" s="157">
        <v>13000</v>
      </c>
      <c r="D46" s="158">
        <f t="shared" si="0"/>
        <v>1040000</v>
      </c>
    </row>
    <row r="47" spans="1:4" ht="18" hidden="1">
      <c r="A47" s="161" t="s">
        <v>117</v>
      </c>
      <c r="B47" s="157"/>
      <c r="C47" s="157"/>
      <c r="D47" s="158">
        <f t="shared" si="0"/>
        <v>0</v>
      </c>
    </row>
    <row r="48" spans="1:4" ht="18" hidden="1">
      <c r="A48" s="166" t="s">
        <v>118</v>
      </c>
      <c r="B48" s="157"/>
      <c r="C48" s="157"/>
      <c r="D48" s="158">
        <f t="shared" si="0"/>
        <v>0</v>
      </c>
    </row>
    <row r="49" spans="1:4" ht="18" hidden="1">
      <c r="A49" s="159" t="s">
        <v>121</v>
      </c>
      <c r="B49" s="157"/>
      <c r="C49" s="157"/>
      <c r="D49" s="158">
        <f t="shared" si="0"/>
        <v>0</v>
      </c>
    </row>
    <row r="50" spans="1:4" ht="18" hidden="1">
      <c r="A50" s="161" t="s">
        <v>123</v>
      </c>
      <c r="B50" s="157"/>
      <c r="C50" s="157"/>
      <c r="D50" s="158">
        <f t="shared" si="0"/>
        <v>0</v>
      </c>
    </row>
    <row r="51" spans="1:4" ht="18" hidden="1">
      <c r="A51" s="161" t="s">
        <v>18</v>
      </c>
      <c r="B51" s="157"/>
      <c r="C51" s="157"/>
      <c r="D51" s="158">
        <f t="shared" si="0"/>
        <v>0</v>
      </c>
    </row>
    <row r="52" spans="1:4" ht="18" hidden="1">
      <c r="A52" s="161" t="s">
        <v>19</v>
      </c>
      <c r="B52" s="157"/>
      <c r="C52" s="157"/>
      <c r="D52" s="158">
        <f t="shared" si="0"/>
        <v>0</v>
      </c>
    </row>
    <row r="53" spans="1:4" ht="18" hidden="1">
      <c r="A53" s="156" t="s">
        <v>20</v>
      </c>
      <c r="B53" s="157"/>
      <c r="C53" s="157"/>
      <c r="D53" s="158">
        <f t="shared" si="0"/>
        <v>0</v>
      </c>
    </row>
    <row r="54" spans="1:4" ht="18" hidden="1">
      <c r="A54" s="161" t="s">
        <v>180</v>
      </c>
      <c r="B54" s="157"/>
      <c r="C54" s="157"/>
      <c r="D54" s="158">
        <f t="shared" si="0"/>
        <v>0</v>
      </c>
    </row>
    <row r="55" spans="1:4" ht="18" hidden="1">
      <c r="A55" s="164" t="s">
        <v>181</v>
      </c>
      <c r="B55" s="157"/>
      <c r="C55" s="157"/>
      <c r="D55" s="158">
        <f t="shared" si="0"/>
        <v>0</v>
      </c>
    </row>
    <row r="56" spans="1:4" ht="18" hidden="1">
      <c r="A56" s="159" t="s">
        <v>190</v>
      </c>
      <c r="B56" s="157"/>
      <c r="C56" s="157"/>
      <c r="D56" s="158">
        <f t="shared" si="0"/>
        <v>0</v>
      </c>
    </row>
    <row r="57" spans="1:4" ht="18" hidden="1">
      <c r="A57" s="161" t="s">
        <v>214</v>
      </c>
      <c r="B57" s="157"/>
      <c r="C57" s="157"/>
      <c r="D57" s="158">
        <f t="shared" si="0"/>
        <v>0</v>
      </c>
    </row>
    <row r="58" spans="1:4" ht="18" hidden="1">
      <c r="A58" s="167" t="s">
        <v>384</v>
      </c>
      <c r="B58" s="157"/>
      <c r="C58" s="157"/>
      <c r="D58" s="158">
        <f t="shared" si="0"/>
        <v>0</v>
      </c>
    </row>
    <row r="59" spans="1:4" ht="18" hidden="1">
      <c r="A59" s="161" t="s">
        <v>252</v>
      </c>
      <c r="B59" s="157"/>
      <c r="C59" s="157"/>
      <c r="D59" s="158">
        <f t="shared" si="0"/>
        <v>0</v>
      </c>
    </row>
    <row r="60" spans="1:4" ht="18" hidden="1">
      <c r="A60" s="161" t="s">
        <v>253</v>
      </c>
      <c r="B60" s="157"/>
      <c r="C60" s="157"/>
      <c r="D60" s="158">
        <f t="shared" si="0"/>
        <v>0</v>
      </c>
    </row>
    <row r="61" spans="1:4" ht="18" hidden="1">
      <c r="A61" s="156" t="s">
        <v>28</v>
      </c>
      <c r="B61" s="157"/>
      <c r="C61" s="157"/>
      <c r="D61" s="158">
        <f t="shared" si="0"/>
        <v>0</v>
      </c>
    </row>
    <row r="62" spans="1:4" ht="18" hidden="1">
      <c r="A62" s="168" t="s">
        <v>29</v>
      </c>
      <c r="B62" s="157"/>
      <c r="C62" s="157"/>
      <c r="D62" s="158">
        <f t="shared" si="0"/>
        <v>0</v>
      </c>
    </row>
    <row r="63" spans="1:4" ht="18" hidden="1">
      <c r="A63" s="161" t="s">
        <v>188</v>
      </c>
      <c r="B63" s="157"/>
      <c r="C63" s="157"/>
      <c r="D63" s="158">
        <f t="shared" si="0"/>
        <v>0</v>
      </c>
    </row>
    <row r="64" spans="1:4" ht="18">
      <c r="A64" s="169" t="s">
        <v>189</v>
      </c>
      <c r="B64" s="170">
        <v>5</v>
      </c>
      <c r="C64" s="170">
        <v>15000</v>
      </c>
      <c r="D64" s="158">
        <f t="shared" si="0"/>
        <v>75000</v>
      </c>
    </row>
    <row r="65" spans="1:4" ht="18" hidden="1">
      <c r="A65" s="161" t="s">
        <v>35</v>
      </c>
      <c r="B65" s="157"/>
      <c r="C65" s="157"/>
      <c r="D65" s="158">
        <f t="shared" si="0"/>
        <v>0</v>
      </c>
    </row>
    <row r="66" spans="1:4" ht="18" hidden="1">
      <c r="A66" s="159" t="s">
        <v>36</v>
      </c>
      <c r="B66" s="162"/>
      <c r="C66" s="162"/>
      <c r="D66" s="158">
        <f t="shared" si="0"/>
        <v>0</v>
      </c>
    </row>
    <row r="67" spans="1:4" ht="18" hidden="1">
      <c r="A67" s="156" t="s">
        <v>37</v>
      </c>
      <c r="B67" s="157"/>
      <c r="C67" s="157"/>
      <c r="D67" s="158">
        <f t="shared" si="0"/>
        <v>0</v>
      </c>
    </row>
    <row r="68" spans="1:4" ht="18" hidden="1">
      <c r="A68" s="156" t="s">
        <v>46</v>
      </c>
      <c r="B68" s="157"/>
      <c r="C68" s="157"/>
      <c r="D68" s="158">
        <f t="shared" ref="D68:D131" si="1">B68*C68</f>
        <v>0</v>
      </c>
    </row>
    <row r="69" spans="1:4" ht="18">
      <c r="A69" s="161" t="s">
        <v>216</v>
      </c>
      <c r="B69" s="157">
        <f>44+16+160</f>
        <v>220</v>
      </c>
      <c r="C69" s="157">
        <v>21500</v>
      </c>
      <c r="D69" s="158">
        <f t="shared" si="1"/>
        <v>4730000</v>
      </c>
    </row>
    <row r="70" spans="1:4" ht="18">
      <c r="A70" s="156" t="s">
        <v>217</v>
      </c>
      <c r="B70" s="157">
        <f>13+170</f>
        <v>183</v>
      </c>
      <c r="C70" s="157">
        <v>21500</v>
      </c>
      <c r="D70" s="158">
        <f t="shared" si="1"/>
        <v>3934500</v>
      </c>
    </row>
    <row r="71" spans="1:4" ht="18" hidden="1">
      <c r="A71" s="161" t="s">
        <v>218</v>
      </c>
      <c r="B71" s="157"/>
      <c r="C71" s="157"/>
      <c r="D71" s="158">
        <f t="shared" si="1"/>
        <v>0</v>
      </c>
    </row>
    <row r="72" spans="1:4" ht="18">
      <c r="A72" s="161" t="s">
        <v>288</v>
      </c>
      <c r="B72" s="157">
        <v>2</v>
      </c>
      <c r="C72" s="157">
        <v>13000</v>
      </c>
      <c r="D72" s="158">
        <f t="shared" si="1"/>
        <v>26000</v>
      </c>
    </row>
    <row r="73" spans="1:4" ht="18" hidden="1">
      <c r="A73" s="161" t="s">
        <v>289</v>
      </c>
      <c r="B73" s="157"/>
      <c r="C73" s="157"/>
      <c r="D73" s="158">
        <f t="shared" si="1"/>
        <v>0</v>
      </c>
    </row>
    <row r="74" spans="1:4" ht="18" hidden="1">
      <c r="A74" s="171" t="s">
        <v>6</v>
      </c>
      <c r="B74" s="157"/>
      <c r="C74" s="157"/>
      <c r="D74" s="158">
        <f t="shared" si="1"/>
        <v>0</v>
      </c>
    </row>
    <row r="75" spans="1:4" ht="18" hidden="1">
      <c r="A75" s="172" t="s">
        <v>8</v>
      </c>
      <c r="B75" s="157"/>
      <c r="C75" s="157"/>
      <c r="D75" s="158">
        <f t="shared" si="1"/>
        <v>0</v>
      </c>
    </row>
    <row r="76" spans="1:4" ht="18" hidden="1">
      <c r="A76" s="171" t="s">
        <v>10</v>
      </c>
      <c r="B76" s="157"/>
      <c r="C76" s="157"/>
      <c r="D76" s="158">
        <f t="shared" si="1"/>
        <v>0</v>
      </c>
    </row>
    <row r="77" spans="1:4" ht="18" hidden="1">
      <c r="A77" s="164" t="s">
        <v>75</v>
      </c>
      <c r="B77" s="157"/>
      <c r="C77" s="157"/>
      <c r="D77" s="158">
        <f t="shared" si="1"/>
        <v>0</v>
      </c>
    </row>
    <row r="78" spans="1:4" ht="18" hidden="1">
      <c r="A78" s="173" t="s">
        <v>313</v>
      </c>
      <c r="B78" s="157"/>
      <c r="C78" s="157"/>
      <c r="D78" s="158">
        <f t="shared" si="1"/>
        <v>0</v>
      </c>
    </row>
    <row r="79" spans="1:4" ht="18" hidden="1">
      <c r="A79" s="173" t="s">
        <v>324</v>
      </c>
      <c r="B79" s="157"/>
      <c r="C79" s="157"/>
      <c r="D79" s="158">
        <f t="shared" si="1"/>
        <v>0</v>
      </c>
    </row>
    <row r="80" spans="1:4" ht="18" hidden="1">
      <c r="A80" s="173" t="s">
        <v>325</v>
      </c>
      <c r="B80" s="157"/>
      <c r="C80" s="157"/>
      <c r="D80" s="158">
        <f t="shared" si="1"/>
        <v>0</v>
      </c>
    </row>
    <row r="81" spans="1:4" ht="18" hidden="1">
      <c r="A81" s="173" t="s">
        <v>327</v>
      </c>
      <c r="B81" s="157"/>
      <c r="C81" s="157"/>
      <c r="D81" s="158">
        <f t="shared" si="1"/>
        <v>0</v>
      </c>
    </row>
    <row r="82" spans="1:4" ht="18" hidden="1">
      <c r="A82" s="161" t="s">
        <v>336</v>
      </c>
      <c r="B82" s="174"/>
      <c r="C82" s="174"/>
      <c r="D82" s="158">
        <f t="shared" si="1"/>
        <v>0</v>
      </c>
    </row>
    <row r="83" spans="1:4" ht="18" hidden="1">
      <c r="A83" s="161" t="s">
        <v>99</v>
      </c>
      <c r="B83" s="157"/>
      <c r="C83" s="157"/>
      <c r="D83" s="158">
        <f t="shared" si="1"/>
        <v>0</v>
      </c>
    </row>
    <row r="84" spans="1:4" ht="18" hidden="1">
      <c r="A84" s="161" t="s">
        <v>100</v>
      </c>
      <c r="B84" s="157"/>
      <c r="C84" s="157"/>
      <c r="D84" s="158">
        <f t="shared" si="1"/>
        <v>0</v>
      </c>
    </row>
    <row r="85" spans="1:4" ht="18" hidden="1">
      <c r="A85" s="161" t="s">
        <v>101</v>
      </c>
      <c r="B85" s="157"/>
      <c r="C85" s="157"/>
      <c r="D85" s="158">
        <f t="shared" si="1"/>
        <v>0</v>
      </c>
    </row>
    <row r="86" spans="1:4" ht="18" hidden="1">
      <c r="A86" s="161" t="s">
        <v>102</v>
      </c>
      <c r="B86" s="157"/>
      <c r="C86" s="157"/>
      <c r="D86" s="158">
        <f t="shared" si="1"/>
        <v>0</v>
      </c>
    </row>
    <row r="87" spans="1:4" ht="18" hidden="1">
      <c r="A87" s="161" t="s">
        <v>103</v>
      </c>
      <c r="B87" s="157"/>
      <c r="C87" s="157"/>
      <c r="D87" s="158">
        <f t="shared" si="1"/>
        <v>0</v>
      </c>
    </row>
    <row r="88" spans="1:4" ht="18">
      <c r="A88" s="161" t="s">
        <v>191</v>
      </c>
      <c r="B88" s="157">
        <v>3</v>
      </c>
      <c r="C88" s="157">
        <v>42000</v>
      </c>
      <c r="D88" s="158">
        <f t="shared" si="1"/>
        <v>126000</v>
      </c>
    </row>
    <row r="89" spans="1:4" ht="18" hidden="1">
      <c r="A89" s="175" t="s">
        <v>251</v>
      </c>
      <c r="B89" s="157"/>
      <c r="C89" s="157"/>
      <c r="D89" s="158">
        <f t="shared" si="1"/>
        <v>0</v>
      </c>
    </row>
    <row r="90" spans="1:4" ht="18" hidden="1">
      <c r="A90" s="161" t="s">
        <v>257</v>
      </c>
      <c r="B90" s="157"/>
      <c r="C90" s="157"/>
      <c r="D90" s="158">
        <f t="shared" si="1"/>
        <v>0</v>
      </c>
    </row>
    <row r="91" spans="1:4" ht="18" hidden="1">
      <c r="A91" s="161" t="s">
        <v>258</v>
      </c>
      <c r="B91" s="157"/>
      <c r="C91" s="157"/>
      <c r="D91" s="158">
        <f t="shared" si="1"/>
        <v>0</v>
      </c>
    </row>
    <row r="92" spans="1:4" ht="18" hidden="1">
      <c r="A92" s="161" t="s">
        <v>280</v>
      </c>
      <c r="B92" s="162"/>
      <c r="C92" s="162"/>
      <c r="D92" s="158">
        <f t="shared" si="1"/>
        <v>0</v>
      </c>
    </row>
    <row r="93" spans="1:4" ht="18" hidden="1">
      <c r="A93" s="173" t="s">
        <v>281</v>
      </c>
      <c r="B93" s="157"/>
      <c r="C93" s="157"/>
      <c r="D93" s="158">
        <f t="shared" si="1"/>
        <v>0</v>
      </c>
    </row>
    <row r="94" spans="1:4" ht="18" hidden="1">
      <c r="A94" s="156" t="s">
        <v>311</v>
      </c>
      <c r="B94" s="157"/>
      <c r="C94" s="157"/>
      <c r="D94" s="158">
        <f t="shared" si="1"/>
        <v>0</v>
      </c>
    </row>
    <row r="95" spans="1:4" ht="18" hidden="1">
      <c r="A95" s="164" t="s">
        <v>312</v>
      </c>
      <c r="B95" s="157"/>
      <c r="C95" s="157"/>
      <c r="D95" s="158">
        <f t="shared" si="1"/>
        <v>0</v>
      </c>
    </row>
    <row r="96" spans="1:4" ht="18" hidden="1">
      <c r="A96" s="161" t="s">
        <v>137</v>
      </c>
      <c r="B96" s="157"/>
      <c r="C96" s="157"/>
      <c r="D96" s="158">
        <f t="shared" si="1"/>
        <v>0</v>
      </c>
    </row>
    <row r="97" spans="1:4" ht="18" hidden="1">
      <c r="A97" s="164" t="s">
        <v>53</v>
      </c>
      <c r="B97" s="157"/>
      <c r="C97" s="157"/>
      <c r="D97" s="158">
        <f t="shared" si="1"/>
        <v>0</v>
      </c>
    </row>
    <row r="98" spans="1:4" ht="18" hidden="1">
      <c r="A98" s="161" t="s">
        <v>55</v>
      </c>
      <c r="B98" s="157"/>
      <c r="C98" s="157"/>
      <c r="D98" s="158">
        <f t="shared" si="1"/>
        <v>0</v>
      </c>
    </row>
    <row r="99" spans="1:4" ht="18" hidden="1">
      <c r="A99" s="161" t="s">
        <v>56</v>
      </c>
      <c r="B99" s="157"/>
      <c r="C99" s="157"/>
      <c r="D99" s="158">
        <f t="shared" si="1"/>
        <v>0</v>
      </c>
    </row>
    <row r="100" spans="1:4" ht="18" hidden="1">
      <c r="A100" s="164" t="s">
        <v>299</v>
      </c>
      <c r="B100" s="157"/>
      <c r="C100" s="157"/>
      <c r="D100" s="158">
        <f t="shared" si="1"/>
        <v>0</v>
      </c>
    </row>
    <row r="101" spans="1:4" ht="18" hidden="1">
      <c r="A101" s="164" t="s">
        <v>300</v>
      </c>
      <c r="B101" s="157"/>
      <c r="C101" s="157"/>
      <c r="D101" s="158">
        <f t="shared" si="1"/>
        <v>0</v>
      </c>
    </row>
    <row r="102" spans="1:4" ht="18" hidden="1">
      <c r="A102" s="176" t="s">
        <v>301</v>
      </c>
      <c r="B102" s="157"/>
      <c r="C102" s="157"/>
      <c r="D102" s="158">
        <f t="shared" si="1"/>
        <v>0</v>
      </c>
    </row>
    <row r="103" spans="1:4" ht="18" hidden="1">
      <c r="A103" s="177" t="s">
        <v>156</v>
      </c>
      <c r="B103" s="162"/>
      <c r="C103" s="162"/>
      <c r="D103" s="158">
        <f t="shared" si="1"/>
        <v>0</v>
      </c>
    </row>
    <row r="104" spans="1:4" ht="18" hidden="1">
      <c r="A104" s="177" t="s">
        <v>157</v>
      </c>
      <c r="B104" s="162"/>
      <c r="C104" s="162"/>
      <c r="D104" s="158">
        <f t="shared" si="1"/>
        <v>0</v>
      </c>
    </row>
    <row r="105" spans="1:4" ht="18" hidden="1">
      <c r="A105" s="161" t="s">
        <v>159</v>
      </c>
      <c r="B105" s="162"/>
      <c r="C105" s="162"/>
      <c r="D105" s="158">
        <f t="shared" si="1"/>
        <v>0</v>
      </c>
    </row>
    <row r="106" spans="1:4" ht="18" hidden="1">
      <c r="A106" s="161" t="s">
        <v>160</v>
      </c>
      <c r="B106" s="162"/>
      <c r="C106" s="162"/>
      <c r="D106" s="158">
        <f t="shared" si="1"/>
        <v>0</v>
      </c>
    </row>
    <row r="107" spans="1:4" ht="18" hidden="1">
      <c r="A107" s="161" t="s">
        <v>161</v>
      </c>
      <c r="B107" s="162"/>
      <c r="C107" s="162"/>
      <c r="D107" s="158">
        <f t="shared" si="1"/>
        <v>0</v>
      </c>
    </row>
    <row r="108" spans="1:4" ht="18" hidden="1">
      <c r="A108" s="161" t="s">
        <v>162</v>
      </c>
      <c r="B108" s="162"/>
      <c r="C108" s="162"/>
      <c r="D108" s="158">
        <f t="shared" si="1"/>
        <v>0</v>
      </c>
    </row>
    <row r="109" spans="1:4" ht="18" hidden="1">
      <c r="A109" s="161" t="s">
        <v>164</v>
      </c>
      <c r="B109" s="162"/>
      <c r="C109" s="162"/>
      <c r="D109" s="158">
        <f t="shared" si="1"/>
        <v>0</v>
      </c>
    </row>
    <row r="110" spans="1:4" ht="18" hidden="1">
      <c r="A110" s="161" t="s">
        <v>165</v>
      </c>
      <c r="B110" s="162"/>
      <c r="C110" s="162"/>
      <c r="D110" s="158">
        <f t="shared" si="1"/>
        <v>0</v>
      </c>
    </row>
    <row r="111" spans="1:4" ht="18" hidden="1">
      <c r="A111" s="161" t="s">
        <v>166</v>
      </c>
      <c r="B111" s="162"/>
      <c r="C111" s="162"/>
      <c r="D111" s="158">
        <f t="shared" si="1"/>
        <v>0</v>
      </c>
    </row>
    <row r="112" spans="1:4" ht="18" hidden="1">
      <c r="A112" s="161" t="s">
        <v>176</v>
      </c>
      <c r="B112" s="162"/>
      <c r="C112" s="162"/>
      <c r="D112" s="158">
        <f t="shared" si="1"/>
        <v>0</v>
      </c>
    </row>
    <row r="113" spans="1:4" ht="18" hidden="1">
      <c r="A113" s="161" t="s">
        <v>177</v>
      </c>
      <c r="B113" s="162"/>
      <c r="C113" s="162"/>
      <c r="D113" s="158">
        <f t="shared" si="1"/>
        <v>0</v>
      </c>
    </row>
    <row r="114" spans="1:4" ht="18" hidden="1">
      <c r="A114" s="161" t="s">
        <v>178</v>
      </c>
      <c r="B114" s="162"/>
      <c r="C114" s="162"/>
      <c r="D114" s="158">
        <f t="shared" si="1"/>
        <v>0</v>
      </c>
    </row>
    <row r="115" spans="1:4" ht="18" hidden="1">
      <c r="A115" s="156" t="s">
        <v>42</v>
      </c>
      <c r="B115" s="157"/>
      <c r="C115" s="157"/>
      <c r="D115" s="158">
        <f t="shared" si="1"/>
        <v>0</v>
      </c>
    </row>
    <row r="116" spans="1:4" ht="18">
      <c r="A116" s="156" t="s">
        <v>65</v>
      </c>
      <c r="B116" s="157">
        <f>-300+150+240+105+140-40</f>
        <v>295</v>
      </c>
      <c r="C116" s="157">
        <v>21000</v>
      </c>
      <c r="D116" s="158">
        <f t="shared" si="1"/>
        <v>6195000</v>
      </c>
    </row>
    <row r="117" spans="1:4" ht="18">
      <c r="A117" s="161" t="s">
        <v>76</v>
      </c>
      <c r="B117" s="157">
        <v>12</v>
      </c>
      <c r="C117" s="157">
        <v>21000</v>
      </c>
      <c r="D117" s="158">
        <f t="shared" si="1"/>
        <v>252000</v>
      </c>
    </row>
    <row r="118" spans="1:4" ht="18" hidden="1">
      <c r="A118" s="161" t="s">
        <v>89</v>
      </c>
      <c r="B118" s="157"/>
      <c r="C118" s="157"/>
      <c r="D118" s="158">
        <f t="shared" si="1"/>
        <v>0</v>
      </c>
    </row>
    <row r="119" spans="1:4" ht="18" hidden="1">
      <c r="A119" s="161" t="s">
        <v>23</v>
      </c>
      <c r="B119" s="157"/>
      <c r="C119" s="157"/>
      <c r="D119" s="158">
        <f t="shared" si="1"/>
        <v>0</v>
      </c>
    </row>
    <row r="120" spans="1:4" ht="18" hidden="1">
      <c r="A120" s="161" t="s">
        <v>286</v>
      </c>
      <c r="B120" s="157"/>
      <c r="C120" s="157"/>
      <c r="D120" s="158">
        <f t="shared" si="1"/>
        <v>0</v>
      </c>
    </row>
    <row r="121" spans="1:4" ht="18">
      <c r="A121" s="161" t="s">
        <v>27</v>
      </c>
      <c r="B121" s="157">
        <v>1500</v>
      </c>
      <c r="C121" s="157">
        <v>11500</v>
      </c>
      <c r="D121" s="158">
        <f t="shared" si="1"/>
        <v>17250000</v>
      </c>
    </row>
    <row r="122" spans="1:4" ht="18" hidden="1">
      <c r="A122" s="161" t="s">
        <v>51</v>
      </c>
      <c r="B122" s="157"/>
      <c r="C122" s="157"/>
      <c r="D122" s="158">
        <f t="shared" si="1"/>
        <v>0</v>
      </c>
    </row>
    <row r="123" spans="1:4" ht="18" hidden="1">
      <c r="A123" s="159" t="s">
        <v>61</v>
      </c>
      <c r="B123" s="157"/>
      <c r="C123" s="157"/>
      <c r="D123" s="158">
        <f t="shared" si="1"/>
        <v>0</v>
      </c>
    </row>
    <row r="124" spans="1:4" ht="18" hidden="1">
      <c r="A124" s="173" t="s">
        <v>62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61" t="s">
        <v>163</v>
      </c>
      <c r="B131" s="162"/>
      <c r="C131" s="162"/>
      <c r="D131" s="158">
        <f t="shared" si="1"/>
        <v>0</v>
      </c>
    </row>
    <row r="132" spans="1:4" ht="18" hidden="1">
      <c r="A132" s="164" t="s">
        <v>233</v>
      </c>
      <c r="B132" s="157"/>
      <c r="C132" s="157"/>
      <c r="D132" s="158">
        <f t="shared" ref="D132:D195" si="2">B132*C132</f>
        <v>0</v>
      </c>
    </row>
    <row r="133" spans="1:4" ht="18" hidden="1">
      <c r="A133" s="164" t="s">
        <v>234</v>
      </c>
      <c r="B133" s="157"/>
      <c r="C133" s="157"/>
      <c r="D133" s="158">
        <f t="shared" si="2"/>
        <v>0</v>
      </c>
    </row>
    <row r="134" spans="1:4" ht="18" hidden="1">
      <c r="A134" s="164" t="s">
        <v>235</v>
      </c>
      <c r="B134" s="157"/>
      <c r="C134" s="157"/>
      <c r="D134" s="158">
        <f t="shared" si="2"/>
        <v>0</v>
      </c>
    </row>
    <row r="135" spans="1:4" ht="18" hidden="1">
      <c r="A135" s="164" t="s">
        <v>236</v>
      </c>
      <c r="B135" s="157"/>
      <c r="C135" s="157"/>
      <c r="D135" s="158">
        <f t="shared" si="2"/>
        <v>0</v>
      </c>
    </row>
    <row r="136" spans="1:4" ht="18" hidden="1">
      <c r="A136" s="161" t="s">
        <v>237</v>
      </c>
      <c r="B136" s="157"/>
      <c r="C136" s="157"/>
      <c r="D136" s="158">
        <f t="shared" si="2"/>
        <v>0</v>
      </c>
    </row>
    <row r="137" spans="1:4" ht="18" hidden="1">
      <c r="A137" s="161" t="s">
        <v>238</v>
      </c>
      <c r="B137" s="157"/>
      <c r="C137" s="157"/>
      <c r="D137" s="158">
        <f t="shared" si="2"/>
        <v>0</v>
      </c>
    </row>
    <row r="138" spans="1:4" ht="18" hidden="1">
      <c r="A138" s="164" t="s">
        <v>239</v>
      </c>
      <c r="B138" s="157"/>
      <c r="C138" s="157"/>
      <c r="D138" s="158">
        <f t="shared" si="2"/>
        <v>0</v>
      </c>
    </row>
    <row r="139" spans="1:4" ht="18" hidden="1">
      <c r="A139" s="164" t="s">
        <v>240</v>
      </c>
      <c r="B139" s="157"/>
      <c r="C139" s="157"/>
      <c r="D139" s="158">
        <f t="shared" si="2"/>
        <v>0</v>
      </c>
    </row>
    <row r="140" spans="1:4" ht="18" hidden="1">
      <c r="A140" s="161" t="s">
        <v>259</v>
      </c>
      <c r="B140" s="162"/>
      <c r="C140" s="162"/>
      <c r="D140" s="158">
        <f t="shared" si="2"/>
        <v>0</v>
      </c>
    </row>
    <row r="141" spans="1:4" ht="18" hidden="1">
      <c r="A141" s="161" t="s">
        <v>261</v>
      </c>
      <c r="B141" s="162"/>
      <c r="C141" s="162"/>
      <c r="D141" s="158">
        <f t="shared" si="2"/>
        <v>0</v>
      </c>
    </row>
    <row r="142" spans="1:4" ht="18" hidden="1">
      <c r="A142" s="156" t="s">
        <v>295</v>
      </c>
      <c r="B142" s="162"/>
      <c r="C142" s="162"/>
      <c r="D142" s="158">
        <f t="shared" si="2"/>
        <v>0</v>
      </c>
    </row>
    <row r="143" spans="1:4" ht="18" hidden="1">
      <c r="A143" s="156" t="s">
        <v>296</v>
      </c>
      <c r="B143" s="157"/>
      <c r="C143" s="157"/>
      <c r="D143" s="158">
        <f t="shared" si="2"/>
        <v>0</v>
      </c>
    </row>
    <row r="144" spans="1:4" ht="18">
      <c r="A144" s="161" t="s">
        <v>308</v>
      </c>
      <c r="B144" s="157">
        <v>30</v>
      </c>
      <c r="C144" s="157">
        <v>7000</v>
      </c>
      <c r="D144" s="158">
        <f t="shared" si="2"/>
        <v>210000</v>
      </c>
    </row>
    <row r="145" spans="1:4" ht="18" hidden="1">
      <c r="A145" s="173" t="s">
        <v>309</v>
      </c>
      <c r="B145" s="157"/>
      <c r="C145" s="157"/>
      <c r="D145" s="158">
        <f t="shared" si="2"/>
        <v>0</v>
      </c>
    </row>
    <row r="146" spans="1:4" ht="18" hidden="1">
      <c r="A146" s="156" t="s">
        <v>319</v>
      </c>
      <c r="B146" s="157"/>
      <c r="C146" s="157"/>
      <c r="D146" s="158">
        <f t="shared" si="2"/>
        <v>0</v>
      </c>
    </row>
    <row r="147" spans="1:4" ht="18">
      <c r="A147" s="161" t="s">
        <v>219</v>
      </c>
      <c r="B147" s="157">
        <f>-400+380+280</f>
        <v>260</v>
      </c>
      <c r="C147" s="157">
        <v>20500</v>
      </c>
      <c r="D147" s="158">
        <f t="shared" si="2"/>
        <v>5330000</v>
      </c>
    </row>
    <row r="148" spans="1:4" ht="18" hidden="1">
      <c r="A148" s="175" t="s">
        <v>220</v>
      </c>
      <c r="B148" s="157"/>
      <c r="C148" s="157"/>
      <c r="D148" s="158">
        <f t="shared" si="2"/>
        <v>0</v>
      </c>
    </row>
    <row r="149" spans="1:4" ht="18" hidden="1">
      <c r="A149" s="175" t="s">
        <v>221</v>
      </c>
      <c r="B149" s="157"/>
      <c r="C149" s="157"/>
      <c r="D149" s="158">
        <f t="shared" si="2"/>
        <v>0</v>
      </c>
    </row>
    <row r="150" spans="1:4" ht="18" hidden="1">
      <c r="A150" s="161" t="s">
        <v>52</v>
      </c>
      <c r="B150" s="157"/>
      <c r="C150" s="157"/>
      <c r="D150" s="158">
        <f t="shared" si="2"/>
        <v>0</v>
      </c>
    </row>
    <row r="151" spans="1:4" ht="18" hidden="1">
      <c r="A151" s="161" t="s">
        <v>292</v>
      </c>
      <c r="B151" s="157"/>
      <c r="C151" s="157"/>
      <c r="D151" s="158">
        <f t="shared" si="2"/>
        <v>0</v>
      </c>
    </row>
    <row r="152" spans="1:4" ht="18" hidden="1">
      <c r="A152" s="161" t="s">
        <v>66</v>
      </c>
      <c r="B152" s="157"/>
      <c r="C152" s="157"/>
      <c r="D152" s="158">
        <f t="shared" si="2"/>
        <v>0</v>
      </c>
    </row>
    <row r="153" spans="1:4" ht="18" hidden="1">
      <c r="A153" s="164" t="s">
        <v>67</v>
      </c>
      <c r="B153" s="157"/>
      <c r="C153" s="157"/>
      <c r="D153" s="158">
        <f t="shared" si="2"/>
        <v>0</v>
      </c>
    </row>
    <row r="154" spans="1:4" ht="18" hidden="1">
      <c r="A154" s="164" t="s">
        <v>69</v>
      </c>
      <c r="B154" s="157"/>
      <c r="C154" s="157"/>
      <c r="D154" s="158">
        <f t="shared" si="2"/>
        <v>0</v>
      </c>
    </row>
    <row r="155" spans="1:4" ht="18" hidden="1">
      <c r="A155" s="164" t="s">
        <v>70</v>
      </c>
      <c r="B155" s="157"/>
      <c r="C155" s="157"/>
      <c r="D155" s="158">
        <f t="shared" si="2"/>
        <v>0</v>
      </c>
    </row>
    <row r="156" spans="1:4" ht="18" hidden="1">
      <c r="A156" s="161" t="s">
        <v>71</v>
      </c>
      <c r="B156" s="157"/>
      <c r="C156" s="157"/>
      <c r="D156" s="158">
        <f t="shared" si="2"/>
        <v>0</v>
      </c>
    </row>
    <row r="157" spans="1:4" ht="18" hidden="1">
      <c r="A157" s="159" t="s">
        <v>72</v>
      </c>
      <c r="B157" s="157"/>
      <c r="C157" s="157"/>
      <c r="D157" s="158">
        <f t="shared" si="2"/>
        <v>0</v>
      </c>
    </row>
    <row r="158" spans="1:4" ht="18" hidden="1">
      <c r="A158" s="180" t="s">
        <v>73</v>
      </c>
      <c r="B158" s="157"/>
      <c r="C158" s="157"/>
      <c r="D158" s="158">
        <f t="shared" si="2"/>
        <v>0</v>
      </c>
    </row>
    <row r="159" spans="1:4" ht="18" hidden="1">
      <c r="A159" s="161" t="s">
        <v>74</v>
      </c>
      <c r="B159" s="157"/>
      <c r="C159" s="157"/>
      <c r="D159" s="158">
        <f t="shared" si="2"/>
        <v>0</v>
      </c>
    </row>
    <row r="160" spans="1:4" ht="18" hidden="1">
      <c r="A160" s="161" t="s">
        <v>78</v>
      </c>
      <c r="B160" s="157"/>
      <c r="C160" s="157"/>
      <c r="D160" s="158">
        <f t="shared" si="2"/>
        <v>0</v>
      </c>
    </row>
    <row r="161" spans="1:4" ht="18" hidden="1">
      <c r="A161" s="161" t="s">
        <v>79</v>
      </c>
      <c r="B161" s="157"/>
      <c r="C161" s="157"/>
      <c r="D161" s="158">
        <f t="shared" si="2"/>
        <v>0</v>
      </c>
    </row>
    <row r="162" spans="1:4" ht="18" hidden="1">
      <c r="A162" s="160" t="s">
        <v>80</v>
      </c>
      <c r="B162" s="157"/>
      <c r="C162" s="157"/>
      <c r="D162" s="158">
        <f t="shared" si="2"/>
        <v>0</v>
      </c>
    </row>
    <row r="163" spans="1:4" ht="18" hidden="1">
      <c r="A163" s="161" t="s">
        <v>155</v>
      </c>
      <c r="B163" s="157"/>
      <c r="C163" s="157"/>
      <c r="D163" s="158">
        <f t="shared" si="2"/>
        <v>0</v>
      </c>
    </row>
    <row r="164" spans="1:4" ht="18" hidden="1">
      <c r="A164" s="161" t="s">
        <v>167</v>
      </c>
      <c r="B164" s="157"/>
      <c r="C164" s="157"/>
      <c r="D164" s="158">
        <f t="shared" si="2"/>
        <v>0</v>
      </c>
    </row>
    <row r="165" spans="1:4" ht="18" hidden="1">
      <c r="A165" s="161" t="s">
        <v>168</v>
      </c>
      <c r="B165" s="157"/>
      <c r="C165" s="157"/>
      <c r="D165" s="158">
        <f t="shared" si="2"/>
        <v>0</v>
      </c>
    </row>
    <row r="166" spans="1:4" ht="18" hidden="1">
      <c r="A166" s="161" t="s">
        <v>169</v>
      </c>
      <c r="B166" s="157"/>
      <c r="C166" s="157"/>
      <c r="D166" s="158">
        <f t="shared" si="2"/>
        <v>0</v>
      </c>
    </row>
    <row r="167" spans="1:4" ht="18" hidden="1">
      <c r="A167" s="161" t="s">
        <v>170</v>
      </c>
      <c r="B167" s="157"/>
      <c r="C167" s="157"/>
      <c r="D167" s="158">
        <f t="shared" si="2"/>
        <v>0</v>
      </c>
    </row>
    <row r="168" spans="1:4" ht="18" hidden="1">
      <c r="A168" s="164" t="s">
        <v>171</v>
      </c>
      <c r="B168" s="157"/>
      <c r="C168" s="157"/>
      <c r="D168" s="158">
        <f t="shared" si="2"/>
        <v>0</v>
      </c>
    </row>
    <row r="169" spans="1:4" ht="18" hidden="1">
      <c r="A169" s="161" t="s">
        <v>90</v>
      </c>
      <c r="B169" s="157"/>
      <c r="C169" s="157"/>
      <c r="D169" s="158">
        <f t="shared" si="2"/>
        <v>0</v>
      </c>
    </row>
    <row r="170" spans="1:4" ht="18" hidden="1">
      <c r="A170" s="173" t="s">
        <v>91</v>
      </c>
      <c r="B170" s="157"/>
      <c r="C170" s="157"/>
      <c r="D170" s="158">
        <f t="shared" si="2"/>
        <v>0</v>
      </c>
    </row>
    <row r="171" spans="1:4" ht="18">
      <c r="A171" s="161" t="s">
        <v>92</v>
      </c>
      <c r="B171" s="157">
        <v>10</v>
      </c>
      <c r="C171" s="157">
        <v>29000</v>
      </c>
      <c r="D171" s="158">
        <f t="shared" si="2"/>
        <v>290000</v>
      </c>
    </row>
    <row r="172" spans="1:4" ht="18">
      <c r="A172" s="161" t="s">
        <v>94</v>
      </c>
      <c r="B172" s="157">
        <v>13</v>
      </c>
      <c r="C172" s="157">
        <v>24000</v>
      </c>
      <c r="D172" s="158">
        <f t="shared" si="2"/>
        <v>312000</v>
      </c>
    </row>
    <row r="173" spans="1:4" ht="18" hidden="1">
      <c r="A173" s="161" t="s">
        <v>95</v>
      </c>
      <c r="B173" s="157"/>
      <c r="C173" s="157"/>
      <c r="D173" s="158">
        <f t="shared" si="2"/>
        <v>0</v>
      </c>
    </row>
    <row r="174" spans="1:4" ht="18" hidden="1">
      <c r="A174" s="173" t="s">
        <v>109</v>
      </c>
      <c r="B174" s="157"/>
      <c r="C174" s="157"/>
      <c r="D174" s="158">
        <f t="shared" si="2"/>
        <v>0</v>
      </c>
    </row>
    <row r="175" spans="1:4" ht="18" hidden="1">
      <c r="A175" s="161" t="s">
        <v>321</v>
      </c>
      <c r="B175" s="157"/>
      <c r="C175" s="157"/>
      <c r="D175" s="158">
        <f t="shared" si="2"/>
        <v>0</v>
      </c>
    </row>
    <row r="176" spans="1:4" ht="18" hidden="1">
      <c r="A176" s="156" t="s">
        <v>335</v>
      </c>
      <c r="B176" s="157"/>
      <c r="C176" s="157"/>
      <c r="D176" s="158">
        <f t="shared" si="2"/>
        <v>0</v>
      </c>
    </row>
    <row r="177" spans="1:4" ht="18" hidden="1">
      <c r="A177" s="161" t="s">
        <v>338</v>
      </c>
      <c r="B177" s="157"/>
      <c r="C177" s="157"/>
      <c r="D177" s="158">
        <f t="shared" si="2"/>
        <v>0</v>
      </c>
    </row>
    <row r="178" spans="1:4" ht="18" hidden="1">
      <c r="A178" s="163" t="s">
        <v>106</v>
      </c>
      <c r="B178" s="157"/>
      <c r="C178" s="157"/>
      <c r="D178" s="158">
        <f t="shared" si="2"/>
        <v>0</v>
      </c>
    </row>
    <row r="179" spans="1:4" ht="18" hidden="1">
      <c r="A179" s="163" t="s">
        <v>107</v>
      </c>
      <c r="B179" s="157"/>
      <c r="C179" s="157"/>
      <c r="D179" s="158">
        <f t="shared" si="2"/>
        <v>0</v>
      </c>
    </row>
    <row r="180" spans="1:4" ht="18" hidden="1">
      <c r="A180" s="159" t="s">
        <v>108</v>
      </c>
      <c r="B180" s="157"/>
      <c r="C180" s="157"/>
      <c r="D180" s="158">
        <f t="shared" si="2"/>
        <v>0</v>
      </c>
    </row>
    <row r="181" spans="1:4" ht="18" hidden="1">
      <c r="A181" s="156" t="s">
        <v>196</v>
      </c>
      <c r="B181" s="157"/>
      <c r="C181" s="157"/>
      <c r="D181" s="158">
        <f t="shared" si="2"/>
        <v>0</v>
      </c>
    </row>
    <row r="182" spans="1:4" ht="18" hidden="1">
      <c r="A182" s="156" t="s">
        <v>197</v>
      </c>
      <c r="B182" s="157"/>
      <c r="C182" s="157"/>
      <c r="D182" s="158">
        <f t="shared" si="2"/>
        <v>0</v>
      </c>
    </row>
    <row r="183" spans="1:4" ht="18" hidden="1">
      <c r="A183" s="156" t="s">
        <v>198</v>
      </c>
      <c r="B183" s="157"/>
      <c r="C183" s="157"/>
      <c r="D183" s="158">
        <f t="shared" si="2"/>
        <v>0</v>
      </c>
    </row>
    <row r="184" spans="1:4" ht="18">
      <c r="A184" s="161" t="s">
        <v>199</v>
      </c>
      <c r="B184" s="157">
        <f>120*3</f>
        <v>360</v>
      </c>
      <c r="C184" s="157">
        <v>4000</v>
      </c>
      <c r="D184" s="158">
        <f t="shared" si="2"/>
        <v>1440000</v>
      </c>
    </row>
    <row r="185" spans="1:4" ht="18" hidden="1">
      <c r="A185" s="156" t="s">
        <v>200</v>
      </c>
      <c r="B185" s="157"/>
      <c r="C185" s="157"/>
      <c r="D185" s="158">
        <f t="shared" si="2"/>
        <v>0</v>
      </c>
    </row>
    <row r="186" spans="1:4" ht="18">
      <c r="A186" s="156" t="s">
        <v>201</v>
      </c>
      <c r="B186" s="157">
        <v>14</v>
      </c>
      <c r="C186" s="157">
        <v>20000</v>
      </c>
      <c r="D186" s="158">
        <f t="shared" si="2"/>
        <v>280000</v>
      </c>
    </row>
    <row r="187" spans="1:4" ht="18" hidden="1">
      <c r="A187" s="156" t="s">
        <v>202</v>
      </c>
      <c r="B187" s="157"/>
      <c r="C187" s="157"/>
      <c r="D187" s="158">
        <f t="shared" si="2"/>
        <v>0</v>
      </c>
    </row>
    <row r="188" spans="1:4" ht="18" hidden="1">
      <c r="A188" s="161" t="s">
        <v>203</v>
      </c>
      <c r="B188" s="157"/>
      <c r="C188" s="157"/>
      <c r="D188" s="158">
        <f t="shared" si="2"/>
        <v>0</v>
      </c>
    </row>
    <row r="189" spans="1:4" ht="18" hidden="1">
      <c r="A189" s="161" t="s">
        <v>225</v>
      </c>
      <c r="B189" s="157"/>
      <c r="C189" s="157"/>
      <c r="D189" s="158">
        <f t="shared" si="2"/>
        <v>0</v>
      </c>
    </row>
    <row r="190" spans="1:4" ht="18" hidden="1">
      <c r="A190" s="161" t="s">
        <v>226</v>
      </c>
      <c r="B190" s="157"/>
      <c r="C190" s="157"/>
      <c r="D190" s="158">
        <f t="shared" si="2"/>
        <v>0</v>
      </c>
    </row>
    <row r="191" spans="1:4" ht="18" hidden="1">
      <c r="A191" s="161" t="s">
        <v>119</v>
      </c>
      <c r="B191" s="157"/>
      <c r="C191" s="157"/>
      <c r="D191" s="158">
        <f t="shared" si="2"/>
        <v>0</v>
      </c>
    </row>
    <row r="192" spans="1:4" ht="18" hidden="1">
      <c r="A192" s="161" t="s">
        <v>120</v>
      </c>
      <c r="B192" s="157"/>
      <c r="C192" s="157"/>
      <c r="D192" s="158">
        <f t="shared" si="2"/>
        <v>0</v>
      </c>
    </row>
    <row r="193" spans="1:4" ht="18" hidden="1">
      <c r="A193" s="161" t="s">
        <v>104</v>
      </c>
      <c r="B193" s="157"/>
      <c r="C193" s="157"/>
      <c r="D193" s="158">
        <f t="shared" si="2"/>
        <v>0</v>
      </c>
    </row>
    <row r="194" spans="1:4" ht="18" hidden="1">
      <c r="A194" s="163" t="s">
        <v>105</v>
      </c>
      <c r="B194" s="157"/>
      <c r="C194" s="157"/>
      <c r="D194" s="158">
        <f t="shared" si="2"/>
        <v>0</v>
      </c>
    </row>
    <row r="195" spans="1:4" ht="18" hidden="1">
      <c r="A195" s="171" t="s">
        <v>11</v>
      </c>
      <c r="B195" s="157"/>
      <c r="C195" s="157"/>
      <c r="D195" s="158">
        <f t="shared" si="2"/>
        <v>0</v>
      </c>
    </row>
    <row r="196" spans="1:4" ht="18" hidden="1">
      <c r="A196" s="161" t="s">
        <v>12</v>
      </c>
      <c r="B196" s="157"/>
      <c r="C196" s="157"/>
      <c r="D196" s="158">
        <f t="shared" ref="D196:D259" si="3">B196*C196</f>
        <v>0</v>
      </c>
    </row>
    <row r="197" spans="1:4" ht="18" hidden="1">
      <c r="A197" s="171" t="s">
        <v>15</v>
      </c>
      <c r="B197" s="157"/>
      <c r="C197" s="157"/>
      <c r="D197" s="158">
        <f t="shared" si="3"/>
        <v>0</v>
      </c>
    </row>
    <row r="198" spans="1:4" ht="18" hidden="1">
      <c r="A198" s="156" t="s">
        <v>182</v>
      </c>
      <c r="B198" s="157"/>
      <c r="C198" s="157"/>
      <c r="D198" s="158">
        <f t="shared" si="3"/>
        <v>0</v>
      </c>
    </row>
    <row r="199" spans="1:4" ht="18" hidden="1">
      <c r="A199" s="161" t="s">
        <v>183</v>
      </c>
      <c r="B199" s="157"/>
      <c r="C199" s="181"/>
      <c r="D199" s="158">
        <f t="shared" si="3"/>
        <v>0</v>
      </c>
    </row>
    <row r="200" spans="1:4" ht="18" hidden="1">
      <c r="A200" s="182" t="s">
        <v>184</v>
      </c>
      <c r="B200" s="157"/>
      <c r="C200" s="157"/>
      <c r="D200" s="158">
        <f t="shared" si="3"/>
        <v>0</v>
      </c>
    </row>
    <row r="201" spans="1:4" ht="18">
      <c r="A201" s="161" t="s">
        <v>185</v>
      </c>
      <c r="B201" s="157">
        <v>52.5</v>
      </c>
      <c r="C201" s="157">
        <v>6500</v>
      </c>
      <c r="D201" s="158">
        <f t="shared" si="3"/>
        <v>341250</v>
      </c>
    </row>
    <row r="202" spans="1:4" ht="18" hidden="1">
      <c r="A202" s="161" t="s">
        <v>186</v>
      </c>
      <c r="B202" s="157"/>
      <c r="C202" s="157"/>
      <c r="D202" s="158">
        <f t="shared" si="3"/>
        <v>0</v>
      </c>
    </row>
    <row r="203" spans="1:4" ht="18" hidden="1">
      <c r="A203" s="160" t="s">
        <v>187</v>
      </c>
      <c r="B203" s="157"/>
      <c r="C203" s="157"/>
      <c r="D203" s="158">
        <f t="shared" si="3"/>
        <v>0</v>
      </c>
    </row>
    <row r="204" spans="1:4" ht="18" hidden="1">
      <c r="A204" s="156" t="s">
        <v>242</v>
      </c>
      <c r="B204" s="157"/>
      <c r="C204" s="157"/>
      <c r="D204" s="158">
        <f t="shared" si="3"/>
        <v>0</v>
      </c>
    </row>
    <row r="205" spans="1:4" ht="18" hidden="1">
      <c r="A205" s="156" t="s">
        <v>22</v>
      </c>
      <c r="B205" s="157"/>
      <c r="C205" s="157"/>
      <c r="D205" s="158">
        <f t="shared" si="3"/>
        <v>0</v>
      </c>
    </row>
    <row r="206" spans="1:4" ht="18" hidden="1">
      <c r="A206" s="159" t="s">
        <v>112</v>
      </c>
      <c r="B206" s="157"/>
      <c r="C206" s="157"/>
      <c r="D206" s="158">
        <f t="shared" si="3"/>
        <v>0</v>
      </c>
    </row>
    <row r="207" spans="1:4" ht="18" hidden="1">
      <c r="A207" s="161" t="s">
        <v>127</v>
      </c>
      <c r="B207" s="157"/>
      <c r="C207" s="157"/>
      <c r="D207" s="158">
        <f t="shared" si="3"/>
        <v>0</v>
      </c>
    </row>
    <row r="208" spans="1:4" ht="18" hidden="1">
      <c r="A208" s="161" t="s">
        <v>128</v>
      </c>
      <c r="B208" s="157"/>
      <c r="C208" s="157"/>
      <c r="D208" s="158">
        <f t="shared" si="3"/>
        <v>0</v>
      </c>
    </row>
    <row r="209" spans="1:4" ht="18" hidden="1">
      <c r="A209" s="161" t="s">
        <v>129</v>
      </c>
      <c r="B209" s="157"/>
      <c r="C209" s="157"/>
      <c r="D209" s="158">
        <f t="shared" si="3"/>
        <v>0</v>
      </c>
    </row>
    <row r="210" spans="1:4" ht="18" hidden="1">
      <c r="A210" s="161" t="s">
        <v>130</v>
      </c>
      <c r="B210" s="157"/>
      <c r="C210" s="157"/>
      <c r="D210" s="158">
        <f t="shared" si="3"/>
        <v>0</v>
      </c>
    </row>
    <row r="211" spans="1:4" ht="18" hidden="1">
      <c r="A211" s="161" t="s">
        <v>138</v>
      </c>
      <c r="B211" s="157"/>
      <c r="C211" s="157"/>
      <c r="D211" s="158">
        <f t="shared" si="3"/>
        <v>0</v>
      </c>
    </row>
    <row r="212" spans="1:4" ht="18" hidden="1">
      <c r="A212" s="161" t="s">
        <v>149</v>
      </c>
      <c r="B212" s="157"/>
      <c r="C212" s="157"/>
      <c r="D212" s="158">
        <f t="shared" si="3"/>
        <v>0</v>
      </c>
    </row>
    <row r="213" spans="1:4" ht="18" hidden="1">
      <c r="A213" s="156" t="s">
        <v>152</v>
      </c>
      <c r="B213" s="157"/>
      <c r="C213" s="157"/>
      <c r="D213" s="158">
        <f t="shared" si="3"/>
        <v>0</v>
      </c>
    </row>
    <row r="214" spans="1:4" ht="18" hidden="1">
      <c r="A214" s="156" t="s">
        <v>153</v>
      </c>
      <c r="B214" s="157"/>
      <c r="C214" s="157"/>
      <c r="D214" s="158">
        <f t="shared" si="3"/>
        <v>0</v>
      </c>
    </row>
    <row r="215" spans="1:4" ht="18" hidden="1">
      <c r="A215" s="161" t="s">
        <v>154</v>
      </c>
      <c r="B215" s="157"/>
      <c r="C215" s="157"/>
      <c r="D215" s="158">
        <f t="shared" si="3"/>
        <v>0</v>
      </c>
    </row>
    <row r="216" spans="1:4" ht="18" hidden="1">
      <c r="A216" s="161" t="s">
        <v>222</v>
      </c>
      <c r="B216" s="157"/>
      <c r="C216" s="157"/>
      <c r="D216" s="158">
        <f t="shared" si="3"/>
        <v>0</v>
      </c>
    </row>
    <row r="217" spans="1:4" ht="18" hidden="1">
      <c r="A217" s="159" t="s">
        <v>223</v>
      </c>
      <c r="B217" s="157"/>
      <c r="C217" s="157"/>
      <c r="D217" s="158">
        <f t="shared" si="3"/>
        <v>0</v>
      </c>
    </row>
    <row r="218" spans="1:4" ht="18" hidden="1">
      <c r="A218" s="161" t="s">
        <v>224</v>
      </c>
      <c r="B218" s="157"/>
      <c r="C218" s="157"/>
      <c r="D218" s="158">
        <f t="shared" si="3"/>
        <v>0</v>
      </c>
    </row>
    <row r="219" spans="1:4" ht="18" hidden="1">
      <c r="A219" s="159" t="s">
        <v>245</v>
      </c>
      <c r="B219" s="157"/>
      <c r="C219" s="157"/>
      <c r="D219" s="158">
        <f t="shared" si="3"/>
        <v>0</v>
      </c>
    </row>
    <row r="220" spans="1:4" ht="18">
      <c r="A220" s="161" t="s">
        <v>262</v>
      </c>
      <c r="B220" s="157">
        <v>10</v>
      </c>
      <c r="C220" s="157">
        <v>14000</v>
      </c>
      <c r="D220" s="158">
        <f t="shared" si="3"/>
        <v>140000</v>
      </c>
    </row>
    <row r="221" spans="1:4" ht="18" hidden="1">
      <c r="A221" s="159" t="s">
        <v>263</v>
      </c>
      <c r="B221" s="157"/>
      <c r="C221" s="157"/>
      <c r="D221" s="158">
        <f t="shared" si="3"/>
        <v>0</v>
      </c>
    </row>
    <row r="222" spans="1:4" ht="18" hidden="1">
      <c r="A222" s="161" t="s">
        <v>282</v>
      </c>
      <c r="B222" s="157"/>
      <c r="C222" s="157"/>
      <c r="D222" s="158">
        <f t="shared" si="3"/>
        <v>0</v>
      </c>
    </row>
    <row r="223" spans="1:4" ht="18" hidden="1">
      <c r="A223" s="161" t="s">
        <v>285</v>
      </c>
      <c r="B223" s="157"/>
      <c r="C223" s="157"/>
      <c r="D223" s="158">
        <f t="shared" si="3"/>
        <v>0</v>
      </c>
    </row>
    <row r="224" spans="1:4" ht="18" hidden="1">
      <c r="A224" s="159" t="s">
        <v>297</v>
      </c>
      <c r="B224" s="157"/>
      <c r="C224" s="157"/>
      <c r="D224" s="158">
        <f t="shared" si="3"/>
        <v>0</v>
      </c>
    </row>
    <row r="225" spans="1:4" ht="18" hidden="1">
      <c r="A225" s="161" t="s">
        <v>314</v>
      </c>
      <c r="B225" s="157"/>
      <c r="C225" s="157"/>
      <c r="D225" s="158">
        <f t="shared" si="3"/>
        <v>0</v>
      </c>
    </row>
    <row r="226" spans="1:4" ht="18" hidden="1">
      <c r="A226" s="164" t="s">
        <v>315</v>
      </c>
      <c r="B226" s="157"/>
      <c r="C226" s="157"/>
      <c r="D226" s="158">
        <f t="shared" si="3"/>
        <v>0</v>
      </c>
    </row>
    <row r="227" spans="1:4" ht="18" hidden="1">
      <c r="A227" s="159" t="s">
        <v>16</v>
      </c>
      <c r="B227" s="157"/>
      <c r="C227" s="157"/>
      <c r="D227" s="158">
        <f t="shared" si="3"/>
        <v>0</v>
      </c>
    </row>
    <row r="228" spans="1:4" ht="18" hidden="1">
      <c r="A228" s="161" t="s">
        <v>47</v>
      </c>
      <c r="B228" s="157"/>
      <c r="C228" s="157"/>
      <c r="D228" s="158">
        <f t="shared" si="3"/>
        <v>0</v>
      </c>
    </row>
    <row r="229" spans="1:4" ht="18" hidden="1">
      <c r="A229" s="161" t="s">
        <v>48</v>
      </c>
      <c r="B229" s="157"/>
      <c r="C229" s="157"/>
      <c r="D229" s="158">
        <f t="shared" si="3"/>
        <v>0</v>
      </c>
    </row>
    <row r="230" spans="1:4" ht="18" hidden="1">
      <c r="A230" s="159" t="s">
        <v>50</v>
      </c>
      <c r="B230" s="162"/>
      <c r="C230" s="162"/>
      <c r="D230" s="158">
        <f t="shared" si="3"/>
        <v>0</v>
      </c>
    </row>
    <row r="231" spans="1:4" ht="18" hidden="1">
      <c r="A231" s="164" t="s">
        <v>270</v>
      </c>
      <c r="B231" s="157"/>
      <c r="C231" s="157"/>
      <c r="D231" s="158">
        <f t="shared" si="3"/>
        <v>0</v>
      </c>
    </row>
    <row r="232" spans="1:4" ht="18" hidden="1">
      <c r="A232" s="163" t="s">
        <v>271</v>
      </c>
      <c r="B232" s="157"/>
      <c r="C232" s="157"/>
      <c r="D232" s="158">
        <f t="shared" si="3"/>
        <v>0</v>
      </c>
    </row>
    <row r="233" spans="1:4" ht="18" hidden="1">
      <c r="A233" s="163" t="s">
        <v>272</v>
      </c>
      <c r="B233" s="157"/>
      <c r="C233" s="157"/>
      <c r="D233" s="158">
        <f t="shared" si="3"/>
        <v>0</v>
      </c>
    </row>
    <row r="234" spans="1:4" ht="18" hidden="1">
      <c r="A234" s="159" t="s">
        <v>283</v>
      </c>
      <c r="B234" s="157"/>
      <c r="C234" s="157"/>
      <c r="D234" s="158">
        <f t="shared" si="3"/>
        <v>0</v>
      </c>
    </row>
    <row r="235" spans="1:4" ht="18" hidden="1">
      <c r="A235" s="161" t="s">
        <v>284</v>
      </c>
      <c r="B235" s="157"/>
      <c r="C235" s="157"/>
      <c r="D235" s="158">
        <f t="shared" si="3"/>
        <v>0</v>
      </c>
    </row>
    <row r="236" spans="1:4" ht="18" hidden="1">
      <c r="A236" s="161" t="s">
        <v>287</v>
      </c>
      <c r="B236" s="157"/>
      <c r="C236" s="157"/>
      <c r="D236" s="158">
        <f t="shared" si="3"/>
        <v>0</v>
      </c>
    </row>
    <row r="237" spans="1:4" ht="18" hidden="1">
      <c r="A237" s="159" t="s">
        <v>298</v>
      </c>
      <c r="B237" s="157"/>
      <c r="C237" s="157"/>
      <c r="D237" s="158">
        <f t="shared" si="3"/>
        <v>0</v>
      </c>
    </row>
    <row r="238" spans="1:4" ht="18" hidden="1">
      <c r="A238" s="156" t="s">
        <v>193</v>
      </c>
      <c r="B238" s="157"/>
      <c r="C238" s="157"/>
      <c r="D238" s="158">
        <f t="shared" si="3"/>
        <v>0</v>
      </c>
    </row>
    <row r="239" spans="1:4" ht="18" hidden="1">
      <c r="A239" s="161" t="s">
        <v>194</v>
      </c>
      <c r="B239" s="157"/>
      <c r="C239" s="157"/>
      <c r="D239" s="158">
        <f t="shared" si="3"/>
        <v>0</v>
      </c>
    </row>
    <row r="240" spans="1:4" ht="18" hidden="1">
      <c r="A240" s="161" t="s">
        <v>195</v>
      </c>
      <c r="B240" s="157"/>
      <c r="C240" s="157"/>
      <c r="D240" s="158">
        <f t="shared" si="3"/>
        <v>0</v>
      </c>
    </row>
    <row r="241" spans="1:4" ht="18" hidden="1">
      <c r="A241" s="156" t="s">
        <v>320</v>
      </c>
      <c r="B241" s="157"/>
      <c r="C241" s="157"/>
      <c r="D241" s="158">
        <f t="shared" si="3"/>
        <v>0</v>
      </c>
    </row>
    <row r="242" spans="1:4" ht="18" hidden="1">
      <c r="A242" s="161" t="s">
        <v>322</v>
      </c>
      <c r="B242" s="157"/>
      <c r="C242" s="157"/>
      <c r="D242" s="158">
        <f t="shared" si="3"/>
        <v>0</v>
      </c>
    </row>
    <row r="243" spans="1:4" ht="18" hidden="1">
      <c r="A243" s="161" t="s">
        <v>323</v>
      </c>
      <c r="B243" s="157"/>
      <c r="C243" s="157"/>
      <c r="D243" s="158">
        <f t="shared" si="3"/>
        <v>0</v>
      </c>
    </row>
    <row r="244" spans="1:4" ht="18" hidden="1">
      <c r="A244" s="163" t="s">
        <v>326</v>
      </c>
      <c r="B244" s="157"/>
      <c r="C244" s="157"/>
      <c r="D244" s="158">
        <f t="shared" si="3"/>
        <v>0</v>
      </c>
    </row>
    <row r="245" spans="1:4" ht="18" hidden="1">
      <c r="A245" s="161" t="s">
        <v>328</v>
      </c>
      <c r="B245" s="157"/>
      <c r="C245" s="157"/>
      <c r="D245" s="158">
        <f t="shared" si="3"/>
        <v>0</v>
      </c>
    </row>
    <row r="246" spans="1:4" ht="18" hidden="1">
      <c r="A246" s="161" t="s">
        <v>329</v>
      </c>
      <c r="B246" s="157"/>
      <c r="C246" s="157"/>
      <c r="D246" s="158">
        <f t="shared" si="3"/>
        <v>0</v>
      </c>
    </row>
    <row r="247" spans="1:4" ht="18" hidden="1">
      <c r="A247" s="161" t="s">
        <v>330</v>
      </c>
      <c r="B247" s="157"/>
      <c r="C247" s="157"/>
      <c r="D247" s="158">
        <f t="shared" si="3"/>
        <v>0</v>
      </c>
    </row>
    <row r="248" spans="1:4" ht="18" hidden="1">
      <c r="A248" s="161" t="s">
        <v>331</v>
      </c>
      <c r="B248" s="157"/>
      <c r="C248" s="157"/>
      <c r="D248" s="158">
        <f t="shared" si="3"/>
        <v>0</v>
      </c>
    </row>
    <row r="249" spans="1:4" ht="18" hidden="1">
      <c r="A249" s="163" t="s">
        <v>332</v>
      </c>
      <c r="B249" s="157"/>
      <c r="C249" s="157"/>
      <c r="D249" s="158">
        <f t="shared" si="3"/>
        <v>0</v>
      </c>
    </row>
    <row r="250" spans="1:4" ht="18" hidden="1">
      <c r="A250" s="161" t="s">
        <v>333</v>
      </c>
      <c r="B250" s="157"/>
      <c r="C250" s="157"/>
      <c r="D250" s="158">
        <f t="shared" si="3"/>
        <v>0</v>
      </c>
    </row>
    <row r="251" spans="1:4" ht="18" hidden="1">
      <c r="A251" s="161" t="s">
        <v>337</v>
      </c>
      <c r="B251" s="157"/>
      <c r="C251" s="157"/>
      <c r="D251" s="158">
        <f t="shared" si="3"/>
        <v>0</v>
      </c>
    </row>
    <row r="252" spans="1:4" ht="18" hidden="1">
      <c r="A252" s="163" t="s">
        <v>339</v>
      </c>
      <c r="B252" s="157"/>
      <c r="C252" s="157"/>
      <c r="D252" s="158">
        <f t="shared" si="3"/>
        <v>0</v>
      </c>
    </row>
    <row r="253" spans="1:4" ht="18" hidden="1">
      <c r="A253" s="163" t="s">
        <v>340</v>
      </c>
      <c r="B253" s="157"/>
      <c r="C253" s="157"/>
      <c r="D253" s="158">
        <f t="shared" si="3"/>
        <v>0</v>
      </c>
    </row>
    <row r="254" spans="1:4" ht="18" hidden="1">
      <c r="A254" s="161" t="s">
        <v>341</v>
      </c>
      <c r="B254" s="157"/>
      <c r="C254" s="157"/>
      <c r="D254" s="158">
        <f t="shared" si="3"/>
        <v>0</v>
      </c>
    </row>
    <row r="255" spans="1:4" ht="18" hidden="1">
      <c r="A255" s="161" t="s">
        <v>342</v>
      </c>
      <c r="B255" s="157"/>
      <c r="C255" s="157"/>
      <c r="D255" s="158">
        <f t="shared" si="3"/>
        <v>0</v>
      </c>
    </row>
    <row r="256" spans="1:4" ht="18" hidden="1">
      <c r="A256" s="163" t="s">
        <v>343</v>
      </c>
      <c r="B256" s="157"/>
      <c r="C256" s="157"/>
      <c r="D256" s="158">
        <f t="shared" si="3"/>
        <v>0</v>
      </c>
    </row>
    <row r="257" spans="1:4" ht="18" hidden="1">
      <c r="A257" s="161" t="s">
        <v>344</v>
      </c>
      <c r="B257" s="157"/>
      <c r="C257" s="157"/>
      <c r="D257" s="158">
        <f t="shared" si="3"/>
        <v>0</v>
      </c>
    </row>
    <row r="258" spans="1:4" ht="18" hidden="1">
      <c r="A258" s="161" t="s">
        <v>345</v>
      </c>
      <c r="B258" s="157"/>
      <c r="C258" s="157"/>
      <c r="D258" s="158">
        <f t="shared" si="3"/>
        <v>0</v>
      </c>
    </row>
    <row r="259" spans="1:4" ht="18" hidden="1">
      <c r="A259" s="161" t="s">
        <v>346</v>
      </c>
      <c r="B259" s="157"/>
      <c r="C259" s="157"/>
      <c r="D259" s="158">
        <f t="shared" si="3"/>
        <v>0</v>
      </c>
    </row>
    <row r="260" spans="1:4" ht="18" hidden="1">
      <c r="A260" s="161" t="s">
        <v>347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348</v>
      </c>
      <c r="B261" s="157"/>
      <c r="C261" s="157"/>
      <c r="D261" s="158">
        <f t="shared" si="4"/>
        <v>0</v>
      </c>
    </row>
    <row r="262" spans="1:4" ht="18" hidden="1">
      <c r="A262" s="161" t="s">
        <v>349</v>
      </c>
      <c r="B262" s="157"/>
      <c r="C262" s="157"/>
      <c r="D262" s="158">
        <f t="shared" si="4"/>
        <v>0</v>
      </c>
    </row>
    <row r="263" spans="1:4" ht="18" hidden="1">
      <c r="A263" s="161" t="s">
        <v>350</v>
      </c>
      <c r="B263" s="157"/>
      <c r="C263" s="157"/>
      <c r="D263" s="158">
        <f t="shared" si="4"/>
        <v>0</v>
      </c>
    </row>
    <row r="264" spans="1:4" ht="18" hidden="1">
      <c r="A264" s="161" t="s">
        <v>351</v>
      </c>
      <c r="B264" s="157"/>
      <c r="C264" s="157"/>
      <c r="D264" s="158">
        <f t="shared" si="4"/>
        <v>0</v>
      </c>
    </row>
    <row r="265" spans="1:4" ht="18">
      <c r="A265" s="161" t="s">
        <v>302</v>
      </c>
      <c r="B265" s="157">
        <v>15</v>
      </c>
      <c r="C265" s="157">
        <v>11000</v>
      </c>
      <c r="D265" s="158">
        <f t="shared" si="4"/>
        <v>165000</v>
      </c>
    </row>
    <row r="266" spans="1:4" ht="18" hidden="1">
      <c r="A266" s="164" t="s">
        <v>303</v>
      </c>
      <c r="B266" s="157"/>
      <c r="C266" s="157"/>
      <c r="D266" s="158">
        <f t="shared" si="4"/>
        <v>0</v>
      </c>
    </row>
    <row r="267" spans="1:4" ht="18" hidden="1">
      <c r="A267" s="161" t="s">
        <v>304</v>
      </c>
      <c r="B267" s="157"/>
      <c r="C267" s="157"/>
      <c r="D267" s="158">
        <f t="shared" si="4"/>
        <v>0</v>
      </c>
    </row>
    <row r="268" spans="1:4" ht="18" hidden="1">
      <c r="A268" s="161" t="s">
        <v>30</v>
      </c>
      <c r="B268" s="157"/>
      <c r="C268" s="157"/>
      <c r="D268" s="158">
        <f t="shared" si="4"/>
        <v>0</v>
      </c>
    </row>
    <row r="269" spans="1:4" ht="18" hidden="1">
      <c r="A269" s="161" t="s">
        <v>31</v>
      </c>
      <c r="B269" s="157"/>
      <c r="C269" s="157"/>
      <c r="D269" s="158">
        <f t="shared" si="4"/>
        <v>0</v>
      </c>
    </row>
    <row r="270" spans="1:4" ht="18">
      <c r="A270" s="161" t="s">
        <v>32</v>
      </c>
      <c r="B270" s="157">
        <f>-30+35</f>
        <v>5</v>
      </c>
      <c r="C270" s="157">
        <v>12000</v>
      </c>
      <c r="D270" s="158">
        <f t="shared" si="4"/>
        <v>60000</v>
      </c>
    </row>
    <row r="271" spans="1:4" ht="18" hidden="1">
      <c r="A271" s="161" t="s">
        <v>33</v>
      </c>
      <c r="B271" s="157"/>
      <c r="C271" s="157"/>
      <c r="D271" s="158">
        <f t="shared" si="4"/>
        <v>0</v>
      </c>
    </row>
    <row r="272" spans="1:4" ht="18" hidden="1">
      <c r="A272" s="161" t="s">
        <v>34</v>
      </c>
      <c r="B272" s="157"/>
      <c r="C272" s="157"/>
      <c r="D272" s="158">
        <f t="shared" si="4"/>
        <v>0</v>
      </c>
    </row>
    <row r="273" spans="1:4" ht="18" hidden="1">
      <c r="A273" s="161" t="s">
        <v>58</v>
      </c>
      <c r="B273" s="157"/>
      <c r="C273" s="157"/>
      <c r="D273" s="158">
        <f t="shared" si="4"/>
        <v>0</v>
      </c>
    </row>
    <row r="274" spans="1:4" ht="18" hidden="1">
      <c r="A274" s="199" t="s">
        <v>59</v>
      </c>
      <c r="B274" s="200"/>
      <c r="C274" s="200"/>
      <c r="D274" s="158">
        <f t="shared" si="4"/>
        <v>0</v>
      </c>
    </row>
    <row r="275" spans="1:4" ht="18" hidden="1">
      <c r="A275" s="173" t="s">
        <v>60</v>
      </c>
      <c r="B275" s="157"/>
      <c r="C275" s="157"/>
      <c r="D275" s="158">
        <f t="shared" si="4"/>
        <v>0</v>
      </c>
    </row>
    <row r="276" spans="1:4" ht="18" hidden="1">
      <c r="A276" s="161" t="s">
        <v>63</v>
      </c>
      <c r="B276" s="157"/>
      <c r="C276" s="157"/>
      <c r="D276" s="158">
        <f t="shared" si="4"/>
        <v>0</v>
      </c>
    </row>
    <row r="277" spans="1:4" ht="18" hidden="1">
      <c r="A277" s="161" t="s">
        <v>64</v>
      </c>
      <c r="B277" s="157"/>
      <c r="C277" s="157"/>
      <c r="D277" s="158">
        <f t="shared" si="4"/>
        <v>0</v>
      </c>
    </row>
    <row r="278" spans="1:4" ht="18" hidden="1">
      <c r="A278" s="183" t="s">
        <v>145</v>
      </c>
      <c r="B278" s="157"/>
      <c r="C278" s="157"/>
      <c r="D278" s="158">
        <f t="shared" si="4"/>
        <v>0</v>
      </c>
    </row>
    <row r="279" spans="1:4" ht="18" hidden="1">
      <c r="A279" s="156" t="s">
        <v>146</v>
      </c>
      <c r="B279" s="162"/>
      <c r="C279" s="162"/>
      <c r="D279" s="158">
        <f t="shared" si="4"/>
        <v>0</v>
      </c>
    </row>
    <row r="280" spans="1:4" ht="18">
      <c r="A280" s="161" t="s">
        <v>147</v>
      </c>
      <c r="B280" s="157">
        <v>47</v>
      </c>
      <c r="C280" s="157">
        <v>9500</v>
      </c>
      <c r="D280" s="158">
        <f t="shared" si="4"/>
        <v>446500</v>
      </c>
    </row>
    <row r="281" spans="1:4" ht="18" hidden="1">
      <c r="A281" s="161" t="s">
        <v>148</v>
      </c>
      <c r="B281" s="157"/>
      <c r="C281" s="157"/>
      <c r="D281" s="158">
        <f t="shared" si="4"/>
        <v>0</v>
      </c>
    </row>
    <row r="282" spans="1:4" ht="18">
      <c r="A282" s="161" t="s">
        <v>305</v>
      </c>
      <c r="B282" s="157">
        <v>18</v>
      </c>
      <c r="C282" s="157">
        <v>7000</v>
      </c>
      <c r="D282" s="158">
        <f t="shared" si="4"/>
        <v>126000</v>
      </c>
    </row>
    <row r="283" spans="1:4" ht="18" hidden="1">
      <c r="A283" s="164" t="s">
        <v>306</v>
      </c>
      <c r="B283" s="157"/>
      <c r="C283" s="157"/>
      <c r="D283" s="158">
        <f t="shared" si="4"/>
        <v>0</v>
      </c>
    </row>
    <row r="284" spans="1:4" ht="18" hidden="1">
      <c r="A284" s="161" t="s">
        <v>24</v>
      </c>
      <c r="B284" s="157"/>
      <c r="C284" s="157"/>
      <c r="D284" s="158">
        <f t="shared" si="4"/>
        <v>0</v>
      </c>
    </row>
    <row r="285" spans="1:4" ht="18">
      <c r="A285" s="173" t="s">
        <v>25</v>
      </c>
      <c r="B285" s="157">
        <v>10</v>
      </c>
      <c r="C285" s="157">
        <v>4000</v>
      </c>
      <c r="D285" s="158">
        <f t="shared" si="4"/>
        <v>40000</v>
      </c>
    </row>
    <row r="286" spans="1:4" ht="18">
      <c r="A286" s="159" t="s">
        <v>26</v>
      </c>
      <c r="B286" s="157">
        <v>20</v>
      </c>
      <c r="C286" s="184">
        <v>13000</v>
      </c>
      <c r="D286" s="158">
        <f t="shared" si="4"/>
        <v>260000</v>
      </c>
    </row>
    <row r="287" spans="1:4" ht="18" hidden="1">
      <c r="A287" s="161" t="s">
        <v>172</v>
      </c>
      <c r="B287" s="157"/>
      <c r="C287" s="157"/>
      <c r="D287" s="158">
        <f t="shared" si="4"/>
        <v>0</v>
      </c>
    </row>
    <row r="288" spans="1:4" ht="18" hidden="1">
      <c r="A288" s="161" t="s">
        <v>173</v>
      </c>
      <c r="B288" s="157"/>
      <c r="C288" s="157"/>
      <c r="D288" s="158">
        <f t="shared" si="4"/>
        <v>0</v>
      </c>
    </row>
    <row r="289" spans="1:4" ht="18" hidden="1">
      <c r="A289" s="161" t="s">
        <v>174</v>
      </c>
      <c r="B289" s="157"/>
      <c r="C289" s="157"/>
      <c r="D289" s="158">
        <f t="shared" si="4"/>
        <v>0</v>
      </c>
    </row>
    <row r="290" spans="1:4" ht="18" hidden="1">
      <c r="A290" s="161" t="s">
        <v>175</v>
      </c>
      <c r="B290" s="157"/>
      <c r="C290" s="157"/>
      <c r="D290" s="158">
        <f t="shared" si="4"/>
        <v>0</v>
      </c>
    </row>
    <row r="291" spans="1:4" ht="18" hidden="1">
      <c r="A291" s="178" t="s">
        <v>13</v>
      </c>
      <c r="B291" s="157"/>
      <c r="C291" s="157"/>
      <c r="D291" s="158">
        <f t="shared" si="4"/>
        <v>0</v>
      </c>
    </row>
    <row r="292" spans="1:4" ht="18" hidden="1">
      <c r="A292" s="171" t="s">
        <v>14</v>
      </c>
      <c r="B292" s="157"/>
      <c r="C292" s="157"/>
      <c r="D292" s="158">
        <f t="shared" si="4"/>
        <v>0</v>
      </c>
    </row>
    <row r="293" spans="1:4" ht="18" hidden="1">
      <c r="A293" s="159" t="s">
        <v>38</v>
      </c>
      <c r="B293" s="157"/>
      <c r="C293" s="157"/>
      <c r="D293" s="158">
        <f t="shared" si="4"/>
        <v>0</v>
      </c>
    </row>
    <row r="294" spans="1:4" ht="18" hidden="1">
      <c r="A294" s="159" t="s">
        <v>40</v>
      </c>
      <c r="B294" s="157"/>
      <c r="C294" s="157"/>
      <c r="D294" s="158">
        <f t="shared" si="4"/>
        <v>0</v>
      </c>
    </row>
    <row r="295" spans="1:4" ht="18" hidden="1">
      <c r="A295" s="159" t="s">
        <v>41</v>
      </c>
      <c r="B295" s="157"/>
      <c r="C295" s="157"/>
      <c r="D295" s="158">
        <f t="shared" si="4"/>
        <v>0</v>
      </c>
    </row>
    <row r="296" spans="1:4" ht="18" hidden="1">
      <c r="A296" s="159" t="s">
        <v>43</v>
      </c>
      <c r="B296" s="157"/>
      <c r="C296" s="157"/>
      <c r="D296" s="158">
        <f t="shared" si="4"/>
        <v>0</v>
      </c>
    </row>
    <row r="297" spans="1:4" ht="18" hidden="1">
      <c r="A297" s="159" t="s">
        <v>44</v>
      </c>
      <c r="B297" s="157"/>
      <c r="C297" s="157"/>
      <c r="D297" s="158">
        <f t="shared" si="4"/>
        <v>0</v>
      </c>
    </row>
    <row r="298" spans="1:4" ht="18" hidden="1">
      <c r="A298" s="159" t="s">
        <v>45</v>
      </c>
      <c r="B298" s="157"/>
      <c r="C298" s="157"/>
      <c r="D298" s="158">
        <f t="shared" si="4"/>
        <v>0</v>
      </c>
    </row>
    <row r="299" spans="1:4" ht="18" hidden="1">
      <c r="A299" s="185" t="s">
        <v>77</v>
      </c>
      <c r="B299" s="157"/>
      <c r="C299" s="157"/>
      <c r="D299" s="158">
        <f t="shared" si="4"/>
        <v>0</v>
      </c>
    </row>
    <row r="300" spans="1:4" ht="18" hidden="1">
      <c r="A300" s="156" t="s">
        <v>81</v>
      </c>
      <c r="B300" s="157"/>
      <c r="C300" s="157"/>
      <c r="D300" s="158">
        <f t="shared" si="4"/>
        <v>0</v>
      </c>
    </row>
    <row r="301" spans="1:4" ht="18" hidden="1">
      <c r="A301" s="159" t="s">
        <v>116</v>
      </c>
      <c r="B301" s="157"/>
      <c r="C301" s="157"/>
      <c r="D301" s="158">
        <f t="shared" si="4"/>
        <v>0</v>
      </c>
    </row>
    <row r="302" spans="1:4" ht="18" hidden="1">
      <c r="A302" s="186" t="s">
        <v>122</v>
      </c>
      <c r="B302" s="157"/>
      <c r="C302" s="157"/>
      <c r="D302" s="158">
        <f t="shared" si="4"/>
        <v>0</v>
      </c>
    </row>
    <row r="303" spans="1:4" ht="18" hidden="1">
      <c r="A303" s="161" t="s">
        <v>133</v>
      </c>
      <c r="B303" s="157"/>
      <c r="C303" s="157"/>
      <c r="D303" s="158">
        <f t="shared" si="4"/>
        <v>0</v>
      </c>
    </row>
    <row r="304" spans="1:4" ht="18" hidden="1">
      <c r="A304" s="159" t="s">
        <v>135</v>
      </c>
      <c r="B304" s="157"/>
      <c r="C304" s="157"/>
      <c r="D304" s="158">
        <f t="shared" si="4"/>
        <v>0</v>
      </c>
    </row>
    <row r="305" spans="1:4" ht="18" hidden="1">
      <c r="A305" s="159" t="s">
        <v>136</v>
      </c>
      <c r="B305" s="157"/>
      <c r="C305" s="157"/>
      <c r="D305" s="158">
        <f t="shared" si="4"/>
        <v>0</v>
      </c>
    </row>
    <row r="306" spans="1:4" ht="18" hidden="1">
      <c r="A306" s="161" t="s">
        <v>158</v>
      </c>
      <c r="B306" s="157"/>
      <c r="C306" s="157"/>
      <c r="D306" s="158">
        <f t="shared" si="4"/>
        <v>0</v>
      </c>
    </row>
    <row r="307" spans="1:4" ht="18" hidden="1">
      <c r="A307" s="161" t="s">
        <v>179</v>
      </c>
      <c r="B307" s="157"/>
      <c r="C307" s="157"/>
      <c r="D307" s="158">
        <f t="shared" si="4"/>
        <v>0</v>
      </c>
    </row>
    <row r="308" spans="1:4" ht="18" hidden="1">
      <c r="A308" s="164" t="s">
        <v>204</v>
      </c>
      <c r="B308" s="157"/>
      <c r="C308" s="157"/>
      <c r="D308" s="158">
        <f t="shared" si="4"/>
        <v>0</v>
      </c>
    </row>
    <row r="309" spans="1:4" ht="18" hidden="1">
      <c r="A309" s="164" t="s">
        <v>205</v>
      </c>
      <c r="B309" s="157"/>
      <c r="C309" s="157"/>
      <c r="D309" s="158">
        <f t="shared" si="4"/>
        <v>0</v>
      </c>
    </row>
    <row r="310" spans="1:4" ht="18" hidden="1">
      <c r="A310" s="164" t="s">
        <v>206</v>
      </c>
      <c r="B310" s="157"/>
      <c r="C310" s="157"/>
      <c r="D310" s="158">
        <f t="shared" si="4"/>
        <v>0</v>
      </c>
    </row>
    <row r="311" spans="1:4" ht="18" hidden="1">
      <c r="A311" s="164" t="s">
        <v>207</v>
      </c>
      <c r="B311" s="157"/>
      <c r="C311" s="157"/>
      <c r="D311" s="158">
        <f t="shared" si="4"/>
        <v>0</v>
      </c>
    </row>
    <row r="312" spans="1:4" ht="18" hidden="1">
      <c r="A312" s="161" t="s">
        <v>209</v>
      </c>
      <c r="B312" s="157"/>
      <c r="C312" s="157"/>
      <c r="D312" s="158">
        <f t="shared" si="4"/>
        <v>0</v>
      </c>
    </row>
    <row r="313" spans="1:4" ht="18" hidden="1">
      <c r="A313" s="187" t="s">
        <v>210</v>
      </c>
      <c r="B313" s="157"/>
      <c r="C313" s="157"/>
      <c r="D313" s="158">
        <f t="shared" si="4"/>
        <v>0</v>
      </c>
    </row>
    <row r="314" spans="1:4" ht="18" hidden="1">
      <c r="A314" s="187" t="s">
        <v>211</v>
      </c>
      <c r="B314" s="157"/>
      <c r="C314" s="157"/>
      <c r="D314" s="158">
        <f t="shared" si="4"/>
        <v>0</v>
      </c>
    </row>
    <row r="315" spans="1:4" ht="18" hidden="1">
      <c r="A315" s="187" t="s">
        <v>212</v>
      </c>
      <c r="B315" s="157"/>
      <c r="C315" s="157"/>
      <c r="D315" s="158">
        <f t="shared" si="4"/>
        <v>0</v>
      </c>
    </row>
    <row r="316" spans="1:4" ht="18" hidden="1">
      <c r="A316" s="187" t="s">
        <v>213</v>
      </c>
      <c r="B316" s="157"/>
      <c r="C316" s="157"/>
      <c r="D316" s="158">
        <f t="shared" si="4"/>
        <v>0</v>
      </c>
    </row>
    <row r="317" spans="1:4" ht="18" hidden="1">
      <c r="A317" s="159" t="s">
        <v>241</v>
      </c>
      <c r="B317" s="157"/>
      <c r="C317" s="157"/>
      <c r="D317" s="158">
        <f t="shared" si="4"/>
        <v>0</v>
      </c>
    </row>
    <row r="318" spans="1:4" ht="18" hidden="1">
      <c r="A318" s="159" t="s">
        <v>243</v>
      </c>
      <c r="B318" s="157"/>
      <c r="C318" s="157"/>
      <c r="D318" s="158">
        <f t="shared" si="4"/>
        <v>0</v>
      </c>
    </row>
    <row r="319" spans="1:4" ht="18" hidden="1">
      <c r="A319" s="164" t="s">
        <v>244</v>
      </c>
      <c r="B319" s="157"/>
      <c r="C319" s="157"/>
      <c r="D319" s="158">
        <f t="shared" si="4"/>
        <v>0</v>
      </c>
    </row>
    <row r="320" spans="1:4" ht="18" hidden="1">
      <c r="A320" s="159" t="s">
        <v>246</v>
      </c>
      <c r="B320" s="157"/>
      <c r="C320" s="157"/>
      <c r="D320" s="158">
        <f t="shared" si="4"/>
        <v>0</v>
      </c>
    </row>
    <row r="321" spans="1:4" ht="18" hidden="1">
      <c r="A321" s="159" t="s">
        <v>247</v>
      </c>
      <c r="B321" s="157"/>
      <c r="C321" s="157"/>
      <c r="D321" s="158">
        <f t="shared" si="4"/>
        <v>0</v>
      </c>
    </row>
    <row r="322" spans="1:4" ht="18" hidden="1">
      <c r="A322" s="161" t="s">
        <v>248</v>
      </c>
      <c r="B322" s="157"/>
      <c r="C322" s="157"/>
      <c r="D322" s="158">
        <f t="shared" si="4"/>
        <v>0</v>
      </c>
    </row>
    <row r="323" spans="1:4" ht="18" hidden="1">
      <c r="A323" s="161" t="s">
        <v>249</v>
      </c>
      <c r="B323" s="157"/>
      <c r="C323" s="157"/>
      <c r="D323" s="158">
        <f t="shared" si="4"/>
        <v>0</v>
      </c>
    </row>
    <row r="324" spans="1:4" ht="18" hidden="1">
      <c r="A324" s="159" t="s">
        <v>250</v>
      </c>
      <c r="B324" s="157"/>
      <c r="C324" s="157"/>
      <c r="D324" s="158">
        <f t="shared" ref="D324:D387" si="5">B324*C324</f>
        <v>0</v>
      </c>
    </row>
    <row r="325" spans="1:4" ht="18" hidden="1">
      <c r="A325" s="173" t="s">
        <v>254</v>
      </c>
      <c r="B325" s="157"/>
      <c r="C325" s="157"/>
      <c r="D325" s="158">
        <f t="shared" si="5"/>
        <v>0</v>
      </c>
    </row>
    <row r="326" spans="1:4" ht="18" hidden="1">
      <c r="A326" s="173" t="s">
        <v>255</v>
      </c>
      <c r="B326" s="157"/>
      <c r="C326" s="157"/>
      <c r="D326" s="158">
        <f t="shared" si="5"/>
        <v>0</v>
      </c>
    </row>
    <row r="327" spans="1:4" ht="18" hidden="1">
      <c r="A327" s="187" t="s">
        <v>256</v>
      </c>
      <c r="B327" s="157"/>
      <c r="C327" s="157"/>
      <c r="D327" s="158">
        <f t="shared" si="5"/>
        <v>0</v>
      </c>
    </row>
    <row r="328" spans="1:4" ht="18" hidden="1">
      <c r="A328" s="187" t="s">
        <v>260</v>
      </c>
      <c r="B328" s="157"/>
      <c r="C328" s="157"/>
      <c r="D328" s="158">
        <f t="shared" si="5"/>
        <v>0</v>
      </c>
    </row>
    <row r="329" spans="1:4" ht="18" hidden="1">
      <c r="A329" s="161" t="s">
        <v>290</v>
      </c>
      <c r="B329" s="157"/>
      <c r="C329" s="157"/>
      <c r="D329" s="158">
        <f t="shared" si="5"/>
        <v>0</v>
      </c>
    </row>
    <row r="330" spans="1:4" ht="18" hidden="1">
      <c r="A330" s="187" t="s">
        <v>291</v>
      </c>
      <c r="B330" s="157"/>
      <c r="C330" s="157"/>
      <c r="D330" s="158">
        <f t="shared" si="5"/>
        <v>0</v>
      </c>
    </row>
    <row r="331" spans="1:4" ht="18" hidden="1">
      <c r="A331" s="187" t="s">
        <v>293</v>
      </c>
      <c r="B331" s="157"/>
      <c r="C331" s="157"/>
      <c r="D331" s="158">
        <f t="shared" si="5"/>
        <v>0</v>
      </c>
    </row>
    <row r="332" spans="1:4" ht="18" hidden="1">
      <c r="A332" s="187" t="s">
        <v>294</v>
      </c>
      <c r="B332" s="157"/>
      <c r="C332" s="157"/>
      <c r="D332" s="158">
        <f t="shared" si="5"/>
        <v>0</v>
      </c>
    </row>
    <row r="333" spans="1:4" ht="18" hidden="1">
      <c r="A333" s="186" t="s">
        <v>307</v>
      </c>
      <c r="B333" s="157"/>
      <c r="C333" s="157"/>
      <c r="D333" s="158">
        <f t="shared" si="5"/>
        <v>0</v>
      </c>
    </row>
    <row r="334" spans="1:4" ht="18" hidden="1">
      <c r="A334" s="173" t="s">
        <v>310</v>
      </c>
      <c r="B334" s="157"/>
      <c r="C334" s="157"/>
      <c r="D334" s="158">
        <f t="shared" si="5"/>
        <v>0</v>
      </c>
    </row>
    <row r="335" spans="1:4" ht="18" hidden="1">
      <c r="A335" s="161" t="s">
        <v>316</v>
      </c>
      <c r="B335" s="157"/>
      <c r="C335" s="157"/>
      <c r="D335" s="158">
        <f t="shared" si="5"/>
        <v>0</v>
      </c>
    </row>
    <row r="336" spans="1:4" ht="18" hidden="1">
      <c r="A336" s="161" t="s">
        <v>317</v>
      </c>
      <c r="B336" s="157"/>
      <c r="C336" s="157"/>
      <c r="D336" s="158">
        <f t="shared" si="5"/>
        <v>0</v>
      </c>
    </row>
    <row r="337" spans="1:4" ht="18" hidden="1">
      <c r="A337" s="159" t="s">
        <v>318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3470.5</v>
      </c>
      <c r="C340" s="189"/>
      <c r="D340" s="158">
        <f>SUM(D24:D286)</f>
        <v>48768250</v>
      </c>
    </row>
    <row r="341" spans="1:4" ht="18" hidden="1">
      <c r="D341" s="158">
        <f t="shared" si="5"/>
        <v>0</v>
      </c>
    </row>
    <row r="342" spans="1:4" ht="18">
      <c r="A342" s="151" t="s">
        <v>426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f>13+120</f>
        <v>133</v>
      </c>
      <c r="C348" s="157">
        <v>7300</v>
      </c>
      <c r="D348" s="158">
        <f t="shared" si="5"/>
        <v>970900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f>-1500+3630</f>
        <v>2130</v>
      </c>
      <c r="C362" s="157">
        <v>11500</v>
      </c>
      <c r="D362" s="158">
        <f t="shared" si="5"/>
        <v>24495000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12000</v>
      </c>
      <c r="D367" s="158">
        <f t="shared" si="5"/>
        <v>360000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21000</v>
      </c>
      <c r="D389" s="158">
        <f t="shared" si="6"/>
        <v>6300000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70</v>
      </c>
      <c r="C414" s="157">
        <v>30000</v>
      </c>
      <c r="D414" s="158">
        <f t="shared" si="6"/>
        <v>2100000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>
      <c r="A427" s="161" t="s">
        <v>104</v>
      </c>
      <c r="B427" s="157">
        <v>27</v>
      </c>
      <c r="C427" s="157">
        <v>9000</v>
      </c>
      <c r="D427" s="158">
        <f t="shared" si="6"/>
        <v>243000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24</v>
      </c>
      <c r="C449" s="157">
        <v>20000</v>
      </c>
      <c r="D449" s="158">
        <f t="shared" si="6"/>
        <v>480000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>
      <c r="A454" s="161" t="s">
        <v>362</v>
      </c>
      <c r="B454" s="157">
        <v>2</v>
      </c>
      <c r="C454" s="157">
        <v>22000</v>
      </c>
      <c r="D454" s="158">
        <f t="shared" si="7"/>
        <v>44000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>
      <c r="A461" s="161" t="s">
        <v>137</v>
      </c>
      <c r="B461" s="157">
        <v>10</v>
      </c>
      <c r="C461" s="157">
        <v>11000</v>
      </c>
      <c r="D461" s="158">
        <f t="shared" si="7"/>
        <v>110000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55</v>
      </c>
      <c r="C472" s="157">
        <v>16000</v>
      </c>
      <c r="D472" s="158">
        <f t="shared" si="7"/>
        <v>880000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>
      <c r="A492" s="161" t="s">
        <v>169</v>
      </c>
      <c r="B492" s="157">
        <v>7</v>
      </c>
      <c r="C492" s="157">
        <v>9500</v>
      </c>
      <c r="D492" s="158">
        <f t="shared" si="7"/>
        <v>66500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>
      <c r="A497" s="161" t="s">
        <v>174</v>
      </c>
      <c r="B497" s="157">
        <v>3</v>
      </c>
      <c r="C497" s="157">
        <v>8500</v>
      </c>
      <c r="D497" s="158">
        <f t="shared" si="7"/>
        <v>25500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80</v>
      </c>
      <c r="C520" s="157">
        <v>8500</v>
      </c>
      <c r="D520" s="158">
        <f t="shared" si="8"/>
        <v>680000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20500</v>
      </c>
      <c r="D542" s="158">
        <f t="shared" si="8"/>
        <v>8200000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22000</v>
      </c>
      <c r="D585" s="158">
        <f t="shared" si="9"/>
        <v>440000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21000</v>
      </c>
      <c r="D593" s="158">
        <f t="shared" si="9"/>
        <v>420000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13</v>
      </c>
      <c r="C597" s="157">
        <v>23000</v>
      </c>
      <c r="D597" s="158">
        <f t="shared" si="9"/>
        <v>299000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3624</v>
      </c>
      <c r="C672" s="189"/>
      <c r="D672" s="189">
        <f t="shared" ref="D672" si="11">SUM(D345:D671)</f>
        <v>50613900</v>
      </c>
    </row>
    <row r="674" spans="4:4">
      <c r="D674" s="190">
        <f>D672+D340</f>
        <v>99382150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9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674"/>
  <sheetViews>
    <sheetView topLeftCell="A340" workbookViewId="0">
      <selection activeCell="D674" sqref="D674"/>
    </sheetView>
  </sheetViews>
  <sheetFormatPr defaultRowHeight="14.4"/>
  <cols>
    <col min="1" max="1" width="42.44140625" customWidth="1"/>
    <col min="3" max="3" width="13.44140625" customWidth="1"/>
    <col min="4" max="4" width="21" customWidth="1"/>
  </cols>
  <sheetData>
    <row r="1" spans="1:4">
      <c r="A1" s="151" t="s">
        <v>427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8</v>
      </c>
      <c r="C18" s="157">
        <v>4000</v>
      </c>
      <c r="D18" s="158">
        <f t="shared" si="0"/>
        <v>32000</v>
      </c>
    </row>
    <row r="19" spans="1:4" ht="18">
      <c r="A19" s="159" t="s">
        <v>26</v>
      </c>
      <c r="B19" s="157">
        <v>14</v>
      </c>
      <c r="C19" s="184">
        <v>13000</v>
      </c>
      <c r="D19" s="158">
        <f t="shared" si="0"/>
        <v>182000</v>
      </c>
    </row>
    <row r="20" spans="1:4" ht="18">
      <c r="A20" s="161" t="s">
        <v>27</v>
      </c>
      <c r="B20" s="157">
        <v>1500</v>
      </c>
      <c r="C20" s="157">
        <v>11500</v>
      </c>
      <c r="D20" s="158">
        <f t="shared" si="0"/>
        <v>17250000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>
      <c r="A25" s="161" t="s">
        <v>32</v>
      </c>
      <c r="B25" s="157">
        <f>-30+45</f>
        <v>15</v>
      </c>
      <c r="C25" s="157">
        <v>12500</v>
      </c>
      <c r="D25" s="158">
        <f t="shared" si="0"/>
        <v>187500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>
      <c r="A28" s="161" t="s">
        <v>35</v>
      </c>
      <c r="B28" s="157">
        <v>41</v>
      </c>
      <c r="C28" s="157">
        <v>17000</v>
      </c>
      <c r="D28" s="158">
        <f t="shared" si="0"/>
        <v>697000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v>50</v>
      </c>
      <c r="C38" s="157">
        <v>11000</v>
      </c>
      <c r="D38" s="158">
        <f t="shared" si="0"/>
        <v>550000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>
      <c r="A45" s="161" t="s">
        <v>55</v>
      </c>
      <c r="B45" s="157">
        <v>12</v>
      </c>
      <c r="C45" s="157">
        <v>30000</v>
      </c>
      <c r="D45" s="158">
        <f t="shared" si="0"/>
        <v>360000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-300+200+50+140</f>
        <v>90</v>
      </c>
      <c r="C54" s="157">
        <v>23000</v>
      </c>
      <c r="D54" s="158">
        <f t="shared" si="0"/>
        <v>2070000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 hidden="1">
      <c r="A61" s="161" t="s">
        <v>73</v>
      </c>
      <c r="B61" s="157"/>
      <c r="C61" s="157"/>
      <c r="D61" s="158">
        <f t="shared" si="0"/>
        <v>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55</v>
      </c>
      <c r="C64" s="157">
        <v>21000</v>
      </c>
      <c r="D64" s="158">
        <f t="shared" si="0"/>
        <v>1155000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 hidden="1">
      <c r="A70" s="156" t="s">
        <v>82</v>
      </c>
      <c r="B70" s="157"/>
      <c r="C70" s="157"/>
      <c r="D70" s="158">
        <f t="shared" si="1"/>
        <v>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>
      <c r="A72" s="156" t="s">
        <v>84</v>
      </c>
      <c r="B72" s="157">
        <v>8</v>
      </c>
      <c r="C72" s="157">
        <v>10000</v>
      </c>
      <c r="D72" s="158">
        <f t="shared" si="1"/>
        <v>80000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-150+6+50+36+120+90</f>
        <v>152</v>
      </c>
      <c r="C78" s="157">
        <v>30000</v>
      </c>
      <c r="D78" s="158">
        <f t="shared" si="1"/>
        <v>4560000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 hidden="1">
      <c r="A80" s="161" t="s">
        <v>92</v>
      </c>
      <c r="B80" s="157"/>
      <c r="C80" s="157"/>
      <c r="D80" s="158">
        <f t="shared" si="1"/>
        <v>0</v>
      </c>
    </row>
    <row r="81" spans="1:4" ht="18">
      <c r="A81" s="161" t="s">
        <v>94</v>
      </c>
      <c r="B81" s="157">
        <v>4</v>
      </c>
      <c r="C81" s="157">
        <v>24000</v>
      </c>
      <c r="D81" s="158">
        <f t="shared" si="1"/>
        <v>96000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30</v>
      </c>
      <c r="C104" s="157">
        <v>8500</v>
      </c>
      <c r="D104" s="158">
        <f t="shared" si="1"/>
        <v>255000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 hidden="1">
      <c r="A132" s="156" t="s">
        <v>146</v>
      </c>
      <c r="B132" s="162"/>
      <c r="C132" s="162"/>
      <c r="D132" s="158">
        <f t="shared" ref="D132:D195" si="2">B132*C132</f>
        <v>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-60+120</f>
        <v>60</v>
      </c>
      <c r="C136" s="157">
        <v>16000</v>
      </c>
      <c r="D136" s="158">
        <f t="shared" si="2"/>
        <v>960000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 hidden="1">
      <c r="A171" s="161" t="s">
        <v>185</v>
      </c>
      <c r="B171" s="157"/>
      <c r="C171" s="157"/>
      <c r="D171" s="158">
        <f t="shared" si="2"/>
        <v>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>
      <c r="A175" s="169" t="s">
        <v>189</v>
      </c>
      <c r="B175" s="170">
        <v>19</v>
      </c>
      <c r="C175" s="170">
        <v>15000</v>
      </c>
      <c r="D175" s="158">
        <f t="shared" si="2"/>
        <v>285000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>
      <c r="A177" s="161" t="s">
        <v>191</v>
      </c>
      <c r="B177" s="157">
        <v>7</v>
      </c>
      <c r="C177" s="157">
        <v>45000</v>
      </c>
      <c r="D177" s="158">
        <f t="shared" si="2"/>
        <v>315000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f>130/0.3</f>
        <v>433.33333333333337</v>
      </c>
      <c r="C185" s="157">
        <v>5000</v>
      </c>
      <c r="D185" s="158">
        <f t="shared" si="2"/>
        <v>2166666.666666667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275+180+75+30+10</f>
        <v>570</v>
      </c>
      <c r="C202" s="157">
        <v>21000</v>
      </c>
      <c r="D202" s="158">
        <f t="shared" si="3"/>
        <v>11970000</v>
      </c>
    </row>
    <row r="203" spans="1:4" ht="18">
      <c r="A203" s="156" t="s">
        <v>217</v>
      </c>
      <c r="B203" s="157">
        <f>50+140+50</f>
        <v>240</v>
      </c>
      <c r="C203" s="157">
        <v>22000</v>
      </c>
      <c r="D203" s="158">
        <f t="shared" si="3"/>
        <v>5280000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-400+460+165</f>
        <v>225</v>
      </c>
      <c r="C205" s="157">
        <v>20500</v>
      </c>
      <c r="D205" s="158">
        <f t="shared" si="3"/>
        <v>4612500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2</v>
      </c>
      <c r="C211" s="157">
        <v>12000</v>
      </c>
      <c r="D211" s="158">
        <f t="shared" si="3"/>
        <v>24000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-300+18+5+230+20+110</f>
        <v>83</v>
      </c>
      <c r="C216" s="157">
        <v>15000</v>
      </c>
      <c r="D216" s="158">
        <f t="shared" si="3"/>
        <v>1245000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30</v>
      </c>
      <c r="C218" s="157">
        <v>13000</v>
      </c>
      <c r="D218" s="158">
        <f t="shared" si="3"/>
        <v>390000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10</v>
      </c>
      <c r="C248" s="157">
        <v>14000</v>
      </c>
      <c r="D248" s="158">
        <f t="shared" si="3"/>
        <v>140000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-20+8+125</f>
        <v>113</v>
      </c>
      <c r="C251" s="157">
        <v>21000</v>
      </c>
      <c r="D251" s="158">
        <f t="shared" si="3"/>
        <v>2373000</v>
      </c>
    </row>
    <row r="252" spans="1:4" ht="18">
      <c r="A252" s="161" t="s">
        <v>266</v>
      </c>
      <c r="B252" s="157">
        <v>8</v>
      </c>
      <c r="C252" s="157">
        <v>15000</v>
      </c>
      <c r="D252" s="158">
        <f t="shared" si="3"/>
        <v>120000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-20+52</f>
        <v>32</v>
      </c>
      <c r="C259" s="157">
        <v>21000</v>
      </c>
      <c r="D259" s="158">
        <f t="shared" si="3"/>
        <v>672000</v>
      </c>
    </row>
    <row r="260" spans="1:4" ht="18">
      <c r="A260" s="161" t="s">
        <v>274</v>
      </c>
      <c r="B260" s="157">
        <v>27</v>
      </c>
      <c r="C260" s="157">
        <v>15000</v>
      </c>
      <c r="D260" s="158">
        <f t="shared" ref="D260:D323" si="4">B260*C260</f>
        <v>405000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-20+50</f>
        <v>30</v>
      </c>
      <c r="C263" s="157">
        <v>23000</v>
      </c>
      <c r="D263" s="158">
        <f t="shared" si="4"/>
        <v>690000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3</v>
      </c>
      <c r="C274" s="157">
        <v>19000</v>
      </c>
      <c r="D274" s="158">
        <f t="shared" si="4"/>
        <v>57000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39</v>
      </c>
      <c r="C288" s="157">
        <v>10000</v>
      </c>
      <c r="D288" s="158">
        <f t="shared" si="4"/>
        <v>390000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30</v>
      </c>
      <c r="C291" s="157">
        <v>6000</v>
      </c>
      <c r="D291" s="158">
        <f t="shared" si="4"/>
        <v>180000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70</v>
      </c>
      <c r="C294" s="157">
        <v>7000</v>
      </c>
      <c r="D294" s="158">
        <f t="shared" si="4"/>
        <v>490000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4010.3333333333335</v>
      </c>
      <c r="C340" s="189"/>
      <c r="D340" s="158">
        <f>SUM(D18:D294)</f>
        <v>60239666.666666672</v>
      </c>
    </row>
    <row r="341" spans="1:4" ht="18" hidden="1">
      <c r="D341" s="158">
        <f t="shared" si="5"/>
        <v>0</v>
      </c>
    </row>
    <row r="342" spans="1:4" ht="18">
      <c r="A342" s="151" t="s">
        <v>428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f>110-25</f>
        <v>85</v>
      </c>
      <c r="C348" s="157">
        <v>7300</v>
      </c>
      <c r="D348" s="158">
        <f t="shared" si="5"/>
        <v>620500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f>-1500+3270</f>
        <v>1770</v>
      </c>
      <c r="C362" s="157">
        <v>11500</v>
      </c>
      <c r="D362" s="158">
        <f t="shared" si="5"/>
        <v>20355000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>
      <c r="A367" s="161" t="s">
        <v>32</v>
      </c>
      <c r="B367" s="157">
        <v>30</v>
      </c>
      <c r="C367" s="157">
        <v>12500</v>
      </c>
      <c r="D367" s="158">
        <f t="shared" si="5"/>
        <v>375000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23000</v>
      </c>
      <c r="D389" s="158">
        <f t="shared" si="6"/>
        <v>6900000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150</v>
      </c>
      <c r="C414" s="157">
        <v>30000</v>
      </c>
      <c r="D414" s="158">
        <f t="shared" si="6"/>
        <v>4500000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>
      <c r="A427" s="161" t="s">
        <v>104</v>
      </c>
      <c r="B427" s="157">
        <v>20</v>
      </c>
      <c r="C427" s="157">
        <v>9000</v>
      </c>
      <c r="D427" s="158">
        <f t="shared" si="6"/>
        <v>180000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5</v>
      </c>
      <c r="C449" s="157">
        <v>20000</v>
      </c>
      <c r="D449" s="158">
        <f t="shared" si="6"/>
        <v>100000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 hidden="1">
      <c r="A454" s="161" t="s">
        <v>362</v>
      </c>
      <c r="B454" s="157"/>
      <c r="C454" s="157"/>
      <c r="D454" s="158">
        <f t="shared" si="7"/>
        <v>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 hidden="1">
      <c r="A461" s="161" t="s">
        <v>137</v>
      </c>
      <c r="B461" s="157"/>
      <c r="C461" s="157"/>
      <c r="D461" s="158">
        <f t="shared" si="7"/>
        <v>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16000</v>
      </c>
      <c r="D472" s="158">
        <f t="shared" si="7"/>
        <v>960000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>
      <c r="A504" s="161" t="s">
        <v>365</v>
      </c>
      <c r="B504" s="157">
        <v>5</v>
      </c>
      <c r="C504" s="157">
        <v>6500</v>
      </c>
      <c r="D504" s="158">
        <f t="shared" si="7"/>
        <v>32500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 hidden="1">
      <c r="A520" s="156" t="s">
        <v>198</v>
      </c>
      <c r="B520" s="157"/>
      <c r="C520" s="157"/>
      <c r="D520" s="158">
        <f t="shared" si="8"/>
        <v>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20500</v>
      </c>
      <c r="D542" s="158">
        <f t="shared" si="8"/>
        <v>8200000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 hidden="1">
      <c r="A553" s="161" t="s">
        <v>227</v>
      </c>
      <c r="B553" s="157"/>
      <c r="C553" s="157"/>
      <c r="D553" s="158">
        <f t="shared" si="8"/>
        <v>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21000</v>
      </c>
      <c r="D585" s="158">
        <f t="shared" si="9"/>
        <v>420000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21000</v>
      </c>
      <c r="D593" s="158">
        <f t="shared" si="9"/>
        <v>420000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19000</v>
      </c>
      <c r="D597" s="158">
        <f t="shared" si="9"/>
        <v>380000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>
      <c r="A663" s="161" t="s">
        <v>344</v>
      </c>
      <c r="B663" s="157">
        <v>59</v>
      </c>
      <c r="C663" s="157">
        <v>6800</v>
      </c>
      <c r="D663" s="158">
        <f t="shared" si="10"/>
        <v>401200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3244</v>
      </c>
      <c r="C672" s="189"/>
      <c r="D672" s="189">
        <f t="shared" ref="D672" si="11">SUM(D345:D671)</f>
        <v>48344200</v>
      </c>
    </row>
    <row r="674" spans="4:4">
      <c r="D674" s="190">
        <f>D672+D340</f>
        <v>108583866.66666667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A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390"/>
  <sheetViews>
    <sheetView topLeftCell="A275" workbookViewId="0">
      <selection activeCell="D347" sqref="D347"/>
    </sheetView>
  </sheetViews>
  <sheetFormatPr defaultRowHeight="14.4"/>
  <cols>
    <col min="1" max="1" width="32.33203125" customWidth="1"/>
    <col min="3" max="3" width="13.33203125" customWidth="1"/>
    <col min="4" max="4" width="20.33203125" customWidth="1"/>
  </cols>
  <sheetData>
    <row r="1" spans="1:4">
      <c r="A1" s="151" t="s">
        <v>429</v>
      </c>
      <c r="B1" s="152"/>
      <c r="C1" s="152"/>
      <c r="D1" s="152"/>
    </row>
    <row r="2" spans="1:4" ht="39.6" customHeight="1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>
      <c r="A3" s="156" t="s">
        <v>82</v>
      </c>
      <c r="B3" s="157">
        <v>12</v>
      </c>
      <c r="C3" s="157">
        <v>10000</v>
      </c>
      <c r="D3" s="158">
        <f>B3*C3</f>
        <v>120000</v>
      </c>
    </row>
    <row r="4" spans="1:4" ht="18" hidden="1">
      <c r="A4" s="159" t="s">
        <v>83</v>
      </c>
      <c r="B4" s="157"/>
      <c r="C4" s="157"/>
      <c r="D4" s="158">
        <f t="shared" ref="D4:D67" si="0">B4*C4</f>
        <v>0</v>
      </c>
    </row>
    <row r="5" spans="1:4" ht="18" hidden="1">
      <c r="A5" s="156" t="s">
        <v>84</v>
      </c>
      <c r="B5" s="157"/>
      <c r="C5" s="157"/>
      <c r="D5" s="158">
        <f t="shared" si="0"/>
        <v>0</v>
      </c>
    </row>
    <row r="6" spans="1:4" ht="18" hidden="1">
      <c r="A6" s="156" t="s">
        <v>85</v>
      </c>
      <c r="B6" s="157"/>
      <c r="C6" s="157"/>
      <c r="D6" s="158">
        <f t="shared" si="0"/>
        <v>0</v>
      </c>
    </row>
    <row r="7" spans="1:4" ht="18" hidden="1">
      <c r="A7" s="156" t="s">
        <v>86</v>
      </c>
      <c r="B7" s="157"/>
      <c r="C7" s="157"/>
      <c r="D7" s="158">
        <f t="shared" si="0"/>
        <v>0</v>
      </c>
    </row>
    <row r="8" spans="1:4" ht="18" hidden="1">
      <c r="A8" s="160" t="s">
        <v>87</v>
      </c>
      <c r="B8" s="157"/>
      <c r="C8" s="157"/>
      <c r="D8" s="158">
        <f t="shared" si="0"/>
        <v>0</v>
      </c>
    </row>
    <row r="9" spans="1:4" ht="18" hidden="1">
      <c r="A9" s="161" t="s">
        <v>88</v>
      </c>
      <c r="B9" s="157"/>
      <c r="C9" s="157"/>
      <c r="D9" s="158">
        <f t="shared" si="0"/>
        <v>0</v>
      </c>
    </row>
    <row r="10" spans="1:4" ht="18" hidden="1">
      <c r="A10" s="156" t="s">
        <v>96</v>
      </c>
      <c r="B10" s="162"/>
      <c r="C10" s="162"/>
      <c r="D10" s="158">
        <f t="shared" si="0"/>
        <v>0</v>
      </c>
    </row>
    <row r="11" spans="1:4" ht="18" hidden="1">
      <c r="A11" s="156" t="s">
        <v>97</v>
      </c>
      <c r="B11" s="162"/>
      <c r="C11" s="162"/>
      <c r="D11" s="158">
        <f t="shared" si="0"/>
        <v>0</v>
      </c>
    </row>
    <row r="12" spans="1:4" ht="18" hidden="1">
      <c r="A12" s="156" t="s">
        <v>98</v>
      </c>
      <c r="B12" s="162"/>
      <c r="C12" s="162"/>
      <c r="D12" s="158">
        <f t="shared" si="0"/>
        <v>0</v>
      </c>
    </row>
    <row r="13" spans="1:4" ht="18" hidden="1">
      <c r="A13" s="161" t="s">
        <v>110</v>
      </c>
      <c r="B13" s="157"/>
      <c r="C13" s="157"/>
      <c r="D13" s="158">
        <f t="shared" si="0"/>
        <v>0</v>
      </c>
    </row>
    <row r="14" spans="1:4" ht="18" hidden="1">
      <c r="A14" s="161" t="s">
        <v>111</v>
      </c>
      <c r="B14" s="157"/>
      <c r="C14" s="157"/>
      <c r="D14" s="158">
        <f t="shared" si="0"/>
        <v>0</v>
      </c>
    </row>
    <row r="15" spans="1:4" ht="18" hidden="1">
      <c r="A15" s="161" t="s">
        <v>113</v>
      </c>
      <c r="B15" s="162"/>
      <c r="C15" s="162"/>
      <c r="D15" s="158">
        <f t="shared" si="0"/>
        <v>0</v>
      </c>
    </row>
    <row r="16" spans="1:4" ht="18" hidden="1">
      <c r="A16" s="159" t="s">
        <v>114</v>
      </c>
      <c r="B16" s="157"/>
      <c r="C16" s="157"/>
      <c r="D16" s="158">
        <f t="shared" si="0"/>
        <v>0</v>
      </c>
    </row>
    <row r="17" spans="1:4" ht="18" hidden="1">
      <c r="A17" s="163" t="s">
        <v>115</v>
      </c>
      <c r="B17" s="157"/>
      <c r="C17" s="157"/>
      <c r="D17" s="158">
        <f t="shared" si="0"/>
        <v>0</v>
      </c>
    </row>
    <row r="18" spans="1:4" ht="18" hidden="1">
      <c r="A18" s="159" t="s">
        <v>131</v>
      </c>
      <c r="B18" s="157"/>
      <c r="C18" s="157"/>
      <c r="D18" s="158">
        <f t="shared" si="0"/>
        <v>0</v>
      </c>
    </row>
    <row r="19" spans="1:4" ht="18" hidden="1">
      <c r="A19" s="163" t="s">
        <v>132</v>
      </c>
      <c r="B19" s="157"/>
      <c r="C19" s="157"/>
      <c r="D19" s="158">
        <f t="shared" si="0"/>
        <v>0</v>
      </c>
    </row>
    <row r="20" spans="1:4" ht="18">
      <c r="A20" s="161" t="s">
        <v>124</v>
      </c>
      <c r="B20" s="157">
        <v>3</v>
      </c>
      <c r="C20" s="157">
        <v>17000</v>
      </c>
      <c r="D20" s="158">
        <f t="shared" si="0"/>
        <v>51000</v>
      </c>
    </row>
    <row r="21" spans="1:4" ht="18" hidden="1">
      <c r="A21" s="161" t="s">
        <v>125</v>
      </c>
      <c r="B21" s="157"/>
      <c r="C21" s="157"/>
      <c r="D21" s="158">
        <f t="shared" si="0"/>
        <v>0</v>
      </c>
    </row>
    <row r="22" spans="1:4" ht="18" hidden="1">
      <c r="A22" s="161" t="s">
        <v>126</v>
      </c>
      <c r="B22" s="157"/>
      <c r="C22" s="157"/>
      <c r="D22" s="158">
        <f t="shared" si="0"/>
        <v>0</v>
      </c>
    </row>
    <row r="23" spans="1:4" ht="18" hidden="1">
      <c r="A23" s="159" t="s">
        <v>264</v>
      </c>
      <c r="B23" s="157"/>
      <c r="C23" s="157"/>
      <c r="D23" s="158">
        <f t="shared" si="0"/>
        <v>0</v>
      </c>
    </row>
    <row r="24" spans="1:4" ht="18">
      <c r="A24" s="161" t="s">
        <v>265</v>
      </c>
      <c r="B24" s="157">
        <f>-20+25+38</f>
        <v>43</v>
      </c>
      <c r="C24" s="157">
        <v>21000</v>
      </c>
      <c r="D24" s="158">
        <f t="shared" si="0"/>
        <v>903000</v>
      </c>
    </row>
    <row r="25" spans="1:4" ht="18" hidden="1">
      <c r="A25" s="161" t="s">
        <v>266</v>
      </c>
      <c r="B25" s="157"/>
      <c r="C25" s="157"/>
      <c r="D25" s="158">
        <f t="shared" si="0"/>
        <v>0</v>
      </c>
    </row>
    <row r="26" spans="1:4" ht="18" hidden="1">
      <c r="A26" s="161" t="s">
        <v>267</v>
      </c>
      <c r="B26" s="157"/>
      <c r="C26" s="157"/>
      <c r="D26" s="158">
        <f t="shared" si="0"/>
        <v>0</v>
      </c>
    </row>
    <row r="27" spans="1:4" ht="18">
      <c r="A27" s="161" t="s">
        <v>268</v>
      </c>
      <c r="B27" s="157">
        <v>8</v>
      </c>
      <c r="C27" s="157">
        <v>8000</v>
      </c>
      <c r="D27" s="158">
        <f t="shared" si="0"/>
        <v>64000</v>
      </c>
    </row>
    <row r="28" spans="1:4" ht="18" hidden="1">
      <c r="A28" s="161" t="s">
        <v>269</v>
      </c>
      <c r="B28" s="157"/>
      <c r="C28" s="157"/>
      <c r="D28" s="158">
        <f t="shared" si="0"/>
        <v>0</v>
      </c>
    </row>
    <row r="29" spans="1:4" ht="18">
      <c r="A29" s="161" t="s">
        <v>273</v>
      </c>
      <c r="B29" s="157">
        <f>-20+11+12+3+20</f>
        <v>26</v>
      </c>
      <c r="C29" s="157">
        <v>21000</v>
      </c>
      <c r="D29" s="158">
        <f t="shared" si="0"/>
        <v>546000</v>
      </c>
    </row>
    <row r="30" spans="1:4" ht="18">
      <c r="A30" s="161" t="s">
        <v>274</v>
      </c>
      <c r="B30" s="157">
        <v>15</v>
      </c>
      <c r="C30" s="157">
        <v>15000</v>
      </c>
      <c r="D30" s="158">
        <f t="shared" si="0"/>
        <v>225000</v>
      </c>
    </row>
    <row r="31" spans="1:4" ht="18" hidden="1">
      <c r="A31" s="161" t="s">
        <v>275</v>
      </c>
      <c r="B31" s="157"/>
      <c r="C31" s="157"/>
      <c r="D31" s="158">
        <f t="shared" si="0"/>
        <v>0</v>
      </c>
    </row>
    <row r="32" spans="1:4" ht="18" hidden="1">
      <c r="A32" s="161" t="s">
        <v>276</v>
      </c>
      <c r="B32" s="157"/>
      <c r="C32" s="157"/>
      <c r="D32" s="158">
        <f t="shared" si="0"/>
        <v>0</v>
      </c>
    </row>
    <row r="33" spans="1:4" ht="18">
      <c r="A33" s="161" t="s">
        <v>277</v>
      </c>
      <c r="B33" s="157">
        <f>-20+25</f>
        <v>5</v>
      </c>
      <c r="C33" s="157">
        <v>28000</v>
      </c>
      <c r="D33" s="158">
        <f t="shared" si="0"/>
        <v>140000</v>
      </c>
    </row>
    <row r="34" spans="1:4" ht="18" hidden="1">
      <c r="A34" s="161" t="s">
        <v>278</v>
      </c>
      <c r="B34" s="157"/>
      <c r="C34" s="157"/>
      <c r="D34" s="158">
        <f t="shared" si="0"/>
        <v>0</v>
      </c>
    </row>
    <row r="35" spans="1:4" ht="18" hidden="1">
      <c r="A35" s="161" t="s">
        <v>279</v>
      </c>
      <c r="B35" s="157"/>
      <c r="C35" s="157"/>
      <c r="D35" s="158">
        <f t="shared" si="0"/>
        <v>0</v>
      </c>
    </row>
    <row r="36" spans="1:4" ht="18" hidden="1">
      <c r="A36" s="161" t="s">
        <v>150</v>
      </c>
      <c r="B36" s="157"/>
      <c r="C36" s="157"/>
      <c r="D36" s="158">
        <f t="shared" si="0"/>
        <v>0</v>
      </c>
    </row>
    <row r="37" spans="1:4" ht="18" hidden="1">
      <c r="A37" s="164" t="s">
        <v>151</v>
      </c>
      <c r="B37" s="157"/>
      <c r="C37" s="157"/>
      <c r="D37" s="158">
        <f t="shared" si="0"/>
        <v>0</v>
      </c>
    </row>
    <row r="38" spans="1:4" ht="18" hidden="1">
      <c r="A38" s="161" t="s">
        <v>192</v>
      </c>
      <c r="B38" s="157"/>
      <c r="C38" s="157"/>
      <c r="D38" s="158">
        <f t="shared" si="0"/>
        <v>0</v>
      </c>
    </row>
    <row r="39" spans="1:4" ht="18" hidden="1">
      <c r="A39" s="156" t="s">
        <v>208</v>
      </c>
      <c r="B39" s="157"/>
      <c r="C39" s="157"/>
      <c r="D39" s="158">
        <f t="shared" si="0"/>
        <v>0</v>
      </c>
    </row>
    <row r="40" spans="1:4" ht="18" hidden="1">
      <c r="A40" s="161" t="s">
        <v>334</v>
      </c>
      <c r="B40" s="157"/>
      <c r="C40" s="157"/>
      <c r="D40" s="158">
        <f t="shared" si="0"/>
        <v>0</v>
      </c>
    </row>
    <row r="41" spans="1:4" ht="18" hidden="1">
      <c r="A41" s="165" t="s">
        <v>228</v>
      </c>
      <c r="B41" s="157"/>
      <c r="C41" s="157"/>
      <c r="D41" s="158">
        <f t="shared" si="0"/>
        <v>0</v>
      </c>
    </row>
    <row r="42" spans="1:4" ht="18" hidden="1">
      <c r="A42" s="161" t="s">
        <v>229</v>
      </c>
      <c r="B42" s="157"/>
      <c r="C42" s="157"/>
      <c r="D42" s="158">
        <f t="shared" si="0"/>
        <v>0</v>
      </c>
    </row>
    <row r="43" spans="1:4" ht="18">
      <c r="A43" s="161" t="s">
        <v>232</v>
      </c>
      <c r="B43" s="157">
        <v>20</v>
      </c>
      <c r="C43" s="157">
        <v>13000</v>
      </c>
      <c r="D43" s="158">
        <f t="shared" si="0"/>
        <v>260000</v>
      </c>
    </row>
    <row r="44" spans="1:4" ht="18" hidden="1">
      <c r="A44" s="161" t="s">
        <v>227</v>
      </c>
      <c r="B44" s="157"/>
      <c r="C44" s="157"/>
      <c r="D44" s="158">
        <f t="shared" si="0"/>
        <v>0</v>
      </c>
    </row>
    <row r="45" spans="1:4" ht="18">
      <c r="A45" s="161" t="s">
        <v>230</v>
      </c>
      <c r="B45" s="157">
        <f>-300+60+15+120+10+120+80+30+15</f>
        <v>150</v>
      </c>
      <c r="C45" s="157">
        <v>15000</v>
      </c>
      <c r="D45" s="158">
        <f t="shared" si="0"/>
        <v>2250000</v>
      </c>
    </row>
    <row r="46" spans="1:4" ht="18" hidden="1">
      <c r="A46" s="161" t="s">
        <v>231</v>
      </c>
      <c r="B46" s="157"/>
      <c r="C46" s="157"/>
      <c r="D46" s="158">
        <f t="shared" si="0"/>
        <v>0</v>
      </c>
    </row>
    <row r="47" spans="1:4" ht="18" hidden="1">
      <c r="A47" s="164" t="s">
        <v>118</v>
      </c>
      <c r="B47" s="157"/>
      <c r="C47" s="157"/>
      <c r="D47" s="158">
        <f t="shared" si="0"/>
        <v>0</v>
      </c>
    </row>
    <row r="48" spans="1:4" ht="18" hidden="1">
      <c r="A48" s="201" t="s">
        <v>121</v>
      </c>
      <c r="B48" s="157"/>
      <c r="C48" s="157"/>
      <c r="D48" s="158">
        <f t="shared" si="0"/>
        <v>0</v>
      </c>
    </row>
    <row r="49" spans="1:4" ht="18" hidden="1">
      <c r="A49" s="161" t="s">
        <v>123</v>
      </c>
      <c r="B49" s="157"/>
      <c r="C49" s="157"/>
      <c r="D49" s="158">
        <f t="shared" si="0"/>
        <v>0</v>
      </c>
    </row>
    <row r="50" spans="1:4" ht="18" hidden="1">
      <c r="A50" s="161" t="s">
        <v>117</v>
      </c>
      <c r="B50" s="157"/>
      <c r="C50" s="157"/>
      <c r="D50" s="158">
        <f t="shared" si="0"/>
        <v>0</v>
      </c>
    </row>
    <row r="51" spans="1:4" ht="18" hidden="1">
      <c r="A51" s="161" t="s">
        <v>18</v>
      </c>
      <c r="B51" s="157"/>
      <c r="C51" s="157"/>
      <c r="D51" s="158">
        <f t="shared" si="0"/>
        <v>0</v>
      </c>
    </row>
    <row r="52" spans="1:4" ht="18" hidden="1">
      <c r="A52" s="161" t="s">
        <v>19</v>
      </c>
      <c r="B52" s="157"/>
      <c r="C52" s="157"/>
      <c r="D52" s="158">
        <f t="shared" si="0"/>
        <v>0</v>
      </c>
    </row>
    <row r="53" spans="1:4" ht="18" hidden="1">
      <c r="A53" s="156" t="s">
        <v>20</v>
      </c>
      <c r="B53" s="157"/>
      <c r="C53" s="157"/>
      <c r="D53" s="158">
        <f t="shared" si="0"/>
        <v>0</v>
      </c>
    </row>
    <row r="54" spans="1:4" ht="18" hidden="1">
      <c r="A54" s="161" t="s">
        <v>180</v>
      </c>
      <c r="B54" s="157"/>
      <c r="C54" s="157"/>
      <c r="D54" s="158">
        <f t="shared" si="0"/>
        <v>0</v>
      </c>
    </row>
    <row r="55" spans="1:4" ht="18" hidden="1">
      <c r="A55" s="164" t="s">
        <v>181</v>
      </c>
      <c r="B55" s="157"/>
      <c r="C55" s="157"/>
      <c r="D55" s="158">
        <f t="shared" si="0"/>
        <v>0</v>
      </c>
    </row>
    <row r="56" spans="1:4" ht="18" hidden="1">
      <c r="A56" s="159" t="s">
        <v>190</v>
      </c>
      <c r="B56" s="157"/>
      <c r="C56" s="157"/>
      <c r="D56" s="158">
        <f t="shared" si="0"/>
        <v>0</v>
      </c>
    </row>
    <row r="57" spans="1:4" ht="18" hidden="1">
      <c r="A57" s="161" t="s">
        <v>214</v>
      </c>
      <c r="B57" s="157"/>
      <c r="C57" s="157"/>
      <c r="D57" s="158">
        <f t="shared" si="0"/>
        <v>0</v>
      </c>
    </row>
    <row r="58" spans="1:4" ht="18" hidden="1">
      <c r="A58" s="167" t="s">
        <v>384</v>
      </c>
      <c r="B58" s="157"/>
      <c r="C58" s="157"/>
      <c r="D58" s="158">
        <f t="shared" si="0"/>
        <v>0</v>
      </c>
    </row>
    <row r="59" spans="1:4" ht="18" hidden="1">
      <c r="A59" s="161" t="s">
        <v>252</v>
      </c>
      <c r="B59" s="157"/>
      <c r="C59" s="157"/>
      <c r="D59" s="158">
        <f t="shared" si="0"/>
        <v>0</v>
      </c>
    </row>
    <row r="60" spans="1:4" ht="18" hidden="1">
      <c r="A60" s="161" t="s">
        <v>253</v>
      </c>
      <c r="B60" s="157"/>
      <c r="C60" s="157"/>
      <c r="D60" s="158">
        <f t="shared" si="0"/>
        <v>0</v>
      </c>
    </row>
    <row r="61" spans="1:4" ht="18" hidden="1">
      <c r="A61" s="156" t="s">
        <v>29</v>
      </c>
      <c r="B61" s="157"/>
      <c r="C61" s="157"/>
      <c r="D61" s="158">
        <f t="shared" si="0"/>
        <v>0</v>
      </c>
    </row>
    <row r="62" spans="1:4" ht="18" hidden="1">
      <c r="A62" s="180" t="s">
        <v>188</v>
      </c>
      <c r="B62" s="157"/>
      <c r="C62" s="157"/>
      <c r="D62" s="158">
        <f t="shared" si="0"/>
        <v>0</v>
      </c>
    </row>
    <row r="63" spans="1:4" ht="18" hidden="1">
      <c r="A63" s="169" t="s">
        <v>189</v>
      </c>
      <c r="B63" s="170"/>
      <c r="C63" s="170"/>
      <c r="D63" s="158">
        <f t="shared" si="0"/>
        <v>0</v>
      </c>
    </row>
    <row r="64" spans="1:4" ht="18" hidden="1">
      <c r="A64" s="156" t="s">
        <v>28</v>
      </c>
      <c r="B64" s="157"/>
      <c r="C64" s="157"/>
      <c r="D64" s="158">
        <f t="shared" si="0"/>
        <v>0</v>
      </c>
    </row>
    <row r="65" spans="1:4" ht="18" hidden="1">
      <c r="A65" s="159" t="s">
        <v>36</v>
      </c>
      <c r="B65" s="162"/>
      <c r="C65" s="162"/>
      <c r="D65" s="158">
        <f t="shared" si="0"/>
        <v>0</v>
      </c>
    </row>
    <row r="66" spans="1:4" ht="18" hidden="1">
      <c r="A66" s="156" t="s">
        <v>37</v>
      </c>
      <c r="B66" s="157"/>
      <c r="C66" s="157"/>
      <c r="D66" s="158">
        <f t="shared" si="0"/>
        <v>0</v>
      </c>
    </row>
    <row r="67" spans="1:4" ht="18" hidden="1">
      <c r="A67" s="161" t="s">
        <v>35</v>
      </c>
      <c r="B67" s="157"/>
      <c r="C67" s="157"/>
      <c r="D67" s="158">
        <f t="shared" si="0"/>
        <v>0</v>
      </c>
    </row>
    <row r="68" spans="1:4" ht="18">
      <c r="A68" s="156" t="s">
        <v>46</v>
      </c>
      <c r="B68" s="157">
        <v>100</v>
      </c>
      <c r="C68" s="157">
        <v>12000</v>
      </c>
      <c r="D68" s="158">
        <f t="shared" ref="D68:D131" si="1">B68*C68</f>
        <v>1200000</v>
      </c>
    </row>
    <row r="69" spans="1:4" ht="18">
      <c r="A69" s="161" t="s">
        <v>216</v>
      </c>
      <c r="B69" s="157">
        <f>260+60+35</f>
        <v>355</v>
      </c>
      <c r="C69" s="157">
        <v>21000</v>
      </c>
      <c r="D69" s="158">
        <f t="shared" si="1"/>
        <v>7455000</v>
      </c>
    </row>
    <row r="70" spans="1:4" ht="18">
      <c r="A70" s="156" t="s">
        <v>217</v>
      </c>
      <c r="B70" s="157">
        <f>80+25+20+17+150</f>
        <v>292</v>
      </c>
      <c r="C70" s="157">
        <v>22000</v>
      </c>
      <c r="D70" s="158">
        <f t="shared" si="1"/>
        <v>6424000</v>
      </c>
    </row>
    <row r="71" spans="1:4" ht="18" hidden="1">
      <c r="A71" s="161" t="s">
        <v>218</v>
      </c>
      <c r="B71" s="157"/>
      <c r="C71" s="157"/>
      <c r="D71" s="158">
        <f t="shared" si="1"/>
        <v>0</v>
      </c>
    </row>
    <row r="72" spans="1:4" ht="18">
      <c r="A72" s="161" t="s">
        <v>288</v>
      </c>
      <c r="B72" s="157">
        <v>40</v>
      </c>
      <c r="C72" s="157">
        <v>15000</v>
      </c>
      <c r="D72" s="158">
        <f t="shared" si="1"/>
        <v>600000</v>
      </c>
    </row>
    <row r="73" spans="1:4" ht="18" hidden="1">
      <c r="A73" s="161" t="s">
        <v>289</v>
      </c>
      <c r="B73" s="157"/>
      <c r="C73" s="157"/>
      <c r="D73" s="158">
        <f t="shared" si="1"/>
        <v>0</v>
      </c>
    </row>
    <row r="74" spans="1:4" ht="18" hidden="1">
      <c r="A74" s="171" t="s">
        <v>6</v>
      </c>
      <c r="B74" s="157"/>
      <c r="C74" s="157"/>
      <c r="D74" s="158">
        <f t="shared" si="1"/>
        <v>0</v>
      </c>
    </row>
    <row r="75" spans="1:4" ht="18" hidden="1">
      <c r="A75" s="172" t="s">
        <v>8</v>
      </c>
      <c r="B75" s="157"/>
      <c r="C75" s="157"/>
      <c r="D75" s="158">
        <f t="shared" si="1"/>
        <v>0</v>
      </c>
    </row>
    <row r="76" spans="1:4" ht="18" hidden="1">
      <c r="A76" s="171" t="s">
        <v>10</v>
      </c>
      <c r="B76" s="157"/>
      <c r="C76" s="157"/>
      <c r="D76" s="158">
        <f t="shared" si="1"/>
        <v>0</v>
      </c>
    </row>
    <row r="77" spans="1:4" ht="18" hidden="1">
      <c r="A77" s="164" t="s">
        <v>75</v>
      </c>
      <c r="B77" s="157"/>
      <c r="C77" s="157"/>
      <c r="D77" s="158">
        <f t="shared" si="1"/>
        <v>0</v>
      </c>
    </row>
    <row r="78" spans="1:4" ht="18" hidden="1">
      <c r="A78" s="173" t="s">
        <v>313</v>
      </c>
      <c r="B78" s="157"/>
      <c r="C78" s="157"/>
      <c r="D78" s="158">
        <f t="shared" si="1"/>
        <v>0</v>
      </c>
    </row>
    <row r="79" spans="1:4" ht="18" hidden="1">
      <c r="A79" s="173" t="s">
        <v>324</v>
      </c>
      <c r="B79" s="157"/>
      <c r="C79" s="157"/>
      <c r="D79" s="158">
        <f t="shared" si="1"/>
        <v>0</v>
      </c>
    </row>
    <row r="80" spans="1:4" ht="18" hidden="1">
      <c r="A80" s="173" t="s">
        <v>325</v>
      </c>
      <c r="B80" s="157"/>
      <c r="C80" s="157"/>
      <c r="D80" s="158">
        <f t="shared" si="1"/>
        <v>0</v>
      </c>
    </row>
    <row r="81" spans="1:4" ht="18" hidden="1">
      <c r="A81" s="173" t="s">
        <v>327</v>
      </c>
      <c r="B81" s="157"/>
      <c r="C81" s="157"/>
      <c r="D81" s="158">
        <f t="shared" si="1"/>
        <v>0</v>
      </c>
    </row>
    <row r="82" spans="1:4" ht="18" hidden="1">
      <c r="A82" s="161" t="s">
        <v>336</v>
      </c>
      <c r="B82" s="174"/>
      <c r="C82" s="174"/>
      <c r="D82" s="158">
        <f t="shared" si="1"/>
        <v>0</v>
      </c>
    </row>
    <row r="83" spans="1:4" ht="18" hidden="1">
      <c r="A83" s="161" t="s">
        <v>99</v>
      </c>
      <c r="B83" s="157"/>
      <c r="C83" s="157"/>
      <c r="D83" s="158">
        <f t="shared" si="1"/>
        <v>0</v>
      </c>
    </row>
    <row r="84" spans="1:4" ht="18" hidden="1">
      <c r="A84" s="161" t="s">
        <v>100</v>
      </c>
      <c r="B84" s="157"/>
      <c r="C84" s="157"/>
      <c r="D84" s="158">
        <f t="shared" si="1"/>
        <v>0</v>
      </c>
    </row>
    <row r="85" spans="1:4" ht="18" hidden="1">
      <c r="A85" s="161" t="s">
        <v>101</v>
      </c>
      <c r="B85" s="157"/>
      <c r="C85" s="157"/>
      <c r="D85" s="158">
        <f t="shared" si="1"/>
        <v>0</v>
      </c>
    </row>
    <row r="86" spans="1:4" ht="18" hidden="1">
      <c r="A86" s="161" t="s">
        <v>102</v>
      </c>
      <c r="B86" s="157"/>
      <c r="C86" s="157"/>
      <c r="D86" s="158">
        <f t="shared" si="1"/>
        <v>0</v>
      </c>
    </row>
    <row r="87" spans="1:4" ht="18" hidden="1">
      <c r="A87" s="161" t="s">
        <v>103</v>
      </c>
      <c r="B87" s="157"/>
      <c r="C87" s="157"/>
      <c r="D87" s="158">
        <f t="shared" si="1"/>
        <v>0</v>
      </c>
    </row>
    <row r="88" spans="1:4" ht="18" hidden="1">
      <c r="A88" s="161" t="s">
        <v>191</v>
      </c>
      <c r="B88" s="157"/>
      <c r="C88" s="157"/>
      <c r="D88" s="158">
        <f t="shared" si="1"/>
        <v>0</v>
      </c>
    </row>
    <row r="89" spans="1:4" ht="18" hidden="1">
      <c r="A89" s="175" t="s">
        <v>251</v>
      </c>
      <c r="B89" s="157"/>
      <c r="C89" s="157"/>
      <c r="D89" s="158">
        <f t="shared" si="1"/>
        <v>0</v>
      </c>
    </row>
    <row r="90" spans="1:4" ht="18" hidden="1">
      <c r="A90" s="161" t="s">
        <v>257</v>
      </c>
      <c r="B90" s="157"/>
      <c r="C90" s="157"/>
      <c r="D90" s="158">
        <f t="shared" si="1"/>
        <v>0</v>
      </c>
    </row>
    <row r="91" spans="1:4" ht="18" hidden="1">
      <c r="A91" s="161" t="s">
        <v>258</v>
      </c>
      <c r="B91" s="157"/>
      <c r="C91" s="157"/>
      <c r="D91" s="158">
        <f t="shared" si="1"/>
        <v>0</v>
      </c>
    </row>
    <row r="92" spans="1:4" ht="18" hidden="1">
      <c r="A92" s="161" t="s">
        <v>280</v>
      </c>
      <c r="B92" s="162"/>
      <c r="C92" s="162"/>
      <c r="D92" s="158">
        <f t="shared" si="1"/>
        <v>0</v>
      </c>
    </row>
    <row r="93" spans="1:4" ht="18" hidden="1">
      <c r="A93" s="173" t="s">
        <v>281</v>
      </c>
      <c r="B93" s="157"/>
      <c r="C93" s="157"/>
      <c r="D93" s="158">
        <f t="shared" si="1"/>
        <v>0</v>
      </c>
    </row>
    <row r="94" spans="1:4" ht="18" hidden="1">
      <c r="A94" s="156" t="s">
        <v>311</v>
      </c>
      <c r="B94" s="157"/>
      <c r="C94" s="157"/>
      <c r="D94" s="158">
        <f t="shared" si="1"/>
        <v>0</v>
      </c>
    </row>
    <row r="95" spans="1:4" ht="18" hidden="1">
      <c r="A95" s="164" t="s">
        <v>312</v>
      </c>
      <c r="B95" s="157"/>
      <c r="C95" s="157"/>
      <c r="D95" s="158">
        <f t="shared" si="1"/>
        <v>0</v>
      </c>
    </row>
    <row r="96" spans="1:4" ht="18">
      <c r="A96" s="161" t="s">
        <v>137</v>
      </c>
      <c r="B96" s="157">
        <f>-20+10+22</f>
        <v>12</v>
      </c>
      <c r="C96" s="157">
        <v>11000</v>
      </c>
      <c r="D96" s="158">
        <f t="shared" si="1"/>
        <v>132000</v>
      </c>
    </row>
    <row r="97" spans="1:4" ht="18" hidden="1">
      <c r="A97" s="164" t="s">
        <v>53</v>
      </c>
      <c r="B97" s="157"/>
      <c r="C97" s="157"/>
      <c r="D97" s="158">
        <f t="shared" si="1"/>
        <v>0</v>
      </c>
    </row>
    <row r="98" spans="1:4" ht="18" hidden="1">
      <c r="A98" s="161" t="s">
        <v>55</v>
      </c>
      <c r="B98" s="157"/>
      <c r="C98" s="157"/>
      <c r="D98" s="158">
        <f t="shared" si="1"/>
        <v>0</v>
      </c>
    </row>
    <row r="99" spans="1:4" ht="18" hidden="1">
      <c r="A99" s="161" t="s">
        <v>56</v>
      </c>
      <c r="B99" s="157"/>
      <c r="C99" s="157"/>
      <c r="D99" s="158">
        <f t="shared" si="1"/>
        <v>0</v>
      </c>
    </row>
    <row r="100" spans="1:4" ht="18" hidden="1">
      <c r="A100" s="164" t="s">
        <v>299</v>
      </c>
      <c r="B100" s="157"/>
      <c r="C100" s="157"/>
      <c r="D100" s="158">
        <f t="shared" si="1"/>
        <v>0</v>
      </c>
    </row>
    <row r="101" spans="1:4" ht="18" hidden="1">
      <c r="A101" s="164" t="s">
        <v>300</v>
      </c>
      <c r="B101" s="157"/>
      <c r="C101" s="157"/>
      <c r="D101" s="158">
        <f t="shared" si="1"/>
        <v>0</v>
      </c>
    </row>
    <row r="102" spans="1:4" ht="18" hidden="1">
      <c r="A102" s="176" t="s">
        <v>301</v>
      </c>
      <c r="B102" s="157"/>
      <c r="C102" s="157"/>
      <c r="D102" s="158">
        <f t="shared" si="1"/>
        <v>0</v>
      </c>
    </row>
    <row r="103" spans="1:4" ht="18" hidden="1">
      <c r="A103" s="177" t="s">
        <v>156</v>
      </c>
      <c r="B103" s="162"/>
      <c r="C103" s="162"/>
      <c r="D103" s="158">
        <f t="shared" si="1"/>
        <v>0</v>
      </c>
    </row>
    <row r="104" spans="1:4" ht="18" hidden="1">
      <c r="A104" s="177" t="s">
        <v>157</v>
      </c>
      <c r="B104" s="162"/>
      <c r="C104" s="162"/>
      <c r="D104" s="158">
        <f t="shared" si="1"/>
        <v>0</v>
      </c>
    </row>
    <row r="105" spans="1:4" ht="18" hidden="1">
      <c r="A105" s="161" t="s">
        <v>159</v>
      </c>
      <c r="B105" s="162"/>
      <c r="C105" s="162"/>
      <c r="D105" s="158">
        <f t="shared" si="1"/>
        <v>0</v>
      </c>
    </row>
    <row r="106" spans="1:4" ht="18" hidden="1">
      <c r="A106" s="161" t="s">
        <v>160</v>
      </c>
      <c r="B106" s="162"/>
      <c r="C106" s="162"/>
      <c r="D106" s="158">
        <f t="shared" si="1"/>
        <v>0</v>
      </c>
    </row>
    <row r="107" spans="1:4" ht="18" hidden="1">
      <c r="A107" s="161" t="s">
        <v>161</v>
      </c>
      <c r="B107" s="162"/>
      <c r="C107" s="162"/>
      <c r="D107" s="158">
        <f t="shared" si="1"/>
        <v>0</v>
      </c>
    </row>
    <row r="108" spans="1:4" ht="18" hidden="1">
      <c r="A108" s="161" t="s">
        <v>162</v>
      </c>
      <c r="B108" s="162"/>
      <c r="C108" s="162"/>
      <c r="D108" s="158">
        <f t="shared" si="1"/>
        <v>0</v>
      </c>
    </row>
    <row r="109" spans="1:4" ht="18" hidden="1">
      <c r="A109" s="161" t="s">
        <v>164</v>
      </c>
      <c r="B109" s="162"/>
      <c r="C109" s="162"/>
      <c r="D109" s="158">
        <f t="shared" si="1"/>
        <v>0</v>
      </c>
    </row>
    <row r="110" spans="1:4" ht="18" hidden="1">
      <c r="A110" s="161" t="s">
        <v>165</v>
      </c>
      <c r="B110" s="162"/>
      <c r="C110" s="162"/>
      <c r="D110" s="158">
        <f t="shared" si="1"/>
        <v>0</v>
      </c>
    </row>
    <row r="111" spans="1:4" ht="18" hidden="1">
      <c r="A111" s="161" t="s">
        <v>166</v>
      </c>
      <c r="B111" s="162"/>
      <c r="C111" s="162"/>
      <c r="D111" s="158">
        <f t="shared" si="1"/>
        <v>0</v>
      </c>
    </row>
    <row r="112" spans="1:4" ht="18" hidden="1">
      <c r="A112" s="161" t="s">
        <v>176</v>
      </c>
      <c r="B112" s="162"/>
      <c r="C112" s="162"/>
      <c r="D112" s="158">
        <f t="shared" si="1"/>
        <v>0</v>
      </c>
    </row>
    <row r="113" spans="1:4" ht="18" hidden="1">
      <c r="A113" s="161" t="s">
        <v>177</v>
      </c>
      <c r="B113" s="162"/>
      <c r="C113" s="162"/>
      <c r="D113" s="158">
        <f t="shared" si="1"/>
        <v>0</v>
      </c>
    </row>
    <row r="114" spans="1:4" ht="18" hidden="1">
      <c r="A114" s="161" t="s">
        <v>178</v>
      </c>
      <c r="B114" s="162"/>
      <c r="C114" s="162"/>
      <c r="D114" s="158">
        <f t="shared" si="1"/>
        <v>0</v>
      </c>
    </row>
    <row r="115" spans="1:4" ht="18" hidden="1">
      <c r="A115" s="156" t="s">
        <v>42</v>
      </c>
      <c r="B115" s="157"/>
      <c r="C115" s="157"/>
      <c r="D115" s="158">
        <f t="shared" si="1"/>
        <v>0</v>
      </c>
    </row>
    <row r="116" spans="1:4" ht="18">
      <c r="A116" s="156" t="s">
        <v>65</v>
      </c>
      <c r="B116" s="157">
        <v>200</v>
      </c>
      <c r="C116" s="157">
        <v>23000</v>
      </c>
      <c r="D116" s="158">
        <f t="shared" si="1"/>
        <v>4600000</v>
      </c>
    </row>
    <row r="117" spans="1:4" ht="18" hidden="1">
      <c r="A117" s="161" t="s">
        <v>76</v>
      </c>
      <c r="B117" s="157"/>
      <c r="C117" s="157"/>
      <c r="D117" s="158">
        <f t="shared" si="1"/>
        <v>0</v>
      </c>
    </row>
    <row r="118" spans="1:4" ht="18" hidden="1">
      <c r="A118" s="161" t="s">
        <v>89</v>
      </c>
      <c r="B118" s="157"/>
      <c r="C118" s="157"/>
      <c r="D118" s="158">
        <f t="shared" si="1"/>
        <v>0</v>
      </c>
    </row>
    <row r="119" spans="1:4" ht="18" hidden="1">
      <c r="A119" s="161" t="s">
        <v>23</v>
      </c>
      <c r="B119" s="157"/>
      <c r="C119" s="157"/>
      <c r="D119" s="158">
        <f t="shared" si="1"/>
        <v>0</v>
      </c>
    </row>
    <row r="120" spans="1:4" ht="18" hidden="1">
      <c r="A120" s="161" t="s">
        <v>286</v>
      </c>
      <c r="B120" s="157"/>
      <c r="C120" s="157"/>
      <c r="D120" s="158">
        <f t="shared" si="1"/>
        <v>0</v>
      </c>
    </row>
    <row r="121" spans="1:4" ht="18">
      <c r="A121" s="161" t="s">
        <v>27</v>
      </c>
      <c r="B121" s="157">
        <v>1500</v>
      </c>
      <c r="C121" s="157">
        <v>11500</v>
      </c>
      <c r="D121" s="158">
        <f t="shared" si="1"/>
        <v>17250000</v>
      </c>
    </row>
    <row r="122" spans="1:4" ht="18" hidden="1">
      <c r="A122" s="161" t="s">
        <v>51</v>
      </c>
      <c r="B122" s="157"/>
      <c r="C122" s="157"/>
      <c r="D122" s="158">
        <f t="shared" si="1"/>
        <v>0</v>
      </c>
    </row>
    <row r="123" spans="1:4" ht="18" hidden="1">
      <c r="A123" s="159" t="s">
        <v>61</v>
      </c>
      <c r="B123" s="157"/>
      <c r="C123" s="157"/>
      <c r="D123" s="158">
        <f t="shared" si="1"/>
        <v>0</v>
      </c>
    </row>
    <row r="124" spans="1:4" ht="18" hidden="1">
      <c r="A124" s="173" t="s">
        <v>62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>
      <c r="A126" s="173" t="s">
        <v>140</v>
      </c>
      <c r="B126" s="157">
        <v>3</v>
      </c>
      <c r="C126" s="157">
        <v>10500</v>
      </c>
      <c r="D126" s="158">
        <f t="shared" si="1"/>
        <v>31500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61" t="s">
        <v>163</v>
      </c>
      <c r="B131" s="162"/>
      <c r="C131" s="162"/>
      <c r="D131" s="158">
        <f t="shared" si="1"/>
        <v>0</v>
      </c>
    </row>
    <row r="132" spans="1:4" ht="18" hidden="1">
      <c r="A132" s="164" t="s">
        <v>233</v>
      </c>
      <c r="B132" s="157"/>
      <c r="C132" s="157"/>
      <c r="D132" s="158">
        <f t="shared" ref="D132:D195" si="2">B132*C132</f>
        <v>0</v>
      </c>
    </row>
    <row r="133" spans="1:4" ht="18" hidden="1">
      <c r="A133" s="164" t="s">
        <v>234</v>
      </c>
      <c r="B133" s="157"/>
      <c r="C133" s="157"/>
      <c r="D133" s="158">
        <f t="shared" si="2"/>
        <v>0</v>
      </c>
    </row>
    <row r="134" spans="1:4" ht="18">
      <c r="A134" s="164" t="s">
        <v>235</v>
      </c>
      <c r="B134" s="157">
        <v>5</v>
      </c>
      <c r="C134" s="157">
        <v>45000</v>
      </c>
      <c r="D134" s="158">
        <f t="shared" si="2"/>
        <v>225000</v>
      </c>
    </row>
    <row r="135" spans="1:4" ht="18" hidden="1">
      <c r="A135" s="164" t="s">
        <v>236</v>
      </c>
      <c r="B135" s="157"/>
      <c r="C135" s="157"/>
      <c r="D135" s="158">
        <f t="shared" si="2"/>
        <v>0</v>
      </c>
    </row>
    <row r="136" spans="1:4" ht="18" hidden="1">
      <c r="A136" s="161" t="s">
        <v>237</v>
      </c>
      <c r="B136" s="157"/>
      <c r="C136" s="157"/>
      <c r="D136" s="158">
        <f t="shared" si="2"/>
        <v>0</v>
      </c>
    </row>
    <row r="137" spans="1:4" ht="18" hidden="1">
      <c r="A137" s="161" t="s">
        <v>238</v>
      </c>
      <c r="B137" s="157"/>
      <c r="C137" s="157"/>
      <c r="D137" s="158">
        <f t="shared" si="2"/>
        <v>0</v>
      </c>
    </row>
    <row r="138" spans="1:4" ht="18" hidden="1">
      <c r="A138" s="164" t="s">
        <v>239</v>
      </c>
      <c r="B138" s="157"/>
      <c r="C138" s="157"/>
      <c r="D138" s="158">
        <f t="shared" si="2"/>
        <v>0</v>
      </c>
    </row>
    <row r="139" spans="1:4" ht="18" hidden="1">
      <c r="A139" s="164" t="s">
        <v>240</v>
      </c>
      <c r="B139" s="157"/>
      <c r="C139" s="157"/>
      <c r="D139" s="158">
        <f t="shared" si="2"/>
        <v>0</v>
      </c>
    </row>
    <row r="140" spans="1:4" ht="18" hidden="1">
      <c r="A140" s="161" t="s">
        <v>259</v>
      </c>
      <c r="B140" s="162"/>
      <c r="C140" s="162"/>
      <c r="D140" s="158">
        <f t="shared" si="2"/>
        <v>0</v>
      </c>
    </row>
    <row r="141" spans="1:4" ht="18" hidden="1">
      <c r="A141" s="161" t="s">
        <v>261</v>
      </c>
      <c r="B141" s="162"/>
      <c r="C141" s="162"/>
      <c r="D141" s="158">
        <f t="shared" si="2"/>
        <v>0</v>
      </c>
    </row>
    <row r="142" spans="1:4" ht="18" hidden="1">
      <c r="A142" s="156" t="s">
        <v>295</v>
      </c>
      <c r="B142" s="162"/>
      <c r="C142" s="162"/>
      <c r="D142" s="158">
        <f t="shared" si="2"/>
        <v>0</v>
      </c>
    </row>
    <row r="143" spans="1:4" ht="18" hidden="1">
      <c r="A143" s="156" t="s">
        <v>296</v>
      </c>
      <c r="B143" s="157"/>
      <c r="C143" s="157"/>
      <c r="D143" s="158">
        <f t="shared" si="2"/>
        <v>0</v>
      </c>
    </row>
    <row r="144" spans="1:4" ht="18">
      <c r="A144" s="161" t="s">
        <v>308</v>
      </c>
      <c r="B144" s="157">
        <f>60-25</f>
        <v>35</v>
      </c>
      <c r="C144" s="157">
        <v>7000</v>
      </c>
      <c r="D144" s="158">
        <f t="shared" si="2"/>
        <v>245000</v>
      </c>
    </row>
    <row r="145" spans="1:4" ht="18" hidden="1">
      <c r="A145" s="173" t="s">
        <v>309</v>
      </c>
      <c r="B145" s="157"/>
      <c r="C145" s="157"/>
      <c r="D145" s="158">
        <f t="shared" si="2"/>
        <v>0</v>
      </c>
    </row>
    <row r="146" spans="1:4" ht="18" hidden="1">
      <c r="A146" s="156" t="s">
        <v>319</v>
      </c>
      <c r="B146" s="157"/>
      <c r="C146" s="157"/>
      <c r="D146" s="158">
        <f t="shared" si="2"/>
        <v>0</v>
      </c>
    </row>
    <row r="147" spans="1:4" ht="18">
      <c r="A147" s="161" t="s">
        <v>219</v>
      </c>
      <c r="B147" s="157">
        <f>-400+20+680</f>
        <v>300</v>
      </c>
      <c r="C147" s="157">
        <v>20000</v>
      </c>
      <c r="D147" s="158">
        <f t="shared" si="2"/>
        <v>6000000</v>
      </c>
    </row>
    <row r="148" spans="1:4" ht="18" hidden="1">
      <c r="A148" s="175" t="s">
        <v>220</v>
      </c>
      <c r="B148" s="157"/>
      <c r="C148" s="157"/>
      <c r="D148" s="158">
        <f t="shared" si="2"/>
        <v>0</v>
      </c>
    </row>
    <row r="149" spans="1:4" ht="18" hidden="1">
      <c r="A149" s="175" t="s">
        <v>221</v>
      </c>
      <c r="B149" s="157"/>
      <c r="C149" s="157"/>
      <c r="D149" s="158">
        <f t="shared" si="2"/>
        <v>0</v>
      </c>
    </row>
    <row r="150" spans="1:4" ht="18" hidden="1">
      <c r="A150" s="161" t="s">
        <v>52</v>
      </c>
      <c r="B150" s="157"/>
      <c r="C150" s="157"/>
      <c r="D150" s="158">
        <f t="shared" si="2"/>
        <v>0</v>
      </c>
    </row>
    <row r="151" spans="1:4" ht="18" hidden="1">
      <c r="A151" s="161" t="s">
        <v>292</v>
      </c>
      <c r="B151" s="157"/>
      <c r="C151" s="157"/>
      <c r="D151" s="158">
        <f t="shared" si="2"/>
        <v>0</v>
      </c>
    </row>
    <row r="152" spans="1:4" ht="18" hidden="1">
      <c r="A152" s="161" t="s">
        <v>66</v>
      </c>
      <c r="B152" s="157"/>
      <c r="C152" s="157"/>
      <c r="D152" s="158">
        <f t="shared" si="2"/>
        <v>0</v>
      </c>
    </row>
    <row r="153" spans="1:4" ht="18" hidden="1">
      <c r="A153" s="164" t="s">
        <v>67</v>
      </c>
      <c r="B153" s="157"/>
      <c r="C153" s="157"/>
      <c r="D153" s="158">
        <f t="shared" si="2"/>
        <v>0</v>
      </c>
    </row>
    <row r="154" spans="1:4" ht="18" hidden="1">
      <c r="A154" s="164" t="s">
        <v>69</v>
      </c>
      <c r="B154" s="157"/>
      <c r="C154" s="157"/>
      <c r="D154" s="158">
        <f t="shared" si="2"/>
        <v>0</v>
      </c>
    </row>
    <row r="155" spans="1:4" ht="18" hidden="1">
      <c r="A155" s="164" t="s">
        <v>70</v>
      </c>
      <c r="B155" s="157"/>
      <c r="C155" s="157"/>
      <c r="D155" s="158">
        <f t="shared" si="2"/>
        <v>0</v>
      </c>
    </row>
    <row r="156" spans="1:4" ht="18" hidden="1">
      <c r="A156" s="161" t="s">
        <v>71</v>
      </c>
      <c r="B156" s="157"/>
      <c r="C156" s="157"/>
      <c r="D156" s="158">
        <f t="shared" si="2"/>
        <v>0</v>
      </c>
    </row>
    <row r="157" spans="1:4" ht="18" hidden="1">
      <c r="A157" s="159" t="s">
        <v>72</v>
      </c>
      <c r="B157" s="157"/>
      <c r="C157" s="157"/>
      <c r="D157" s="158">
        <f t="shared" si="2"/>
        <v>0</v>
      </c>
    </row>
    <row r="158" spans="1:4" ht="18">
      <c r="A158" s="180" t="s">
        <v>73</v>
      </c>
      <c r="B158" s="157">
        <v>8</v>
      </c>
      <c r="C158" s="157">
        <v>11500</v>
      </c>
      <c r="D158" s="158">
        <f t="shared" si="2"/>
        <v>92000</v>
      </c>
    </row>
    <row r="159" spans="1:4" ht="18" hidden="1">
      <c r="A159" s="161" t="s">
        <v>74</v>
      </c>
      <c r="B159" s="157"/>
      <c r="C159" s="157"/>
      <c r="D159" s="158">
        <f t="shared" si="2"/>
        <v>0</v>
      </c>
    </row>
    <row r="160" spans="1:4" ht="18" hidden="1">
      <c r="A160" s="161" t="s">
        <v>78</v>
      </c>
      <c r="B160" s="157"/>
      <c r="C160" s="157"/>
      <c r="D160" s="158">
        <f t="shared" si="2"/>
        <v>0</v>
      </c>
    </row>
    <row r="161" spans="1:4" ht="18" hidden="1">
      <c r="A161" s="161" t="s">
        <v>79</v>
      </c>
      <c r="B161" s="157"/>
      <c r="C161" s="157"/>
      <c r="D161" s="158">
        <f t="shared" si="2"/>
        <v>0</v>
      </c>
    </row>
    <row r="162" spans="1:4" ht="18" hidden="1">
      <c r="A162" s="160" t="s">
        <v>80</v>
      </c>
      <c r="B162" s="157"/>
      <c r="C162" s="157"/>
      <c r="D162" s="158">
        <f t="shared" si="2"/>
        <v>0</v>
      </c>
    </row>
    <row r="163" spans="1:4" ht="18" hidden="1">
      <c r="A163" s="161" t="s">
        <v>155</v>
      </c>
      <c r="B163" s="157"/>
      <c r="C163" s="157"/>
      <c r="D163" s="158">
        <f t="shared" si="2"/>
        <v>0</v>
      </c>
    </row>
    <row r="164" spans="1:4" ht="18" hidden="1">
      <c r="A164" s="161" t="s">
        <v>167</v>
      </c>
      <c r="B164" s="157"/>
      <c r="C164" s="157"/>
      <c r="D164" s="158">
        <f t="shared" si="2"/>
        <v>0</v>
      </c>
    </row>
    <row r="165" spans="1:4" ht="18" hidden="1">
      <c r="A165" s="161" t="s">
        <v>168</v>
      </c>
      <c r="B165" s="157"/>
      <c r="C165" s="157"/>
      <c r="D165" s="158">
        <f t="shared" si="2"/>
        <v>0</v>
      </c>
    </row>
    <row r="166" spans="1:4" ht="18" hidden="1">
      <c r="A166" s="161" t="s">
        <v>169</v>
      </c>
      <c r="B166" s="157"/>
      <c r="C166" s="157"/>
      <c r="D166" s="158">
        <f t="shared" si="2"/>
        <v>0</v>
      </c>
    </row>
    <row r="167" spans="1:4" ht="18" hidden="1">
      <c r="A167" s="161" t="s">
        <v>170</v>
      </c>
      <c r="B167" s="157"/>
      <c r="C167" s="157"/>
      <c r="D167" s="158">
        <f t="shared" si="2"/>
        <v>0</v>
      </c>
    </row>
    <row r="168" spans="1:4" ht="18" hidden="1">
      <c r="A168" s="164" t="s">
        <v>171</v>
      </c>
      <c r="B168" s="157"/>
      <c r="C168" s="157"/>
      <c r="D168" s="158">
        <f t="shared" si="2"/>
        <v>0</v>
      </c>
    </row>
    <row r="169" spans="1:4" ht="18">
      <c r="A169" s="161" t="s">
        <v>90</v>
      </c>
      <c r="B169" s="157">
        <f>-150+10+40+70+150</f>
        <v>120</v>
      </c>
      <c r="C169" s="157">
        <v>30000</v>
      </c>
      <c r="D169" s="158">
        <f t="shared" si="2"/>
        <v>3600000</v>
      </c>
    </row>
    <row r="170" spans="1:4" ht="18" hidden="1">
      <c r="A170" s="173" t="s">
        <v>91</v>
      </c>
      <c r="B170" s="157"/>
      <c r="C170" s="157"/>
      <c r="D170" s="158">
        <f t="shared" si="2"/>
        <v>0</v>
      </c>
    </row>
    <row r="171" spans="1:4" ht="18">
      <c r="A171" s="161" t="s">
        <v>92</v>
      </c>
      <c r="B171" s="157">
        <v>60</v>
      </c>
      <c r="C171" s="157">
        <v>30000</v>
      </c>
      <c r="D171" s="158">
        <f t="shared" si="2"/>
        <v>1800000</v>
      </c>
    </row>
    <row r="172" spans="1:4" ht="18" hidden="1">
      <c r="A172" s="161" t="s">
        <v>94</v>
      </c>
      <c r="B172" s="157"/>
      <c r="C172" s="157"/>
      <c r="D172" s="158">
        <f t="shared" si="2"/>
        <v>0</v>
      </c>
    </row>
    <row r="173" spans="1:4" ht="18" hidden="1">
      <c r="A173" s="161" t="s">
        <v>95</v>
      </c>
      <c r="B173" s="157"/>
      <c r="C173" s="157"/>
      <c r="D173" s="158">
        <f t="shared" si="2"/>
        <v>0</v>
      </c>
    </row>
    <row r="174" spans="1:4" ht="18" hidden="1">
      <c r="A174" s="173" t="s">
        <v>109</v>
      </c>
      <c r="B174" s="157"/>
      <c r="C174" s="157"/>
      <c r="D174" s="158">
        <f t="shared" si="2"/>
        <v>0</v>
      </c>
    </row>
    <row r="175" spans="1:4" ht="18" hidden="1">
      <c r="A175" s="161" t="s">
        <v>321</v>
      </c>
      <c r="B175" s="157"/>
      <c r="C175" s="157"/>
      <c r="D175" s="158">
        <f t="shared" si="2"/>
        <v>0</v>
      </c>
    </row>
    <row r="176" spans="1:4" ht="18" hidden="1">
      <c r="A176" s="156" t="s">
        <v>335</v>
      </c>
      <c r="B176" s="157"/>
      <c r="C176" s="157"/>
      <c r="D176" s="158">
        <f t="shared" si="2"/>
        <v>0</v>
      </c>
    </row>
    <row r="177" spans="1:4" ht="18" hidden="1">
      <c r="A177" s="161" t="s">
        <v>338</v>
      </c>
      <c r="B177" s="157"/>
      <c r="C177" s="157"/>
      <c r="D177" s="158">
        <f t="shared" si="2"/>
        <v>0</v>
      </c>
    </row>
    <row r="178" spans="1:4" ht="18" hidden="1">
      <c r="A178" s="163" t="s">
        <v>106</v>
      </c>
      <c r="B178" s="157"/>
      <c r="C178" s="157"/>
      <c r="D178" s="158">
        <f t="shared" si="2"/>
        <v>0</v>
      </c>
    </row>
    <row r="179" spans="1:4" ht="18" hidden="1">
      <c r="A179" s="163" t="s">
        <v>107</v>
      </c>
      <c r="B179" s="157"/>
      <c r="C179" s="157"/>
      <c r="D179" s="158">
        <f t="shared" si="2"/>
        <v>0</v>
      </c>
    </row>
    <row r="180" spans="1:4" ht="18" hidden="1">
      <c r="A180" s="159" t="s">
        <v>108</v>
      </c>
      <c r="B180" s="157"/>
      <c r="C180" s="157"/>
      <c r="D180" s="158">
        <f t="shared" si="2"/>
        <v>0</v>
      </c>
    </row>
    <row r="181" spans="1:4" ht="18" hidden="1">
      <c r="A181" s="156" t="s">
        <v>196</v>
      </c>
      <c r="B181" s="157"/>
      <c r="C181" s="157"/>
      <c r="D181" s="158">
        <f t="shared" si="2"/>
        <v>0</v>
      </c>
    </row>
    <row r="182" spans="1:4" ht="18" hidden="1">
      <c r="A182" s="156" t="s">
        <v>197</v>
      </c>
      <c r="B182" s="157"/>
      <c r="C182" s="157"/>
      <c r="D182" s="158">
        <f t="shared" si="2"/>
        <v>0</v>
      </c>
    </row>
    <row r="183" spans="1:4" ht="18" hidden="1">
      <c r="A183" s="156" t="s">
        <v>198</v>
      </c>
      <c r="B183" s="157"/>
      <c r="C183" s="157"/>
      <c r="D183" s="158">
        <f t="shared" si="2"/>
        <v>0</v>
      </c>
    </row>
    <row r="184" spans="1:4" ht="18">
      <c r="A184" s="161" t="s">
        <v>199</v>
      </c>
      <c r="B184" s="157">
        <f>120/0.3</f>
        <v>400</v>
      </c>
      <c r="C184" s="157">
        <v>2500</v>
      </c>
      <c r="D184" s="158">
        <f t="shared" si="2"/>
        <v>1000000</v>
      </c>
    </row>
    <row r="185" spans="1:4" ht="18" hidden="1">
      <c r="A185" s="156" t="s">
        <v>200</v>
      </c>
      <c r="B185" s="157"/>
      <c r="C185" s="157"/>
      <c r="D185" s="158">
        <f t="shared" si="2"/>
        <v>0</v>
      </c>
    </row>
    <row r="186" spans="1:4" ht="18" hidden="1">
      <c r="A186" s="156" t="s">
        <v>201</v>
      </c>
      <c r="B186" s="157"/>
      <c r="C186" s="157"/>
      <c r="D186" s="158">
        <f t="shared" si="2"/>
        <v>0</v>
      </c>
    </row>
    <row r="187" spans="1:4" ht="18" hidden="1">
      <c r="A187" s="156" t="s">
        <v>202</v>
      </c>
      <c r="B187" s="157"/>
      <c r="C187" s="157"/>
      <c r="D187" s="158">
        <f t="shared" si="2"/>
        <v>0</v>
      </c>
    </row>
    <row r="188" spans="1:4" ht="18" hidden="1">
      <c r="A188" s="161" t="s">
        <v>203</v>
      </c>
      <c r="B188" s="157"/>
      <c r="C188" s="157"/>
      <c r="D188" s="158">
        <f t="shared" si="2"/>
        <v>0</v>
      </c>
    </row>
    <row r="189" spans="1:4" ht="18" hidden="1">
      <c r="A189" s="161" t="s">
        <v>225</v>
      </c>
      <c r="B189" s="157"/>
      <c r="C189" s="157"/>
      <c r="D189" s="158">
        <f t="shared" si="2"/>
        <v>0</v>
      </c>
    </row>
    <row r="190" spans="1:4" ht="18" hidden="1">
      <c r="A190" s="161" t="s">
        <v>226</v>
      </c>
      <c r="B190" s="157"/>
      <c r="C190" s="157"/>
      <c r="D190" s="158">
        <f t="shared" si="2"/>
        <v>0</v>
      </c>
    </row>
    <row r="191" spans="1:4" ht="18" hidden="1">
      <c r="A191" s="161" t="s">
        <v>119</v>
      </c>
      <c r="B191" s="157"/>
      <c r="C191" s="157"/>
      <c r="D191" s="158">
        <f t="shared" si="2"/>
        <v>0</v>
      </c>
    </row>
    <row r="192" spans="1:4" ht="18" hidden="1">
      <c r="A192" s="161" t="s">
        <v>120</v>
      </c>
      <c r="B192" s="157"/>
      <c r="C192" s="157"/>
      <c r="D192" s="158">
        <f t="shared" si="2"/>
        <v>0</v>
      </c>
    </row>
    <row r="193" spans="1:4" ht="18" hidden="1">
      <c r="A193" s="161" t="s">
        <v>104</v>
      </c>
      <c r="B193" s="157"/>
      <c r="C193" s="157"/>
      <c r="D193" s="158">
        <f t="shared" si="2"/>
        <v>0</v>
      </c>
    </row>
    <row r="194" spans="1:4" ht="18" hidden="1">
      <c r="A194" s="163" t="s">
        <v>105</v>
      </c>
      <c r="B194" s="157"/>
      <c r="C194" s="157"/>
      <c r="D194" s="158">
        <f t="shared" si="2"/>
        <v>0</v>
      </c>
    </row>
    <row r="195" spans="1:4" ht="18" hidden="1">
      <c r="A195" s="171" t="s">
        <v>11</v>
      </c>
      <c r="B195" s="157"/>
      <c r="C195" s="157"/>
      <c r="D195" s="158">
        <f t="shared" si="2"/>
        <v>0</v>
      </c>
    </row>
    <row r="196" spans="1:4" ht="18" hidden="1">
      <c r="A196" s="161" t="s">
        <v>12</v>
      </c>
      <c r="B196" s="157"/>
      <c r="C196" s="157"/>
      <c r="D196" s="158">
        <f t="shared" ref="D196:D259" si="3">B196*C196</f>
        <v>0</v>
      </c>
    </row>
    <row r="197" spans="1:4" ht="18" hidden="1">
      <c r="A197" s="171" t="s">
        <v>15</v>
      </c>
      <c r="B197" s="157"/>
      <c r="C197" s="157"/>
      <c r="D197" s="158">
        <f t="shared" si="3"/>
        <v>0</v>
      </c>
    </row>
    <row r="198" spans="1:4" ht="18" hidden="1">
      <c r="A198" s="161" t="s">
        <v>183</v>
      </c>
      <c r="B198" s="157"/>
      <c r="C198" s="181"/>
      <c r="D198" s="158">
        <f t="shared" si="3"/>
        <v>0</v>
      </c>
    </row>
    <row r="199" spans="1:4" ht="18" hidden="1">
      <c r="A199" s="161" t="s">
        <v>186</v>
      </c>
      <c r="B199" s="157"/>
      <c r="C199" s="157"/>
      <c r="D199" s="158">
        <f t="shared" si="3"/>
        <v>0</v>
      </c>
    </row>
    <row r="200" spans="1:4" ht="18" hidden="1">
      <c r="A200" s="156" t="s">
        <v>182</v>
      </c>
      <c r="B200" s="157"/>
      <c r="C200" s="157"/>
      <c r="D200" s="158">
        <f t="shared" si="3"/>
        <v>0</v>
      </c>
    </row>
    <row r="201" spans="1:4" ht="18" hidden="1">
      <c r="A201" s="182" t="s">
        <v>184</v>
      </c>
      <c r="B201" s="157"/>
      <c r="C201" s="157"/>
      <c r="D201" s="158">
        <f t="shared" si="3"/>
        <v>0</v>
      </c>
    </row>
    <row r="202" spans="1:4" ht="18">
      <c r="A202" s="161" t="s">
        <v>185</v>
      </c>
      <c r="B202" s="157">
        <v>35</v>
      </c>
      <c r="C202" s="157">
        <v>11000</v>
      </c>
      <c r="D202" s="158">
        <f t="shared" si="3"/>
        <v>385000</v>
      </c>
    </row>
    <row r="203" spans="1:4" ht="18" hidden="1">
      <c r="A203" s="160" t="s">
        <v>187</v>
      </c>
      <c r="B203" s="157"/>
      <c r="C203" s="157"/>
      <c r="D203" s="158">
        <f t="shared" si="3"/>
        <v>0</v>
      </c>
    </row>
    <row r="204" spans="1:4" ht="18" hidden="1">
      <c r="A204" s="156" t="s">
        <v>242</v>
      </c>
      <c r="B204" s="157"/>
      <c r="C204" s="157"/>
      <c r="D204" s="158">
        <f t="shared" si="3"/>
        <v>0</v>
      </c>
    </row>
    <row r="205" spans="1:4" ht="18" hidden="1">
      <c r="A205" s="161" t="s">
        <v>127</v>
      </c>
      <c r="B205" s="157"/>
      <c r="C205" s="157"/>
      <c r="D205" s="158">
        <f t="shared" si="3"/>
        <v>0</v>
      </c>
    </row>
    <row r="206" spans="1:4" ht="18" hidden="1">
      <c r="A206" s="161" t="s">
        <v>128</v>
      </c>
      <c r="B206" s="157"/>
      <c r="C206" s="157"/>
      <c r="D206" s="158">
        <f t="shared" si="3"/>
        <v>0</v>
      </c>
    </row>
    <row r="207" spans="1:4" ht="18" hidden="1">
      <c r="A207" s="161" t="s">
        <v>129</v>
      </c>
      <c r="B207" s="157"/>
      <c r="C207" s="157"/>
      <c r="D207" s="158">
        <f t="shared" si="3"/>
        <v>0</v>
      </c>
    </row>
    <row r="208" spans="1:4" ht="18" hidden="1">
      <c r="A208" s="161" t="s">
        <v>138</v>
      </c>
      <c r="B208" s="157"/>
      <c r="C208" s="157"/>
      <c r="D208" s="158">
        <f t="shared" si="3"/>
        <v>0</v>
      </c>
    </row>
    <row r="209" spans="1:4" ht="18" hidden="1">
      <c r="A209" s="161" t="s">
        <v>149</v>
      </c>
      <c r="B209" s="157"/>
      <c r="C209" s="157"/>
      <c r="D209" s="158">
        <f t="shared" si="3"/>
        <v>0</v>
      </c>
    </row>
    <row r="210" spans="1:4" ht="18" hidden="1">
      <c r="A210" s="156" t="s">
        <v>153</v>
      </c>
      <c r="B210" s="157"/>
      <c r="C210" s="157"/>
      <c r="D210" s="158">
        <f t="shared" si="3"/>
        <v>0</v>
      </c>
    </row>
    <row r="211" spans="1:4" ht="18" hidden="1">
      <c r="A211" s="161" t="s">
        <v>154</v>
      </c>
      <c r="B211" s="157"/>
      <c r="C211" s="157"/>
      <c r="D211" s="158">
        <f t="shared" si="3"/>
        <v>0</v>
      </c>
    </row>
    <row r="212" spans="1:4" ht="18" hidden="1">
      <c r="A212" s="159" t="s">
        <v>223</v>
      </c>
      <c r="B212" s="157"/>
      <c r="C212" s="157"/>
      <c r="D212" s="158">
        <f t="shared" si="3"/>
        <v>0</v>
      </c>
    </row>
    <row r="213" spans="1:4" ht="18" hidden="1">
      <c r="A213" s="161" t="s">
        <v>224</v>
      </c>
      <c r="B213" s="157"/>
      <c r="C213" s="157"/>
      <c r="D213" s="158">
        <f t="shared" si="3"/>
        <v>0</v>
      </c>
    </row>
    <row r="214" spans="1:4" ht="18" hidden="1">
      <c r="A214" s="159" t="s">
        <v>245</v>
      </c>
      <c r="B214" s="157"/>
      <c r="C214" s="157"/>
      <c r="D214" s="158">
        <f t="shared" si="3"/>
        <v>0</v>
      </c>
    </row>
    <row r="215" spans="1:4" ht="18">
      <c r="A215" s="156" t="s">
        <v>22</v>
      </c>
      <c r="B215" s="157">
        <f>16+10</f>
        <v>26</v>
      </c>
      <c r="C215" s="157">
        <v>13500</v>
      </c>
      <c r="D215" s="158">
        <f t="shared" si="3"/>
        <v>351000</v>
      </c>
    </row>
    <row r="216" spans="1:4" ht="18" hidden="1">
      <c r="A216" s="161" t="s">
        <v>282</v>
      </c>
      <c r="B216" s="157"/>
      <c r="C216" s="157"/>
      <c r="D216" s="158">
        <f t="shared" si="3"/>
        <v>0</v>
      </c>
    </row>
    <row r="217" spans="1:4" ht="18" hidden="1">
      <c r="A217" s="159" t="s">
        <v>112</v>
      </c>
      <c r="B217" s="157"/>
      <c r="C217" s="157"/>
      <c r="D217" s="158">
        <f t="shared" si="3"/>
        <v>0</v>
      </c>
    </row>
    <row r="218" spans="1:4" ht="18" hidden="1">
      <c r="A218" s="159" t="s">
        <v>297</v>
      </c>
      <c r="B218" s="157"/>
      <c r="C218" s="157"/>
      <c r="D218" s="158">
        <f t="shared" si="3"/>
        <v>0</v>
      </c>
    </row>
    <row r="219" spans="1:4" ht="18" hidden="1">
      <c r="A219" s="161" t="s">
        <v>314</v>
      </c>
      <c r="B219" s="157"/>
      <c r="C219" s="157"/>
      <c r="D219" s="158">
        <f t="shared" si="3"/>
        <v>0</v>
      </c>
    </row>
    <row r="220" spans="1:4" ht="18" hidden="1">
      <c r="A220" s="164" t="s">
        <v>315</v>
      </c>
      <c r="B220" s="157"/>
      <c r="C220" s="157"/>
      <c r="D220" s="158">
        <f t="shared" si="3"/>
        <v>0</v>
      </c>
    </row>
    <row r="221" spans="1:4" ht="18" hidden="1">
      <c r="A221" s="161" t="s">
        <v>130</v>
      </c>
      <c r="B221" s="157"/>
      <c r="C221" s="157"/>
      <c r="D221" s="158">
        <f t="shared" si="3"/>
        <v>0</v>
      </c>
    </row>
    <row r="222" spans="1:4" ht="18" hidden="1">
      <c r="A222" s="156" t="s">
        <v>152</v>
      </c>
      <c r="B222" s="157"/>
      <c r="C222" s="157"/>
      <c r="D222" s="158">
        <f t="shared" si="3"/>
        <v>0</v>
      </c>
    </row>
    <row r="223" spans="1:4" ht="18" hidden="1">
      <c r="A223" s="161" t="s">
        <v>222</v>
      </c>
      <c r="B223" s="157"/>
      <c r="C223" s="157"/>
      <c r="D223" s="158">
        <f t="shared" si="3"/>
        <v>0</v>
      </c>
    </row>
    <row r="224" spans="1:4" ht="18" hidden="1">
      <c r="A224" s="161" t="s">
        <v>262</v>
      </c>
      <c r="B224" s="157"/>
      <c r="C224" s="157"/>
      <c r="D224" s="158">
        <f t="shared" si="3"/>
        <v>0</v>
      </c>
    </row>
    <row r="225" spans="1:4" ht="18" hidden="1">
      <c r="A225" s="159" t="s">
        <v>263</v>
      </c>
      <c r="B225" s="157"/>
      <c r="C225" s="157"/>
      <c r="D225" s="158">
        <f t="shared" si="3"/>
        <v>0</v>
      </c>
    </row>
    <row r="226" spans="1:4" ht="18">
      <c r="A226" s="161" t="s">
        <v>285</v>
      </c>
      <c r="B226" s="162">
        <v>0.3</v>
      </c>
      <c r="C226" s="157">
        <v>80000</v>
      </c>
      <c r="D226" s="158">
        <f t="shared" si="3"/>
        <v>24000</v>
      </c>
    </row>
    <row r="227" spans="1:4" ht="18" hidden="1">
      <c r="A227" s="161" t="s">
        <v>47</v>
      </c>
      <c r="B227" s="157"/>
      <c r="C227" s="157"/>
      <c r="D227" s="158">
        <f t="shared" si="3"/>
        <v>0</v>
      </c>
    </row>
    <row r="228" spans="1:4" ht="18" hidden="1">
      <c r="A228" s="161" t="s">
        <v>48</v>
      </c>
      <c r="B228" s="157"/>
      <c r="C228" s="157"/>
      <c r="D228" s="158">
        <f t="shared" si="3"/>
        <v>0</v>
      </c>
    </row>
    <row r="229" spans="1:4" ht="18" hidden="1">
      <c r="A229" s="159" t="s">
        <v>50</v>
      </c>
      <c r="B229" s="162"/>
      <c r="C229" s="162"/>
      <c r="D229" s="158">
        <f t="shared" si="3"/>
        <v>0</v>
      </c>
    </row>
    <row r="230" spans="1:4" ht="18" hidden="1">
      <c r="A230" s="164" t="s">
        <v>270</v>
      </c>
      <c r="B230" s="157"/>
      <c r="C230" s="157"/>
      <c r="D230" s="158">
        <f t="shared" si="3"/>
        <v>0</v>
      </c>
    </row>
    <row r="231" spans="1:4" ht="18" hidden="1">
      <c r="A231" s="161" t="s">
        <v>284</v>
      </c>
      <c r="B231" s="157"/>
      <c r="C231" s="157"/>
      <c r="D231" s="158">
        <f t="shared" si="3"/>
        <v>0</v>
      </c>
    </row>
    <row r="232" spans="1:4" ht="18" hidden="1">
      <c r="A232" s="159" t="s">
        <v>16</v>
      </c>
      <c r="B232" s="157"/>
      <c r="C232" s="157"/>
      <c r="D232" s="158">
        <f t="shared" si="3"/>
        <v>0</v>
      </c>
    </row>
    <row r="233" spans="1:4" ht="18" hidden="1">
      <c r="A233" s="163" t="s">
        <v>271</v>
      </c>
      <c r="B233" s="157"/>
      <c r="C233" s="157"/>
      <c r="D233" s="158">
        <f t="shared" si="3"/>
        <v>0</v>
      </c>
    </row>
    <row r="234" spans="1:4" ht="18" hidden="1">
      <c r="A234" s="163" t="s">
        <v>272</v>
      </c>
      <c r="B234" s="157"/>
      <c r="C234" s="157"/>
      <c r="D234" s="158">
        <f t="shared" si="3"/>
        <v>0</v>
      </c>
    </row>
    <row r="235" spans="1:4" ht="18" hidden="1">
      <c r="A235" s="159" t="s">
        <v>283</v>
      </c>
      <c r="B235" s="157"/>
      <c r="C235" s="157"/>
      <c r="D235" s="158">
        <f t="shared" si="3"/>
        <v>0</v>
      </c>
    </row>
    <row r="236" spans="1:4" ht="18" hidden="1">
      <c r="A236" s="161" t="s">
        <v>287</v>
      </c>
      <c r="B236" s="157"/>
      <c r="C236" s="157"/>
      <c r="D236" s="158">
        <f t="shared" si="3"/>
        <v>0</v>
      </c>
    </row>
    <row r="237" spans="1:4" ht="18" hidden="1">
      <c r="A237" s="159" t="s">
        <v>298</v>
      </c>
      <c r="B237" s="157"/>
      <c r="C237" s="157"/>
      <c r="D237" s="158">
        <f t="shared" si="3"/>
        <v>0</v>
      </c>
    </row>
    <row r="238" spans="1:4" ht="18" hidden="1">
      <c r="A238" s="156" t="s">
        <v>320</v>
      </c>
      <c r="B238" s="157"/>
      <c r="C238" s="157"/>
      <c r="D238" s="158">
        <f t="shared" si="3"/>
        <v>0</v>
      </c>
    </row>
    <row r="239" spans="1:4" ht="18" hidden="1">
      <c r="A239" s="161" t="s">
        <v>323</v>
      </c>
      <c r="B239" s="157"/>
      <c r="C239" s="157"/>
      <c r="D239" s="158">
        <f t="shared" si="3"/>
        <v>0</v>
      </c>
    </row>
    <row r="240" spans="1:4" ht="18" hidden="1">
      <c r="A240" s="163" t="s">
        <v>326</v>
      </c>
      <c r="B240" s="157"/>
      <c r="C240" s="157"/>
      <c r="D240" s="158">
        <f t="shared" si="3"/>
        <v>0</v>
      </c>
    </row>
    <row r="241" spans="1:4" ht="18" hidden="1">
      <c r="A241" s="161" t="s">
        <v>329</v>
      </c>
      <c r="B241" s="157"/>
      <c r="C241" s="157"/>
      <c r="D241" s="158">
        <f t="shared" si="3"/>
        <v>0</v>
      </c>
    </row>
    <row r="242" spans="1:4" ht="18">
      <c r="A242" s="161" t="s">
        <v>330</v>
      </c>
      <c r="B242" s="157">
        <v>1</v>
      </c>
      <c r="C242" s="157">
        <v>28000</v>
      </c>
      <c r="D242" s="158">
        <f t="shared" si="3"/>
        <v>28000</v>
      </c>
    </row>
    <row r="243" spans="1:4" ht="18" hidden="1">
      <c r="A243" s="163" t="s">
        <v>332</v>
      </c>
      <c r="B243" s="157"/>
      <c r="C243" s="157"/>
      <c r="D243" s="158">
        <f t="shared" si="3"/>
        <v>0</v>
      </c>
    </row>
    <row r="244" spans="1:4" ht="18">
      <c r="A244" s="161" t="s">
        <v>341</v>
      </c>
      <c r="B244" s="157">
        <v>1</v>
      </c>
      <c r="C244" s="157">
        <v>28000</v>
      </c>
      <c r="D244" s="158">
        <f t="shared" si="3"/>
        <v>28000</v>
      </c>
    </row>
    <row r="245" spans="1:4" ht="18" hidden="1">
      <c r="A245" s="156" t="s">
        <v>193</v>
      </c>
      <c r="B245" s="157"/>
      <c r="C245" s="157"/>
      <c r="D245" s="158">
        <f t="shared" si="3"/>
        <v>0</v>
      </c>
    </row>
    <row r="246" spans="1:4" ht="18" hidden="1">
      <c r="A246" s="161" t="s">
        <v>194</v>
      </c>
      <c r="B246" s="157"/>
      <c r="C246" s="157"/>
      <c r="D246" s="158">
        <f t="shared" si="3"/>
        <v>0</v>
      </c>
    </row>
    <row r="247" spans="1:4" ht="18" hidden="1">
      <c r="A247" s="161" t="s">
        <v>195</v>
      </c>
      <c r="B247" s="157"/>
      <c r="C247" s="157"/>
      <c r="D247" s="158">
        <f t="shared" si="3"/>
        <v>0</v>
      </c>
    </row>
    <row r="248" spans="1:4" ht="18" hidden="1">
      <c r="A248" s="163" t="s">
        <v>343</v>
      </c>
      <c r="B248" s="157"/>
      <c r="C248" s="157"/>
      <c r="D248" s="158">
        <f t="shared" si="3"/>
        <v>0</v>
      </c>
    </row>
    <row r="249" spans="1:4" ht="18" hidden="1">
      <c r="A249" s="161" t="s">
        <v>322</v>
      </c>
      <c r="B249" s="157"/>
      <c r="C249" s="157"/>
      <c r="D249" s="158">
        <f t="shared" si="3"/>
        <v>0</v>
      </c>
    </row>
    <row r="250" spans="1:4" ht="18" hidden="1">
      <c r="A250" s="161" t="s">
        <v>345</v>
      </c>
      <c r="B250" s="157"/>
      <c r="C250" s="157"/>
      <c r="D250" s="158">
        <f t="shared" si="3"/>
        <v>0</v>
      </c>
    </row>
    <row r="251" spans="1:4" ht="18" hidden="1">
      <c r="A251" s="161" t="s">
        <v>348</v>
      </c>
      <c r="B251" s="157"/>
      <c r="C251" s="157"/>
      <c r="D251" s="158">
        <f t="shared" si="3"/>
        <v>0</v>
      </c>
    </row>
    <row r="252" spans="1:4" ht="18" hidden="1">
      <c r="A252" s="161" t="s">
        <v>328</v>
      </c>
      <c r="B252" s="157"/>
      <c r="C252" s="157"/>
      <c r="D252" s="158">
        <f t="shared" si="3"/>
        <v>0</v>
      </c>
    </row>
    <row r="253" spans="1:4" ht="18" hidden="1">
      <c r="A253" s="161" t="s">
        <v>349</v>
      </c>
      <c r="B253" s="157"/>
      <c r="C253" s="157"/>
      <c r="D253" s="158">
        <f t="shared" si="3"/>
        <v>0</v>
      </c>
    </row>
    <row r="254" spans="1:4" ht="18" hidden="1">
      <c r="A254" s="161" t="s">
        <v>331</v>
      </c>
      <c r="B254" s="157"/>
      <c r="C254" s="157"/>
      <c r="D254" s="158">
        <f t="shared" si="3"/>
        <v>0</v>
      </c>
    </row>
    <row r="255" spans="1:4" ht="18" hidden="1">
      <c r="A255" s="161" t="s">
        <v>333</v>
      </c>
      <c r="B255" s="157"/>
      <c r="C255" s="157"/>
      <c r="D255" s="158">
        <f t="shared" si="3"/>
        <v>0</v>
      </c>
    </row>
    <row r="256" spans="1:4" ht="18" hidden="1">
      <c r="A256" s="161" t="s">
        <v>337</v>
      </c>
      <c r="B256" s="157"/>
      <c r="C256" s="157"/>
      <c r="D256" s="158">
        <f t="shared" si="3"/>
        <v>0</v>
      </c>
    </row>
    <row r="257" spans="1:4" ht="18" hidden="1">
      <c r="A257" s="163" t="s">
        <v>339</v>
      </c>
      <c r="B257" s="157"/>
      <c r="C257" s="157"/>
      <c r="D257" s="158">
        <f t="shared" si="3"/>
        <v>0</v>
      </c>
    </row>
    <row r="258" spans="1:4" ht="18" hidden="1">
      <c r="A258" s="163" t="s">
        <v>340</v>
      </c>
      <c r="B258" s="157"/>
      <c r="C258" s="157"/>
      <c r="D258" s="158">
        <f t="shared" si="3"/>
        <v>0</v>
      </c>
    </row>
    <row r="259" spans="1:4" ht="18" hidden="1">
      <c r="A259" s="161" t="s">
        <v>342</v>
      </c>
      <c r="B259" s="157"/>
      <c r="C259" s="157"/>
      <c r="D259" s="158">
        <f t="shared" si="3"/>
        <v>0</v>
      </c>
    </row>
    <row r="260" spans="1:4" ht="18" hidden="1">
      <c r="A260" s="161" t="s">
        <v>344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346</v>
      </c>
      <c r="B261" s="157"/>
      <c r="C261" s="157"/>
      <c r="D261" s="158">
        <f t="shared" si="4"/>
        <v>0</v>
      </c>
    </row>
    <row r="262" spans="1:4" ht="18" hidden="1">
      <c r="A262" s="161" t="s">
        <v>347</v>
      </c>
      <c r="B262" s="157"/>
      <c r="C262" s="157"/>
      <c r="D262" s="158">
        <f t="shared" si="4"/>
        <v>0</v>
      </c>
    </row>
    <row r="263" spans="1:4" ht="18" hidden="1">
      <c r="A263" s="161" t="s">
        <v>350</v>
      </c>
      <c r="B263" s="157"/>
      <c r="C263" s="157"/>
      <c r="D263" s="158">
        <f t="shared" si="4"/>
        <v>0</v>
      </c>
    </row>
    <row r="264" spans="1:4" ht="18" hidden="1">
      <c r="A264" s="161" t="s">
        <v>351</v>
      </c>
      <c r="B264" s="157"/>
      <c r="C264" s="157"/>
      <c r="D264" s="158">
        <f t="shared" si="4"/>
        <v>0</v>
      </c>
    </row>
    <row r="265" spans="1:4" ht="18" hidden="1">
      <c r="A265" s="164" t="s">
        <v>303</v>
      </c>
      <c r="B265" s="157"/>
      <c r="C265" s="157"/>
      <c r="D265" s="158">
        <f t="shared" si="4"/>
        <v>0</v>
      </c>
    </row>
    <row r="266" spans="1:4" ht="18" hidden="1">
      <c r="A266" s="161" t="s">
        <v>304</v>
      </c>
      <c r="B266" s="157"/>
      <c r="C266" s="157"/>
      <c r="D266" s="158">
        <f t="shared" si="4"/>
        <v>0</v>
      </c>
    </row>
    <row r="267" spans="1:4" ht="18">
      <c r="A267" s="161" t="s">
        <v>302</v>
      </c>
      <c r="B267" s="157">
        <v>10</v>
      </c>
      <c r="C267" s="157">
        <v>11000</v>
      </c>
      <c r="D267" s="158">
        <f t="shared" si="4"/>
        <v>110000</v>
      </c>
    </row>
    <row r="268" spans="1:4" ht="18" hidden="1">
      <c r="A268" s="161" t="s">
        <v>31</v>
      </c>
      <c r="B268" s="157"/>
      <c r="C268" s="157"/>
      <c r="D268" s="158">
        <f t="shared" si="4"/>
        <v>0</v>
      </c>
    </row>
    <row r="269" spans="1:4" ht="18" hidden="1">
      <c r="A269" s="161" t="s">
        <v>34</v>
      </c>
      <c r="B269" s="157"/>
      <c r="C269" s="157"/>
      <c r="D269" s="158">
        <f t="shared" si="4"/>
        <v>0</v>
      </c>
    </row>
    <row r="270" spans="1:4" ht="18" hidden="1">
      <c r="A270" s="161" t="s">
        <v>30</v>
      </c>
      <c r="B270" s="157"/>
      <c r="C270" s="157"/>
      <c r="D270" s="158">
        <f t="shared" si="4"/>
        <v>0</v>
      </c>
    </row>
    <row r="271" spans="1:4" ht="18">
      <c r="A271" s="161" t="s">
        <v>32</v>
      </c>
      <c r="B271" s="157">
        <f>-30+12+10+10</f>
        <v>2</v>
      </c>
      <c r="C271" s="157">
        <v>12000</v>
      </c>
      <c r="D271" s="158">
        <f t="shared" si="4"/>
        <v>24000</v>
      </c>
    </row>
    <row r="272" spans="1:4" ht="18" hidden="1">
      <c r="A272" s="161" t="s">
        <v>33</v>
      </c>
      <c r="B272" s="157"/>
      <c r="C272" s="157"/>
      <c r="D272" s="158">
        <f t="shared" si="4"/>
        <v>0</v>
      </c>
    </row>
    <row r="273" spans="1:4" ht="18" hidden="1">
      <c r="A273" s="173" t="s">
        <v>60</v>
      </c>
      <c r="B273" s="157"/>
      <c r="C273" s="157"/>
      <c r="D273" s="158">
        <f t="shared" si="4"/>
        <v>0</v>
      </c>
    </row>
    <row r="274" spans="1:4" ht="18" hidden="1">
      <c r="A274" s="161" t="s">
        <v>63</v>
      </c>
      <c r="B274" s="157"/>
      <c r="C274" s="157"/>
      <c r="D274" s="158">
        <f t="shared" si="4"/>
        <v>0</v>
      </c>
    </row>
    <row r="275" spans="1:4" ht="18">
      <c r="A275" s="161" t="s">
        <v>58</v>
      </c>
      <c r="B275" s="157">
        <v>5</v>
      </c>
      <c r="C275" s="157">
        <v>26000</v>
      </c>
      <c r="D275" s="158">
        <f t="shared" si="4"/>
        <v>130000</v>
      </c>
    </row>
    <row r="276" spans="1:4" ht="18" hidden="1">
      <c r="A276" s="161" t="s">
        <v>59</v>
      </c>
      <c r="B276" s="157"/>
      <c r="C276" s="157"/>
      <c r="D276" s="158">
        <f t="shared" si="4"/>
        <v>0</v>
      </c>
    </row>
    <row r="277" spans="1:4" ht="18" hidden="1">
      <c r="A277" s="161" t="s">
        <v>64</v>
      </c>
      <c r="B277" s="157"/>
      <c r="C277" s="157"/>
      <c r="D277" s="158">
        <f t="shared" si="4"/>
        <v>0</v>
      </c>
    </row>
    <row r="278" spans="1:4" ht="18" hidden="1">
      <c r="A278" s="183" t="s">
        <v>145</v>
      </c>
      <c r="B278" s="157"/>
      <c r="C278" s="157"/>
      <c r="D278" s="158">
        <f t="shared" si="4"/>
        <v>0</v>
      </c>
    </row>
    <row r="279" spans="1:4" ht="18">
      <c r="A279" s="156" t="s">
        <v>146</v>
      </c>
      <c r="B279" s="162">
        <v>2.5</v>
      </c>
      <c r="C279" s="162">
        <v>16000</v>
      </c>
      <c r="D279" s="158">
        <f t="shared" si="4"/>
        <v>40000</v>
      </c>
    </row>
    <row r="280" spans="1:4" ht="18" hidden="1">
      <c r="A280" s="161" t="s">
        <v>147</v>
      </c>
      <c r="B280" s="157"/>
      <c r="C280" s="157"/>
      <c r="D280" s="158">
        <f t="shared" si="4"/>
        <v>0</v>
      </c>
    </row>
    <row r="281" spans="1:4" ht="18" hidden="1">
      <c r="A281" s="161" t="s">
        <v>148</v>
      </c>
      <c r="B281" s="157"/>
      <c r="C281" s="157"/>
      <c r="D281" s="158">
        <f t="shared" si="4"/>
        <v>0</v>
      </c>
    </row>
    <row r="282" spans="1:4" ht="18">
      <c r="A282" s="161" t="s">
        <v>305</v>
      </c>
      <c r="B282" s="157">
        <v>15</v>
      </c>
      <c r="C282" s="157">
        <v>6500</v>
      </c>
      <c r="D282" s="158">
        <f t="shared" si="4"/>
        <v>97500</v>
      </c>
    </row>
    <row r="283" spans="1:4" ht="18" hidden="1">
      <c r="A283" s="164" t="s">
        <v>306</v>
      </c>
      <c r="B283" s="157"/>
      <c r="C283" s="157"/>
      <c r="D283" s="158">
        <f t="shared" si="4"/>
        <v>0</v>
      </c>
    </row>
    <row r="284" spans="1:4" ht="18" hidden="1">
      <c r="A284" s="161" t="s">
        <v>24</v>
      </c>
      <c r="B284" s="157"/>
      <c r="C284" s="157"/>
      <c r="D284" s="158">
        <f t="shared" si="4"/>
        <v>0</v>
      </c>
    </row>
    <row r="285" spans="1:4" ht="18">
      <c r="A285" s="173" t="s">
        <v>25</v>
      </c>
      <c r="B285" s="157">
        <f>10+28+12+5</f>
        <v>55</v>
      </c>
      <c r="C285" s="157">
        <v>4000</v>
      </c>
      <c r="D285" s="158">
        <f t="shared" si="4"/>
        <v>220000</v>
      </c>
    </row>
    <row r="286" spans="1:4" ht="18" hidden="1">
      <c r="A286" s="159" t="s">
        <v>26</v>
      </c>
      <c r="B286" s="157"/>
      <c r="C286" s="184"/>
      <c r="D286" s="158">
        <f t="shared" si="4"/>
        <v>0</v>
      </c>
    </row>
    <row r="287" spans="1:4" ht="18" hidden="1">
      <c r="A287" s="161" t="s">
        <v>172</v>
      </c>
      <c r="B287" s="157"/>
      <c r="C287" s="157"/>
      <c r="D287" s="158">
        <f t="shared" si="4"/>
        <v>0</v>
      </c>
    </row>
    <row r="288" spans="1:4" ht="18" hidden="1">
      <c r="A288" s="161" t="s">
        <v>173</v>
      </c>
      <c r="B288" s="157"/>
      <c r="C288" s="157"/>
      <c r="D288" s="158">
        <f t="shared" si="4"/>
        <v>0</v>
      </c>
    </row>
    <row r="289" spans="1:4" ht="18" hidden="1">
      <c r="A289" s="161" t="s">
        <v>174</v>
      </c>
      <c r="B289" s="157"/>
      <c r="C289" s="157"/>
      <c r="D289" s="158">
        <f t="shared" si="4"/>
        <v>0</v>
      </c>
    </row>
    <row r="290" spans="1:4" ht="18" hidden="1">
      <c r="A290" s="161" t="s">
        <v>175</v>
      </c>
      <c r="B290" s="157"/>
      <c r="C290" s="157"/>
      <c r="D290" s="158">
        <f t="shared" si="4"/>
        <v>0</v>
      </c>
    </row>
    <row r="291" spans="1:4" ht="18" hidden="1">
      <c r="A291" s="178" t="s">
        <v>13</v>
      </c>
      <c r="B291" s="157"/>
      <c r="C291" s="157"/>
      <c r="D291" s="158">
        <f t="shared" si="4"/>
        <v>0</v>
      </c>
    </row>
    <row r="292" spans="1:4" ht="18" hidden="1">
      <c r="A292" s="171" t="s">
        <v>14</v>
      </c>
      <c r="B292" s="157"/>
      <c r="C292" s="157"/>
      <c r="D292" s="158">
        <f t="shared" si="4"/>
        <v>0</v>
      </c>
    </row>
    <row r="293" spans="1:4" ht="18" hidden="1">
      <c r="A293" s="159" t="s">
        <v>38</v>
      </c>
      <c r="B293" s="157"/>
      <c r="C293" s="157"/>
      <c r="D293" s="158">
        <f t="shared" si="4"/>
        <v>0</v>
      </c>
    </row>
    <row r="294" spans="1:4" ht="18" hidden="1">
      <c r="A294" s="159" t="s">
        <v>40</v>
      </c>
      <c r="B294" s="157"/>
      <c r="C294" s="157"/>
      <c r="D294" s="158">
        <f t="shared" si="4"/>
        <v>0</v>
      </c>
    </row>
    <row r="295" spans="1:4" ht="18" hidden="1">
      <c r="A295" s="159" t="s">
        <v>41</v>
      </c>
      <c r="B295" s="157"/>
      <c r="C295" s="157"/>
      <c r="D295" s="158">
        <f t="shared" si="4"/>
        <v>0</v>
      </c>
    </row>
    <row r="296" spans="1:4" ht="18" hidden="1">
      <c r="A296" s="159" t="s">
        <v>43</v>
      </c>
      <c r="B296" s="157"/>
      <c r="C296" s="157"/>
      <c r="D296" s="158">
        <f t="shared" si="4"/>
        <v>0</v>
      </c>
    </row>
    <row r="297" spans="1:4" ht="18" hidden="1">
      <c r="A297" s="159" t="s">
        <v>44</v>
      </c>
      <c r="B297" s="157"/>
      <c r="C297" s="157"/>
      <c r="D297" s="158">
        <f t="shared" si="4"/>
        <v>0</v>
      </c>
    </row>
    <row r="298" spans="1:4" ht="18" hidden="1">
      <c r="A298" s="159" t="s">
        <v>45</v>
      </c>
      <c r="B298" s="157"/>
      <c r="C298" s="157"/>
      <c r="D298" s="158">
        <f t="shared" si="4"/>
        <v>0</v>
      </c>
    </row>
    <row r="299" spans="1:4" ht="18" hidden="1">
      <c r="A299" s="185" t="s">
        <v>77</v>
      </c>
      <c r="B299" s="157"/>
      <c r="C299" s="157"/>
      <c r="D299" s="158">
        <f t="shared" si="4"/>
        <v>0</v>
      </c>
    </row>
    <row r="300" spans="1:4" ht="18" hidden="1">
      <c r="A300" s="156" t="s">
        <v>81</v>
      </c>
      <c r="B300" s="157"/>
      <c r="C300" s="157"/>
      <c r="D300" s="158">
        <f t="shared" si="4"/>
        <v>0</v>
      </c>
    </row>
    <row r="301" spans="1:4" ht="18" hidden="1">
      <c r="A301" s="159" t="s">
        <v>116</v>
      </c>
      <c r="B301" s="157"/>
      <c r="C301" s="157"/>
      <c r="D301" s="158">
        <f t="shared" si="4"/>
        <v>0</v>
      </c>
    </row>
    <row r="302" spans="1:4" ht="18" hidden="1">
      <c r="A302" s="186" t="s">
        <v>122</v>
      </c>
      <c r="B302" s="157"/>
      <c r="C302" s="157"/>
      <c r="D302" s="158">
        <f t="shared" si="4"/>
        <v>0</v>
      </c>
    </row>
    <row r="303" spans="1:4" ht="18" hidden="1">
      <c r="A303" s="161" t="s">
        <v>133</v>
      </c>
      <c r="B303" s="157"/>
      <c r="C303" s="157"/>
      <c r="D303" s="158">
        <f t="shared" si="4"/>
        <v>0</v>
      </c>
    </row>
    <row r="304" spans="1:4" ht="18" hidden="1">
      <c r="A304" s="159" t="s">
        <v>135</v>
      </c>
      <c r="B304" s="157"/>
      <c r="C304" s="157"/>
      <c r="D304" s="158">
        <f t="shared" si="4"/>
        <v>0</v>
      </c>
    </row>
    <row r="305" spans="1:4" ht="18" hidden="1">
      <c r="A305" s="159" t="s">
        <v>136</v>
      </c>
      <c r="B305" s="157"/>
      <c r="C305" s="157"/>
      <c r="D305" s="158">
        <f t="shared" si="4"/>
        <v>0</v>
      </c>
    </row>
    <row r="306" spans="1:4" ht="18" hidden="1">
      <c r="A306" s="161" t="s">
        <v>158</v>
      </c>
      <c r="B306" s="157"/>
      <c r="C306" s="157"/>
      <c r="D306" s="158">
        <f t="shared" si="4"/>
        <v>0</v>
      </c>
    </row>
    <row r="307" spans="1:4" ht="18" hidden="1">
      <c r="A307" s="161" t="s">
        <v>179</v>
      </c>
      <c r="B307" s="157"/>
      <c r="C307" s="157"/>
      <c r="D307" s="158">
        <f t="shared" si="4"/>
        <v>0</v>
      </c>
    </row>
    <row r="308" spans="1:4" ht="18" hidden="1">
      <c r="A308" s="164" t="s">
        <v>204</v>
      </c>
      <c r="B308" s="157"/>
      <c r="C308" s="157"/>
      <c r="D308" s="158">
        <f t="shared" si="4"/>
        <v>0</v>
      </c>
    </row>
    <row r="309" spans="1:4" ht="18" hidden="1">
      <c r="A309" s="164" t="s">
        <v>205</v>
      </c>
      <c r="B309" s="157"/>
      <c r="C309" s="157"/>
      <c r="D309" s="158">
        <f t="shared" si="4"/>
        <v>0</v>
      </c>
    </row>
    <row r="310" spans="1:4" ht="18" hidden="1">
      <c r="A310" s="164" t="s">
        <v>206</v>
      </c>
      <c r="B310" s="157"/>
      <c r="C310" s="157"/>
      <c r="D310" s="158">
        <f t="shared" si="4"/>
        <v>0</v>
      </c>
    </row>
    <row r="311" spans="1:4" ht="18" hidden="1">
      <c r="A311" s="164" t="s">
        <v>207</v>
      </c>
      <c r="B311" s="157"/>
      <c r="C311" s="157"/>
      <c r="D311" s="158">
        <f t="shared" si="4"/>
        <v>0</v>
      </c>
    </row>
    <row r="312" spans="1:4" ht="18" hidden="1">
      <c r="A312" s="161" t="s">
        <v>209</v>
      </c>
      <c r="B312" s="157"/>
      <c r="C312" s="157"/>
      <c r="D312" s="158">
        <f t="shared" si="4"/>
        <v>0</v>
      </c>
    </row>
    <row r="313" spans="1:4" ht="18" hidden="1">
      <c r="A313" s="187" t="s">
        <v>210</v>
      </c>
      <c r="B313" s="157"/>
      <c r="C313" s="157"/>
      <c r="D313" s="158">
        <f t="shared" si="4"/>
        <v>0</v>
      </c>
    </row>
    <row r="314" spans="1:4" ht="18" hidden="1">
      <c r="A314" s="187" t="s">
        <v>211</v>
      </c>
      <c r="B314" s="157"/>
      <c r="C314" s="157"/>
      <c r="D314" s="158">
        <f t="shared" si="4"/>
        <v>0</v>
      </c>
    </row>
    <row r="315" spans="1:4" ht="18" hidden="1">
      <c r="A315" s="187" t="s">
        <v>212</v>
      </c>
      <c r="B315" s="157"/>
      <c r="C315" s="157"/>
      <c r="D315" s="158">
        <f t="shared" si="4"/>
        <v>0</v>
      </c>
    </row>
    <row r="316" spans="1:4" ht="18" hidden="1">
      <c r="A316" s="187" t="s">
        <v>213</v>
      </c>
      <c r="B316" s="157"/>
      <c r="C316" s="157"/>
      <c r="D316" s="158">
        <f t="shared" si="4"/>
        <v>0</v>
      </c>
    </row>
    <row r="317" spans="1:4" ht="18" hidden="1">
      <c r="A317" s="159" t="s">
        <v>241</v>
      </c>
      <c r="B317" s="157"/>
      <c r="C317" s="157"/>
      <c r="D317" s="158">
        <f t="shared" si="4"/>
        <v>0</v>
      </c>
    </row>
    <row r="318" spans="1:4" ht="18" hidden="1">
      <c r="A318" s="159" t="s">
        <v>243</v>
      </c>
      <c r="B318" s="157"/>
      <c r="C318" s="157"/>
      <c r="D318" s="158">
        <f t="shared" si="4"/>
        <v>0</v>
      </c>
    </row>
    <row r="319" spans="1:4" ht="18" hidden="1">
      <c r="A319" s="164" t="s">
        <v>244</v>
      </c>
      <c r="B319" s="157"/>
      <c r="C319" s="157"/>
      <c r="D319" s="158">
        <f t="shared" si="4"/>
        <v>0</v>
      </c>
    </row>
    <row r="320" spans="1:4" ht="18" hidden="1">
      <c r="A320" s="159" t="s">
        <v>246</v>
      </c>
      <c r="B320" s="157"/>
      <c r="C320" s="157"/>
      <c r="D320" s="158">
        <f t="shared" si="4"/>
        <v>0</v>
      </c>
    </row>
    <row r="321" spans="1:4" ht="18" hidden="1">
      <c r="A321" s="159" t="s">
        <v>247</v>
      </c>
      <c r="B321" s="157"/>
      <c r="C321" s="157"/>
      <c r="D321" s="158">
        <f t="shared" si="4"/>
        <v>0</v>
      </c>
    </row>
    <row r="322" spans="1:4" ht="18" hidden="1">
      <c r="A322" s="161" t="s">
        <v>248</v>
      </c>
      <c r="B322" s="157"/>
      <c r="C322" s="157"/>
      <c r="D322" s="158">
        <f t="shared" si="4"/>
        <v>0</v>
      </c>
    </row>
    <row r="323" spans="1:4" ht="18" hidden="1">
      <c r="A323" s="161" t="s">
        <v>249</v>
      </c>
      <c r="B323" s="157"/>
      <c r="C323" s="157"/>
      <c r="D323" s="158">
        <f t="shared" si="4"/>
        <v>0</v>
      </c>
    </row>
    <row r="324" spans="1:4" ht="18" hidden="1">
      <c r="A324" s="159" t="s">
        <v>250</v>
      </c>
      <c r="B324" s="157"/>
      <c r="C324" s="157"/>
      <c r="D324" s="158">
        <f t="shared" ref="D324:D387" si="5">B324*C324</f>
        <v>0</v>
      </c>
    </row>
    <row r="325" spans="1:4" ht="18" hidden="1">
      <c r="A325" s="173" t="s">
        <v>254</v>
      </c>
      <c r="B325" s="157"/>
      <c r="C325" s="157"/>
      <c r="D325" s="158">
        <f t="shared" si="5"/>
        <v>0</v>
      </c>
    </row>
    <row r="326" spans="1:4" ht="18" hidden="1">
      <c r="A326" s="173" t="s">
        <v>255</v>
      </c>
      <c r="B326" s="157"/>
      <c r="C326" s="157"/>
      <c r="D326" s="158">
        <f t="shared" si="5"/>
        <v>0</v>
      </c>
    </row>
    <row r="327" spans="1:4" ht="18" hidden="1">
      <c r="A327" s="187" t="s">
        <v>256</v>
      </c>
      <c r="B327" s="157"/>
      <c r="C327" s="157"/>
      <c r="D327" s="158">
        <f t="shared" si="5"/>
        <v>0</v>
      </c>
    </row>
    <row r="328" spans="1:4" ht="18" hidden="1">
      <c r="A328" s="187" t="s">
        <v>260</v>
      </c>
      <c r="B328" s="157"/>
      <c r="C328" s="157"/>
      <c r="D328" s="158">
        <f t="shared" si="5"/>
        <v>0</v>
      </c>
    </row>
    <row r="329" spans="1:4" ht="18" hidden="1">
      <c r="A329" s="161" t="s">
        <v>290</v>
      </c>
      <c r="B329" s="157"/>
      <c r="C329" s="157"/>
      <c r="D329" s="158">
        <f t="shared" si="5"/>
        <v>0</v>
      </c>
    </row>
    <row r="330" spans="1:4" ht="18" hidden="1">
      <c r="A330" s="187" t="s">
        <v>291</v>
      </c>
      <c r="B330" s="157"/>
      <c r="C330" s="157"/>
      <c r="D330" s="158">
        <f t="shared" si="5"/>
        <v>0</v>
      </c>
    </row>
    <row r="331" spans="1:4" ht="18" hidden="1">
      <c r="A331" s="187" t="s">
        <v>293</v>
      </c>
      <c r="B331" s="157"/>
      <c r="C331" s="157"/>
      <c r="D331" s="158">
        <f t="shared" si="5"/>
        <v>0</v>
      </c>
    </row>
    <row r="332" spans="1:4" ht="18" hidden="1">
      <c r="A332" s="187" t="s">
        <v>294</v>
      </c>
      <c r="B332" s="157"/>
      <c r="C332" s="157"/>
      <c r="D332" s="158">
        <f t="shared" si="5"/>
        <v>0</v>
      </c>
    </row>
    <row r="333" spans="1:4" ht="18" hidden="1">
      <c r="A333" s="186" t="s">
        <v>307</v>
      </c>
      <c r="B333" s="157"/>
      <c r="C333" s="157"/>
      <c r="D333" s="158">
        <f t="shared" si="5"/>
        <v>0</v>
      </c>
    </row>
    <row r="334" spans="1:4" ht="18" hidden="1">
      <c r="A334" s="173" t="s">
        <v>310</v>
      </c>
      <c r="B334" s="157"/>
      <c r="C334" s="157"/>
      <c r="D334" s="158">
        <f t="shared" si="5"/>
        <v>0</v>
      </c>
    </row>
    <row r="335" spans="1:4" ht="18" hidden="1">
      <c r="A335" s="161" t="s">
        <v>316</v>
      </c>
      <c r="B335" s="157"/>
      <c r="C335" s="157"/>
      <c r="D335" s="158">
        <f t="shared" si="5"/>
        <v>0</v>
      </c>
    </row>
    <row r="336" spans="1:4" ht="18" hidden="1">
      <c r="A336" s="161" t="s">
        <v>317</v>
      </c>
      <c r="B336" s="157"/>
      <c r="C336" s="157"/>
      <c r="D336" s="158">
        <f t="shared" si="5"/>
        <v>0</v>
      </c>
    </row>
    <row r="337" spans="1:4" ht="18" hidden="1">
      <c r="A337" s="159" t="s">
        <v>318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3864.8</v>
      </c>
      <c r="C340" s="189"/>
      <c r="D340" s="158">
        <f>SUM(D3:D285)</f>
        <v>56651000</v>
      </c>
    </row>
    <row r="341" spans="1:4" ht="18" hidden="1">
      <c r="D341" s="158">
        <f t="shared" si="5"/>
        <v>0</v>
      </c>
    </row>
    <row r="342" spans="1:4" ht="18">
      <c r="A342" s="151" t="s">
        <v>430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61" t="s">
        <v>124</v>
      </c>
      <c r="B345" s="157"/>
      <c r="C345" s="157"/>
      <c r="D345" s="158">
        <f t="shared" si="5"/>
        <v>0</v>
      </c>
    </row>
    <row r="346" spans="1:4" ht="18">
      <c r="A346" s="161" t="s">
        <v>265</v>
      </c>
      <c r="B346" s="157">
        <v>20</v>
      </c>
      <c r="C346" s="157">
        <v>21000</v>
      </c>
      <c r="D346" s="158">
        <f>B346*C346</f>
        <v>420000</v>
      </c>
    </row>
    <row r="347" spans="1:4" ht="18">
      <c r="A347" s="161" t="s">
        <v>273</v>
      </c>
      <c r="B347" s="157">
        <v>20</v>
      </c>
      <c r="C347" s="157">
        <v>21000</v>
      </c>
      <c r="D347" s="158">
        <f t="shared" si="5"/>
        <v>420000</v>
      </c>
    </row>
    <row r="348" spans="1:4" ht="18">
      <c r="A348" s="161" t="s">
        <v>277</v>
      </c>
      <c r="B348" s="157">
        <v>20</v>
      </c>
      <c r="C348" s="157">
        <v>28000</v>
      </c>
      <c r="D348" s="158">
        <f t="shared" si="5"/>
        <v>560000</v>
      </c>
    </row>
    <row r="349" spans="1:4" ht="18" hidden="1">
      <c r="A349" s="161" t="s">
        <v>227</v>
      </c>
      <c r="B349" s="157"/>
      <c r="C349" s="157"/>
      <c r="D349" s="158">
        <f t="shared" si="5"/>
        <v>0</v>
      </c>
    </row>
    <row r="350" spans="1:4" ht="18">
      <c r="A350" s="161" t="s">
        <v>230</v>
      </c>
      <c r="B350" s="157">
        <v>300</v>
      </c>
      <c r="C350" s="157">
        <v>15000</v>
      </c>
      <c r="D350" s="158">
        <f t="shared" si="5"/>
        <v>4500000</v>
      </c>
    </row>
    <row r="351" spans="1:4" ht="18">
      <c r="A351" s="161" t="s">
        <v>117</v>
      </c>
      <c r="B351" s="157">
        <v>36</v>
      </c>
      <c r="C351" s="157">
        <v>8500</v>
      </c>
      <c r="D351" s="158">
        <f t="shared" si="5"/>
        <v>306000</v>
      </c>
    </row>
    <row r="352" spans="1:4" ht="18" hidden="1">
      <c r="A352" s="159" t="s">
        <v>121</v>
      </c>
      <c r="B352" s="157"/>
      <c r="C352" s="157"/>
      <c r="D352" s="158">
        <f t="shared" si="5"/>
        <v>0</v>
      </c>
    </row>
    <row r="353" spans="1:4" ht="18">
      <c r="A353" s="161" t="s">
        <v>150</v>
      </c>
      <c r="B353" s="157">
        <v>24</v>
      </c>
      <c r="C353" s="157">
        <v>15000</v>
      </c>
      <c r="D353" s="158">
        <f t="shared" si="5"/>
        <v>360000</v>
      </c>
    </row>
    <row r="354" spans="1:4" ht="18" hidden="1">
      <c r="A354" s="156" t="s">
        <v>208</v>
      </c>
      <c r="B354" s="157"/>
      <c r="C354" s="157"/>
      <c r="D354" s="158">
        <f t="shared" si="5"/>
        <v>0</v>
      </c>
    </row>
    <row r="355" spans="1:4" ht="18" hidden="1">
      <c r="A355" s="161" t="s">
        <v>19</v>
      </c>
      <c r="B355" s="157"/>
      <c r="C355" s="157"/>
      <c r="D355" s="158">
        <f t="shared" si="5"/>
        <v>0</v>
      </c>
    </row>
    <row r="356" spans="1:4" ht="18" hidden="1">
      <c r="A356" s="161" t="s">
        <v>366</v>
      </c>
      <c r="B356" s="157"/>
      <c r="C356" s="157"/>
      <c r="D356" s="158">
        <f t="shared" si="5"/>
        <v>0</v>
      </c>
    </row>
    <row r="357" spans="1:4" ht="18" hidden="1">
      <c r="A357" s="161" t="s">
        <v>288</v>
      </c>
      <c r="B357" s="157"/>
      <c r="C357" s="157"/>
      <c r="D357" s="158">
        <f t="shared" si="5"/>
        <v>0</v>
      </c>
    </row>
    <row r="358" spans="1:4" ht="18" hidden="1">
      <c r="A358" s="171" t="s">
        <v>6</v>
      </c>
      <c r="B358" s="157"/>
      <c r="C358" s="157"/>
      <c r="D358" s="158">
        <f t="shared" si="5"/>
        <v>0</v>
      </c>
    </row>
    <row r="359" spans="1:4" ht="18" hidden="1">
      <c r="A359" s="161" t="s">
        <v>100</v>
      </c>
      <c r="B359" s="157"/>
      <c r="C359" s="157"/>
      <c r="D359" s="158">
        <f t="shared" si="5"/>
        <v>0</v>
      </c>
    </row>
    <row r="360" spans="1:4" ht="18">
      <c r="A360" s="161" t="s">
        <v>137</v>
      </c>
      <c r="B360" s="157">
        <v>20</v>
      </c>
      <c r="C360" s="157">
        <v>11000</v>
      </c>
      <c r="D360" s="158">
        <f t="shared" si="5"/>
        <v>220000</v>
      </c>
    </row>
    <row r="361" spans="1:4" ht="18" hidden="1">
      <c r="A361" s="161" t="s">
        <v>55</v>
      </c>
      <c r="B361" s="157"/>
      <c r="C361" s="157"/>
      <c r="D361" s="158">
        <f t="shared" si="5"/>
        <v>0</v>
      </c>
    </row>
    <row r="362" spans="1:4" ht="18">
      <c r="A362" s="156" t="s">
        <v>65</v>
      </c>
      <c r="B362" s="157">
        <v>300</v>
      </c>
      <c r="C362" s="157">
        <v>23000</v>
      </c>
      <c r="D362" s="158">
        <f t="shared" si="5"/>
        <v>6900000</v>
      </c>
    </row>
    <row r="363" spans="1:4" ht="18">
      <c r="A363" s="161" t="s">
        <v>27</v>
      </c>
      <c r="B363" s="157">
        <v>1330</v>
      </c>
      <c r="C363" s="157">
        <v>11500</v>
      </c>
      <c r="D363" s="158">
        <f t="shared" si="5"/>
        <v>15295000</v>
      </c>
    </row>
    <row r="364" spans="1:4" ht="18" hidden="1">
      <c r="A364" s="161" t="s">
        <v>308</v>
      </c>
      <c r="B364" s="157"/>
      <c r="C364" s="157"/>
      <c r="D364" s="158">
        <f t="shared" si="5"/>
        <v>0</v>
      </c>
    </row>
    <row r="365" spans="1:4" ht="18">
      <c r="A365" s="161" t="s">
        <v>219</v>
      </c>
      <c r="B365" s="157">
        <v>400</v>
      </c>
      <c r="C365" s="157">
        <v>20000</v>
      </c>
      <c r="D365" s="158">
        <f t="shared" si="5"/>
        <v>8000000</v>
      </c>
    </row>
    <row r="366" spans="1:4" ht="18" hidden="1">
      <c r="A366" s="164" t="s">
        <v>67</v>
      </c>
      <c r="B366" s="157"/>
      <c r="C366" s="157"/>
      <c r="D366" s="158">
        <f t="shared" si="5"/>
        <v>0</v>
      </c>
    </row>
    <row r="367" spans="1:4" ht="18">
      <c r="A367" s="161" t="s">
        <v>169</v>
      </c>
      <c r="B367" s="157">
        <v>11</v>
      </c>
      <c r="C367" s="157">
        <v>9000</v>
      </c>
      <c r="D367" s="158">
        <f t="shared" si="5"/>
        <v>99000</v>
      </c>
    </row>
    <row r="368" spans="1:4" ht="18">
      <c r="A368" s="161" t="s">
        <v>90</v>
      </c>
      <c r="B368" s="157">
        <v>150</v>
      </c>
      <c r="C368" s="157">
        <v>30000</v>
      </c>
      <c r="D368" s="158">
        <f t="shared" si="5"/>
        <v>4500000</v>
      </c>
    </row>
    <row r="369" spans="1:4" ht="18" hidden="1">
      <c r="A369" s="156" t="s">
        <v>198</v>
      </c>
      <c r="B369" s="157"/>
      <c r="C369" s="157"/>
      <c r="D369" s="158">
        <f t="shared" si="5"/>
        <v>0</v>
      </c>
    </row>
    <row r="370" spans="1:4" ht="18">
      <c r="A370" s="161" t="s">
        <v>368</v>
      </c>
      <c r="B370" s="157">
        <v>12</v>
      </c>
      <c r="C370" s="157">
        <v>12000</v>
      </c>
      <c r="D370" s="158">
        <f t="shared" si="5"/>
        <v>144000</v>
      </c>
    </row>
    <row r="371" spans="1:4" ht="18" hidden="1">
      <c r="A371" s="161" t="s">
        <v>119</v>
      </c>
      <c r="B371" s="157"/>
      <c r="C371" s="157"/>
      <c r="D371" s="158">
        <f t="shared" si="5"/>
        <v>0</v>
      </c>
    </row>
    <row r="372" spans="1:4" ht="18" hidden="1">
      <c r="A372" s="161" t="s">
        <v>362</v>
      </c>
      <c r="B372" s="157"/>
      <c r="C372" s="157"/>
      <c r="D372" s="158">
        <f t="shared" si="5"/>
        <v>0</v>
      </c>
    </row>
    <row r="373" spans="1:4" ht="18" hidden="1">
      <c r="A373" s="161" t="s">
        <v>302</v>
      </c>
      <c r="B373" s="157"/>
      <c r="C373" s="157"/>
      <c r="D373" s="158">
        <f t="shared" si="5"/>
        <v>0</v>
      </c>
    </row>
    <row r="374" spans="1:4" ht="18" hidden="1">
      <c r="A374" s="161" t="s">
        <v>30</v>
      </c>
      <c r="B374" s="157"/>
      <c r="C374" s="157"/>
      <c r="D374" s="158">
        <f t="shared" si="5"/>
        <v>0</v>
      </c>
    </row>
    <row r="375" spans="1:4" ht="18">
      <c r="A375" s="161" t="s">
        <v>32</v>
      </c>
      <c r="B375" s="157">
        <v>30</v>
      </c>
      <c r="C375" s="157">
        <v>12000</v>
      </c>
      <c r="D375" s="158">
        <f t="shared" si="5"/>
        <v>360000</v>
      </c>
    </row>
    <row r="376" spans="1:4" ht="18" hidden="1">
      <c r="A376" s="161" t="s">
        <v>63</v>
      </c>
      <c r="B376" s="157"/>
      <c r="C376" s="157"/>
      <c r="D376" s="158">
        <f t="shared" si="5"/>
        <v>0</v>
      </c>
    </row>
    <row r="377" spans="1:4" ht="18" hidden="1">
      <c r="A377" s="161" t="s">
        <v>104</v>
      </c>
      <c r="B377" s="157"/>
      <c r="C377" s="157"/>
      <c r="D377" s="158">
        <f t="shared" si="5"/>
        <v>0</v>
      </c>
    </row>
    <row r="378" spans="1:4" ht="18">
      <c r="A378" s="171" t="s">
        <v>11</v>
      </c>
      <c r="B378" s="157">
        <v>300</v>
      </c>
      <c r="C378" s="157">
        <v>7300</v>
      </c>
      <c r="D378" s="158">
        <f t="shared" si="5"/>
        <v>2190000</v>
      </c>
    </row>
    <row r="379" spans="1:4" ht="18">
      <c r="A379" s="161" t="s">
        <v>365</v>
      </c>
      <c r="B379" s="157">
        <v>320</v>
      </c>
      <c r="C379" s="157">
        <v>6500</v>
      </c>
      <c r="D379" s="158">
        <f t="shared" si="5"/>
        <v>2080000</v>
      </c>
    </row>
    <row r="380" spans="1:4" ht="18" hidden="1">
      <c r="A380" s="161" t="s">
        <v>328</v>
      </c>
      <c r="B380" s="157"/>
      <c r="C380" s="157"/>
      <c r="D380" s="158">
        <f t="shared" si="5"/>
        <v>0</v>
      </c>
    </row>
    <row r="381" spans="1:4" ht="18" hidden="1">
      <c r="A381" s="161" t="s">
        <v>344</v>
      </c>
      <c r="B381" s="157"/>
      <c r="C381" s="157"/>
      <c r="D381" s="158">
        <f t="shared" si="5"/>
        <v>0</v>
      </c>
    </row>
    <row r="382" spans="1:4" ht="18" hidden="1">
      <c r="A382" s="161" t="s">
        <v>347</v>
      </c>
      <c r="B382" s="157"/>
      <c r="C382" s="157"/>
      <c r="D382" s="158">
        <f t="shared" si="5"/>
        <v>0</v>
      </c>
    </row>
    <row r="383" spans="1:4" ht="18" hidden="1">
      <c r="A383" s="161" t="s">
        <v>147</v>
      </c>
      <c r="B383" s="157"/>
      <c r="C383" s="157"/>
      <c r="D383" s="158">
        <f t="shared" si="5"/>
        <v>0</v>
      </c>
    </row>
    <row r="384" spans="1:4" ht="18" hidden="1">
      <c r="A384" s="161" t="s">
        <v>305</v>
      </c>
      <c r="B384" s="157"/>
      <c r="C384" s="157"/>
      <c r="D384" s="158">
        <f t="shared" si="5"/>
        <v>0</v>
      </c>
    </row>
    <row r="385" spans="1:4" ht="18">
      <c r="A385" s="161" t="s">
        <v>174</v>
      </c>
      <c r="B385" s="157">
        <v>5</v>
      </c>
      <c r="C385" s="157">
        <v>8500</v>
      </c>
      <c r="D385" s="158">
        <f t="shared" si="5"/>
        <v>42500</v>
      </c>
    </row>
    <row r="386" spans="1:4" ht="18" hidden="1">
      <c r="A386" s="159" t="s">
        <v>241</v>
      </c>
      <c r="B386" s="157"/>
      <c r="C386" s="157"/>
      <c r="D386" s="158">
        <f t="shared" si="5"/>
        <v>0</v>
      </c>
    </row>
    <row r="387" spans="1:4" ht="18" hidden="1">
      <c r="A387" s="163" t="s">
        <v>371</v>
      </c>
      <c r="B387" s="157"/>
      <c r="C387" s="157"/>
      <c r="D387" s="158">
        <f t="shared" si="5"/>
        <v>0</v>
      </c>
    </row>
    <row r="388" spans="1:4" ht="17.399999999999999">
      <c r="A388" s="188"/>
      <c r="B388" s="189">
        <v>3298</v>
      </c>
      <c r="C388" s="189"/>
      <c r="D388" s="189">
        <f>SUBTOTAL(9,D344:D387)</f>
        <v>46396500</v>
      </c>
    </row>
    <row r="390" spans="1:4">
      <c r="D390" s="190">
        <f>D388+D340</f>
        <v>103047500</v>
      </c>
    </row>
  </sheetData>
  <protectedRanges>
    <protectedRange password="CF71" sqref="B3:C339 B1:D2" name="tho"/>
    <protectedRange password="CF71" sqref="D3:D387" name="tho_2"/>
    <protectedRange password="CF71" sqref="B342:C342 C343:C344" name="tho_1"/>
    <protectedRange password="CF71" sqref="B343:B344" name="tho_2_1"/>
    <protectedRange password="CF71" sqref="C345" name="tho_3"/>
    <protectedRange password="CF71" sqref="B345" name="tho_2_2"/>
    <protectedRange password="CF71" sqref="C346" name="tho_4"/>
    <protectedRange password="CF71" sqref="B346" name="tho_2_3"/>
    <protectedRange password="CF71" sqref="C347" name="tho_5"/>
    <protectedRange password="CF71" sqref="B347" name="tho_2_4"/>
    <protectedRange password="CF71" sqref="C348" name="tho_6"/>
    <protectedRange password="CF71" sqref="B348" name="tho_2_5"/>
    <protectedRange password="CF71" sqref="C349" name="tho_7"/>
    <protectedRange password="CF71" sqref="B349" name="tho_2_6"/>
    <protectedRange password="CF71" sqref="C350" name="tho_8"/>
    <protectedRange password="CF71" sqref="B350" name="tho_2_7"/>
    <protectedRange password="CF71" sqref="C351" name="tho_9"/>
    <protectedRange password="CF71" sqref="B351" name="tho_2_8"/>
    <protectedRange password="CF71" sqref="C352" name="tho_10"/>
    <protectedRange password="CF71" sqref="B352" name="tho_2_9"/>
    <protectedRange password="CF71" sqref="C353" name="tho_11"/>
    <protectedRange password="CF71" sqref="B353" name="tho_2_10"/>
    <protectedRange password="CF71" sqref="C354" name="tho_12"/>
    <protectedRange password="CF71" sqref="B354" name="tho_2_11"/>
    <protectedRange password="CF71" sqref="C355" name="tho_13"/>
    <protectedRange password="CF71" sqref="B355" name="tho_2_12"/>
    <protectedRange password="CF71" sqref="C356" name="tho_14"/>
    <protectedRange password="CF71" sqref="B356" name="tho_2_13"/>
    <protectedRange password="CF71" sqref="C357" name="tho_15"/>
    <protectedRange password="CF71" sqref="B357" name="tho_2_14"/>
    <protectedRange password="CF71" sqref="C358" name="tho_16"/>
    <protectedRange password="CF71" sqref="B358" name="tho_2_15"/>
    <protectedRange password="CF71" sqref="C359" name="tho_17"/>
    <protectedRange password="CF71" sqref="B359" name="tho_2_16"/>
    <protectedRange password="CF71" sqref="C360" name="tho_18"/>
    <protectedRange password="CF71" sqref="B360" name="tho_2_17"/>
    <protectedRange password="CF71" sqref="C361" name="tho_19"/>
    <protectedRange password="CF71" sqref="B361" name="tho_2_18"/>
    <protectedRange password="CF71" sqref="C362" name="tho_20"/>
    <protectedRange password="CF71" sqref="B362" name="tho_2_19"/>
    <protectedRange password="CF71" sqref="C363" name="tho_21"/>
    <protectedRange password="CF71" sqref="B363" name="tho_2_20"/>
    <protectedRange password="CF71" sqref="C364" name="tho_22"/>
    <protectedRange password="CF71" sqref="B364" name="tho_2_21"/>
    <protectedRange password="CF71" sqref="C365" name="tho_23"/>
    <protectedRange password="CF71" sqref="B365" name="tho_2_22"/>
    <protectedRange password="CF71" sqref="C366" name="tho_24"/>
    <protectedRange password="CF71" sqref="B366" name="tho_2_23"/>
    <protectedRange password="CF71" sqref="C367" name="tho_25"/>
    <protectedRange password="CF71" sqref="B367" name="tho_2_24"/>
    <protectedRange password="CF71" sqref="C368" name="tho_26"/>
    <protectedRange password="CF71" sqref="B368" name="tho_2_25"/>
    <protectedRange password="CF71" sqref="C369" name="tho_27"/>
    <protectedRange password="CF71" sqref="B369" name="tho_2_26"/>
    <protectedRange password="CF71" sqref="C370" name="tho_28"/>
    <protectedRange password="CF71" sqref="B370" name="tho_2_27"/>
    <protectedRange password="CF71" sqref="C371" name="tho_29"/>
    <protectedRange password="CF71" sqref="B371" name="tho_2_28"/>
    <protectedRange password="CF71" sqref="C372" name="tho_30"/>
    <protectedRange password="CF71" sqref="B372" name="tho_2_29"/>
    <protectedRange password="CF71" sqref="C373" name="tho_31"/>
    <protectedRange password="CF71" sqref="B373" name="tho_2_30"/>
    <protectedRange password="CF71" sqref="C374" name="tho_32"/>
    <protectedRange password="CF71" sqref="B374" name="tho_2_31"/>
    <protectedRange password="CF71" sqref="C375" name="tho_33"/>
    <protectedRange password="CF71" sqref="B375" name="tho_2_32"/>
    <protectedRange password="CF71" sqref="C376" name="tho_34"/>
    <protectedRange password="CF71" sqref="B376" name="tho_2_33"/>
    <protectedRange password="CF71" sqref="C377" name="tho_35"/>
    <protectedRange password="CF71" sqref="B377" name="tho_2_34"/>
    <protectedRange password="CF71" sqref="C378" name="tho_36"/>
    <protectedRange password="CF71" sqref="B378" name="tho_2_35"/>
    <protectedRange password="CF71" sqref="C379" name="tho_37"/>
    <protectedRange password="CF71" sqref="B379" name="tho_2_36"/>
    <protectedRange password="CF71" sqref="C380" name="tho_38"/>
    <protectedRange password="CF71" sqref="B380" name="tho_2_37"/>
    <protectedRange password="CF71" sqref="C381" name="tho_39"/>
    <protectedRange password="CF71" sqref="B381" name="tho_2_38"/>
    <protectedRange password="CF71" sqref="C382" name="tho_40"/>
    <protectedRange password="CF71" sqref="B382" name="tho_2_39"/>
    <protectedRange password="CF71" sqref="C383" name="tho_41"/>
    <protectedRange password="CF71" sqref="B383" name="tho_2_40"/>
    <protectedRange password="CF71" sqref="C384" name="tho_42"/>
    <protectedRange password="CF71" sqref="B384" name="tho_2_41"/>
    <protectedRange password="CF71" sqref="C385" name="tho_43"/>
    <protectedRange password="CF71" sqref="B385" name="tho_2_42"/>
    <protectedRange password="CF71" sqref="C386:C387" name="tho_44"/>
    <protectedRange password="CF71" sqref="B386:B387" name="tho_2_43"/>
  </protectedRanges>
  <autoFilter ref="A2:D388" xr:uid="{00000000-0009-0000-0000-00001B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674"/>
  <sheetViews>
    <sheetView topLeftCell="A259" workbookViewId="0">
      <selection activeCell="K677" sqref="K677"/>
    </sheetView>
  </sheetViews>
  <sheetFormatPr defaultRowHeight="14.4"/>
  <cols>
    <col min="1" max="1" width="42.33203125" customWidth="1"/>
    <col min="3" max="3" width="17.44140625" customWidth="1"/>
    <col min="4" max="4" width="20.88671875" customWidth="1"/>
  </cols>
  <sheetData>
    <row r="1" spans="1:4">
      <c r="A1" s="151" t="s">
        <v>431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 hidden="1">
      <c r="A18" s="173" t="s">
        <v>25</v>
      </c>
      <c r="B18" s="157"/>
      <c r="C18" s="157"/>
      <c r="D18" s="158">
        <f t="shared" si="0"/>
        <v>0</v>
      </c>
    </row>
    <row r="19" spans="1:4" ht="18">
      <c r="A19" s="159" t="s">
        <v>26</v>
      </c>
      <c r="B19" s="157">
        <v>5</v>
      </c>
      <c r="C19" s="184">
        <v>13000</v>
      </c>
      <c r="D19" s="158">
        <f t="shared" si="0"/>
        <v>65000</v>
      </c>
    </row>
    <row r="20" spans="1:4" ht="18">
      <c r="A20" s="161" t="s">
        <v>27</v>
      </c>
      <c r="B20" s="157">
        <v>1500</v>
      </c>
      <c r="C20" s="157">
        <v>11500</v>
      </c>
      <c r="D20" s="158">
        <f t="shared" si="0"/>
        <v>17250000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 hidden="1">
      <c r="A25" s="161" t="s">
        <v>32</v>
      </c>
      <c r="B25" s="157"/>
      <c r="C25" s="157"/>
      <c r="D25" s="158">
        <f t="shared" si="0"/>
        <v>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>
      <c r="A38" s="156" t="s">
        <v>46</v>
      </c>
      <c r="B38" s="157">
        <f>50-30</f>
        <v>20</v>
      </c>
      <c r="C38" s="157">
        <v>12000</v>
      </c>
      <c r="D38" s="158">
        <f t="shared" si="0"/>
        <v>240000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-300+200+520+20</f>
        <v>440</v>
      </c>
      <c r="C54" s="157">
        <v>23000</v>
      </c>
      <c r="D54" s="158">
        <f t="shared" si="0"/>
        <v>10120000</v>
      </c>
    </row>
    <row r="55" spans="1:4" ht="18" hidden="1">
      <c r="A55" s="161" t="s">
        <v>66</v>
      </c>
      <c r="B55" s="157"/>
      <c r="C55" s="157"/>
      <c r="D55" s="158">
        <f t="shared" si="0"/>
        <v>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 hidden="1">
      <c r="A57" s="164" t="s">
        <v>69</v>
      </c>
      <c r="B57" s="157"/>
      <c r="C57" s="157"/>
      <c r="D57" s="158">
        <f t="shared" si="0"/>
        <v>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3</v>
      </c>
      <c r="C61" s="157">
        <v>12500</v>
      </c>
      <c r="D61" s="158">
        <f t="shared" si="0"/>
        <v>37500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25</v>
      </c>
      <c r="C64" s="157">
        <v>21000</v>
      </c>
      <c r="D64" s="158">
        <f t="shared" si="0"/>
        <v>525000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4</v>
      </c>
      <c r="C70" s="157">
        <v>8000</v>
      </c>
      <c r="D70" s="158">
        <f t="shared" si="1"/>
        <v>32000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-150+20+110+40+120-50</f>
        <v>90</v>
      </c>
      <c r="C78" s="157">
        <v>30000</v>
      </c>
      <c r="D78" s="158">
        <f t="shared" si="1"/>
        <v>2700000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f>60+18</f>
        <v>78</v>
      </c>
      <c r="C80" s="157">
        <v>30000</v>
      </c>
      <c r="D80" s="158">
        <f t="shared" si="1"/>
        <v>2340000</v>
      </c>
    </row>
    <row r="81" spans="1:4" ht="18">
      <c r="A81" s="161" t="s">
        <v>94</v>
      </c>
      <c r="B81" s="157">
        <v>15</v>
      </c>
      <c r="C81" s="157">
        <v>25000</v>
      </c>
      <c r="D81" s="158">
        <f t="shared" si="1"/>
        <v>375000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>
      <c r="A91" s="161" t="s">
        <v>104</v>
      </c>
      <c r="B91" s="157">
        <v>20</v>
      </c>
      <c r="C91" s="157">
        <v>9000</v>
      </c>
      <c r="D91" s="158">
        <f t="shared" si="1"/>
        <v>180000</v>
      </c>
    </row>
    <row r="92" spans="1:4" ht="18">
      <c r="A92" s="163" t="s">
        <v>105</v>
      </c>
      <c r="B92" s="157">
        <v>58</v>
      </c>
      <c r="C92" s="157">
        <v>6000</v>
      </c>
      <c r="D92" s="158">
        <f t="shared" si="1"/>
        <v>348000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f>55+10</f>
        <v>65</v>
      </c>
      <c r="C104" s="157">
        <v>8500</v>
      </c>
      <c r="D104" s="158">
        <f t="shared" si="1"/>
        <v>552500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2</v>
      </c>
      <c r="C132" s="162">
        <v>16000</v>
      </c>
      <c r="D132" s="158">
        <f t="shared" ref="D132:D195" si="2">B132*C132</f>
        <v>32000</v>
      </c>
    </row>
    <row r="133" spans="1:4" ht="18">
      <c r="A133" s="161" t="s">
        <v>147</v>
      </c>
      <c r="B133" s="157">
        <v>20</v>
      </c>
      <c r="C133" s="157">
        <v>9000</v>
      </c>
      <c r="D133" s="158">
        <f t="shared" si="2"/>
        <v>180000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-60+78</f>
        <v>18</v>
      </c>
      <c r="C136" s="157">
        <v>15000</v>
      </c>
      <c r="D136" s="158">
        <f t="shared" si="2"/>
        <v>270000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>
      <c r="A149" s="161" t="s">
        <v>163</v>
      </c>
      <c r="B149" s="162">
        <v>0.3</v>
      </c>
      <c r="C149" s="162">
        <v>60000</v>
      </c>
      <c r="D149" s="158">
        <f t="shared" si="2"/>
        <v>18000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 hidden="1">
      <c r="A156" s="161" t="s">
        <v>170</v>
      </c>
      <c r="B156" s="157"/>
      <c r="C156" s="157"/>
      <c r="D156" s="158">
        <f t="shared" si="2"/>
        <v>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>
      <c r="A171" s="161" t="s">
        <v>185</v>
      </c>
      <c r="B171" s="157">
        <f>11+5+4</f>
        <v>20</v>
      </c>
      <c r="C171" s="157">
        <v>11000</v>
      </c>
      <c r="D171" s="158">
        <f t="shared" si="2"/>
        <v>220000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 hidden="1">
      <c r="A175" s="169" t="s">
        <v>189</v>
      </c>
      <c r="B175" s="170"/>
      <c r="C175" s="170"/>
      <c r="D175" s="158">
        <f t="shared" si="2"/>
        <v>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>
      <c r="A177" s="161" t="s">
        <v>191</v>
      </c>
      <c r="B177" s="157">
        <v>5</v>
      </c>
      <c r="C177" s="157">
        <v>43000</v>
      </c>
      <c r="D177" s="158">
        <f t="shared" si="2"/>
        <v>215000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>
      <c r="A185" s="161" t="s">
        <v>199</v>
      </c>
      <c r="B185" s="157">
        <f>230/0.3</f>
        <v>766.66666666666674</v>
      </c>
      <c r="C185" s="157">
        <v>2500</v>
      </c>
      <c r="D185" s="158">
        <f t="shared" si="2"/>
        <v>1916666.6666666667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140+200</f>
        <v>340</v>
      </c>
      <c r="C202" s="157">
        <v>21000</v>
      </c>
      <c r="D202" s="158">
        <f t="shared" si="3"/>
        <v>7140000</v>
      </c>
    </row>
    <row r="203" spans="1:4" ht="18">
      <c r="A203" s="156" t="s">
        <v>217</v>
      </c>
      <c r="B203" s="157">
        <f>180+100</f>
        <v>280</v>
      </c>
      <c r="C203" s="157">
        <v>22000</v>
      </c>
      <c r="D203" s="158">
        <f t="shared" si="3"/>
        <v>6160000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>
      <c r="A205" s="161" t="s">
        <v>219</v>
      </c>
      <c r="B205" s="157">
        <f>-400+220+340+120</f>
        <v>280</v>
      </c>
      <c r="C205" s="157">
        <v>20000</v>
      </c>
      <c r="D205" s="158">
        <f t="shared" si="3"/>
        <v>5600000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 hidden="1">
      <c r="A211" s="161" t="s">
        <v>225</v>
      </c>
      <c r="B211" s="157"/>
      <c r="C211" s="157"/>
      <c r="D211" s="158">
        <f t="shared" si="3"/>
        <v>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-300+200+65+120+20+60</f>
        <v>165</v>
      </c>
      <c r="C216" s="157">
        <v>15000</v>
      </c>
      <c r="D216" s="158">
        <f t="shared" si="3"/>
        <v>2475000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f>13/0.5</f>
        <v>26</v>
      </c>
      <c r="C218" s="157">
        <v>14000</v>
      </c>
      <c r="D218" s="158">
        <f t="shared" si="3"/>
        <v>364000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 hidden="1">
      <c r="A248" s="161" t="s">
        <v>262</v>
      </c>
      <c r="B248" s="157"/>
      <c r="C248" s="157"/>
      <c r="D248" s="158">
        <f t="shared" si="3"/>
        <v>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 hidden="1">
      <c r="A251" s="161" t="s">
        <v>265</v>
      </c>
      <c r="B251" s="157"/>
      <c r="C251" s="157"/>
      <c r="D251" s="158">
        <f t="shared" si="3"/>
        <v>0</v>
      </c>
    </row>
    <row r="252" spans="1:4" ht="18" hidden="1">
      <c r="A252" s="161" t="s">
        <v>266</v>
      </c>
      <c r="B252" s="157"/>
      <c r="C252" s="157"/>
      <c r="D252" s="158">
        <f t="shared" si="3"/>
        <v>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 hidden="1">
      <c r="A254" s="161" t="s">
        <v>268</v>
      </c>
      <c r="B254" s="157"/>
      <c r="C254" s="157"/>
      <c r="D254" s="158">
        <f t="shared" si="3"/>
        <v>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-20+12+4+13+30+38+11</f>
        <v>88</v>
      </c>
      <c r="C259" s="157">
        <v>19000</v>
      </c>
      <c r="D259" s="158">
        <f t="shared" si="3"/>
        <v>1672000</v>
      </c>
    </row>
    <row r="260" spans="1:4" ht="18" hidden="1">
      <c r="A260" s="161" t="s">
        <v>274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>
      <c r="A263" s="161" t="s">
        <v>277</v>
      </c>
      <c r="B263" s="157">
        <f>-20+26</f>
        <v>6</v>
      </c>
      <c r="C263" s="157">
        <v>28000</v>
      </c>
      <c r="D263" s="158">
        <f t="shared" si="4"/>
        <v>168000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 hidden="1">
      <c r="A270" s="161" t="s">
        <v>284</v>
      </c>
      <c r="B270" s="157"/>
      <c r="C270" s="157"/>
      <c r="D270" s="158">
        <f t="shared" si="4"/>
        <v>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1</v>
      </c>
      <c r="C274" s="157">
        <v>15000</v>
      </c>
      <c r="D274" s="158">
        <f t="shared" si="4"/>
        <v>15000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4</v>
      </c>
      <c r="C288" s="157">
        <v>10000</v>
      </c>
      <c r="D288" s="158">
        <f t="shared" si="4"/>
        <v>40000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8</v>
      </c>
      <c r="C291" s="157">
        <v>6500</v>
      </c>
      <c r="D291" s="158">
        <f t="shared" si="4"/>
        <v>52000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 hidden="1">
      <c r="A294" s="161" t="s">
        <v>308</v>
      </c>
      <c r="B294" s="157"/>
      <c r="C294" s="157"/>
      <c r="D294" s="158">
        <f t="shared" si="4"/>
        <v>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4352.9666666666672</v>
      </c>
      <c r="C340" s="189"/>
      <c r="D340" s="158">
        <f>SUM(D19:D291)</f>
        <v>61302666.666666664</v>
      </c>
    </row>
    <row r="341" spans="1:4" ht="18" hidden="1">
      <c r="D341" s="158">
        <f t="shared" si="5"/>
        <v>0</v>
      </c>
    </row>
    <row r="342" spans="1:4" ht="18">
      <c r="A342" s="151" t="s">
        <v>432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 hidden="1">
      <c r="A348" s="171" t="s">
        <v>11</v>
      </c>
      <c r="B348" s="157"/>
      <c r="C348" s="157"/>
      <c r="D348" s="158">
        <f t="shared" si="5"/>
        <v>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3</v>
      </c>
      <c r="C355" s="157">
        <v>6000</v>
      </c>
      <c r="D355" s="158">
        <f t="shared" si="5"/>
        <v>18000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f>-1500+2520+15</f>
        <v>1035</v>
      </c>
      <c r="C362" s="157">
        <v>11500</v>
      </c>
      <c r="D362" s="158">
        <f t="shared" si="5"/>
        <v>11902500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 hidden="1">
      <c r="A367" s="161" t="s">
        <v>32</v>
      </c>
      <c r="B367" s="157"/>
      <c r="C367" s="157"/>
      <c r="D367" s="158">
        <f t="shared" si="5"/>
        <v>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23000</v>
      </c>
      <c r="D389" s="158">
        <f t="shared" si="6"/>
        <v>6900000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150</v>
      </c>
      <c r="C414" s="157">
        <v>30000</v>
      </c>
      <c r="D414" s="158">
        <f t="shared" si="6"/>
        <v>4500000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 hidden="1">
      <c r="A449" s="161" t="s">
        <v>124</v>
      </c>
      <c r="B449" s="157"/>
      <c r="C449" s="157"/>
      <c r="D449" s="158">
        <f t="shared" si="6"/>
        <v>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>
      <c r="A454" s="161" t="s">
        <v>362</v>
      </c>
      <c r="B454" s="157">
        <v>4</v>
      </c>
      <c r="C454" s="157">
        <v>22000</v>
      </c>
      <c r="D454" s="158">
        <f t="shared" si="7"/>
        <v>88000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 hidden="1">
      <c r="A461" s="161" t="s">
        <v>137</v>
      </c>
      <c r="B461" s="157"/>
      <c r="C461" s="157"/>
      <c r="D461" s="158">
        <f t="shared" si="7"/>
        <v>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15000</v>
      </c>
      <c r="D472" s="158">
        <f t="shared" si="7"/>
        <v>900000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 hidden="1">
      <c r="A492" s="161" t="s">
        <v>169</v>
      </c>
      <c r="B492" s="157"/>
      <c r="C492" s="157"/>
      <c r="D492" s="158">
        <f t="shared" si="7"/>
        <v>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 hidden="1">
      <c r="A497" s="161" t="s">
        <v>174</v>
      </c>
      <c r="B497" s="157"/>
      <c r="C497" s="157"/>
      <c r="D497" s="158">
        <f t="shared" si="7"/>
        <v>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 hidden="1">
      <c r="A504" s="161" t="s">
        <v>365</v>
      </c>
      <c r="B504" s="157"/>
      <c r="C504" s="157"/>
      <c r="D504" s="158">
        <f t="shared" si="7"/>
        <v>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f>50+180+40</f>
        <v>270</v>
      </c>
      <c r="C520" s="157">
        <v>8000</v>
      </c>
      <c r="D520" s="158">
        <f t="shared" si="8"/>
        <v>2160000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400</v>
      </c>
      <c r="C542" s="157">
        <v>20000</v>
      </c>
      <c r="D542" s="158">
        <f t="shared" si="8"/>
        <v>8000000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>
      <c r="A553" s="161" t="s">
        <v>227</v>
      </c>
      <c r="B553" s="157">
        <v>10</v>
      </c>
      <c r="C553" s="157">
        <v>23000</v>
      </c>
      <c r="D553" s="158">
        <f t="shared" si="8"/>
        <v>230000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f>7+9</f>
        <v>16</v>
      </c>
      <c r="C585" s="157">
        <v>21000</v>
      </c>
      <c r="D585" s="158">
        <f t="shared" si="9"/>
        <v>336000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21000</v>
      </c>
      <c r="D593" s="158">
        <f t="shared" si="9"/>
        <v>420000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20</v>
      </c>
      <c r="C597" s="157">
        <v>28000</v>
      </c>
      <c r="D597" s="158">
        <f t="shared" si="9"/>
        <v>560000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2588</v>
      </c>
      <c r="C672" s="189"/>
      <c r="D672" s="189">
        <f t="shared" ref="D672" si="11">SUM(D345:D671)</f>
        <v>40514500</v>
      </c>
    </row>
    <row r="674" spans="4:4">
      <c r="D674" s="190">
        <f>D672+D340</f>
        <v>101817166.66666666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C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674"/>
  <sheetViews>
    <sheetView topLeftCell="A389" workbookViewId="0">
      <selection activeCell="D674" sqref="D674"/>
    </sheetView>
  </sheetViews>
  <sheetFormatPr defaultRowHeight="14.4"/>
  <cols>
    <col min="1" max="1" width="33.33203125" customWidth="1"/>
    <col min="2" max="2" width="8.5546875" customWidth="1"/>
    <col min="3" max="3" width="15" customWidth="1"/>
    <col min="4" max="4" width="20.44140625" customWidth="1"/>
  </cols>
  <sheetData>
    <row r="1" spans="1:4">
      <c r="A1" s="151" t="s">
        <v>433</v>
      </c>
      <c r="B1" s="152"/>
      <c r="C1" s="152"/>
      <c r="D1" s="152"/>
    </row>
    <row r="2" spans="1:4" ht="26.4">
      <c r="A2" s="153" t="s">
        <v>381</v>
      </c>
      <c r="B2" s="154" t="s">
        <v>3</v>
      </c>
      <c r="C2" s="154" t="s">
        <v>4</v>
      </c>
      <c r="D2" s="154" t="s">
        <v>5</v>
      </c>
    </row>
    <row r="3" spans="1:4" ht="18" hidden="1">
      <c r="A3" s="171" t="s">
        <v>6</v>
      </c>
      <c r="B3" s="157"/>
      <c r="C3" s="157"/>
      <c r="D3" s="158">
        <f>B3*C3</f>
        <v>0</v>
      </c>
    </row>
    <row r="4" spans="1:4" ht="18" hidden="1">
      <c r="A4" s="172" t="s">
        <v>8</v>
      </c>
      <c r="B4" s="157"/>
      <c r="C4" s="157"/>
      <c r="D4" s="158">
        <f t="shared" ref="D4:D67" si="0">B4*C4</f>
        <v>0</v>
      </c>
    </row>
    <row r="5" spans="1:4" ht="18" hidden="1">
      <c r="A5" s="171" t="s">
        <v>10</v>
      </c>
      <c r="B5" s="157"/>
      <c r="C5" s="157"/>
      <c r="D5" s="158">
        <f t="shared" si="0"/>
        <v>0</v>
      </c>
    </row>
    <row r="6" spans="1:4" ht="18" hidden="1">
      <c r="A6" s="171" t="s">
        <v>11</v>
      </c>
      <c r="B6" s="157"/>
      <c r="C6" s="157"/>
      <c r="D6" s="158">
        <f t="shared" si="0"/>
        <v>0</v>
      </c>
    </row>
    <row r="7" spans="1:4" ht="18" hidden="1">
      <c r="A7" s="161" t="s">
        <v>12</v>
      </c>
      <c r="B7" s="157"/>
      <c r="C7" s="157"/>
      <c r="D7" s="158">
        <f t="shared" si="0"/>
        <v>0</v>
      </c>
    </row>
    <row r="8" spans="1:4" ht="18" hidden="1">
      <c r="A8" s="178" t="s">
        <v>13</v>
      </c>
      <c r="B8" s="157"/>
      <c r="C8" s="157"/>
      <c r="D8" s="158">
        <f t="shared" si="0"/>
        <v>0</v>
      </c>
    </row>
    <row r="9" spans="1:4" ht="18" hidden="1">
      <c r="A9" s="171" t="s">
        <v>14</v>
      </c>
      <c r="B9" s="157"/>
      <c r="C9" s="157"/>
      <c r="D9" s="158">
        <f t="shared" si="0"/>
        <v>0</v>
      </c>
    </row>
    <row r="10" spans="1:4" ht="18" hidden="1">
      <c r="A10" s="171" t="s">
        <v>15</v>
      </c>
      <c r="B10" s="157"/>
      <c r="C10" s="157"/>
      <c r="D10" s="158">
        <f t="shared" si="0"/>
        <v>0</v>
      </c>
    </row>
    <row r="11" spans="1:4" ht="18" hidden="1">
      <c r="A11" s="159" t="s">
        <v>16</v>
      </c>
      <c r="B11" s="157"/>
      <c r="C11" s="157"/>
      <c r="D11" s="158">
        <f t="shared" si="0"/>
        <v>0</v>
      </c>
    </row>
    <row r="12" spans="1:4" ht="18" hidden="1">
      <c r="A12" s="161" t="s">
        <v>18</v>
      </c>
      <c r="B12" s="157"/>
      <c r="C12" s="157"/>
      <c r="D12" s="158">
        <f t="shared" si="0"/>
        <v>0</v>
      </c>
    </row>
    <row r="13" spans="1:4" ht="18" hidden="1">
      <c r="A13" s="161" t="s">
        <v>19</v>
      </c>
      <c r="B13" s="157"/>
      <c r="C13" s="157"/>
      <c r="D13" s="158">
        <f t="shared" si="0"/>
        <v>0</v>
      </c>
    </row>
    <row r="14" spans="1:4" ht="18" hidden="1">
      <c r="A14" s="156" t="s">
        <v>20</v>
      </c>
      <c r="B14" s="157"/>
      <c r="C14" s="157"/>
      <c r="D14" s="158">
        <f t="shared" si="0"/>
        <v>0</v>
      </c>
    </row>
    <row r="15" spans="1:4" ht="18" hidden="1">
      <c r="A15" s="156" t="s">
        <v>22</v>
      </c>
      <c r="B15" s="157"/>
      <c r="C15" s="157"/>
      <c r="D15" s="158">
        <f t="shared" si="0"/>
        <v>0</v>
      </c>
    </row>
    <row r="16" spans="1:4" ht="18" hidden="1">
      <c r="A16" s="161" t="s">
        <v>23</v>
      </c>
      <c r="B16" s="157"/>
      <c r="C16" s="157"/>
      <c r="D16" s="158">
        <f t="shared" si="0"/>
        <v>0</v>
      </c>
    </row>
    <row r="17" spans="1:4" ht="18" hidden="1">
      <c r="A17" s="161" t="s">
        <v>24</v>
      </c>
      <c r="B17" s="157"/>
      <c r="C17" s="157"/>
      <c r="D17" s="158">
        <f t="shared" si="0"/>
        <v>0</v>
      </c>
    </row>
    <row r="18" spans="1:4" ht="18">
      <c r="A18" s="173" t="s">
        <v>25</v>
      </c>
      <c r="B18" s="157">
        <v>72</v>
      </c>
      <c r="C18" s="157">
        <v>13000</v>
      </c>
      <c r="D18" s="158">
        <f t="shared" si="0"/>
        <v>936000</v>
      </c>
    </row>
    <row r="19" spans="1:4" ht="18" hidden="1">
      <c r="A19" s="159" t="s">
        <v>26</v>
      </c>
      <c r="B19" s="157"/>
      <c r="C19" s="184"/>
      <c r="D19" s="158">
        <f t="shared" si="0"/>
        <v>0</v>
      </c>
    </row>
    <row r="20" spans="1:4" ht="18">
      <c r="A20" s="161" t="s">
        <v>27</v>
      </c>
      <c r="B20" s="157">
        <v>1500</v>
      </c>
      <c r="C20" s="157">
        <v>12000</v>
      </c>
      <c r="D20" s="158">
        <f t="shared" si="0"/>
        <v>18000000</v>
      </c>
    </row>
    <row r="21" spans="1:4" ht="18" hidden="1">
      <c r="A21" s="156" t="s">
        <v>28</v>
      </c>
      <c r="B21" s="157"/>
      <c r="C21" s="157"/>
      <c r="D21" s="158">
        <f t="shared" si="0"/>
        <v>0</v>
      </c>
    </row>
    <row r="22" spans="1:4" ht="18" hidden="1">
      <c r="A22" s="156" t="s">
        <v>29</v>
      </c>
      <c r="B22" s="157"/>
      <c r="C22" s="157"/>
      <c r="D22" s="158">
        <f t="shared" si="0"/>
        <v>0</v>
      </c>
    </row>
    <row r="23" spans="1:4" ht="18" hidden="1">
      <c r="A23" s="161" t="s">
        <v>30</v>
      </c>
      <c r="B23" s="157"/>
      <c r="C23" s="157"/>
      <c r="D23" s="158">
        <f t="shared" si="0"/>
        <v>0</v>
      </c>
    </row>
    <row r="24" spans="1:4" ht="18" hidden="1">
      <c r="A24" s="161" t="s">
        <v>31</v>
      </c>
      <c r="B24" s="157"/>
      <c r="C24" s="157"/>
      <c r="D24" s="158">
        <f t="shared" si="0"/>
        <v>0</v>
      </c>
    </row>
    <row r="25" spans="1:4" ht="18" hidden="1">
      <c r="A25" s="161" t="s">
        <v>32</v>
      </c>
      <c r="B25" s="157"/>
      <c r="C25" s="157"/>
      <c r="D25" s="158">
        <f t="shared" si="0"/>
        <v>0</v>
      </c>
    </row>
    <row r="26" spans="1:4" ht="18" hidden="1">
      <c r="A26" s="161" t="s">
        <v>33</v>
      </c>
      <c r="B26" s="157"/>
      <c r="C26" s="157"/>
      <c r="D26" s="158">
        <f t="shared" si="0"/>
        <v>0</v>
      </c>
    </row>
    <row r="27" spans="1:4" ht="18" hidden="1">
      <c r="A27" s="161" t="s">
        <v>34</v>
      </c>
      <c r="B27" s="157"/>
      <c r="C27" s="157"/>
      <c r="D27" s="158">
        <f t="shared" si="0"/>
        <v>0</v>
      </c>
    </row>
    <row r="28" spans="1:4" ht="18" hidden="1">
      <c r="A28" s="161" t="s">
        <v>35</v>
      </c>
      <c r="B28" s="157"/>
      <c r="C28" s="157"/>
      <c r="D28" s="158">
        <f t="shared" si="0"/>
        <v>0</v>
      </c>
    </row>
    <row r="29" spans="1:4" ht="18" hidden="1">
      <c r="A29" s="159" t="s">
        <v>36</v>
      </c>
      <c r="B29" s="162"/>
      <c r="C29" s="162"/>
      <c r="D29" s="158">
        <f t="shared" si="0"/>
        <v>0</v>
      </c>
    </row>
    <row r="30" spans="1:4" ht="18" hidden="1">
      <c r="A30" s="156" t="s">
        <v>37</v>
      </c>
      <c r="B30" s="157"/>
      <c r="C30" s="157"/>
      <c r="D30" s="158">
        <f t="shared" si="0"/>
        <v>0</v>
      </c>
    </row>
    <row r="31" spans="1:4" ht="18" hidden="1">
      <c r="A31" s="159" t="s">
        <v>38</v>
      </c>
      <c r="B31" s="157"/>
      <c r="C31" s="157"/>
      <c r="D31" s="158">
        <f t="shared" si="0"/>
        <v>0</v>
      </c>
    </row>
    <row r="32" spans="1:4" ht="18" hidden="1">
      <c r="A32" s="159" t="s">
        <v>40</v>
      </c>
      <c r="B32" s="157"/>
      <c r="C32" s="157"/>
      <c r="D32" s="158">
        <f t="shared" si="0"/>
        <v>0</v>
      </c>
    </row>
    <row r="33" spans="1:4" ht="18" hidden="1">
      <c r="A33" s="159" t="s">
        <v>41</v>
      </c>
      <c r="B33" s="157"/>
      <c r="C33" s="157"/>
      <c r="D33" s="158">
        <f t="shared" si="0"/>
        <v>0</v>
      </c>
    </row>
    <row r="34" spans="1:4" ht="18" hidden="1">
      <c r="A34" s="156" t="s">
        <v>42</v>
      </c>
      <c r="B34" s="157"/>
      <c r="C34" s="157"/>
      <c r="D34" s="158">
        <f t="shared" si="0"/>
        <v>0</v>
      </c>
    </row>
    <row r="35" spans="1:4" ht="18" hidden="1">
      <c r="A35" s="159" t="s">
        <v>43</v>
      </c>
      <c r="B35" s="157"/>
      <c r="C35" s="157"/>
      <c r="D35" s="158">
        <f t="shared" si="0"/>
        <v>0</v>
      </c>
    </row>
    <row r="36" spans="1:4" ht="18" hidden="1">
      <c r="A36" s="159" t="s">
        <v>44</v>
      </c>
      <c r="B36" s="157"/>
      <c r="C36" s="157"/>
      <c r="D36" s="158">
        <f t="shared" si="0"/>
        <v>0</v>
      </c>
    </row>
    <row r="37" spans="1:4" ht="18" hidden="1">
      <c r="A37" s="159" t="s">
        <v>45</v>
      </c>
      <c r="B37" s="157"/>
      <c r="C37" s="157"/>
      <c r="D37" s="158">
        <f t="shared" si="0"/>
        <v>0</v>
      </c>
    </row>
    <row r="38" spans="1:4" ht="18" hidden="1">
      <c r="A38" s="156" t="s">
        <v>46</v>
      </c>
      <c r="B38" s="157"/>
      <c r="C38" s="157"/>
      <c r="D38" s="158">
        <f t="shared" si="0"/>
        <v>0</v>
      </c>
    </row>
    <row r="39" spans="1:4" ht="18" hidden="1">
      <c r="A39" s="161" t="s">
        <v>47</v>
      </c>
      <c r="B39" s="157"/>
      <c r="C39" s="157"/>
      <c r="D39" s="158">
        <f t="shared" si="0"/>
        <v>0</v>
      </c>
    </row>
    <row r="40" spans="1:4" ht="18" hidden="1">
      <c r="A40" s="161" t="s">
        <v>48</v>
      </c>
      <c r="B40" s="157"/>
      <c r="C40" s="157"/>
      <c r="D40" s="158">
        <f t="shared" si="0"/>
        <v>0</v>
      </c>
    </row>
    <row r="41" spans="1:4" ht="18" hidden="1">
      <c r="A41" s="159" t="s">
        <v>50</v>
      </c>
      <c r="B41" s="162"/>
      <c r="C41" s="162"/>
      <c r="D41" s="158">
        <f t="shared" si="0"/>
        <v>0</v>
      </c>
    </row>
    <row r="42" spans="1:4" ht="18" hidden="1">
      <c r="A42" s="161" t="s">
        <v>51</v>
      </c>
      <c r="B42" s="157"/>
      <c r="C42" s="157"/>
      <c r="D42" s="158">
        <f t="shared" si="0"/>
        <v>0</v>
      </c>
    </row>
    <row r="43" spans="1:4" ht="18" hidden="1">
      <c r="A43" s="161" t="s">
        <v>52</v>
      </c>
      <c r="B43" s="157"/>
      <c r="C43" s="157"/>
      <c r="D43" s="158">
        <f t="shared" si="0"/>
        <v>0</v>
      </c>
    </row>
    <row r="44" spans="1:4" ht="18" hidden="1">
      <c r="A44" s="164" t="s">
        <v>53</v>
      </c>
      <c r="B44" s="157"/>
      <c r="C44" s="157"/>
      <c r="D44" s="158">
        <f t="shared" si="0"/>
        <v>0</v>
      </c>
    </row>
    <row r="45" spans="1:4" ht="18" hidden="1">
      <c r="A45" s="161" t="s">
        <v>55</v>
      </c>
      <c r="B45" s="157"/>
      <c r="C45" s="157"/>
      <c r="D45" s="158">
        <f t="shared" si="0"/>
        <v>0</v>
      </c>
    </row>
    <row r="46" spans="1:4" ht="18" hidden="1">
      <c r="A46" s="161" t="s">
        <v>56</v>
      </c>
      <c r="B46" s="157"/>
      <c r="C46" s="157"/>
      <c r="D46" s="158">
        <f t="shared" si="0"/>
        <v>0</v>
      </c>
    </row>
    <row r="47" spans="1:4" ht="18" hidden="1">
      <c r="A47" s="161" t="s">
        <v>58</v>
      </c>
      <c r="B47" s="157"/>
      <c r="C47" s="157"/>
      <c r="D47" s="158">
        <f t="shared" si="0"/>
        <v>0</v>
      </c>
    </row>
    <row r="48" spans="1:4" ht="18" hidden="1">
      <c r="A48" s="180" t="s">
        <v>59</v>
      </c>
      <c r="B48" s="157"/>
      <c r="C48" s="157"/>
      <c r="D48" s="158">
        <f t="shared" si="0"/>
        <v>0</v>
      </c>
    </row>
    <row r="49" spans="1:4" ht="18" hidden="1">
      <c r="A49" s="173" t="s">
        <v>60</v>
      </c>
      <c r="B49" s="157"/>
      <c r="C49" s="157"/>
      <c r="D49" s="158">
        <f t="shared" si="0"/>
        <v>0</v>
      </c>
    </row>
    <row r="50" spans="1:4" ht="18" hidden="1">
      <c r="A50" s="159" t="s">
        <v>61</v>
      </c>
      <c r="B50" s="157"/>
      <c r="C50" s="157"/>
      <c r="D50" s="158">
        <f t="shared" si="0"/>
        <v>0</v>
      </c>
    </row>
    <row r="51" spans="1:4" ht="18" hidden="1">
      <c r="A51" s="173" t="s">
        <v>62</v>
      </c>
      <c r="B51" s="157"/>
      <c r="C51" s="157"/>
      <c r="D51" s="158">
        <f t="shared" si="0"/>
        <v>0</v>
      </c>
    </row>
    <row r="52" spans="1:4" ht="18" hidden="1">
      <c r="A52" s="161" t="s">
        <v>63</v>
      </c>
      <c r="B52" s="157"/>
      <c r="C52" s="157"/>
      <c r="D52" s="158">
        <f t="shared" si="0"/>
        <v>0</v>
      </c>
    </row>
    <row r="53" spans="1:4" ht="18" hidden="1">
      <c r="A53" s="161" t="s">
        <v>64</v>
      </c>
      <c r="B53" s="157"/>
      <c r="C53" s="157"/>
      <c r="D53" s="158">
        <f t="shared" si="0"/>
        <v>0</v>
      </c>
    </row>
    <row r="54" spans="1:4" ht="18">
      <c r="A54" s="156" t="s">
        <v>65</v>
      </c>
      <c r="B54" s="157">
        <f>-300+380+100</f>
        <v>180</v>
      </c>
      <c r="C54" s="157">
        <v>22000</v>
      </c>
      <c r="D54" s="158">
        <f t="shared" si="0"/>
        <v>3960000</v>
      </c>
    </row>
    <row r="55" spans="1:4" ht="18">
      <c r="A55" s="161" t="s">
        <v>66</v>
      </c>
      <c r="B55" s="157">
        <v>5</v>
      </c>
      <c r="C55" s="157">
        <v>12500</v>
      </c>
      <c r="D55" s="158">
        <f t="shared" si="0"/>
        <v>62500</v>
      </c>
    </row>
    <row r="56" spans="1:4" ht="18" hidden="1">
      <c r="A56" s="164" t="s">
        <v>67</v>
      </c>
      <c r="B56" s="157"/>
      <c r="C56" s="157"/>
      <c r="D56" s="158">
        <f t="shared" si="0"/>
        <v>0</v>
      </c>
    </row>
    <row r="57" spans="1:4" ht="18">
      <c r="A57" s="164" t="s">
        <v>69</v>
      </c>
      <c r="B57" s="157">
        <v>25</v>
      </c>
      <c r="C57" s="157">
        <v>7500</v>
      </c>
      <c r="D57" s="158">
        <f t="shared" si="0"/>
        <v>187500</v>
      </c>
    </row>
    <row r="58" spans="1:4" ht="18" hidden="1">
      <c r="A58" s="164" t="s">
        <v>70</v>
      </c>
      <c r="B58" s="157"/>
      <c r="C58" s="157"/>
      <c r="D58" s="158">
        <f t="shared" si="0"/>
        <v>0</v>
      </c>
    </row>
    <row r="59" spans="1:4" ht="18" hidden="1">
      <c r="A59" s="161" t="s">
        <v>71</v>
      </c>
      <c r="B59" s="157"/>
      <c r="C59" s="157"/>
      <c r="D59" s="158">
        <f t="shared" si="0"/>
        <v>0</v>
      </c>
    </row>
    <row r="60" spans="1:4" ht="18" hidden="1">
      <c r="A60" s="159" t="s">
        <v>72</v>
      </c>
      <c r="B60" s="157"/>
      <c r="C60" s="157"/>
      <c r="D60" s="158">
        <f t="shared" si="0"/>
        <v>0</v>
      </c>
    </row>
    <row r="61" spans="1:4" ht="18">
      <c r="A61" s="161" t="s">
        <v>73</v>
      </c>
      <c r="B61" s="157">
        <v>11</v>
      </c>
      <c r="C61" s="157">
        <v>12500</v>
      </c>
      <c r="D61" s="158">
        <f t="shared" si="0"/>
        <v>137500</v>
      </c>
    </row>
    <row r="62" spans="1:4" ht="18" hidden="1">
      <c r="A62" s="180" t="s">
        <v>74</v>
      </c>
      <c r="B62" s="157"/>
      <c r="C62" s="157"/>
      <c r="D62" s="158">
        <f t="shared" si="0"/>
        <v>0</v>
      </c>
    </row>
    <row r="63" spans="1:4" ht="18" hidden="1">
      <c r="A63" s="164" t="s">
        <v>75</v>
      </c>
      <c r="B63" s="157"/>
      <c r="C63" s="157"/>
      <c r="D63" s="158">
        <f t="shared" si="0"/>
        <v>0</v>
      </c>
    </row>
    <row r="64" spans="1:4" ht="18">
      <c r="A64" s="161" t="s">
        <v>76</v>
      </c>
      <c r="B64" s="157">
        <v>35</v>
      </c>
      <c r="C64" s="157">
        <v>20000</v>
      </c>
      <c r="D64" s="158">
        <f t="shared" si="0"/>
        <v>700000</v>
      </c>
    </row>
    <row r="65" spans="1:4" ht="18" hidden="1">
      <c r="A65" s="185" t="s">
        <v>77</v>
      </c>
      <c r="B65" s="157"/>
      <c r="C65" s="157"/>
      <c r="D65" s="158">
        <f t="shared" si="0"/>
        <v>0</v>
      </c>
    </row>
    <row r="66" spans="1:4" ht="18" hidden="1">
      <c r="A66" s="161" t="s">
        <v>78</v>
      </c>
      <c r="B66" s="157"/>
      <c r="C66" s="157"/>
      <c r="D66" s="158">
        <f t="shared" si="0"/>
        <v>0</v>
      </c>
    </row>
    <row r="67" spans="1:4" ht="18" hidden="1">
      <c r="A67" s="161" t="s">
        <v>79</v>
      </c>
      <c r="B67" s="157"/>
      <c r="C67" s="157"/>
      <c r="D67" s="158">
        <f t="shared" si="0"/>
        <v>0</v>
      </c>
    </row>
    <row r="68" spans="1:4" ht="18" hidden="1">
      <c r="A68" s="160" t="s">
        <v>80</v>
      </c>
      <c r="B68" s="157"/>
      <c r="C68" s="157"/>
      <c r="D68" s="158">
        <f t="shared" ref="D68:D131" si="1">B68*C68</f>
        <v>0</v>
      </c>
    </row>
    <row r="69" spans="1:4" ht="18" hidden="1">
      <c r="A69" s="156" t="s">
        <v>81</v>
      </c>
      <c r="B69" s="157"/>
      <c r="C69" s="157"/>
      <c r="D69" s="158">
        <f t="shared" si="1"/>
        <v>0</v>
      </c>
    </row>
    <row r="70" spans="1:4" ht="18">
      <c r="A70" s="156" t="s">
        <v>82</v>
      </c>
      <c r="B70" s="157">
        <v>11</v>
      </c>
      <c r="C70" s="157">
        <v>10000</v>
      </c>
      <c r="D70" s="158">
        <f t="shared" si="1"/>
        <v>110000</v>
      </c>
    </row>
    <row r="71" spans="1:4" ht="18" hidden="1">
      <c r="A71" s="159" t="s">
        <v>83</v>
      </c>
      <c r="B71" s="157"/>
      <c r="C71" s="157"/>
      <c r="D71" s="158">
        <f t="shared" si="1"/>
        <v>0</v>
      </c>
    </row>
    <row r="72" spans="1:4" ht="18" hidden="1">
      <c r="A72" s="156" t="s">
        <v>84</v>
      </c>
      <c r="B72" s="157"/>
      <c r="C72" s="157"/>
      <c r="D72" s="158">
        <f t="shared" si="1"/>
        <v>0</v>
      </c>
    </row>
    <row r="73" spans="1:4" ht="18" hidden="1">
      <c r="A73" s="156" t="s">
        <v>85</v>
      </c>
      <c r="B73" s="157"/>
      <c r="C73" s="157"/>
      <c r="D73" s="158">
        <f t="shared" si="1"/>
        <v>0</v>
      </c>
    </row>
    <row r="74" spans="1:4" ht="18" hidden="1">
      <c r="A74" s="156" t="s">
        <v>86</v>
      </c>
      <c r="B74" s="157"/>
      <c r="C74" s="157"/>
      <c r="D74" s="158">
        <f t="shared" si="1"/>
        <v>0</v>
      </c>
    </row>
    <row r="75" spans="1:4" ht="18" hidden="1">
      <c r="A75" s="160" t="s">
        <v>87</v>
      </c>
      <c r="B75" s="157"/>
      <c r="C75" s="157"/>
      <c r="D75" s="158">
        <f t="shared" si="1"/>
        <v>0</v>
      </c>
    </row>
    <row r="76" spans="1:4" ht="18" hidden="1">
      <c r="A76" s="161" t="s">
        <v>88</v>
      </c>
      <c r="B76" s="157"/>
      <c r="C76" s="157"/>
      <c r="D76" s="158">
        <f t="shared" si="1"/>
        <v>0</v>
      </c>
    </row>
    <row r="77" spans="1:4" ht="18" hidden="1">
      <c r="A77" s="161" t="s">
        <v>89</v>
      </c>
      <c r="B77" s="157"/>
      <c r="C77" s="157"/>
      <c r="D77" s="158">
        <f t="shared" si="1"/>
        <v>0</v>
      </c>
    </row>
    <row r="78" spans="1:4" ht="18">
      <c r="A78" s="161" t="s">
        <v>90</v>
      </c>
      <c r="B78" s="157">
        <f>-100+160+160</f>
        <v>220</v>
      </c>
      <c r="C78" s="157">
        <v>28000</v>
      </c>
      <c r="D78" s="158">
        <f t="shared" si="1"/>
        <v>6160000</v>
      </c>
    </row>
    <row r="79" spans="1:4" ht="18" hidden="1">
      <c r="A79" s="173" t="s">
        <v>91</v>
      </c>
      <c r="B79" s="157"/>
      <c r="C79" s="157"/>
      <c r="D79" s="158">
        <f t="shared" si="1"/>
        <v>0</v>
      </c>
    </row>
    <row r="80" spans="1:4" ht="18">
      <c r="A80" s="161" t="s">
        <v>92</v>
      </c>
      <c r="B80" s="157">
        <v>120</v>
      </c>
      <c r="C80" s="157">
        <v>30000</v>
      </c>
      <c r="D80" s="158">
        <f t="shared" si="1"/>
        <v>3600000</v>
      </c>
    </row>
    <row r="81" spans="1:4" ht="18">
      <c r="A81" s="161" t="s">
        <v>94</v>
      </c>
      <c r="B81" s="157">
        <v>13</v>
      </c>
      <c r="C81" s="157">
        <v>25000</v>
      </c>
      <c r="D81" s="158">
        <f t="shared" si="1"/>
        <v>325000</v>
      </c>
    </row>
    <row r="82" spans="1:4" ht="18" hidden="1">
      <c r="A82" s="161" t="s">
        <v>95</v>
      </c>
      <c r="B82" s="157"/>
      <c r="C82" s="157"/>
      <c r="D82" s="158">
        <f t="shared" si="1"/>
        <v>0</v>
      </c>
    </row>
    <row r="83" spans="1:4" ht="18" hidden="1">
      <c r="A83" s="156" t="s">
        <v>96</v>
      </c>
      <c r="B83" s="162"/>
      <c r="C83" s="162"/>
      <c r="D83" s="158">
        <f t="shared" si="1"/>
        <v>0</v>
      </c>
    </row>
    <row r="84" spans="1:4" ht="18" hidden="1">
      <c r="A84" s="156" t="s">
        <v>97</v>
      </c>
      <c r="B84" s="162"/>
      <c r="C84" s="162"/>
      <c r="D84" s="158">
        <f t="shared" si="1"/>
        <v>0</v>
      </c>
    </row>
    <row r="85" spans="1:4" ht="18" hidden="1">
      <c r="A85" s="156" t="s">
        <v>98</v>
      </c>
      <c r="B85" s="162"/>
      <c r="C85" s="162"/>
      <c r="D85" s="158">
        <f t="shared" si="1"/>
        <v>0</v>
      </c>
    </row>
    <row r="86" spans="1:4" ht="18" hidden="1">
      <c r="A86" s="161" t="s">
        <v>99</v>
      </c>
      <c r="B86" s="157"/>
      <c r="C86" s="157"/>
      <c r="D86" s="158">
        <f t="shared" si="1"/>
        <v>0</v>
      </c>
    </row>
    <row r="87" spans="1:4" ht="18" hidden="1">
      <c r="A87" s="161" t="s">
        <v>100</v>
      </c>
      <c r="B87" s="157"/>
      <c r="C87" s="157"/>
      <c r="D87" s="158">
        <f t="shared" si="1"/>
        <v>0</v>
      </c>
    </row>
    <row r="88" spans="1:4" ht="18" hidden="1">
      <c r="A88" s="161" t="s">
        <v>101</v>
      </c>
      <c r="B88" s="157"/>
      <c r="C88" s="157"/>
      <c r="D88" s="158">
        <f t="shared" si="1"/>
        <v>0</v>
      </c>
    </row>
    <row r="89" spans="1:4" ht="18" hidden="1">
      <c r="A89" s="161" t="s">
        <v>102</v>
      </c>
      <c r="B89" s="157"/>
      <c r="C89" s="157"/>
      <c r="D89" s="158">
        <f t="shared" si="1"/>
        <v>0</v>
      </c>
    </row>
    <row r="90" spans="1:4" ht="18" hidden="1">
      <c r="A90" s="161" t="s">
        <v>103</v>
      </c>
      <c r="B90" s="157"/>
      <c r="C90" s="157"/>
      <c r="D90" s="158">
        <f t="shared" si="1"/>
        <v>0</v>
      </c>
    </row>
    <row r="91" spans="1:4" ht="18" hidden="1">
      <c r="A91" s="161" t="s">
        <v>104</v>
      </c>
      <c r="B91" s="157"/>
      <c r="C91" s="157"/>
      <c r="D91" s="158">
        <f t="shared" si="1"/>
        <v>0</v>
      </c>
    </row>
    <row r="92" spans="1:4" ht="18" hidden="1">
      <c r="A92" s="163" t="s">
        <v>105</v>
      </c>
      <c r="B92" s="157"/>
      <c r="C92" s="157"/>
      <c r="D92" s="158">
        <f t="shared" si="1"/>
        <v>0</v>
      </c>
    </row>
    <row r="93" spans="1:4" ht="18" hidden="1">
      <c r="A93" s="163" t="s">
        <v>106</v>
      </c>
      <c r="B93" s="157"/>
      <c r="C93" s="157"/>
      <c r="D93" s="158">
        <f t="shared" si="1"/>
        <v>0</v>
      </c>
    </row>
    <row r="94" spans="1:4" ht="18" hidden="1">
      <c r="A94" s="163" t="s">
        <v>107</v>
      </c>
      <c r="B94" s="157"/>
      <c r="C94" s="157"/>
      <c r="D94" s="158">
        <f t="shared" si="1"/>
        <v>0</v>
      </c>
    </row>
    <row r="95" spans="1:4" ht="18" hidden="1">
      <c r="A95" s="159" t="s">
        <v>108</v>
      </c>
      <c r="B95" s="157"/>
      <c r="C95" s="157"/>
      <c r="D95" s="158">
        <f t="shared" si="1"/>
        <v>0</v>
      </c>
    </row>
    <row r="96" spans="1:4" ht="18" hidden="1">
      <c r="A96" s="173" t="s">
        <v>109</v>
      </c>
      <c r="B96" s="157"/>
      <c r="C96" s="157"/>
      <c r="D96" s="158">
        <f t="shared" si="1"/>
        <v>0</v>
      </c>
    </row>
    <row r="97" spans="1:4" ht="18" hidden="1">
      <c r="A97" s="161" t="s">
        <v>110</v>
      </c>
      <c r="B97" s="157"/>
      <c r="C97" s="157"/>
      <c r="D97" s="158">
        <f t="shared" si="1"/>
        <v>0</v>
      </c>
    </row>
    <row r="98" spans="1:4" ht="18" hidden="1">
      <c r="A98" s="161" t="s">
        <v>111</v>
      </c>
      <c r="B98" s="157"/>
      <c r="C98" s="157"/>
      <c r="D98" s="158">
        <f t="shared" si="1"/>
        <v>0</v>
      </c>
    </row>
    <row r="99" spans="1:4" ht="18" hidden="1">
      <c r="A99" s="159" t="s">
        <v>112</v>
      </c>
      <c r="B99" s="157"/>
      <c r="C99" s="157"/>
      <c r="D99" s="158">
        <f t="shared" si="1"/>
        <v>0</v>
      </c>
    </row>
    <row r="100" spans="1:4" ht="18" hidden="1">
      <c r="A100" s="161" t="s">
        <v>113</v>
      </c>
      <c r="B100" s="162"/>
      <c r="C100" s="162"/>
      <c r="D100" s="158">
        <f t="shared" si="1"/>
        <v>0</v>
      </c>
    </row>
    <row r="101" spans="1:4" ht="18" hidden="1">
      <c r="A101" s="159" t="s">
        <v>114</v>
      </c>
      <c r="B101" s="157"/>
      <c r="C101" s="157"/>
      <c r="D101" s="158">
        <f t="shared" si="1"/>
        <v>0</v>
      </c>
    </row>
    <row r="102" spans="1:4" ht="18" hidden="1">
      <c r="A102" s="194" t="s">
        <v>115</v>
      </c>
      <c r="B102" s="157"/>
      <c r="C102" s="157"/>
      <c r="D102" s="158">
        <f t="shared" si="1"/>
        <v>0</v>
      </c>
    </row>
    <row r="103" spans="1:4" ht="18" hidden="1">
      <c r="A103" s="195" t="s">
        <v>116</v>
      </c>
      <c r="B103" s="157"/>
      <c r="C103" s="157"/>
      <c r="D103" s="158">
        <f t="shared" si="1"/>
        <v>0</v>
      </c>
    </row>
    <row r="104" spans="1:4" ht="18">
      <c r="A104" s="177" t="s">
        <v>117</v>
      </c>
      <c r="B104" s="157">
        <v>150</v>
      </c>
      <c r="C104" s="157">
        <v>8500</v>
      </c>
      <c r="D104" s="158">
        <f t="shared" si="1"/>
        <v>1275000</v>
      </c>
    </row>
    <row r="105" spans="1:4" ht="18" hidden="1">
      <c r="A105" s="164" t="s">
        <v>118</v>
      </c>
      <c r="B105" s="157"/>
      <c r="C105" s="157"/>
      <c r="D105" s="158">
        <f t="shared" si="1"/>
        <v>0</v>
      </c>
    </row>
    <row r="106" spans="1:4" ht="18" hidden="1">
      <c r="A106" s="161" t="s">
        <v>119</v>
      </c>
      <c r="B106" s="157"/>
      <c r="C106" s="157"/>
      <c r="D106" s="158">
        <f t="shared" si="1"/>
        <v>0</v>
      </c>
    </row>
    <row r="107" spans="1:4" ht="18" hidden="1">
      <c r="A107" s="161" t="s">
        <v>120</v>
      </c>
      <c r="B107" s="157"/>
      <c r="C107" s="157"/>
      <c r="D107" s="158">
        <f t="shared" si="1"/>
        <v>0</v>
      </c>
    </row>
    <row r="108" spans="1:4" ht="18" hidden="1">
      <c r="A108" s="159" t="s">
        <v>121</v>
      </c>
      <c r="B108" s="157"/>
      <c r="C108" s="157"/>
      <c r="D108" s="158">
        <f t="shared" si="1"/>
        <v>0</v>
      </c>
    </row>
    <row r="109" spans="1:4" ht="18" hidden="1">
      <c r="A109" s="186" t="s">
        <v>122</v>
      </c>
      <c r="B109" s="157"/>
      <c r="C109" s="157"/>
      <c r="D109" s="158">
        <f t="shared" si="1"/>
        <v>0</v>
      </c>
    </row>
    <row r="110" spans="1:4" ht="18" hidden="1">
      <c r="A110" s="161" t="s">
        <v>123</v>
      </c>
      <c r="B110" s="157"/>
      <c r="C110" s="157"/>
      <c r="D110" s="158">
        <f t="shared" si="1"/>
        <v>0</v>
      </c>
    </row>
    <row r="111" spans="1:4" ht="18" hidden="1">
      <c r="A111" s="161" t="s">
        <v>124</v>
      </c>
      <c r="B111" s="157"/>
      <c r="C111" s="157"/>
      <c r="D111" s="158">
        <f t="shared" si="1"/>
        <v>0</v>
      </c>
    </row>
    <row r="112" spans="1:4" ht="18" hidden="1">
      <c r="A112" s="161" t="s">
        <v>125</v>
      </c>
      <c r="B112" s="157"/>
      <c r="C112" s="157"/>
      <c r="D112" s="158">
        <f t="shared" si="1"/>
        <v>0</v>
      </c>
    </row>
    <row r="113" spans="1:4" ht="18" hidden="1">
      <c r="A113" s="161" t="s">
        <v>126</v>
      </c>
      <c r="B113" s="157"/>
      <c r="C113" s="157"/>
      <c r="D113" s="158">
        <f t="shared" si="1"/>
        <v>0</v>
      </c>
    </row>
    <row r="114" spans="1:4" ht="18" hidden="1">
      <c r="A114" s="161" t="s">
        <v>127</v>
      </c>
      <c r="B114" s="157"/>
      <c r="C114" s="157"/>
      <c r="D114" s="158">
        <f t="shared" si="1"/>
        <v>0</v>
      </c>
    </row>
    <row r="115" spans="1:4" ht="18" hidden="1">
      <c r="A115" s="161" t="s">
        <v>128</v>
      </c>
      <c r="B115" s="157"/>
      <c r="C115" s="157"/>
      <c r="D115" s="158">
        <f t="shared" si="1"/>
        <v>0</v>
      </c>
    </row>
    <row r="116" spans="1:4" ht="18" hidden="1">
      <c r="A116" s="161" t="s">
        <v>129</v>
      </c>
      <c r="B116" s="157"/>
      <c r="C116" s="157"/>
      <c r="D116" s="158">
        <f t="shared" si="1"/>
        <v>0</v>
      </c>
    </row>
    <row r="117" spans="1:4" ht="18" hidden="1">
      <c r="A117" s="161" t="s">
        <v>130</v>
      </c>
      <c r="B117" s="157"/>
      <c r="C117" s="157"/>
      <c r="D117" s="158">
        <f t="shared" si="1"/>
        <v>0</v>
      </c>
    </row>
    <row r="118" spans="1:4" ht="18" hidden="1">
      <c r="A118" s="159" t="s">
        <v>131</v>
      </c>
      <c r="B118" s="157"/>
      <c r="C118" s="157"/>
      <c r="D118" s="158">
        <f t="shared" si="1"/>
        <v>0</v>
      </c>
    </row>
    <row r="119" spans="1:4" ht="18" hidden="1">
      <c r="A119" s="163" t="s">
        <v>132</v>
      </c>
      <c r="B119" s="157"/>
      <c r="C119" s="157"/>
      <c r="D119" s="158">
        <f t="shared" si="1"/>
        <v>0</v>
      </c>
    </row>
    <row r="120" spans="1:4" ht="18" hidden="1">
      <c r="A120" s="161" t="s">
        <v>133</v>
      </c>
      <c r="B120" s="157"/>
      <c r="C120" s="157"/>
      <c r="D120" s="158">
        <f t="shared" si="1"/>
        <v>0</v>
      </c>
    </row>
    <row r="121" spans="1:4" ht="18" hidden="1">
      <c r="A121" s="159" t="s">
        <v>135</v>
      </c>
      <c r="B121" s="157"/>
      <c r="C121" s="157"/>
      <c r="D121" s="158">
        <f t="shared" si="1"/>
        <v>0</v>
      </c>
    </row>
    <row r="122" spans="1:4" ht="18" hidden="1">
      <c r="A122" s="159" t="s">
        <v>136</v>
      </c>
      <c r="B122" s="157"/>
      <c r="C122" s="157"/>
      <c r="D122" s="158">
        <f t="shared" si="1"/>
        <v>0</v>
      </c>
    </row>
    <row r="123" spans="1:4" ht="18" hidden="1">
      <c r="A123" s="161" t="s">
        <v>137</v>
      </c>
      <c r="B123" s="157"/>
      <c r="C123" s="157"/>
      <c r="D123" s="158">
        <f t="shared" si="1"/>
        <v>0</v>
      </c>
    </row>
    <row r="124" spans="1:4" ht="18" hidden="1">
      <c r="A124" s="161" t="s">
        <v>138</v>
      </c>
      <c r="B124" s="157"/>
      <c r="C124" s="157"/>
      <c r="D124" s="158">
        <f t="shared" si="1"/>
        <v>0</v>
      </c>
    </row>
    <row r="125" spans="1:4" ht="18" hidden="1">
      <c r="A125" s="178" t="s">
        <v>139</v>
      </c>
      <c r="B125" s="157"/>
      <c r="C125" s="157"/>
      <c r="D125" s="158">
        <f t="shared" si="1"/>
        <v>0</v>
      </c>
    </row>
    <row r="126" spans="1:4" ht="18" hidden="1">
      <c r="A126" s="173" t="s">
        <v>140</v>
      </c>
      <c r="B126" s="157"/>
      <c r="C126" s="157"/>
      <c r="D126" s="158">
        <f t="shared" si="1"/>
        <v>0</v>
      </c>
    </row>
    <row r="127" spans="1:4" ht="18" hidden="1">
      <c r="A127" s="156" t="s">
        <v>141</v>
      </c>
      <c r="B127" s="162"/>
      <c r="C127" s="162"/>
      <c r="D127" s="158">
        <f t="shared" si="1"/>
        <v>0</v>
      </c>
    </row>
    <row r="128" spans="1:4" ht="18" hidden="1">
      <c r="A128" s="156" t="s">
        <v>142</v>
      </c>
      <c r="B128" s="162"/>
      <c r="C128" s="162"/>
      <c r="D128" s="158">
        <f t="shared" si="1"/>
        <v>0</v>
      </c>
    </row>
    <row r="129" spans="1:4" ht="18" hidden="1">
      <c r="A129" s="156" t="s">
        <v>143</v>
      </c>
      <c r="B129" s="162"/>
      <c r="C129" s="162"/>
      <c r="D129" s="158">
        <f t="shared" si="1"/>
        <v>0</v>
      </c>
    </row>
    <row r="130" spans="1:4" ht="18" hidden="1">
      <c r="A130" s="156" t="s">
        <v>144</v>
      </c>
      <c r="B130" s="179"/>
      <c r="C130" s="179"/>
      <c r="D130" s="158">
        <f t="shared" si="1"/>
        <v>0</v>
      </c>
    </row>
    <row r="131" spans="1:4" ht="18" hidden="1">
      <c r="A131" s="183" t="s">
        <v>145</v>
      </c>
      <c r="B131" s="157"/>
      <c r="C131" s="157"/>
      <c r="D131" s="158">
        <f t="shared" si="1"/>
        <v>0</v>
      </c>
    </row>
    <row r="132" spans="1:4" ht="18">
      <c r="A132" s="156" t="s">
        <v>146</v>
      </c>
      <c r="B132" s="162">
        <v>2.5</v>
      </c>
      <c r="C132" s="162">
        <v>16000</v>
      </c>
      <c r="D132" s="158">
        <f t="shared" ref="D132:D195" si="2">B132*C132</f>
        <v>40000</v>
      </c>
    </row>
    <row r="133" spans="1:4" ht="18" hidden="1">
      <c r="A133" s="161" t="s">
        <v>147</v>
      </c>
      <c r="B133" s="157"/>
      <c r="C133" s="157"/>
      <c r="D133" s="158">
        <f t="shared" si="2"/>
        <v>0</v>
      </c>
    </row>
    <row r="134" spans="1:4" ht="18" hidden="1">
      <c r="A134" s="161" t="s">
        <v>148</v>
      </c>
      <c r="B134" s="157"/>
      <c r="C134" s="157"/>
      <c r="D134" s="158">
        <f t="shared" si="2"/>
        <v>0</v>
      </c>
    </row>
    <row r="135" spans="1:4" ht="18" hidden="1">
      <c r="A135" s="161" t="s">
        <v>149</v>
      </c>
      <c r="B135" s="157"/>
      <c r="C135" s="157"/>
      <c r="D135" s="158">
        <f t="shared" si="2"/>
        <v>0</v>
      </c>
    </row>
    <row r="136" spans="1:4" ht="18">
      <c r="A136" s="161" t="s">
        <v>150</v>
      </c>
      <c r="B136" s="157">
        <f>-60+35+80</f>
        <v>55</v>
      </c>
      <c r="C136" s="157">
        <v>16000</v>
      </c>
      <c r="D136" s="158">
        <f t="shared" si="2"/>
        <v>880000</v>
      </c>
    </row>
    <row r="137" spans="1:4" ht="18" hidden="1">
      <c r="A137" s="164" t="s">
        <v>151</v>
      </c>
      <c r="B137" s="157"/>
      <c r="C137" s="157"/>
      <c r="D137" s="158">
        <f t="shared" si="2"/>
        <v>0</v>
      </c>
    </row>
    <row r="138" spans="1:4" ht="18" hidden="1">
      <c r="A138" s="156" t="s">
        <v>152</v>
      </c>
      <c r="B138" s="157"/>
      <c r="C138" s="157"/>
      <c r="D138" s="158">
        <f t="shared" si="2"/>
        <v>0</v>
      </c>
    </row>
    <row r="139" spans="1:4" ht="18" hidden="1">
      <c r="A139" s="156" t="s">
        <v>153</v>
      </c>
      <c r="B139" s="157"/>
      <c r="C139" s="157"/>
      <c r="D139" s="158">
        <f t="shared" si="2"/>
        <v>0</v>
      </c>
    </row>
    <row r="140" spans="1:4" ht="18" hidden="1">
      <c r="A140" s="161" t="s">
        <v>154</v>
      </c>
      <c r="B140" s="157"/>
      <c r="C140" s="157"/>
      <c r="D140" s="158">
        <f t="shared" si="2"/>
        <v>0</v>
      </c>
    </row>
    <row r="141" spans="1:4" ht="18" hidden="1">
      <c r="A141" s="161" t="s">
        <v>155</v>
      </c>
      <c r="B141" s="157"/>
      <c r="C141" s="157"/>
      <c r="D141" s="158">
        <f t="shared" si="2"/>
        <v>0</v>
      </c>
    </row>
    <row r="142" spans="1:4" ht="18" hidden="1">
      <c r="A142" s="161" t="s">
        <v>156</v>
      </c>
      <c r="B142" s="162"/>
      <c r="C142" s="162"/>
      <c r="D142" s="158">
        <f t="shared" si="2"/>
        <v>0</v>
      </c>
    </row>
    <row r="143" spans="1:4" ht="18" hidden="1">
      <c r="A143" s="161" t="s">
        <v>157</v>
      </c>
      <c r="B143" s="162"/>
      <c r="C143" s="162"/>
      <c r="D143" s="158">
        <f t="shared" si="2"/>
        <v>0</v>
      </c>
    </row>
    <row r="144" spans="1:4" ht="18" hidden="1">
      <c r="A144" s="161" t="s">
        <v>158</v>
      </c>
      <c r="B144" s="157"/>
      <c r="C144" s="157"/>
      <c r="D144" s="158">
        <f t="shared" si="2"/>
        <v>0</v>
      </c>
    </row>
    <row r="145" spans="1:4" ht="18" hidden="1">
      <c r="A145" s="161" t="s">
        <v>159</v>
      </c>
      <c r="B145" s="162"/>
      <c r="C145" s="162"/>
      <c r="D145" s="158">
        <f t="shared" si="2"/>
        <v>0</v>
      </c>
    </row>
    <row r="146" spans="1:4" ht="18" hidden="1">
      <c r="A146" s="161" t="s">
        <v>160</v>
      </c>
      <c r="B146" s="162"/>
      <c r="C146" s="162"/>
      <c r="D146" s="158">
        <f t="shared" si="2"/>
        <v>0</v>
      </c>
    </row>
    <row r="147" spans="1:4" ht="18" hidden="1">
      <c r="A147" s="161" t="s">
        <v>161</v>
      </c>
      <c r="B147" s="162"/>
      <c r="C147" s="162"/>
      <c r="D147" s="158">
        <f t="shared" si="2"/>
        <v>0</v>
      </c>
    </row>
    <row r="148" spans="1:4" ht="18" hidden="1">
      <c r="A148" s="161" t="s">
        <v>162</v>
      </c>
      <c r="B148" s="162"/>
      <c r="C148" s="162"/>
      <c r="D148" s="158">
        <f t="shared" si="2"/>
        <v>0</v>
      </c>
    </row>
    <row r="149" spans="1:4" ht="18" hidden="1">
      <c r="A149" s="161" t="s">
        <v>163</v>
      </c>
      <c r="B149" s="162"/>
      <c r="C149" s="162"/>
      <c r="D149" s="158">
        <f t="shared" si="2"/>
        <v>0</v>
      </c>
    </row>
    <row r="150" spans="1:4" ht="18" hidden="1">
      <c r="A150" s="161" t="s">
        <v>164</v>
      </c>
      <c r="B150" s="162"/>
      <c r="C150" s="162"/>
      <c r="D150" s="158">
        <f t="shared" si="2"/>
        <v>0</v>
      </c>
    </row>
    <row r="151" spans="1:4" ht="18" hidden="1">
      <c r="A151" s="161" t="s">
        <v>165</v>
      </c>
      <c r="B151" s="162"/>
      <c r="C151" s="162"/>
      <c r="D151" s="158">
        <f t="shared" si="2"/>
        <v>0</v>
      </c>
    </row>
    <row r="152" spans="1:4" ht="18" hidden="1">
      <c r="A152" s="161" t="s">
        <v>166</v>
      </c>
      <c r="B152" s="162"/>
      <c r="C152" s="162"/>
      <c r="D152" s="158">
        <f t="shared" si="2"/>
        <v>0</v>
      </c>
    </row>
    <row r="153" spans="1:4" ht="18" hidden="1">
      <c r="A153" s="161" t="s">
        <v>167</v>
      </c>
      <c r="B153" s="157"/>
      <c r="C153" s="157"/>
      <c r="D153" s="158">
        <f t="shared" si="2"/>
        <v>0</v>
      </c>
    </row>
    <row r="154" spans="1:4" ht="18" hidden="1">
      <c r="A154" s="161" t="s">
        <v>168</v>
      </c>
      <c r="B154" s="157"/>
      <c r="C154" s="157"/>
      <c r="D154" s="158">
        <f t="shared" si="2"/>
        <v>0</v>
      </c>
    </row>
    <row r="155" spans="1:4" ht="18" hidden="1">
      <c r="A155" s="161" t="s">
        <v>169</v>
      </c>
      <c r="B155" s="157"/>
      <c r="C155" s="157"/>
      <c r="D155" s="158">
        <f t="shared" si="2"/>
        <v>0</v>
      </c>
    </row>
    <row r="156" spans="1:4" ht="18">
      <c r="A156" s="161" t="s">
        <v>170</v>
      </c>
      <c r="B156" s="157">
        <v>33</v>
      </c>
      <c r="C156" s="157">
        <v>9000</v>
      </c>
      <c r="D156" s="158">
        <f t="shared" si="2"/>
        <v>297000</v>
      </c>
    </row>
    <row r="157" spans="1:4" ht="18" hidden="1">
      <c r="A157" s="164" t="s">
        <v>171</v>
      </c>
      <c r="B157" s="157"/>
      <c r="C157" s="157"/>
      <c r="D157" s="158">
        <f t="shared" si="2"/>
        <v>0</v>
      </c>
    </row>
    <row r="158" spans="1:4" ht="18" hidden="1">
      <c r="A158" s="180" t="s">
        <v>172</v>
      </c>
      <c r="B158" s="157"/>
      <c r="C158" s="157"/>
      <c r="D158" s="158">
        <f t="shared" si="2"/>
        <v>0</v>
      </c>
    </row>
    <row r="159" spans="1:4" ht="18" hidden="1">
      <c r="A159" s="161" t="s">
        <v>173</v>
      </c>
      <c r="B159" s="157"/>
      <c r="C159" s="157"/>
      <c r="D159" s="158">
        <f t="shared" si="2"/>
        <v>0</v>
      </c>
    </row>
    <row r="160" spans="1:4" ht="18" hidden="1">
      <c r="A160" s="161" t="s">
        <v>174</v>
      </c>
      <c r="B160" s="157"/>
      <c r="C160" s="157"/>
      <c r="D160" s="158">
        <f t="shared" si="2"/>
        <v>0</v>
      </c>
    </row>
    <row r="161" spans="1:4" ht="18" hidden="1">
      <c r="A161" s="161" t="s">
        <v>175</v>
      </c>
      <c r="B161" s="157"/>
      <c r="C161" s="157"/>
      <c r="D161" s="158">
        <f t="shared" si="2"/>
        <v>0</v>
      </c>
    </row>
    <row r="162" spans="1:4" ht="18" hidden="1">
      <c r="A162" s="161" t="s">
        <v>176</v>
      </c>
      <c r="B162" s="162"/>
      <c r="C162" s="162"/>
      <c r="D162" s="158">
        <f t="shared" si="2"/>
        <v>0</v>
      </c>
    </row>
    <row r="163" spans="1:4" ht="18" hidden="1">
      <c r="A163" s="161" t="s">
        <v>177</v>
      </c>
      <c r="B163" s="162"/>
      <c r="C163" s="162"/>
      <c r="D163" s="158">
        <f t="shared" si="2"/>
        <v>0</v>
      </c>
    </row>
    <row r="164" spans="1:4" ht="18" hidden="1">
      <c r="A164" s="161" t="s">
        <v>178</v>
      </c>
      <c r="B164" s="162"/>
      <c r="C164" s="162"/>
      <c r="D164" s="158">
        <f t="shared" si="2"/>
        <v>0</v>
      </c>
    </row>
    <row r="165" spans="1:4" ht="18" hidden="1">
      <c r="A165" s="161" t="s">
        <v>179</v>
      </c>
      <c r="B165" s="157"/>
      <c r="C165" s="157"/>
      <c r="D165" s="158">
        <f t="shared" si="2"/>
        <v>0</v>
      </c>
    </row>
    <row r="166" spans="1:4" ht="18" hidden="1">
      <c r="A166" s="161" t="s">
        <v>180</v>
      </c>
      <c r="B166" s="157"/>
      <c r="C166" s="157"/>
      <c r="D166" s="158">
        <f t="shared" si="2"/>
        <v>0</v>
      </c>
    </row>
    <row r="167" spans="1:4" ht="18" hidden="1">
      <c r="A167" s="164" t="s">
        <v>181</v>
      </c>
      <c r="B167" s="157"/>
      <c r="C167" s="157"/>
      <c r="D167" s="158">
        <f t="shared" si="2"/>
        <v>0</v>
      </c>
    </row>
    <row r="168" spans="1:4" ht="18" hidden="1">
      <c r="A168" s="156" t="s">
        <v>182</v>
      </c>
      <c r="B168" s="157"/>
      <c r="C168" s="157"/>
      <c r="D168" s="158">
        <f t="shared" si="2"/>
        <v>0</v>
      </c>
    </row>
    <row r="169" spans="1:4" ht="18" hidden="1">
      <c r="A169" s="161" t="s">
        <v>183</v>
      </c>
      <c r="B169" s="157"/>
      <c r="C169" s="181"/>
      <c r="D169" s="158">
        <f t="shared" si="2"/>
        <v>0</v>
      </c>
    </row>
    <row r="170" spans="1:4" ht="18" hidden="1">
      <c r="A170" s="182" t="s">
        <v>184</v>
      </c>
      <c r="B170" s="157"/>
      <c r="C170" s="157"/>
      <c r="D170" s="158">
        <f t="shared" si="2"/>
        <v>0</v>
      </c>
    </row>
    <row r="171" spans="1:4" ht="18" hidden="1">
      <c r="A171" s="161" t="s">
        <v>185</v>
      </c>
      <c r="B171" s="157"/>
      <c r="C171" s="157"/>
      <c r="D171" s="158">
        <f t="shared" si="2"/>
        <v>0</v>
      </c>
    </row>
    <row r="172" spans="1:4" ht="18" hidden="1">
      <c r="A172" s="161" t="s">
        <v>186</v>
      </c>
      <c r="B172" s="157"/>
      <c r="C172" s="157"/>
      <c r="D172" s="158">
        <f t="shared" si="2"/>
        <v>0</v>
      </c>
    </row>
    <row r="173" spans="1:4" ht="18" hidden="1">
      <c r="A173" s="160" t="s">
        <v>187</v>
      </c>
      <c r="B173" s="157"/>
      <c r="C173" s="157"/>
      <c r="D173" s="158">
        <f t="shared" si="2"/>
        <v>0</v>
      </c>
    </row>
    <row r="174" spans="1:4" ht="18" hidden="1">
      <c r="A174" s="161" t="s">
        <v>188</v>
      </c>
      <c r="B174" s="157"/>
      <c r="C174" s="157"/>
      <c r="D174" s="158">
        <f t="shared" si="2"/>
        <v>0</v>
      </c>
    </row>
    <row r="175" spans="1:4" ht="18">
      <c r="A175" s="169" t="s">
        <v>189</v>
      </c>
      <c r="B175" s="170">
        <v>3</v>
      </c>
      <c r="C175" s="170">
        <v>15000</v>
      </c>
      <c r="D175" s="158">
        <f t="shared" si="2"/>
        <v>45000</v>
      </c>
    </row>
    <row r="176" spans="1:4" ht="18" hidden="1">
      <c r="A176" s="159" t="s">
        <v>190</v>
      </c>
      <c r="B176" s="157"/>
      <c r="C176" s="157"/>
      <c r="D176" s="158">
        <f t="shared" si="2"/>
        <v>0</v>
      </c>
    </row>
    <row r="177" spans="1:4" ht="18" hidden="1">
      <c r="A177" s="161" t="s">
        <v>191</v>
      </c>
      <c r="B177" s="157"/>
      <c r="C177" s="157"/>
      <c r="D177" s="158">
        <f t="shared" si="2"/>
        <v>0</v>
      </c>
    </row>
    <row r="178" spans="1:4" ht="18" hidden="1">
      <c r="A178" s="161" t="s">
        <v>192</v>
      </c>
      <c r="B178" s="157"/>
      <c r="C178" s="157"/>
      <c r="D178" s="158">
        <f t="shared" si="2"/>
        <v>0</v>
      </c>
    </row>
    <row r="179" spans="1:4" ht="18" hidden="1">
      <c r="A179" s="156" t="s">
        <v>193</v>
      </c>
      <c r="B179" s="157"/>
      <c r="C179" s="157"/>
      <c r="D179" s="158">
        <f t="shared" si="2"/>
        <v>0</v>
      </c>
    </row>
    <row r="180" spans="1:4" ht="18" hidden="1">
      <c r="A180" s="161" t="s">
        <v>194</v>
      </c>
      <c r="B180" s="157"/>
      <c r="C180" s="157"/>
      <c r="D180" s="158">
        <f t="shared" si="2"/>
        <v>0</v>
      </c>
    </row>
    <row r="181" spans="1:4" ht="18" hidden="1">
      <c r="A181" s="161" t="s">
        <v>195</v>
      </c>
      <c r="B181" s="157"/>
      <c r="C181" s="157"/>
      <c r="D181" s="158">
        <f t="shared" si="2"/>
        <v>0</v>
      </c>
    </row>
    <row r="182" spans="1:4" ht="18" hidden="1">
      <c r="A182" s="156" t="s">
        <v>196</v>
      </c>
      <c r="B182" s="157"/>
      <c r="C182" s="157"/>
      <c r="D182" s="158">
        <f t="shared" si="2"/>
        <v>0</v>
      </c>
    </row>
    <row r="183" spans="1:4" ht="18" hidden="1">
      <c r="A183" s="156" t="s">
        <v>197</v>
      </c>
      <c r="B183" s="157"/>
      <c r="C183" s="157"/>
      <c r="D183" s="158">
        <f t="shared" si="2"/>
        <v>0</v>
      </c>
    </row>
    <row r="184" spans="1:4" ht="18" hidden="1">
      <c r="A184" s="156" t="s">
        <v>198</v>
      </c>
      <c r="B184" s="157"/>
      <c r="C184" s="157"/>
      <c r="D184" s="158">
        <f t="shared" si="2"/>
        <v>0</v>
      </c>
    </row>
    <row r="185" spans="1:4" ht="18" hidden="1">
      <c r="A185" s="161" t="s">
        <v>199</v>
      </c>
      <c r="B185" s="157"/>
      <c r="C185" s="157"/>
      <c r="D185" s="158">
        <f t="shared" si="2"/>
        <v>0</v>
      </c>
    </row>
    <row r="186" spans="1:4" ht="18" hidden="1">
      <c r="A186" s="156" t="s">
        <v>200</v>
      </c>
      <c r="B186" s="157"/>
      <c r="C186" s="157"/>
      <c r="D186" s="158">
        <f t="shared" si="2"/>
        <v>0</v>
      </c>
    </row>
    <row r="187" spans="1:4" ht="18" hidden="1">
      <c r="A187" s="156" t="s">
        <v>201</v>
      </c>
      <c r="B187" s="157"/>
      <c r="C187" s="157"/>
      <c r="D187" s="158">
        <f t="shared" si="2"/>
        <v>0</v>
      </c>
    </row>
    <row r="188" spans="1:4" ht="18" hidden="1">
      <c r="A188" s="156" t="s">
        <v>202</v>
      </c>
      <c r="B188" s="157"/>
      <c r="C188" s="157"/>
      <c r="D188" s="158">
        <f t="shared" si="2"/>
        <v>0</v>
      </c>
    </row>
    <row r="189" spans="1:4" ht="18" hidden="1">
      <c r="A189" s="161" t="s">
        <v>203</v>
      </c>
      <c r="B189" s="157"/>
      <c r="C189" s="157"/>
      <c r="D189" s="158">
        <f t="shared" si="2"/>
        <v>0</v>
      </c>
    </row>
    <row r="190" spans="1:4" ht="18" hidden="1">
      <c r="A190" s="164" t="s">
        <v>204</v>
      </c>
      <c r="B190" s="157"/>
      <c r="C190" s="157"/>
      <c r="D190" s="158">
        <f t="shared" si="2"/>
        <v>0</v>
      </c>
    </row>
    <row r="191" spans="1:4" ht="18" hidden="1">
      <c r="A191" s="164" t="s">
        <v>205</v>
      </c>
      <c r="B191" s="157"/>
      <c r="C191" s="157"/>
      <c r="D191" s="158">
        <f t="shared" si="2"/>
        <v>0</v>
      </c>
    </row>
    <row r="192" spans="1:4" ht="18" hidden="1">
      <c r="A192" s="164" t="s">
        <v>206</v>
      </c>
      <c r="B192" s="157"/>
      <c r="C192" s="157"/>
      <c r="D192" s="158">
        <f t="shared" si="2"/>
        <v>0</v>
      </c>
    </row>
    <row r="193" spans="1:4" ht="18" hidden="1">
      <c r="A193" s="164" t="s">
        <v>207</v>
      </c>
      <c r="B193" s="157"/>
      <c r="C193" s="157"/>
      <c r="D193" s="158">
        <f t="shared" si="2"/>
        <v>0</v>
      </c>
    </row>
    <row r="194" spans="1:4" ht="18" hidden="1">
      <c r="A194" s="156" t="s">
        <v>208</v>
      </c>
      <c r="B194" s="157"/>
      <c r="C194" s="157"/>
      <c r="D194" s="158">
        <f t="shared" si="2"/>
        <v>0</v>
      </c>
    </row>
    <row r="195" spans="1:4" ht="18" hidden="1">
      <c r="A195" s="161" t="s">
        <v>209</v>
      </c>
      <c r="B195" s="157"/>
      <c r="C195" s="157"/>
      <c r="D195" s="158">
        <f t="shared" si="2"/>
        <v>0</v>
      </c>
    </row>
    <row r="196" spans="1:4" ht="18" hidden="1">
      <c r="A196" s="187" t="s">
        <v>210</v>
      </c>
      <c r="B196" s="157"/>
      <c r="C196" s="157"/>
      <c r="D196" s="158">
        <f t="shared" ref="D196:D259" si="3">B196*C196</f>
        <v>0</v>
      </c>
    </row>
    <row r="197" spans="1:4" ht="18" hidden="1">
      <c r="A197" s="187" t="s">
        <v>211</v>
      </c>
      <c r="B197" s="157"/>
      <c r="C197" s="157"/>
      <c r="D197" s="158">
        <f t="shared" si="3"/>
        <v>0</v>
      </c>
    </row>
    <row r="198" spans="1:4" ht="18" hidden="1">
      <c r="A198" s="187" t="s">
        <v>212</v>
      </c>
      <c r="B198" s="157"/>
      <c r="C198" s="157"/>
      <c r="D198" s="158">
        <f t="shared" si="3"/>
        <v>0</v>
      </c>
    </row>
    <row r="199" spans="1:4" ht="18" hidden="1">
      <c r="A199" s="187" t="s">
        <v>213</v>
      </c>
      <c r="B199" s="157"/>
      <c r="C199" s="157"/>
      <c r="D199" s="158">
        <f t="shared" si="3"/>
        <v>0</v>
      </c>
    </row>
    <row r="200" spans="1:4" ht="18" hidden="1">
      <c r="A200" s="161" t="s">
        <v>214</v>
      </c>
      <c r="B200" s="157"/>
      <c r="C200" s="157"/>
      <c r="D200" s="158">
        <f t="shared" si="3"/>
        <v>0</v>
      </c>
    </row>
    <row r="201" spans="1:4" ht="18" hidden="1">
      <c r="A201" s="167" t="s">
        <v>384</v>
      </c>
      <c r="B201" s="157"/>
      <c r="C201" s="157"/>
      <c r="D201" s="158">
        <f t="shared" si="3"/>
        <v>0</v>
      </c>
    </row>
    <row r="202" spans="1:4" ht="18">
      <c r="A202" s="161" t="s">
        <v>216</v>
      </c>
      <c r="B202" s="157">
        <f>210+160+100</f>
        <v>470</v>
      </c>
      <c r="C202" s="157">
        <v>21000</v>
      </c>
      <c r="D202" s="158">
        <f t="shared" si="3"/>
        <v>9870000</v>
      </c>
    </row>
    <row r="203" spans="1:4" ht="18">
      <c r="A203" s="156" t="s">
        <v>217</v>
      </c>
      <c r="B203" s="157">
        <f>25+200</f>
        <v>225</v>
      </c>
      <c r="C203" s="157">
        <v>22000</v>
      </c>
      <c r="D203" s="158">
        <f t="shared" si="3"/>
        <v>4950000</v>
      </c>
    </row>
    <row r="204" spans="1:4" ht="18" hidden="1">
      <c r="A204" s="161" t="s">
        <v>218</v>
      </c>
      <c r="B204" s="157"/>
      <c r="C204" s="157"/>
      <c r="D204" s="158">
        <f t="shared" si="3"/>
        <v>0</v>
      </c>
    </row>
    <row r="205" spans="1:4" ht="18" hidden="1">
      <c r="A205" s="161" t="s">
        <v>219</v>
      </c>
      <c r="B205" s="157"/>
      <c r="C205" s="157"/>
      <c r="D205" s="158">
        <f t="shared" si="3"/>
        <v>0</v>
      </c>
    </row>
    <row r="206" spans="1:4" ht="18" hidden="1">
      <c r="A206" s="175" t="s">
        <v>220</v>
      </c>
      <c r="B206" s="157"/>
      <c r="C206" s="157"/>
      <c r="D206" s="158">
        <f t="shared" si="3"/>
        <v>0</v>
      </c>
    </row>
    <row r="207" spans="1:4" ht="18" hidden="1">
      <c r="A207" s="175" t="s">
        <v>221</v>
      </c>
      <c r="B207" s="157"/>
      <c r="C207" s="157"/>
      <c r="D207" s="158">
        <f t="shared" si="3"/>
        <v>0</v>
      </c>
    </row>
    <row r="208" spans="1:4" ht="18" hidden="1">
      <c r="A208" s="161" t="s">
        <v>222</v>
      </c>
      <c r="B208" s="157"/>
      <c r="C208" s="157"/>
      <c r="D208" s="158">
        <f t="shared" si="3"/>
        <v>0</v>
      </c>
    </row>
    <row r="209" spans="1:4" ht="18" hidden="1">
      <c r="A209" s="159" t="s">
        <v>223</v>
      </c>
      <c r="B209" s="157"/>
      <c r="C209" s="157"/>
      <c r="D209" s="158">
        <f t="shared" si="3"/>
        <v>0</v>
      </c>
    </row>
    <row r="210" spans="1:4" ht="18" hidden="1">
      <c r="A210" s="161" t="s">
        <v>224</v>
      </c>
      <c r="B210" s="157"/>
      <c r="C210" s="157"/>
      <c r="D210" s="158">
        <f t="shared" si="3"/>
        <v>0</v>
      </c>
    </row>
    <row r="211" spans="1:4" ht="18">
      <c r="A211" s="161" t="s">
        <v>225</v>
      </c>
      <c r="B211" s="157">
        <v>8</v>
      </c>
      <c r="C211" s="157">
        <v>12000</v>
      </c>
      <c r="D211" s="158">
        <f t="shared" si="3"/>
        <v>96000</v>
      </c>
    </row>
    <row r="212" spans="1:4" ht="18" hidden="1">
      <c r="A212" s="161" t="s">
        <v>226</v>
      </c>
      <c r="B212" s="157"/>
      <c r="C212" s="157"/>
      <c r="D212" s="158">
        <f t="shared" si="3"/>
        <v>0</v>
      </c>
    </row>
    <row r="213" spans="1:4" ht="18" hidden="1">
      <c r="A213" s="161" t="s">
        <v>227</v>
      </c>
      <c r="B213" s="157"/>
      <c r="C213" s="157"/>
      <c r="D213" s="158">
        <f t="shared" si="3"/>
        <v>0</v>
      </c>
    </row>
    <row r="214" spans="1:4" ht="18" hidden="1">
      <c r="A214" s="165" t="s">
        <v>228</v>
      </c>
      <c r="B214" s="157"/>
      <c r="C214" s="157"/>
      <c r="D214" s="158">
        <f t="shared" si="3"/>
        <v>0</v>
      </c>
    </row>
    <row r="215" spans="1:4" ht="18" hidden="1">
      <c r="A215" s="161" t="s">
        <v>229</v>
      </c>
      <c r="B215" s="157"/>
      <c r="C215" s="157"/>
      <c r="D215" s="158">
        <f t="shared" si="3"/>
        <v>0</v>
      </c>
    </row>
    <row r="216" spans="1:4" ht="18">
      <c r="A216" s="161" t="s">
        <v>230</v>
      </c>
      <c r="B216" s="157">
        <f>-300+90+180+45+105</f>
        <v>120</v>
      </c>
      <c r="C216" s="157">
        <v>15000</v>
      </c>
      <c r="D216" s="158">
        <f t="shared" si="3"/>
        <v>1800000</v>
      </c>
    </row>
    <row r="217" spans="1:4" ht="18" hidden="1">
      <c r="A217" s="161" t="s">
        <v>231</v>
      </c>
      <c r="B217" s="157"/>
      <c r="C217" s="157"/>
      <c r="D217" s="158">
        <f t="shared" si="3"/>
        <v>0</v>
      </c>
    </row>
    <row r="218" spans="1:4" ht="18">
      <c r="A218" s="161" t="s">
        <v>232</v>
      </c>
      <c r="B218" s="157">
        <v>14</v>
      </c>
      <c r="C218" s="157">
        <v>14000</v>
      </c>
      <c r="D218" s="158">
        <f t="shared" si="3"/>
        <v>196000</v>
      </c>
    </row>
    <row r="219" spans="1:4" ht="18" hidden="1">
      <c r="A219" s="164" t="s">
        <v>233</v>
      </c>
      <c r="B219" s="157"/>
      <c r="C219" s="157"/>
      <c r="D219" s="158">
        <f t="shared" si="3"/>
        <v>0</v>
      </c>
    </row>
    <row r="220" spans="1:4" ht="18" hidden="1">
      <c r="A220" s="164" t="s">
        <v>234</v>
      </c>
      <c r="B220" s="157"/>
      <c r="C220" s="157"/>
      <c r="D220" s="158">
        <f t="shared" si="3"/>
        <v>0</v>
      </c>
    </row>
    <row r="221" spans="1:4" ht="18" hidden="1">
      <c r="A221" s="164" t="s">
        <v>235</v>
      </c>
      <c r="B221" s="157"/>
      <c r="C221" s="157"/>
      <c r="D221" s="158">
        <f t="shared" si="3"/>
        <v>0</v>
      </c>
    </row>
    <row r="222" spans="1:4" ht="18" hidden="1">
      <c r="A222" s="164" t="s">
        <v>236</v>
      </c>
      <c r="B222" s="157"/>
      <c r="C222" s="157"/>
      <c r="D222" s="158">
        <f t="shared" si="3"/>
        <v>0</v>
      </c>
    </row>
    <row r="223" spans="1:4" ht="18" hidden="1">
      <c r="A223" s="161" t="s">
        <v>237</v>
      </c>
      <c r="B223" s="157"/>
      <c r="C223" s="157"/>
      <c r="D223" s="158">
        <f t="shared" si="3"/>
        <v>0</v>
      </c>
    </row>
    <row r="224" spans="1:4" ht="18" hidden="1">
      <c r="A224" s="161" t="s">
        <v>238</v>
      </c>
      <c r="B224" s="157"/>
      <c r="C224" s="157"/>
      <c r="D224" s="158">
        <f t="shared" si="3"/>
        <v>0</v>
      </c>
    </row>
    <row r="225" spans="1:4" ht="18" hidden="1">
      <c r="A225" s="164" t="s">
        <v>239</v>
      </c>
      <c r="B225" s="157"/>
      <c r="C225" s="157"/>
      <c r="D225" s="158">
        <f t="shared" si="3"/>
        <v>0</v>
      </c>
    </row>
    <row r="226" spans="1:4" ht="18" hidden="1">
      <c r="A226" s="164" t="s">
        <v>240</v>
      </c>
      <c r="B226" s="157"/>
      <c r="C226" s="157"/>
      <c r="D226" s="158">
        <f t="shared" si="3"/>
        <v>0</v>
      </c>
    </row>
    <row r="227" spans="1:4" ht="18" hidden="1">
      <c r="A227" s="159" t="s">
        <v>241</v>
      </c>
      <c r="B227" s="157"/>
      <c r="C227" s="157"/>
      <c r="D227" s="158">
        <f t="shared" si="3"/>
        <v>0</v>
      </c>
    </row>
    <row r="228" spans="1:4" ht="18" hidden="1">
      <c r="A228" s="156" t="s">
        <v>242</v>
      </c>
      <c r="B228" s="157"/>
      <c r="C228" s="157"/>
      <c r="D228" s="158">
        <f t="shared" si="3"/>
        <v>0</v>
      </c>
    </row>
    <row r="229" spans="1:4" ht="18" hidden="1">
      <c r="A229" s="159" t="s">
        <v>243</v>
      </c>
      <c r="B229" s="157"/>
      <c r="C229" s="157"/>
      <c r="D229" s="158">
        <f t="shared" si="3"/>
        <v>0</v>
      </c>
    </row>
    <row r="230" spans="1:4" ht="18" hidden="1">
      <c r="A230" s="164" t="s">
        <v>244</v>
      </c>
      <c r="B230" s="157"/>
      <c r="C230" s="157"/>
      <c r="D230" s="158">
        <f t="shared" si="3"/>
        <v>0</v>
      </c>
    </row>
    <row r="231" spans="1:4" ht="18" hidden="1">
      <c r="A231" s="159" t="s">
        <v>245</v>
      </c>
      <c r="B231" s="157"/>
      <c r="C231" s="157"/>
      <c r="D231" s="158">
        <f t="shared" si="3"/>
        <v>0</v>
      </c>
    </row>
    <row r="232" spans="1:4" ht="18" hidden="1">
      <c r="A232" s="159" t="s">
        <v>246</v>
      </c>
      <c r="B232" s="157"/>
      <c r="C232" s="157"/>
      <c r="D232" s="158">
        <f t="shared" si="3"/>
        <v>0</v>
      </c>
    </row>
    <row r="233" spans="1:4" ht="18" hidden="1">
      <c r="A233" s="159" t="s">
        <v>247</v>
      </c>
      <c r="B233" s="157"/>
      <c r="C233" s="157"/>
      <c r="D233" s="158">
        <f t="shared" si="3"/>
        <v>0</v>
      </c>
    </row>
    <row r="234" spans="1:4" ht="18" hidden="1">
      <c r="A234" s="161" t="s">
        <v>248</v>
      </c>
      <c r="B234" s="157"/>
      <c r="C234" s="157"/>
      <c r="D234" s="158">
        <f t="shared" si="3"/>
        <v>0</v>
      </c>
    </row>
    <row r="235" spans="1:4" ht="18" hidden="1">
      <c r="A235" s="161" t="s">
        <v>249</v>
      </c>
      <c r="B235" s="157"/>
      <c r="C235" s="157"/>
      <c r="D235" s="158">
        <f t="shared" si="3"/>
        <v>0</v>
      </c>
    </row>
    <row r="236" spans="1:4" ht="18" hidden="1">
      <c r="A236" s="159" t="s">
        <v>250</v>
      </c>
      <c r="B236" s="157"/>
      <c r="C236" s="157"/>
      <c r="D236" s="158">
        <f t="shared" si="3"/>
        <v>0</v>
      </c>
    </row>
    <row r="237" spans="1:4" ht="18" hidden="1">
      <c r="A237" s="175" t="s">
        <v>251</v>
      </c>
      <c r="B237" s="157"/>
      <c r="C237" s="157"/>
      <c r="D237" s="158">
        <f t="shared" si="3"/>
        <v>0</v>
      </c>
    </row>
    <row r="238" spans="1:4" ht="18" hidden="1">
      <c r="A238" s="161" t="s">
        <v>252</v>
      </c>
      <c r="B238" s="157"/>
      <c r="C238" s="157"/>
      <c r="D238" s="158">
        <f t="shared" si="3"/>
        <v>0</v>
      </c>
    </row>
    <row r="239" spans="1:4" ht="18" hidden="1">
      <c r="A239" s="161" t="s">
        <v>253</v>
      </c>
      <c r="B239" s="157"/>
      <c r="C239" s="157"/>
      <c r="D239" s="158">
        <f t="shared" si="3"/>
        <v>0</v>
      </c>
    </row>
    <row r="240" spans="1:4" ht="18" hidden="1">
      <c r="A240" s="173" t="s">
        <v>254</v>
      </c>
      <c r="B240" s="157"/>
      <c r="C240" s="157"/>
      <c r="D240" s="158">
        <f t="shared" si="3"/>
        <v>0</v>
      </c>
    </row>
    <row r="241" spans="1:4" ht="18" hidden="1">
      <c r="A241" s="173" t="s">
        <v>255</v>
      </c>
      <c r="B241" s="157"/>
      <c r="C241" s="157"/>
      <c r="D241" s="158">
        <f t="shared" si="3"/>
        <v>0</v>
      </c>
    </row>
    <row r="242" spans="1:4" ht="18" hidden="1">
      <c r="A242" s="187" t="s">
        <v>256</v>
      </c>
      <c r="B242" s="157"/>
      <c r="C242" s="157"/>
      <c r="D242" s="158">
        <f t="shared" si="3"/>
        <v>0</v>
      </c>
    </row>
    <row r="243" spans="1:4" ht="18" hidden="1">
      <c r="A243" s="161" t="s">
        <v>257</v>
      </c>
      <c r="B243" s="157"/>
      <c r="C243" s="157"/>
      <c r="D243" s="158">
        <f t="shared" si="3"/>
        <v>0</v>
      </c>
    </row>
    <row r="244" spans="1:4" ht="18" hidden="1">
      <c r="A244" s="161" t="s">
        <v>258</v>
      </c>
      <c r="B244" s="157"/>
      <c r="C244" s="157"/>
      <c r="D244" s="158">
        <f t="shared" si="3"/>
        <v>0</v>
      </c>
    </row>
    <row r="245" spans="1:4" ht="18" hidden="1">
      <c r="A245" s="161" t="s">
        <v>259</v>
      </c>
      <c r="B245" s="162"/>
      <c r="C245" s="162"/>
      <c r="D245" s="158">
        <f t="shared" si="3"/>
        <v>0</v>
      </c>
    </row>
    <row r="246" spans="1:4" ht="18" hidden="1">
      <c r="A246" s="187" t="s">
        <v>260</v>
      </c>
      <c r="B246" s="157"/>
      <c r="C246" s="157"/>
      <c r="D246" s="158">
        <f t="shared" si="3"/>
        <v>0</v>
      </c>
    </row>
    <row r="247" spans="1:4" ht="18" hidden="1">
      <c r="A247" s="161" t="s">
        <v>261</v>
      </c>
      <c r="B247" s="162"/>
      <c r="C247" s="162"/>
      <c r="D247" s="158">
        <f t="shared" si="3"/>
        <v>0</v>
      </c>
    </row>
    <row r="248" spans="1:4" ht="18">
      <c r="A248" s="161" t="s">
        <v>262</v>
      </c>
      <c r="B248" s="157">
        <v>10</v>
      </c>
      <c r="C248" s="157">
        <v>14000</v>
      </c>
      <c r="D248" s="158">
        <f t="shared" si="3"/>
        <v>140000</v>
      </c>
    </row>
    <row r="249" spans="1:4" ht="18" hidden="1">
      <c r="A249" s="159" t="s">
        <v>263</v>
      </c>
      <c r="B249" s="157"/>
      <c r="C249" s="157"/>
      <c r="D249" s="158">
        <f t="shared" si="3"/>
        <v>0</v>
      </c>
    </row>
    <row r="250" spans="1:4" ht="18" hidden="1">
      <c r="A250" s="159" t="s">
        <v>264</v>
      </c>
      <c r="B250" s="157"/>
      <c r="C250" s="157"/>
      <c r="D250" s="158">
        <f t="shared" si="3"/>
        <v>0</v>
      </c>
    </row>
    <row r="251" spans="1:4" ht="18">
      <c r="A251" s="161" t="s">
        <v>265</v>
      </c>
      <c r="B251" s="157">
        <f>-20+20+32</f>
        <v>32</v>
      </c>
      <c r="C251" s="157">
        <v>22000</v>
      </c>
      <c r="D251" s="158">
        <f t="shared" si="3"/>
        <v>704000</v>
      </c>
    </row>
    <row r="252" spans="1:4" ht="18" hidden="1">
      <c r="A252" s="161" t="s">
        <v>266</v>
      </c>
      <c r="B252" s="157"/>
      <c r="C252" s="157"/>
      <c r="D252" s="158">
        <f t="shared" si="3"/>
        <v>0</v>
      </c>
    </row>
    <row r="253" spans="1:4" ht="18" hidden="1">
      <c r="A253" s="161" t="s">
        <v>267</v>
      </c>
      <c r="B253" s="157"/>
      <c r="C253" s="157"/>
      <c r="D253" s="158">
        <f t="shared" si="3"/>
        <v>0</v>
      </c>
    </row>
    <row r="254" spans="1:4" ht="18">
      <c r="A254" s="161" t="s">
        <v>268</v>
      </c>
      <c r="B254" s="157">
        <v>8</v>
      </c>
      <c r="C254" s="157">
        <v>8000</v>
      </c>
      <c r="D254" s="158">
        <f t="shared" si="3"/>
        <v>64000</v>
      </c>
    </row>
    <row r="255" spans="1:4" ht="18" hidden="1">
      <c r="A255" s="161" t="s">
        <v>269</v>
      </c>
      <c r="B255" s="157"/>
      <c r="C255" s="157"/>
      <c r="D255" s="158">
        <f t="shared" si="3"/>
        <v>0</v>
      </c>
    </row>
    <row r="256" spans="1:4" ht="18" hidden="1">
      <c r="A256" s="164" t="s">
        <v>270</v>
      </c>
      <c r="B256" s="157"/>
      <c r="C256" s="157"/>
      <c r="D256" s="158">
        <f t="shared" si="3"/>
        <v>0</v>
      </c>
    </row>
    <row r="257" spans="1:4" ht="18" hidden="1">
      <c r="A257" s="163" t="s">
        <v>271</v>
      </c>
      <c r="B257" s="157"/>
      <c r="C257" s="157"/>
      <c r="D257" s="158">
        <f t="shared" si="3"/>
        <v>0</v>
      </c>
    </row>
    <row r="258" spans="1:4" ht="18" hidden="1">
      <c r="A258" s="163" t="s">
        <v>272</v>
      </c>
      <c r="B258" s="157"/>
      <c r="C258" s="157"/>
      <c r="D258" s="158">
        <f t="shared" si="3"/>
        <v>0</v>
      </c>
    </row>
    <row r="259" spans="1:4" ht="18">
      <c r="A259" s="161" t="s">
        <v>273</v>
      </c>
      <c r="B259" s="157">
        <f>-20+25+10+10+30</f>
        <v>55</v>
      </c>
      <c r="C259" s="157">
        <v>20000</v>
      </c>
      <c r="D259" s="158">
        <f t="shared" si="3"/>
        <v>1100000</v>
      </c>
    </row>
    <row r="260" spans="1:4" ht="18" hidden="1">
      <c r="A260" s="161" t="s">
        <v>274</v>
      </c>
      <c r="B260" s="157"/>
      <c r="C260" s="157"/>
      <c r="D260" s="158">
        <f t="shared" ref="D260:D323" si="4">B260*C260</f>
        <v>0</v>
      </c>
    </row>
    <row r="261" spans="1:4" ht="18" hidden="1">
      <c r="A261" s="161" t="s">
        <v>275</v>
      </c>
      <c r="B261" s="157"/>
      <c r="C261" s="157"/>
      <c r="D261" s="158">
        <f t="shared" si="4"/>
        <v>0</v>
      </c>
    </row>
    <row r="262" spans="1:4" ht="18" hidden="1">
      <c r="A262" s="161" t="s">
        <v>276</v>
      </c>
      <c r="B262" s="157"/>
      <c r="C262" s="157"/>
      <c r="D262" s="158">
        <f t="shared" si="4"/>
        <v>0</v>
      </c>
    </row>
    <row r="263" spans="1:4" ht="18" hidden="1">
      <c r="A263" s="161" t="s">
        <v>277</v>
      </c>
      <c r="B263" s="157"/>
      <c r="C263" s="157"/>
      <c r="D263" s="158">
        <f t="shared" si="4"/>
        <v>0</v>
      </c>
    </row>
    <row r="264" spans="1:4" ht="18" hidden="1">
      <c r="A264" s="161" t="s">
        <v>278</v>
      </c>
      <c r="B264" s="157"/>
      <c r="C264" s="157"/>
      <c r="D264" s="158">
        <f t="shared" si="4"/>
        <v>0</v>
      </c>
    </row>
    <row r="265" spans="1:4" ht="18" hidden="1">
      <c r="A265" s="161" t="s">
        <v>279</v>
      </c>
      <c r="B265" s="157"/>
      <c r="C265" s="157"/>
      <c r="D265" s="158">
        <f t="shared" si="4"/>
        <v>0</v>
      </c>
    </row>
    <row r="266" spans="1:4" ht="18" hidden="1">
      <c r="A266" s="161" t="s">
        <v>280</v>
      </c>
      <c r="B266" s="162"/>
      <c r="C266" s="162"/>
      <c r="D266" s="158">
        <f t="shared" si="4"/>
        <v>0</v>
      </c>
    </row>
    <row r="267" spans="1:4" ht="18" hidden="1">
      <c r="A267" s="173" t="s">
        <v>281</v>
      </c>
      <c r="B267" s="157"/>
      <c r="C267" s="157"/>
      <c r="D267" s="158">
        <f t="shared" si="4"/>
        <v>0</v>
      </c>
    </row>
    <row r="268" spans="1:4" ht="18" hidden="1">
      <c r="A268" s="161" t="s">
        <v>282</v>
      </c>
      <c r="B268" s="157"/>
      <c r="C268" s="157"/>
      <c r="D268" s="158">
        <f t="shared" si="4"/>
        <v>0</v>
      </c>
    </row>
    <row r="269" spans="1:4" ht="18" hidden="1">
      <c r="A269" s="159" t="s">
        <v>283</v>
      </c>
      <c r="B269" s="157"/>
      <c r="C269" s="157"/>
      <c r="D269" s="158">
        <f t="shared" si="4"/>
        <v>0</v>
      </c>
    </row>
    <row r="270" spans="1:4" ht="18">
      <c r="A270" s="161" t="s">
        <v>284</v>
      </c>
      <c r="B270" s="157">
        <v>18</v>
      </c>
      <c r="C270" s="157">
        <v>14000</v>
      </c>
      <c r="D270" s="158">
        <f t="shared" si="4"/>
        <v>252000</v>
      </c>
    </row>
    <row r="271" spans="1:4" ht="18" hidden="1">
      <c r="A271" s="161" t="s">
        <v>285</v>
      </c>
      <c r="B271" s="157"/>
      <c r="C271" s="157"/>
      <c r="D271" s="158">
        <f t="shared" si="4"/>
        <v>0</v>
      </c>
    </row>
    <row r="272" spans="1:4" ht="18" hidden="1">
      <c r="A272" s="161" t="s">
        <v>286</v>
      </c>
      <c r="B272" s="157"/>
      <c r="C272" s="157"/>
      <c r="D272" s="158">
        <f t="shared" si="4"/>
        <v>0</v>
      </c>
    </row>
    <row r="273" spans="1:4" ht="18" hidden="1">
      <c r="A273" s="161" t="s">
        <v>287</v>
      </c>
      <c r="B273" s="157"/>
      <c r="C273" s="157"/>
      <c r="D273" s="158">
        <f t="shared" si="4"/>
        <v>0</v>
      </c>
    </row>
    <row r="274" spans="1:4" ht="18">
      <c r="A274" s="161" t="s">
        <v>288</v>
      </c>
      <c r="B274" s="157">
        <v>4</v>
      </c>
      <c r="C274" s="157">
        <v>16000</v>
      </c>
      <c r="D274" s="158">
        <f t="shared" si="4"/>
        <v>64000</v>
      </c>
    </row>
    <row r="275" spans="1:4" ht="18" hidden="1">
      <c r="A275" s="161" t="s">
        <v>289</v>
      </c>
      <c r="B275" s="157"/>
      <c r="C275" s="157"/>
      <c r="D275" s="158">
        <f t="shared" si="4"/>
        <v>0</v>
      </c>
    </row>
    <row r="276" spans="1:4" ht="18" hidden="1">
      <c r="A276" s="161" t="s">
        <v>290</v>
      </c>
      <c r="B276" s="157"/>
      <c r="C276" s="157"/>
      <c r="D276" s="158">
        <f t="shared" si="4"/>
        <v>0</v>
      </c>
    </row>
    <row r="277" spans="1:4" ht="18" hidden="1">
      <c r="A277" s="187" t="s">
        <v>291</v>
      </c>
      <c r="B277" s="157"/>
      <c r="C277" s="157"/>
      <c r="D277" s="158">
        <f t="shared" si="4"/>
        <v>0</v>
      </c>
    </row>
    <row r="278" spans="1:4" ht="18" hidden="1">
      <c r="A278" s="161" t="s">
        <v>292</v>
      </c>
      <c r="B278" s="157"/>
      <c r="C278" s="157"/>
      <c r="D278" s="158">
        <f t="shared" si="4"/>
        <v>0</v>
      </c>
    </row>
    <row r="279" spans="1:4" ht="18" hidden="1">
      <c r="A279" s="187" t="s">
        <v>293</v>
      </c>
      <c r="B279" s="157"/>
      <c r="C279" s="157"/>
      <c r="D279" s="158">
        <f t="shared" si="4"/>
        <v>0</v>
      </c>
    </row>
    <row r="280" spans="1:4" ht="18" hidden="1">
      <c r="A280" s="187" t="s">
        <v>294</v>
      </c>
      <c r="B280" s="157"/>
      <c r="C280" s="157"/>
      <c r="D280" s="158">
        <f t="shared" si="4"/>
        <v>0</v>
      </c>
    </row>
    <row r="281" spans="1:4" ht="18" hidden="1">
      <c r="A281" s="156" t="s">
        <v>295</v>
      </c>
      <c r="B281" s="162"/>
      <c r="C281" s="162"/>
      <c r="D281" s="158">
        <f t="shared" si="4"/>
        <v>0</v>
      </c>
    </row>
    <row r="282" spans="1:4" ht="18" hidden="1">
      <c r="A282" s="156" t="s">
        <v>296</v>
      </c>
      <c r="B282" s="157"/>
      <c r="C282" s="157"/>
      <c r="D282" s="158">
        <f t="shared" si="4"/>
        <v>0</v>
      </c>
    </row>
    <row r="283" spans="1:4" ht="18" hidden="1">
      <c r="A283" s="159" t="s">
        <v>297</v>
      </c>
      <c r="B283" s="157"/>
      <c r="C283" s="157"/>
      <c r="D283" s="158">
        <f t="shared" si="4"/>
        <v>0</v>
      </c>
    </row>
    <row r="284" spans="1:4" ht="18" hidden="1">
      <c r="A284" s="159" t="s">
        <v>298</v>
      </c>
      <c r="B284" s="157"/>
      <c r="C284" s="157"/>
      <c r="D284" s="158">
        <f t="shared" si="4"/>
        <v>0</v>
      </c>
    </row>
    <row r="285" spans="1:4" ht="18" hidden="1">
      <c r="A285" s="164" t="s">
        <v>299</v>
      </c>
      <c r="B285" s="157"/>
      <c r="C285" s="157"/>
      <c r="D285" s="158">
        <f t="shared" si="4"/>
        <v>0</v>
      </c>
    </row>
    <row r="286" spans="1:4" ht="18" hidden="1">
      <c r="A286" s="164" t="s">
        <v>300</v>
      </c>
      <c r="B286" s="157"/>
      <c r="C286" s="157"/>
      <c r="D286" s="158">
        <f t="shared" si="4"/>
        <v>0</v>
      </c>
    </row>
    <row r="287" spans="1:4" ht="18" hidden="1">
      <c r="A287" s="164" t="s">
        <v>301</v>
      </c>
      <c r="B287" s="157"/>
      <c r="C287" s="157"/>
      <c r="D287" s="158">
        <f t="shared" si="4"/>
        <v>0</v>
      </c>
    </row>
    <row r="288" spans="1:4" ht="18">
      <c r="A288" s="161" t="s">
        <v>302</v>
      </c>
      <c r="B288" s="157">
        <v>15</v>
      </c>
      <c r="C288" s="157">
        <v>10000</v>
      </c>
      <c r="D288" s="158">
        <f t="shared" si="4"/>
        <v>150000</v>
      </c>
    </row>
    <row r="289" spans="1:4" ht="18" hidden="1">
      <c r="A289" s="164" t="s">
        <v>303</v>
      </c>
      <c r="B289" s="157"/>
      <c r="C289" s="157"/>
      <c r="D289" s="158">
        <f t="shared" si="4"/>
        <v>0</v>
      </c>
    </row>
    <row r="290" spans="1:4" ht="18" hidden="1">
      <c r="A290" s="161" t="s">
        <v>304</v>
      </c>
      <c r="B290" s="157"/>
      <c r="C290" s="157"/>
      <c r="D290" s="158">
        <f t="shared" si="4"/>
        <v>0</v>
      </c>
    </row>
    <row r="291" spans="1:4" ht="18">
      <c r="A291" s="161" t="s">
        <v>305</v>
      </c>
      <c r="B291" s="157">
        <v>40</v>
      </c>
      <c r="C291" s="157">
        <v>6500</v>
      </c>
      <c r="D291" s="158">
        <f t="shared" si="4"/>
        <v>260000</v>
      </c>
    </row>
    <row r="292" spans="1:4" ht="18" hidden="1">
      <c r="A292" s="164" t="s">
        <v>306</v>
      </c>
      <c r="B292" s="157"/>
      <c r="C292" s="157"/>
      <c r="D292" s="158">
        <f t="shared" si="4"/>
        <v>0</v>
      </c>
    </row>
    <row r="293" spans="1:4" ht="18" hidden="1">
      <c r="A293" s="186" t="s">
        <v>307</v>
      </c>
      <c r="B293" s="157"/>
      <c r="C293" s="157"/>
      <c r="D293" s="158">
        <f t="shared" si="4"/>
        <v>0</v>
      </c>
    </row>
    <row r="294" spans="1:4" ht="18">
      <c r="A294" s="161" t="s">
        <v>308</v>
      </c>
      <c r="B294" s="157">
        <v>3</v>
      </c>
      <c r="C294" s="157">
        <v>7000</v>
      </c>
      <c r="D294" s="158">
        <f t="shared" si="4"/>
        <v>21000</v>
      </c>
    </row>
    <row r="295" spans="1:4" ht="18" hidden="1">
      <c r="A295" s="173" t="s">
        <v>309</v>
      </c>
      <c r="B295" s="157"/>
      <c r="C295" s="157"/>
      <c r="D295" s="158">
        <f t="shared" si="4"/>
        <v>0</v>
      </c>
    </row>
    <row r="296" spans="1:4" ht="18" hidden="1">
      <c r="A296" s="173" t="s">
        <v>310</v>
      </c>
      <c r="B296" s="157"/>
      <c r="C296" s="157"/>
      <c r="D296" s="158">
        <f t="shared" si="4"/>
        <v>0</v>
      </c>
    </row>
    <row r="297" spans="1:4" ht="18" hidden="1">
      <c r="A297" s="156" t="s">
        <v>311</v>
      </c>
      <c r="B297" s="157"/>
      <c r="C297" s="157"/>
      <c r="D297" s="158">
        <f t="shared" si="4"/>
        <v>0</v>
      </c>
    </row>
    <row r="298" spans="1:4" ht="18" hidden="1">
      <c r="A298" s="164" t="s">
        <v>312</v>
      </c>
      <c r="B298" s="157"/>
      <c r="C298" s="157"/>
      <c r="D298" s="158">
        <f t="shared" si="4"/>
        <v>0</v>
      </c>
    </row>
    <row r="299" spans="1:4" ht="18" hidden="1">
      <c r="A299" s="173" t="s">
        <v>313</v>
      </c>
      <c r="B299" s="157"/>
      <c r="C299" s="157"/>
      <c r="D299" s="158">
        <f t="shared" si="4"/>
        <v>0</v>
      </c>
    </row>
    <row r="300" spans="1:4" ht="18" hidden="1">
      <c r="A300" s="161" t="s">
        <v>314</v>
      </c>
      <c r="B300" s="157"/>
      <c r="C300" s="157"/>
      <c r="D300" s="158">
        <f t="shared" si="4"/>
        <v>0</v>
      </c>
    </row>
    <row r="301" spans="1:4" ht="18" hidden="1">
      <c r="A301" s="164" t="s">
        <v>315</v>
      </c>
      <c r="B301" s="157"/>
      <c r="C301" s="157"/>
      <c r="D301" s="158">
        <f t="shared" si="4"/>
        <v>0</v>
      </c>
    </row>
    <row r="302" spans="1:4" ht="18" hidden="1">
      <c r="A302" s="161" t="s">
        <v>316</v>
      </c>
      <c r="B302" s="157"/>
      <c r="C302" s="157"/>
      <c r="D302" s="158">
        <f t="shared" si="4"/>
        <v>0</v>
      </c>
    </row>
    <row r="303" spans="1:4" ht="18" hidden="1">
      <c r="A303" s="161" t="s">
        <v>317</v>
      </c>
      <c r="B303" s="157"/>
      <c r="C303" s="157"/>
      <c r="D303" s="158">
        <f t="shared" si="4"/>
        <v>0</v>
      </c>
    </row>
    <row r="304" spans="1:4" ht="18" hidden="1">
      <c r="A304" s="159" t="s">
        <v>318</v>
      </c>
      <c r="B304" s="157"/>
      <c r="C304" s="157"/>
      <c r="D304" s="158">
        <f t="shared" si="4"/>
        <v>0</v>
      </c>
    </row>
    <row r="305" spans="1:4" ht="18" hidden="1">
      <c r="A305" s="156" t="s">
        <v>319</v>
      </c>
      <c r="B305" s="157"/>
      <c r="C305" s="157"/>
      <c r="D305" s="158">
        <f t="shared" si="4"/>
        <v>0</v>
      </c>
    </row>
    <row r="306" spans="1:4" ht="18" hidden="1">
      <c r="A306" s="156" t="s">
        <v>320</v>
      </c>
      <c r="B306" s="157"/>
      <c r="C306" s="157"/>
      <c r="D306" s="158">
        <f t="shared" si="4"/>
        <v>0</v>
      </c>
    </row>
    <row r="307" spans="1:4" ht="18" hidden="1">
      <c r="A307" s="161" t="s">
        <v>321</v>
      </c>
      <c r="B307" s="157"/>
      <c r="C307" s="157"/>
      <c r="D307" s="158">
        <f t="shared" si="4"/>
        <v>0</v>
      </c>
    </row>
    <row r="308" spans="1:4" ht="18" hidden="1">
      <c r="A308" s="161" t="s">
        <v>322</v>
      </c>
      <c r="B308" s="157"/>
      <c r="C308" s="157"/>
      <c r="D308" s="158">
        <f t="shared" si="4"/>
        <v>0</v>
      </c>
    </row>
    <row r="309" spans="1:4" ht="18" hidden="1">
      <c r="A309" s="161" t="s">
        <v>323</v>
      </c>
      <c r="B309" s="157"/>
      <c r="C309" s="157"/>
      <c r="D309" s="158">
        <f t="shared" si="4"/>
        <v>0</v>
      </c>
    </row>
    <row r="310" spans="1:4" ht="18" hidden="1">
      <c r="A310" s="173" t="s">
        <v>324</v>
      </c>
      <c r="B310" s="157"/>
      <c r="C310" s="157"/>
      <c r="D310" s="158">
        <f t="shared" si="4"/>
        <v>0</v>
      </c>
    </row>
    <row r="311" spans="1:4" ht="18" hidden="1">
      <c r="A311" s="173" t="s">
        <v>325</v>
      </c>
      <c r="B311" s="157"/>
      <c r="C311" s="157"/>
      <c r="D311" s="158">
        <f t="shared" si="4"/>
        <v>0</v>
      </c>
    </row>
    <row r="312" spans="1:4" ht="18" hidden="1">
      <c r="A312" s="163" t="s">
        <v>326</v>
      </c>
      <c r="B312" s="157"/>
      <c r="C312" s="157"/>
      <c r="D312" s="158">
        <f t="shared" si="4"/>
        <v>0</v>
      </c>
    </row>
    <row r="313" spans="1:4" ht="18" hidden="1">
      <c r="A313" s="173" t="s">
        <v>327</v>
      </c>
      <c r="B313" s="157"/>
      <c r="C313" s="157"/>
      <c r="D313" s="158">
        <f t="shared" si="4"/>
        <v>0</v>
      </c>
    </row>
    <row r="314" spans="1:4" ht="18" hidden="1">
      <c r="A314" s="161" t="s">
        <v>328</v>
      </c>
      <c r="B314" s="157"/>
      <c r="C314" s="157"/>
      <c r="D314" s="158">
        <f t="shared" si="4"/>
        <v>0</v>
      </c>
    </row>
    <row r="315" spans="1:4" ht="18" hidden="1">
      <c r="A315" s="161" t="s">
        <v>329</v>
      </c>
      <c r="B315" s="157"/>
      <c r="C315" s="157"/>
      <c r="D315" s="158">
        <f t="shared" si="4"/>
        <v>0</v>
      </c>
    </row>
    <row r="316" spans="1:4" ht="18" hidden="1">
      <c r="A316" s="161" t="s">
        <v>330</v>
      </c>
      <c r="B316" s="157"/>
      <c r="C316" s="157"/>
      <c r="D316" s="158">
        <f t="shared" si="4"/>
        <v>0</v>
      </c>
    </row>
    <row r="317" spans="1:4" ht="18" hidden="1">
      <c r="A317" s="161" t="s">
        <v>331</v>
      </c>
      <c r="B317" s="157"/>
      <c r="C317" s="157"/>
      <c r="D317" s="158">
        <f t="shared" si="4"/>
        <v>0</v>
      </c>
    </row>
    <row r="318" spans="1:4" ht="18" hidden="1">
      <c r="A318" s="163" t="s">
        <v>332</v>
      </c>
      <c r="B318" s="157"/>
      <c r="C318" s="157"/>
      <c r="D318" s="158">
        <f t="shared" si="4"/>
        <v>0</v>
      </c>
    </row>
    <row r="319" spans="1:4" ht="18" hidden="1">
      <c r="A319" s="161" t="s">
        <v>333</v>
      </c>
      <c r="B319" s="157"/>
      <c r="C319" s="157"/>
      <c r="D319" s="158">
        <f t="shared" si="4"/>
        <v>0</v>
      </c>
    </row>
    <row r="320" spans="1:4" ht="18" hidden="1">
      <c r="A320" s="161" t="s">
        <v>334</v>
      </c>
      <c r="B320" s="157"/>
      <c r="C320" s="157"/>
      <c r="D320" s="158">
        <f t="shared" si="4"/>
        <v>0</v>
      </c>
    </row>
    <row r="321" spans="1:4" ht="18" hidden="1">
      <c r="A321" s="156" t="s">
        <v>335</v>
      </c>
      <c r="B321" s="157"/>
      <c r="C321" s="157"/>
      <c r="D321" s="158">
        <f t="shared" si="4"/>
        <v>0</v>
      </c>
    </row>
    <row r="322" spans="1:4" ht="18" hidden="1">
      <c r="A322" s="161" t="s">
        <v>336</v>
      </c>
      <c r="B322" s="174"/>
      <c r="C322" s="174"/>
      <c r="D322" s="158">
        <f t="shared" si="4"/>
        <v>0</v>
      </c>
    </row>
    <row r="323" spans="1:4" ht="18" hidden="1">
      <c r="A323" s="161" t="s">
        <v>337</v>
      </c>
      <c r="B323" s="157"/>
      <c r="C323" s="157"/>
      <c r="D323" s="158">
        <f t="shared" si="4"/>
        <v>0</v>
      </c>
    </row>
    <row r="324" spans="1:4" ht="18" hidden="1">
      <c r="A324" s="161" t="s">
        <v>338</v>
      </c>
      <c r="B324" s="157"/>
      <c r="C324" s="157"/>
      <c r="D324" s="158">
        <f t="shared" ref="D324:D387" si="5">B324*C324</f>
        <v>0</v>
      </c>
    </row>
    <row r="325" spans="1:4" ht="18" hidden="1">
      <c r="A325" s="163" t="s">
        <v>339</v>
      </c>
      <c r="B325" s="157"/>
      <c r="C325" s="157"/>
      <c r="D325" s="158">
        <f t="shared" si="5"/>
        <v>0</v>
      </c>
    </row>
    <row r="326" spans="1:4" ht="18" hidden="1">
      <c r="A326" s="163" t="s">
        <v>340</v>
      </c>
      <c r="B326" s="157"/>
      <c r="C326" s="157"/>
      <c r="D326" s="158">
        <f t="shared" si="5"/>
        <v>0</v>
      </c>
    </row>
    <row r="327" spans="1:4" ht="18" hidden="1">
      <c r="A327" s="161" t="s">
        <v>341</v>
      </c>
      <c r="B327" s="157"/>
      <c r="C327" s="157"/>
      <c r="D327" s="158">
        <f t="shared" si="5"/>
        <v>0</v>
      </c>
    </row>
    <row r="328" spans="1:4" ht="18" hidden="1">
      <c r="A328" s="161" t="s">
        <v>342</v>
      </c>
      <c r="B328" s="157"/>
      <c r="C328" s="157"/>
      <c r="D328" s="158">
        <f t="shared" si="5"/>
        <v>0</v>
      </c>
    </row>
    <row r="329" spans="1:4" ht="18" hidden="1">
      <c r="A329" s="163" t="s">
        <v>343</v>
      </c>
      <c r="B329" s="157"/>
      <c r="C329" s="157"/>
      <c r="D329" s="158">
        <f t="shared" si="5"/>
        <v>0</v>
      </c>
    </row>
    <row r="330" spans="1:4" ht="18" hidden="1">
      <c r="A330" s="161" t="s">
        <v>344</v>
      </c>
      <c r="B330" s="157"/>
      <c r="C330" s="157"/>
      <c r="D330" s="158">
        <f t="shared" si="5"/>
        <v>0</v>
      </c>
    </row>
    <row r="331" spans="1:4" ht="18" hidden="1">
      <c r="A331" s="161" t="s">
        <v>345</v>
      </c>
      <c r="B331" s="157"/>
      <c r="C331" s="157"/>
      <c r="D331" s="158">
        <f t="shared" si="5"/>
        <v>0</v>
      </c>
    </row>
    <row r="332" spans="1:4" ht="18" hidden="1">
      <c r="A332" s="161" t="s">
        <v>346</v>
      </c>
      <c r="B332" s="157"/>
      <c r="C332" s="157"/>
      <c r="D332" s="158">
        <f t="shared" si="5"/>
        <v>0</v>
      </c>
    </row>
    <row r="333" spans="1:4" ht="18" hidden="1">
      <c r="A333" s="161" t="s">
        <v>347</v>
      </c>
      <c r="B333" s="157"/>
      <c r="C333" s="157"/>
      <c r="D333" s="158">
        <f t="shared" si="5"/>
        <v>0</v>
      </c>
    </row>
    <row r="334" spans="1:4" ht="18" hidden="1">
      <c r="A334" s="161" t="s">
        <v>348</v>
      </c>
      <c r="B334" s="157"/>
      <c r="C334" s="157"/>
      <c r="D334" s="158">
        <f t="shared" si="5"/>
        <v>0</v>
      </c>
    </row>
    <row r="335" spans="1:4" ht="18" hidden="1">
      <c r="A335" s="161" t="s">
        <v>349</v>
      </c>
      <c r="B335" s="157"/>
      <c r="C335" s="157"/>
      <c r="D335" s="158">
        <f t="shared" si="5"/>
        <v>0</v>
      </c>
    </row>
    <row r="336" spans="1:4" ht="18" hidden="1">
      <c r="A336" s="161" t="s">
        <v>350</v>
      </c>
      <c r="B336" s="157"/>
      <c r="C336" s="157"/>
      <c r="D336" s="158">
        <f t="shared" si="5"/>
        <v>0</v>
      </c>
    </row>
    <row r="337" spans="1:4" ht="18" hidden="1">
      <c r="A337" s="161" t="s">
        <v>351</v>
      </c>
      <c r="B337" s="157"/>
      <c r="C337" s="157"/>
      <c r="D337" s="158">
        <f t="shared" si="5"/>
        <v>0</v>
      </c>
    </row>
    <row r="338" spans="1:4" ht="18" hidden="1">
      <c r="A338" s="159" t="s">
        <v>352</v>
      </c>
      <c r="B338" s="157"/>
      <c r="C338" s="157"/>
      <c r="D338" s="158">
        <f t="shared" si="5"/>
        <v>0</v>
      </c>
    </row>
    <row r="339" spans="1:4" ht="18" hidden="1">
      <c r="A339" s="159" t="s">
        <v>353</v>
      </c>
      <c r="B339" s="157"/>
      <c r="C339" s="157"/>
      <c r="D339" s="158">
        <f t="shared" si="5"/>
        <v>0</v>
      </c>
    </row>
    <row r="340" spans="1:4" ht="18">
      <c r="A340" s="188"/>
      <c r="B340" s="189">
        <f>SUM(B3:B339)</f>
        <v>3457.5</v>
      </c>
      <c r="C340" s="189"/>
      <c r="D340" s="158">
        <f>SUM(D18:D294)</f>
        <v>56382500</v>
      </c>
    </row>
    <row r="341" spans="1:4" ht="18" hidden="1">
      <c r="D341" s="158">
        <f t="shared" si="5"/>
        <v>0</v>
      </c>
    </row>
    <row r="342" spans="1:4" ht="18">
      <c r="A342" s="151" t="s">
        <v>434</v>
      </c>
      <c r="B342" s="152"/>
      <c r="C342" s="152"/>
      <c r="D342" s="158"/>
    </row>
    <row r="343" spans="1:4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4" ht="18" hidden="1">
      <c r="A344" s="209"/>
      <c r="B344" s="155"/>
      <c r="C344" s="155"/>
      <c r="D344" s="158">
        <f t="shared" si="5"/>
        <v>0</v>
      </c>
    </row>
    <row r="345" spans="1:4" ht="18" hidden="1">
      <c r="A345" s="171" t="s">
        <v>6</v>
      </c>
      <c r="B345" s="157"/>
      <c r="C345" s="157"/>
      <c r="D345" s="158">
        <f t="shared" si="5"/>
        <v>0</v>
      </c>
    </row>
    <row r="346" spans="1:4" ht="18" hidden="1">
      <c r="A346" s="172" t="s">
        <v>8</v>
      </c>
      <c r="B346" s="157"/>
      <c r="C346" s="157"/>
      <c r="D346" s="158">
        <f t="shared" si="5"/>
        <v>0</v>
      </c>
    </row>
    <row r="347" spans="1:4" ht="18" hidden="1">
      <c r="A347" s="171" t="s">
        <v>10</v>
      </c>
      <c r="B347" s="157"/>
      <c r="C347" s="157"/>
      <c r="D347" s="158">
        <f t="shared" si="5"/>
        <v>0</v>
      </c>
    </row>
    <row r="348" spans="1:4" ht="18">
      <c r="A348" s="171" t="s">
        <v>11</v>
      </c>
      <c r="B348" s="157">
        <v>235</v>
      </c>
      <c r="C348" s="157">
        <v>7300</v>
      </c>
      <c r="D348" s="158">
        <f t="shared" si="5"/>
        <v>1715500</v>
      </c>
    </row>
    <row r="349" spans="1:4" ht="18" hidden="1">
      <c r="A349" s="161" t="s">
        <v>12</v>
      </c>
      <c r="B349" s="157"/>
      <c r="C349" s="157"/>
      <c r="D349" s="158">
        <f t="shared" si="5"/>
        <v>0</v>
      </c>
    </row>
    <row r="350" spans="1:4" ht="18" hidden="1">
      <c r="A350" s="178" t="s">
        <v>13</v>
      </c>
      <c r="B350" s="157"/>
      <c r="C350" s="157"/>
      <c r="D350" s="158">
        <f t="shared" si="5"/>
        <v>0</v>
      </c>
    </row>
    <row r="351" spans="1:4" ht="18" hidden="1">
      <c r="A351" s="171" t="s">
        <v>14</v>
      </c>
      <c r="B351" s="157"/>
      <c r="C351" s="157"/>
      <c r="D351" s="158">
        <f t="shared" si="5"/>
        <v>0</v>
      </c>
    </row>
    <row r="352" spans="1:4" ht="18" hidden="1">
      <c r="A352" s="171" t="s">
        <v>15</v>
      </c>
      <c r="B352" s="157"/>
      <c r="C352" s="157"/>
      <c r="D352" s="158">
        <f t="shared" si="5"/>
        <v>0</v>
      </c>
    </row>
    <row r="353" spans="1:4" ht="18" hidden="1">
      <c r="A353" s="159" t="s">
        <v>355</v>
      </c>
      <c r="B353" s="157"/>
      <c r="C353" s="157"/>
      <c r="D353" s="158">
        <f t="shared" si="5"/>
        <v>0</v>
      </c>
    </row>
    <row r="354" spans="1:4" ht="18" hidden="1">
      <c r="A354" s="161" t="s">
        <v>18</v>
      </c>
      <c r="B354" s="157"/>
      <c r="C354" s="157"/>
      <c r="D354" s="158">
        <f t="shared" si="5"/>
        <v>0</v>
      </c>
    </row>
    <row r="355" spans="1:4" ht="18">
      <c r="A355" s="161" t="s">
        <v>19</v>
      </c>
      <c r="B355" s="157">
        <v>17</v>
      </c>
      <c r="C355" s="157">
        <v>8000</v>
      </c>
      <c r="D355" s="158">
        <f t="shared" si="5"/>
        <v>136000</v>
      </c>
    </row>
    <row r="356" spans="1:4" ht="18" hidden="1">
      <c r="A356" s="156" t="s">
        <v>20</v>
      </c>
      <c r="B356" s="157"/>
      <c r="C356" s="157"/>
      <c r="D356" s="158">
        <f t="shared" si="5"/>
        <v>0</v>
      </c>
    </row>
    <row r="357" spans="1:4" ht="18" hidden="1">
      <c r="A357" s="156" t="s">
        <v>22</v>
      </c>
      <c r="B357" s="157"/>
      <c r="C357" s="157"/>
      <c r="D357" s="158">
        <f t="shared" si="5"/>
        <v>0</v>
      </c>
    </row>
    <row r="358" spans="1:4" ht="18" hidden="1">
      <c r="A358" s="161" t="s">
        <v>23</v>
      </c>
      <c r="B358" s="157"/>
      <c r="C358" s="157"/>
      <c r="D358" s="158">
        <f t="shared" si="5"/>
        <v>0</v>
      </c>
    </row>
    <row r="359" spans="1:4" ht="18" hidden="1">
      <c r="A359" s="161" t="s">
        <v>24</v>
      </c>
      <c r="B359" s="157"/>
      <c r="C359" s="157"/>
      <c r="D359" s="158">
        <f t="shared" si="5"/>
        <v>0</v>
      </c>
    </row>
    <row r="360" spans="1:4" ht="18" hidden="1">
      <c r="A360" s="173" t="s">
        <v>25</v>
      </c>
      <c r="B360" s="157"/>
      <c r="C360" s="157"/>
      <c r="D360" s="158">
        <f t="shared" si="5"/>
        <v>0</v>
      </c>
    </row>
    <row r="361" spans="1:4" ht="18" hidden="1">
      <c r="A361" s="159" t="s">
        <v>26</v>
      </c>
      <c r="B361" s="157"/>
      <c r="C361" s="157"/>
      <c r="D361" s="158">
        <f t="shared" si="5"/>
        <v>0</v>
      </c>
    </row>
    <row r="362" spans="1:4" ht="18">
      <c r="A362" s="161" t="s">
        <v>27</v>
      </c>
      <c r="B362" s="157">
        <f>-1500+3230</f>
        <v>1730</v>
      </c>
      <c r="C362" s="157">
        <v>12000</v>
      </c>
      <c r="D362" s="158">
        <f t="shared" si="5"/>
        <v>20760000</v>
      </c>
    </row>
    <row r="363" spans="1:4" ht="18" hidden="1">
      <c r="A363" s="156" t="s">
        <v>28</v>
      </c>
      <c r="B363" s="157"/>
      <c r="C363" s="157"/>
      <c r="D363" s="158">
        <f t="shared" si="5"/>
        <v>0</v>
      </c>
    </row>
    <row r="364" spans="1:4" ht="18" hidden="1">
      <c r="A364" s="156" t="s">
        <v>29</v>
      </c>
      <c r="B364" s="157"/>
      <c r="C364" s="157"/>
      <c r="D364" s="158">
        <f t="shared" si="5"/>
        <v>0</v>
      </c>
    </row>
    <row r="365" spans="1:4" ht="18" hidden="1">
      <c r="A365" s="161" t="s">
        <v>30</v>
      </c>
      <c r="B365" s="157"/>
      <c r="C365" s="157"/>
      <c r="D365" s="158">
        <f t="shared" si="5"/>
        <v>0</v>
      </c>
    </row>
    <row r="366" spans="1:4" ht="18" hidden="1">
      <c r="A366" s="161" t="s">
        <v>31</v>
      </c>
      <c r="B366" s="157"/>
      <c r="C366" s="157"/>
      <c r="D366" s="158">
        <f t="shared" si="5"/>
        <v>0</v>
      </c>
    </row>
    <row r="367" spans="1:4" ht="18" hidden="1">
      <c r="A367" s="161" t="s">
        <v>32</v>
      </c>
      <c r="B367" s="157"/>
      <c r="C367" s="157"/>
      <c r="D367" s="158">
        <f t="shared" si="5"/>
        <v>0</v>
      </c>
    </row>
    <row r="368" spans="1:4" ht="18" hidden="1">
      <c r="A368" s="161" t="s">
        <v>33</v>
      </c>
      <c r="B368" s="157"/>
      <c r="C368" s="157"/>
      <c r="D368" s="158">
        <f t="shared" si="5"/>
        <v>0</v>
      </c>
    </row>
    <row r="369" spans="1:4" ht="18" hidden="1">
      <c r="A369" s="161" t="s">
        <v>34</v>
      </c>
      <c r="B369" s="157"/>
      <c r="C369" s="157"/>
      <c r="D369" s="158">
        <f t="shared" si="5"/>
        <v>0</v>
      </c>
    </row>
    <row r="370" spans="1:4" ht="18" hidden="1">
      <c r="A370" s="161" t="s">
        <v>35</v>
      </c>
      <c r="B370" s="157"/>
      <c r="C370" s="157"/>
      <c r="D370" s="158">
        <f t="shared" si="5"/>
        <v>0</v>
      </c>
    </row>
    <row r="371" spans="1:4" ht="18" hidden="1">
      <c r="A371" s="156" t="s">
        <v>37</v>
      </c>
      <c r="B371" s="157"/>
      <c r="C371" s="157"/>
      <c r="D371" s="158">
        <f t="shared" si="5"/>
        <v>0</v>
      </c>
    </row>
    <row r="372" spans="1:4" ht="18" hidden="1">
      <c r="A372" s="156" t="s">
        <v>46</v>
      </c>
      <c r="B372" s="157"/>
      <c r="C372" s="157"/>
      <c r="D372" s="158">
        <f t="shared" si="5"/>
        <v>0</v>
      </c>
    </row>
    <row r="373" spans="1:4" ht="18" hidden="1">
      <c r="A373" s="161" t="s">
        <v>47</v>
      </c>
      <c r="B373" s="157"/>
      <c r="C373" s="157"/>
      <c r="D373" s="158">
        <f t="shared" si="5"/>
        <v>0</v>
      </c>
    </row>
    <row r="374" spans="1:4" ht="18" hidden="1">
      <c r="A374" s="161" t="s">
        <v>48</v>
      </c>
      <c r="B374" s="157"/>
      <c r="C374" s="157"/>
      <c r="D374" s="158">
        <f t="shared" si="5"/>
        <v>0</v>
      </c>
    </row>
    <row r="375" spans="1:4" ht="18" hidden="1">
      <c r="A375" s="159" t="s">
        <v>356</v>
      </c>
      <c r="B375" s="162"/>
      <c r="C375" s="162"/>
      <c r="D375" s="158">
        <f t="shared" si="5"/>
        <v>0</v>
      </c>
    </row>
    <row r="376" spans="1:4" ht="18" hidden="1">
      <c r="A376" s="159" t="s">
        <v>50</v>
      </c>
      <c r="B376" s="162"/>
      <c r="C376" s="162"/>
      <c r="D376" s="158">
        <f t="shared" si="5"/>
        <v>0</v>
      </c>
    </row>
    <row r="377" spans="1:4" ht="18" hidden="1">
      <c r="A377" s="161" t="s">
        <v>51</v>
      </c>
      <c r="B377" s="157"/>
      <c r="C377" s="157"/>
      <c r="D377" s="158">
        <f t="shared" si="5"/>
        <v>0</v>
      </c>
    </row>
    <row r="378" spans="1:4" ht="18" hidden="1">
      <c r="A378" s="161" t="s">
        <v>52</v>
      </c>
      <c r="B378" s="157"/>
      <c r="C378" s="157"/>
      <c r="D378" s="158">
        <f t="shared" si="5"/>
        <v>0</v>
      </c>
    </row>
    <row r="379" spans="1:4" ht="18" hidden="1">
      <c r="A379" s="164" t="s">
        <v>53</v>
      </c>
      <c r="B379" s="157"/>
      <c r="C379" s="157"/>
      <c r="D379" s="158">
        <f t="shared" si="5"/>
        <v>0</v>
      </c>
    </row>
    <row r="380" spans="1:4" ht="18" hidden="1">
      <c r="A380" s="161" t="s">
        <v>55</v>
      </c>
      <c r="B380" s="157"/>
      <c r="C380" s="157"/>
      <c r="D380" s="158">
        <f t="shared" si="5"/>
        <v>0</v>
      </c>
    </row>
    <row r="381" spans="1:4" ht="18" hidden="1">
      <c r="A381" s="161" t="s">
        <v>56</v>
      </c>
      <c r="B381" s="157"/>
      <c r="C381" s="157"/>
      <c r="D381" s="158">
        <f t="shared" si="5"/>
        <v>0</v>
      </c>
    </row>
    <row r="382" spans="1:4" ht="18" hidden="1">
      <c r="A382" s="161" t="s">
        <v>58</v>
      </c>
      <c r="B382" s="157"/>
      <c r="C382" s="157"/>
      <c r="D382" s="158">
        <f t="shared" si="5"/>
        <v>0</v>
      </c>
    </row>
    <row r="383" spans="1:4" ht="18" hidden="1">
      <c r="A383" s="161" t="s">
        <v>59</v>
      </c>
      <c r="B383" s="157"/>
      <c r="C383" s="157"/>
      <c r="D383" s="158">
        <f t="shared" si="5"/>
        <v>0</v>
      </c>
    </row>
    <row r="384" spans="1:4" ht="18" hidden="1">
      <c r="A384" s="173" t="s">
        <v>60</v>
      </c>
      <c r="B384" s="157"/>
      <c r="C384" s="157"/>
      <c r="D384" s="158">
        <f t="shared" si="5"/>
        <v>0</v>
      </c>
    </row>
    <row r="385" spans="1:4" ht="18" hidden="1">
      <c r="A385" s="159" t="s">
        <v>61</v>
      </c>
      <c r="B385" s="157"/>
      <c r="C385" s="157"/>
      <c r="D385" s="158">
        <f t="shared" si="5"/>
        <v>0</v>
      </c>
    </row>
    <row r="386" spans="1:4" ht="18" hidden="1">
      <c r="A386" s="173" t="s">
        <v>62</v>
      </c>
      <c r="B386" s="157"/>
      <c r="C386" s="157"/>
      <c r="D386" s="158">
        <f t="shared" si="5"/>
        <v>0</v>
      </c>
    </row>
    <row r="387" spans="1:4" ht="18" hidden="1">
      <c r="A387" s="161" t="s">
        <v>63</v>
      </c>
      <c r="B387" s="157"/>
      <c r="C387" s="157"/>
      <c r="D387" s="158">
        <f t="shared" si="5"/>
        <v>0</v>
      </c>
    </row>
    <row r="388" spans="1:4" ht="18" hidden="1">
      <c r="A388" s="161" t="s">
        <v>64</v>
      </c>
      <c r="B388" s="157"/>
      <c r="C388" s="157"/>
      <c r="D388" s="158">
        <f t="shared" ref="D388:D451" si="6">B388*C388</f>
        <v>0</v>
      </c>
    </row>
    <row r="389" spans="1:4" ht="18">
      <c r="A389" s="156" t="s">
        <v>65</v>
      </c>
      <c r="B389" s="157">
        <v>300</v>
      </c>
      <c r="C389" s="157">
        <v>22000</v>
      </c>
      <c r="D389" s="158">
        <f t="shared" si="6"/>
        <v>6600000</v>
      </c>
    </row>
    <row r="390" spans="1:4" ht="18" hidden="1">
      <c r="A390" s="180" t="s">
        <v>66</v>
      </c>
      <c r="B390" s="157"/>
      <c r="C390" s="157"/>
      <c r="D390" s="158">
        <f t="shared" si="6"/>
        <v>0</v>
      </c>
    </row>
    <row r="391" spans="1:4" ht="18" hidden="1">
      <c r="A391" s="164" t="s">
        <v>67</v>
      </c>
      <c r="B391" s="157"/>
      <c r="C391" s="157"/>
      <c r="D391" s="158">
        <f t="shared" si="6"/>
        <v>0</v>
      </c>
    </row>
    <row r="392" spans="1:4" ht="18" hidden="1">
      <c r="A392" s="164" t="s">
        <v>69</v>
      </c>
      <c r="B392" s="157"/>
      <c r="C392" s="157"/>
      <c r="D392" s="158">
        <f t="shared" si="6"/>
        <v>0</v>
      </c>
    </row>
    <row r="393" spans="1:4" ht="18" hidden="1">
      <c r="A393" s="164" t="s">
        <v>70</v>
      </c>
      <c r="B393" s="157"/>
      <c r="C393" s="157"/>
      <c r="D393" s="158">
        <f t="shared" si="6"/>
        <v>0</v>
      </c>
    </row>
    <row r="394" spans="1:4" ht="18" hidden="1">
      <c r="A394" s="161" t="s">
        <v>71</v>
      </c>
      <c r="B394" s="157"/>
      <c r="C394" s="157"/>
      <c r="D394" s="158">
        <f t="shared" si="6"/>
        <v>0</v>
      </c>
    </row>
    <row r="395" spans="1:4" ht="18" hidden="1">
      <c r="A395" s="159" t="s">
        <v>72</v>
      </c>
      <c r="B395" s="157"/>
      <c r="C395" s="157"/>
      <c r="D395" s="158">
        <f t="shared" si="6"/>
        <v>0</v>
      </c>
    </row>
    <row r="396" spans="1:4" ht="18" hidden="1">
      <c r="A396" s="161" t="s">
        <v>73</v>
      </c>
      <c r="B396" s="157"/>
      <c r="C396" s="157"/>
      <c r="D396" s="158">
        <f t="shared" si="6"/>
        <v>0</v>
      </c>
    </row>
    <row r="397" spans="1:4" ht="18" hidden="1">
      <c r="A397" s="161" t="s">
        <v>74</v>
      </c>
      <c r="B397" s="157"/>
      <c r="C397" s="157"/>
      <c r="D397" s="158">
        <f t="shared" si="6"/>
        <v>0</v>
      </c>
    </row>
    <row r="398" spans="1:4" ht="18" hidden="1">
      <c r="A398" s="164" t="s">
        <v>75</v>
      </c>
      <c r="B398" s="157"/>
      <c r="C398" s="157"/>
      <c r="D398" s="158">
        <f t="shared" si="6"/>
        <v>0</v>
      </c>
    </row>
    <row r="399" spans="1:4" ht="18" hidden="1">
      <c r="A399" s="161" t="s">
        <v>76</v>
      </c>
      <c r="B399" s="157"/>
      <c r="C399" s="157"/>
      <c r="D399" s="158">
        <f t="shared" si="6"/>
        <v>0</v>
      </c>
    </row>
    <row r="400" spans="1:4" ht="18" hidden="1">
      <c r="A400" s="185" t="s">
        <v>77</v>
      </c>
      <c r="B400" s="157"/>
      <c r="C400" s="157"/>
      <c r="D400" s="158">
        <f t="shared" si="6"/>
        <v>0</v>
      </c>
    </row>
    <row r="401" spans="1:4" ht="18" hidden="1">
      <c r="A401" s="161" t="s">
        <v>78</v>
      </c>
      <c r="B401" s="157"/>
      <c r="C401" s="157"/>
      <c r="D401" s="158">
        <f t="shared" si="6"/>
        <v>0</v>
      </c>
    </row>
    <row r="402" spans="1:4" ht="18" hidden="1">
      <c r="A402" s="161" t="s">
        <v>79</v>
      </c>
      <c r="B402" s="157"/>
      <c r="C402" s="157"/>
      <c r="D402" s="158">
        <f t="shared" si="6"/>
        <v>0</v>
      </c>
    </row>
    <row r="403" spans="1:4" ht="18" hidden="1">
      <c r="A403" s="160" t="s">
        <v>80</v>
      </c>
      <c r="B403" s="157"/>
      <c r="C403" s="157"/>
      <c r="D403" s="158">
        <f t="shared" si="6"/>
        <v>0</v>
      </c>
    </row>
    <row r="404" spans="1:4" ht="18" hidden="1">
      <c r="A404" s="168" t="s">
        <v>81</v>
      </c>
      <c r="B404" s="157"/>
      <c r="C404" s="157"/>
      <c r="D404" s="158">
        <f t="shared" si="6"/>
        <v>0</v>
      </c>
    </row>
    <row r="405" spans="1:4" ht="18" hidden="1">
      <c r="A405" s="156" t="s">
        <v>82</v>
      </c>
      <c r="B405" s="157"/>
      <c r="C405" s="157"/>
      <c r="D405" s="158">
        <f t="shared" si="6"/>
        <v>0</v>
      </c>
    </row>
    <row r="406" spans="1:4" ht="18" hidden="1">
      <c r="A406" s="159" t="s">
        <v>83</v>
      </c>
      <c r="B406" s="157"/>
      <c r="C406" s="157"/>
      <c r="D406" s="158">
        <f t="shared" si="6"/>
        <v>0</v>
      </c>
    </row>
    <row r="407" spans="1:4" ht="18" hidden="1">
      <c r="A407" s="156" t="s">
        <v>84</v>
      </c>
      <c r="B407" s="157"/>
      <c r="C407" s="157"/>
      <c r="D407" s="158">
        <f t="shared" si="6"/>
        <v>0</v>
      </c>
    </row>
    <row r="408" spans="1:4" ht="18" hidden="1">
      <c r="A408" s="156" t="s">
        <v>85</v>
      </c>
      <c r="B408" s="157"/>
      <c r="C408" s="157"/>
      <c r="D408" s="158">
        <f t="shared" si="6"/>
        <v>0</v>
      </c>
    </row>
    <row r="409" spans="1:4" ht="18" hidden="1">
      <c r="A409" s="156" t="s">
        <v>86</v>
      </c>
      <c r="B409" s="157"/>
      <c r="C409" s="157"/>
      <c r="D409" s="158">
        <f t="shared" si="6"/>
        <v>0</v>
      </c>
    </row>
    <row r="410" spans="1:4" ht="18" hidden="1">
      <c r="A410" s="160" t="s">
        <v>87</v>
      </c>
      <c r="B410" s="157"/>
      <c r="C410" s="157"/>
      <c r="D410" s="158">
        <f t="shared" si="6"/>
        <v>0</v>
      </c>
    </row>
    <row r="411" spans="1:4" ht="18" hidden="1">
      <c r="A411" s="161" t="s">
        <v>88</v>
      </c>
      <c r="B411" s="157"/>
      <c r="C411" s="157"/>
      <c r="D411" s="158">
        <f t="shared" si="6"/>
        <v>0</v>
      </c>
    </row>
    <row r="412" spans="1:4" ht="18" hidden="1">
      <c r="A412" s="161" t="s">
        <v>89</v>
      </c>
      <c r="B412" s="157"/>
      <c r="C412" s="157"/>
      <c r="D412" s="158">
        <f t="shared" si="6"/>
        <v>0</v>
      </c>
    </row>
    <row r="413" spans="1:4" ht="18" hidden="1">
      <c r="A413" s="156" t="s">
        <v>357</v>
      </c>
      <c r="B413" s="157"/>
      <c r="C413" s="157"/>
      <c r="D413" s="158">
        <f t="shared" si="6"/>
        <v>0</v>
      </c>
    </row>
    <row r="414" spans="1:4" ht="18">
      <c r="A414" s="161" t="s">
        <v>90</v>
      </c>
      <c r="B414" s="157">
        <v>100</v>
      </c>
      <c r="C414" s="157">
        <v>28000</v>
      </c>
      <c r="D414" s="158">
        <f t="shared" si="6"/>
        <v>2800000</v>
      </c>
    </row>
    <row r="415" spans="1:4" ht="18" hidden="1">
      <c r="A415" s="173" t="s">
        <v>91</v>
      </c>
      <c r="B415" s="157"/>
      <c r="C415" s="157"/>
      <c r="D415" s="158">
        <f t="shared" si="6"/>
        <v>0</v>
      </c>
    </row>
    <row r="416" spans="1:4" ht="18" hidden="1">
      <c r="A416" s="161" t="s">
        <v>92</v>
      </c>
      <c r="B416" s="157"/>
      <c r="C416" s="157"/>
      <c r="D416" s="158">
        <f t="shared" si="6"/>
        <v>0</v>
      </c>
    </row>
    <row r="417" spans="1:4" ht="18" hidden="1">
      <c r="A417" s="161" t="s">
        <v>94</v>
      </c>
      <c r="B417" s="157"/>
      <c r="C417" s="157"/>
      <c r="D417" s="158">
        <f t="shared" si="6"/>
        <v>0</v>
      </c>
    </row>
    <row r="418" spans="1:4" ht="18" hidden="1">
      <c r="A418" s="161" t="s">
        <v>95</v>
      </c>
      <c r="B418" s="157"/>
      <c r="C418" s="157"/>
      <c r="D418" s="158">
        <f t="shared" si="6"/>
        <v>0</v>
      </c>
    </row>
    <row r="419" spans="1:4" ht="18" hidden="1">
      <c r="A419" s="156" t="s">
        <v>96</v>
      </c>
      <c r="B419" s="162"/>
      <c r="C419" s="162"/>
      <c r="D419" s="158">
        <f t="shared" si="6"/>
        <v>0</v>
      </c>
    </row>
    <row r="420" spans="1:4" ht="18" hidden="1">
      <c r="A420" s="156" t="s">
        <v>97</v>
      </c>
      <c r="B420" s="162"/>
      <c r="C420" s="162"/>
      <c r="D420" s="158">
        <f t="shared" si="6"/>
        <v>0</v>
      </c>
    </row>
    <row r="421" spans="1:4" ht="18" hidden="1">
      <c r="A421" s="156" t="s">
        <v>98</v>
      </c>
      <c r="B421" s="162"/>
      <c r="C421" s="162"/>
      <c r="D421" s="158">
        <f t="shared" si="6"/>
        <v>0</v>
      </c>
    </row>
    <row r="422" spans="1:4" ht="18" hidden="1">
      <c r="A422" s="161" t="s">
        <v>99</v>
      </c>
      <c r="B422" s="157"/>
      <c r="C422" s="157"/>
      <c r="D422" s="158">
        <f t="shared" si="6"/>
        <v>0</v>
      </c>
    </row>
    <row r="423" spans="1:4" ht="18" hidden="1">
      <c r="A423" s="161" t="s">
        <v>100</v>
      </c>
      <c r="B423" s="157"/>
      <c r="C423" s="157"/>
      <c r="D423" s="158">
        <f t="shared" si="6"/>
        <v>0</v>
      </c>
    </row>
    <row r="424" spans="1:4" ht="18" hidden="1">
      <c r="A424" s="161" t="s">
        <v>101</v>
      </c>
      <c r="B424" s="157"/>
      <c r="C424" s="157"/>
      <c r="D424" s="158">
        <f t="shared" si="6"/>
        <v>0</v>
      </c>
    </row>
    <row r="425" spans="1:4" ht="18" hidden="1">
      <c r="A425" s="161" t="s">
        <v>102</v>
      </c>
      <c r="B425" s="157"/>
      <c r="C425" s="157"/>
      <c r="D425" s="158">
        <f t="shared" si="6"/>
        <v>0</v>
      </c>
    </row>
    <row r="426" spans="1:4" ht="18" hidden="1">
      <c r="A426" s="161" t="s">
        <v>103</v>
      </c>
      <c r="B426" s="157"/>
      <c r="C426" s="157"/>
      <c r="D426" s="158">
        <f t="shared" si="6"/>
        <v>0</v>
      </c>
    </row>
    <row r="427" spans="1:4" ht="18" hidden="1">
      <c r="A427" s="161" t="s">
        <v>104</v>
      </c>
      <c r="B427" s="157"/>
      <c r="C427" s="157"/>
      <c r="D427" s="158">
        <f t="shared" si="6"/>
        <v>0</v>
      </c>
    </row>
    <row r="428" spans="1:4" ht="18" hidden="1">
      <c r="A428" s="163" t="s">
        <v>105</v>
      </c>
      <c r="B428" s="157"/>
      <c r="C428" s="157"/>
      <c r="D428" s="158">
        <f t="shared" si="6"/>
        <v>0</v>
      </c>
    </row>
    <row r="429" spans="1:4" ht="18" hidden="1">
      <c r="A429" s="163" t="s">
        <v>106</v>
      </c>
      <c r="B429" s="157"/>
      <c r="C429" s="157"/>
      <c r="D429" s="158">
        <f t="shared" si="6"/>
        <v>0</v>
      </c>
    </row>
    <row r="430" spans="1:4" ht="18" hidden="1">
      <c r="A430" s="163" t="s">
        <v>107</v>
      </c>
      <c r="B430" s="157"/>
      <c r="C430" s="157"/>
      <c r="D430" s="158">
        <f t="shared" si="6"/>
        <v>0</v>
      </c>
    </row>
    <row r="431" spans="1:4" ht="18" hidden="1">
      <c r="A431" s="159" t="s">
        <v>108</v>
      </c>
      <c r="B431" s="157"/>
      <c r="C431" s="157"/>
      <c r="D431" s="158">
        <f t="shared" si="6"/>
        <v>0</v>
      </c>
    </row>
    <row r="432" spans="1:4" ht="18" hidden="1">
      <c r="A432" s="173" t="s">
        <v>109</v>
      </c>
      <c r="B432" s="157"/>
      <c r="C432" s="157"/>
      <c r="D432" s="158">
        <f t="shared" si="6"/>
        <v>0</v>
      </c>
    </row>
    <row r="433" spans="1:4" ht="18" hidden="1">
      <c r="A433" s="159" t="s">
        <v>358</v>
      </c>
      <c r="B433" s="157"/>
      <c r="C433" s="157"/>
      <c r="D433" s="158">
        <f t="shared" si="6"/>
        <v>0</v>
      </c>
    </row>
    <row r="434" spans="1:4" ht="18" hidden="1">
      <c r="A434" s="161" t="s">
        <v>110</v>
      </c>
      <c r="B434" s="157"/>
      <c r="C434" s="157"/>
      <c r="D434" s="158">
        <f t="shared" si="6"/>
        <v>0</v>
      </c>
    </row>
    <row r="435" spans="1:4" ht="18" hidden="1">
      <c r="A435" s="161" t="s">
        <v>111</v>
      </c>
      <c r="B435" s="157"/>
      <c r="C435" s="157"/>
      <c r="D435" s="158">
        <f t="shared" si="6"/>
        <v>0</v>
      </c>
    </row>
    <row r="436" spans="1:4" ht="18" hidden="1">
      <c r="A436" s="159" t="s">
        <v>359</v>
      </c>
      <c r="B436" s="157"/>
      <c r="C436" s="157"/>
      <c r="D436" s="158">
        <f t="shared" si="6"/>
        <v>0</v>
      </c>
    </row>
    <row r="437" spans="1:4" ht="18" hidden="1">
      <c r="A437" s="159" t="s">
        <v>360</v>
      </c>
      <c r="B437" s="157"/>
      <c r="C437" s="157"/>
      <c r="D437" s="158">
        <f t="shared" si="6"/>
        <v>0</v>
      </c>
    </row>
    <row r="438" spans="1:4" ht="18" hidden="1">
      <c r="A438" s="161" t="s">
        <v>113</v>
      </c>
      <c r="B438" s="162"/>
      <c r="C438" s="162"/>
      <c r="D438" s="158">
        <f t="shared" si="6"/>
        <v>0</v>
      </c>
    </row>
    <row r="439" spans="1:4" ht="18" hidden="1">
      <c r="A439" s="163" t="s">
        <v>115</v>
      </c>
      <c r="B439" s="157"/>
      <c r="C439" s="157"/>
      <c r="D439" s="158">
        <f t="shared" si="6"/>
        <v>0</v>
      </c>
    </row>
    <row r="440" spans="1:4" ht="18" hidden="1">
      <c r="A440" s="159" t="s">
        <v>116</v>
      </c>
      <c r="B440" s="157"/>
      <c r="C440" s="157"/>
      <c r="D440" s="158">
        <f t="shared" si="6"/>
        <v>0</v>
      </c>
    </row>
    <row r="441" spans="1:4" ht="18" hidden="1">
      <c r="A441" s="159" t="s">
        <v>361</v>
      </c>
      <c r="B441" s="157"/>
      <c r="C441" s="157"/>
      <c r="D441" s="158">
        <f t="shared" si="6"/>
        <v>0</v>
      </c>
    </row>
    <row r="442" spans="1:4" ht="18" hidden="1">
      <c r="A442" s="161" t="s">
        <v>117</v>
      </c>
      <c r="B442" s="157"/>
      <c r="C442" s="157"/>
      <c r="D442" s="158">
        <f t="shared" si="6"/>
        <v>0</v>
      </c>
    </row>
    <row r="443" spans="1:4" ht="18" hidden="1">
      <c r="A443" s="164" t="s">
        <v>118</v>
      </c>
      <c r="B443" s="157"/>
      <c r="C443" s="157"/>
      <c r="D443" s="158">
        <f t="shared" si="6"/>
        <v>0</v>
      </c>
    </row>
    <row r="444" spans="1:4" ht="18" hidden="1">
      <c r="A444" s="177" t="s">
        <v>119</v>
      </c>
      <c r="B444" s="157"/>
      <c r="C444" s="157"/>
      <c r="D444" s="158">
        <f t="shared" si="6"/>
        <v>0</v>
      </c>
    </row>
    <row r="445" spans="1:4" ht="18" hidden="1">
      <c r="A445" s="177" t="s">
        <v>120</v>
      </c>
      <c r="B445" s="157"/>
      <c r="C445" s="157"/>
      <c r="D445" s="158">
        <f t="shared" si="6"/>
        <v>0</v>
      </c>
    </row>
    <row r="446" spans="1:4" ht="18" hidden="1">
      <c r="A446" s="195" t="s">
        <v>121</v>
      </c>
      <c r="B446" s="157"/>
      <c r="C446" s="157"/>
      <c r="D446" s="158">
        <f t="shared" si="6"/>
        <v>0</v>
      </c>
    </row>
    <row r="447" spans="1:4" ht="18" hidden="1">
      <c r="A447" s="186" t="s">
        <v>122</v>
      </c>
      <c r="B447" s="157"/>
      <c r="C447" s="157"/>
      <c r="D447" s="158">
        <f t="shared" si="6"/>
        <v>0</v>
      </c>
    </row>
    <row r="448" spans="1:4" ht="18" hidden="1">
      <c r="A448" s="161" t="s">
        <v>123</v>
      </c>
      <c r="B448" s="157"/>
      <c r="C448" s="157"/>
      <c r="D448" s="158">
        <f t="shared" si="6"/>
        <v>0</v>
      </c>
    </row>
    <row r="449" spans="1:4" ht="18">
      <c r="A449" s="161" t="s">
        <v>124</v>
      </c>
      <c r="B449" s="157">
        <v>13</v>
      </c>
      <c r="C449" s="157">
        <v>17000</v>
      </c>
      <c r="D449" s="158">
        <f t="shared" si="6"/>
        <v>221000</v>
      </c>
    </row>
    <row r="450" spans="1:4" ht="18" hidden="1">
      <c r="A450" s="161" t="s">
        <v>125</v>
      </c>
      <c r="B450" s="157"/>
      <c r="C450" s="157"/>
      <c r="D450" s="158">
        <f t="shared" si="6"/>
        <v>0</v>
      </c>
    </row>
    <row r="451" spans="1:4" ht="18" hidden="1">
      <c r="A451" s="161" t="s">
        <v>126</v>
      </c>
      <c r="B451" s="157"/>
      <c r="C451" s="157"/>
      <c r="D451" s="158">
        <f t="shared" si="6"/>
        <v>0</v>
      </c>
    </row>
    <row r="452" spans="1:4" ht="18" hidden="1">
      <c r="A452" s="161" t="s">
        <v>128</v>
      </c>
      <c r="B452" s="157"/>
      <c r="C452" s="157"/>
      <c r="D452" s="158">
        <f t="shared" ref="D452:D515" si="7">B452*C452</f>
        <v>0</v>
      </c>
    </row>
    <row r="453" spans="1:4" ht="18" hidden="1">
      <c r="A453" s="161" t="s">
        <v>129</v>
      </c>
      <c r="B453" s="157"/>
      <c r="C453" s="157"/>
      <c r="D453" s="158">
        <f t="shared" si="7"/>
        <v>0</v>
      </c>
    </row>
    <row r="454" spans="1:4" ht="18">
      <c r="A454" s="161" t="s">
        <v>362</v>
      </c>
      <c r="B454" s="157">
        <v>6</v>
      </c>
      <c r="C454" s="157">
        <v>22000</v>
      </c>
      <c r="D454" s="158">
        <f t="shared" si="7"/>
        <v>132000</v>
      </c>
    </row>
    <row r="455" spans="1:4" ht="18" hidden="1">
      <c r="A455" s="161" t="s">
        <v>130</v>
      </c>
      <c r="B455" s="157"/>
      <c r="C455" s="157"/>
      <c r="D455" s="158">
        <f t="shared" si="7"/>
        <v>0</v>
      </c>
    </row>
    <row r="456" spans="1:4" ht="18" hidden="1">
      <c r="A456" s="159" t="s">
        <v>131</v>
      </c>
      <c r="B456" s="157"/>
      <c r="C456" s="157"/>
      <c r="D456" s="158">
        <f t="shared" si="7"/>
        <v>0</v>
      </c>
    </row>
    <row r="457" spans="1:4" ht="18" hidden="1">
      <c r="A457" s="163" t="s">
        <v>132</v>
      </c>
      <c r="B457" s="157"/>
      <c r="C457" s="157"/>
      <c r="D457" s="158">
        <f t="shared" si="7"/>
        <v>0</v>
      </c>
    </row>
    <row r="458" spans="1:4" ht="18" hidden="1">
      <c r="A458" s="161" t="s">
        <v>133</v>
      </c>
      <c r="B458" s="157"/>
      <c r="C458" s="157"/>
      <c r="D458" s="158">
        <f t="shared" si="7"/>
        <v>0</v>
      </c>
    </row>
    <row r="459" spans="1:4" ht="18" hidden="1">
      <c r="A459" s="159" t="s">
        <v>135</v>
      </c>
      <c r="B459" s="157"/>
      <c r="C459" s="157"/>
      <c r="D459" s="158">
        <f t="shared" si="7"/>
        <v>0</v>
      </c>
    </row>
    <row r="460" spans="1:4" ht="18" hidden="1">
      <c r="A460" s="159" t="s">
        <v>136</v>
      </c>
      <c r="B460" s="157"/>
      <c r="C460" s="157"/>
      <c r="D460" s="158">
        <f t="shared" si="7"/>
        <v>0</v>
      </c>
    </row>
    <row r="461" spans="1:4" ht="18" hidden="1">
      <c r="A461" s="161" t="s">
        <v>137</v>
      </c>
      <c r="B461" s="157"/>
      <c r="C461" s="157"/>
      <c r="D461" s="158">
        <f t="shared" si="7"/>
        <v>0</v>
      </c>
    </row>
    <row r="462" spans="1:4" ht="18" hidden="1">
      <c r="A462" s="178" t="s">
        <v>139</v>
      </c>
      <c r="B462" s="157"/>
      <c r="C462" s="157"/>
      <c r="D462" s="158">
        <f t="shared" si="7"/>
        <v>0</v>
      </c>
    </row>
    <row r="463" spans="1:4" ht="18" hidden="1">
      <c r="A463" s="173" t="s">
        <v>140</v>
      </c>
      <c r="B463" s="157"/>
      <c r="C463" s="157"/>
      <c r="D463" s="158">
        <f t="shared" si="7"/>
        <v>0</v>
      </c>
    </row>
    <row r="464" spans="1:4" ht="18" hidden="1">
      <c r="A464" s="156" t="s">
        <v>141</v>
      </c>
      <c r="B464" s="162"/>
      <c r="C464" s="162"/>
      <c r="D464" s="158">
        <f t="shared" si="7"/>
        <v>0</v>
      </c>
    </row>
    <row r="465" spans="1:4" ht="18" hidden="1">
      <c r="A465" s="156" t="s">
        <v>142</v>
      </c>
      <c r="B465" s="162"/>
      <c r="C465" s="162"/>
      <c r="D465" s="158">
        <f t="shared" si="7"/>
        <v>0</v>
      </c>
    </row>
    <row r="466" spans="1:4" ht="18" hidden="1">
      <c r="A466" s="156" t="s">
        <v>143</v>
      </c>
      <c r="B466" s="162"/>
      <c r="C466" s="162"/>
      <c r="D466" s="158">
        <f t="shared" si="7"/>
        <v>0</v>
      </c>
    </row>
    <row r="467" spans="1:4" ht="18" hidden="1">
      <c r="A467" s="156" t="s">
        <v>144</v>
      </c>
      <c r="B467" s="179"/>
      <c r="C467" s="179"/>
      <c r="D467" s="158">
        <f t="shared" si="7"/>
        <v>0</v>
      </c>
    </row>
    <row r="468" spans="1:4" ht="18" hidden="1">
      <c r="A468" s="183" t="s">
        <v>145</v>
      </c>
      <c r="B468" s="157"/>
      <c r="C468" s="157"/>
      <c r="D468" s="158">
        <f t="shared" si="7"/>
        <v>0</v>
      </c>
    </row>
    <row r="469" spans="1:4" ht="18" hidden="1">
      <c r="A469" s="156" t="s">
        <v>146</v>
      </c>
      <c r="B469" s="162"/>
      <c r="C469" s="162"/>
      <c r="D469" s="158">
        <f t="shared" si="7"/>
        <v>0</v>
      </c>
    </row>
    <row r="470" spans="1:4" ht="18" hidden="1">
      <c r="A470" s="161" t="s">
        <v>147</v>
      </c>
      <c r="B470" s="157"/>
      <c r="C470" s="157"/>
      <c r="D470" s="158">
        <f t="shared" si="7"/>
        <v>0</v>
      </c>
    </row>
    <row r="471" spans="1:4" ht="18" hidden="1">
      <c r="A471" s="161" t="s">
        <v>148</v>
      </c>
      <c r="B471" s="157"/>
      <c r="C471" s="157"/>
      <c r="D471" s="158">
        <f t="shared" si="7"/>
        <v>0</v>
      </c>
    </row>
    <row r="472" spans="1:4" ht="18">
      <c r="A472" s="161" t="s">
        <v>150</v>
      </c>
      <c r="B472" s="157">
        <v>60</v>
      </c>
      <c r="C472" s="157">
        <v>16000</v>
      </c>
      <c r="D472" s="158">
        <f t="shared" si="7"/>
        <v>960000</v>
      </c>
    </row>
    <row r="473" spans="1:4" ht="18" hidden="1">
      <c r="A473" s="164" t="s">
        <v>151</v>
      </c>
      <c r="B473" s="157"/>
      <c r="C473" s="157"/>
      <c r="D473" s="158">
        <f t="shared" si="7"/>
        <v>0</v>
      </c>
    </row>
    <row r="474" spans="1:4" ht="18" hidden="1">
      <c r="A474" s="156" t="s">
        <v>152</v>
      </c>
      <c r="B474" s="157"/>
      <c r="C474" s="157"/>
      <c r="D474" s="158">
        <f t="shared" si="7"/>
        <v>0</v>
      </c>
    </row>
    <row r="475" spans="1:4" ht="18" hidden="1">
      <c r="A475" s="156" t="s">
        <v>153</v>
      </c>
      <c r="B475" s="157"/>
      <c r="C475" s="157"/>
      <c r="D475" s="158">
        <f t="shared" si="7"/>
        <v>0</v>
      </c>
    </row>
    <row r="476" spans="1:4" ht="18" hidden="1">
      <c r="A476" s="161" t="s">
        <v>154</v>
      </c>
      <c r="B476" s="157"/>
      <c r="C476" s="157"/>
      <c r="D476" s="158">
        <f t="shared" si="7"/>
        <v>0</v>
      </c>
    </row>
    <row r="477" spans="1:4" ht="18" hidden="1">
      <c r="A477" s="161" t="s">
        <v>363</v>
      </c>
      <c r="B477" s="157"/>
      <c r="C477" s="157"/>
      <c r="D477" s="158">
        <f t="shared" si="7"/>
        <v>0</v>
      </c>
    </row>
    <row r="478" spans="1:4" ht="18" hidden="1">
      <c r="A478" s="161" t="s">
        <v>156</v>
      </c>
      <c r="B478" s="162"/>
      <c r="C478" s="162"/>
      <c r="D478" s="158">
        <f t="shared" si="7"/>
        <v>0</v>
      </c>
    </row>
    <row r="479" spans="1:4" ht="18" hidden="1">
      <c r="A479" s="161" t="s">
        <v>157</v>
      </c>
      <c r="B479" s="162"/>
      <c r="C479" s="162"/>
      <c r="D479" s="158">
        <f t="shared" si="7"/>
        <v>0</v>
      </c>
    </row>
    <row r="480" spans="1:4" ht="18" hidden="1">
      <c r="A480" s="161" t="s">
        <v>158</v>
      </c>
      <c r="B480" s="157"/>
      <c r="C480" s="157"/>
      <c r="D480" s="158">
        <f t="shared" si="7"/>
        <v>0</v>
      </c>
    </row>
    <row r="481" spans="1:4" ht="18" hidden="1">
      <c r="A481" s="161" t="s">
        <v>159</v>
      </c>
      <c r="B481" s="162"/>
      <c r="C481" s="162"/>
      <c r="D481" s="158">
        <f t="shared" si="7"/>
        <v>0</v>
      </c>
    </row>
    <row r="482" spans="1:4" ht="18" hidden="1">
      <c r="A482" s="161" t="s">
        <v>160</v>
      </c>
      <c r="B482" s="162"/>
      <c r="C482" s="162"/>
      <c r="D482" s="158">
        <f t="shared" si="7"/>
        <v>0</v>
      </c>
    </row>
    <row r="483" spans="1:4" ht="18" hidden="1">
      <c r="A483" s="161" t="s">
        <v>161</v>
      </c>
      <c r="B483" s="162"/>
      <c r="C483" s="162"/>
      <c r="D483" s="158">
        <f t="shared" si="7"/>
        <v>0</v>
      </c>
    </row>
    <row r="484" spans="1:4" ht="18" hidden="1">
      <c r="A484" s="161" t="s">
        <v>162</v>
      </c>
      <c r="B484" s="162"/>
      <c r="C484" s="162"/>
      <c r="D484" s="158">
        <f t="shared" si="7"/>
        <v>0</v>
      </c>
    </row>
    <row r="485" spans="1:4" ht="18" hidden="1">
      <c r="A485" s="161" t="s">
        <v>163</v>
      </c>
      <c r="B485" s="162"/>
      <c r="C485" s="162"/>
      <c r="D485" s="158">
        <f t="shared" si="7"/>
        <v>0</v>
      </c>
    </row>
    <row r="486" spans="1:4" ht="18" hidden="1">
      <c r="A486" s="161" t="s">
        <v>164</v>
      </c>
      <c r="B486" s="162"/>
      <c r="C486" s="162"/>
      <c r="D486" s="158">
        <f t="shared" si="7"/>
        <v>0</v>
      </c>
    </row>
    <row r="487" spans="1:4" ht="18" hidden="1">
      <c r="A487" s="161" t="s">
        <v>165</v>
      </c>
      <c r="B487" s="162"/>
      <c r="C487" s="162"/>
      <c r="D487" s="158">
        <f t="shared" si="7"/>
        <v>0</v>
      </c>
    </row>
    <row r="488" spans="1:4" ht="18" hidden="1">
      <c r="A488" s="161" t="s">
        <v>166</v>
      </c>
      <c r="B488" s="162"/>
      <c r="C488" s="162"/>
      <c r="D488" s="158">
        <f t="shared" si="7"/>
        <v>0</v>
      </c>
    </row>
    <row r="489" spans="1:4" ht="18" hidden="1">
      <c r="A489" s="161" t="s">
        <v>167</v>
      </c>
      <c r="B489" s="157"/>
      <c r="C489" s="157"/>
      <c r="D489" s="158">
        <f t="shared" si="7"/>
        <v>0</v>
      </c>
    </row>
    <row r="490" spans="1:4" ht="18" hidden="1">
      <c r="A490" s="161" t="s">
        <v>364</v>
      </c>
      <c r="B490" s="157"/>
      <c r="C490" s="157"/>
      <c r="D490" s="158">
        <f t="shared" si="7"/>
        <v>0</v>
      </c>
    </row>
    <row r="491" spans="1:4" ht="18" hidden="1">
      <c r="A491" s="161" t="s">
        <v>168</v>
      </c>
      <c r="B491" s="157"/>
      <c r="C491" s="157"/>
      <c r="D491" s="158">
        <f t="shared" si="7"/>
        <v>0</v>
      </c>
    </row>
    <row r="492" spans="1:4" ht="18">
      <c r="A492" s="161" t="s">
        <v>169</v>
      </c>
      <c r="B492" s="157">
        <v>30</v>
      </c>
      <c r="C492" s="157">
        <v>9000</v>
      </c>
      <c r="D492" s="158">
        <f t="shared" si="7"/>
        <v>270000</v>
      </c>
    </row>
    <row r="493" spans="1:4" ht="18" hidden="1">
      <c r="A493" s="161" t="s">
        <v>170</v>
      </c>
      <c r="B493" s="157"/>
      <c r="C493" s="157"/>
      <c r="D493" s="158">
        <f t="shared" si="7"/>
        <v>0</v>
      </c>
    </row>
    <row r="494" spans="1:4" ht="18" hidden="1">
      <c r="A494" s="164" t="s">
        <v>171</v>
      </c>
      <c r="B494" s="157"/>
      <c r="C494" s="157"/>
      <c r="D494" s="158">
        <f t="shared" si="7"/>
        <v>0</v>
      </c>
    </row>
    <row r="495" spans="1:4" ht="18" hidden="1">
      <c r="A495" s="161" t="s">
        <v>172</v>
      </c>
      <c r="B495" s="157"/>
      <c r="C495" s="157"/>
      <c r="D495" s="158">
        <f t="shared" si="7"/>
        <v>0</v>
      </c>
    </row>
    <row r="496" spans="1:4" ht="18" hidden="1">
      <c r="A496" s="161" t="s">
        <v>173</v>
      </c>
      <c r="B496" s="157"/>
      <c r="C496" s="157"/>
      <c r="D496" s="158">
        <f t="shared" si="7"/>
        <v>0</v>
      </c>
    </row>
    <row r="497" spans="1:4" ht="18">
      <c r="A497" s="161" t="s">
        <v>174</v>
      </c>
      <c r="B497" s="157">
        <v>8</v>
      </c>
      <c r="C497" s="157">
        <v>8500</v>
      </c>
      <c r="D497" s="158">
        <f t="shared" si="7"/>
        <v>68000</v>
      </c>
    </row>
    <row r="498" spans="1:4" ht="18" hidden="1">
      <c r="A498" s="161" t="s">
        <v>175</v>
      </c>
      <c r="B498" s="157"/>
      <c r="C498" s="157"/>
      <c r="D498" s="158">
        <f t="shared" si="7"/>
        <v>0</v>
      </c>
    </row>
    <row r="499" spans="1:4" ht="18" hidden="1">
      <c r="A499" s="161" t="s">
        <v>176</v>
      </c>
      <c r="B499" s="162"/>
      <c r="C499" s="162"/>
      <c r="D499" s="158">
        <f t="shared" si="7"/>
        <v>0</v>
      </c>
    </row>
    <row r="500" spans="1:4" ht="18" hidden="1">
      <c r="A500" s="180" t="s">
        <v>177</v>
      </c>
      <c r="B500" s="162"/>
      <c r="C500" s="162"/>
      <c r="D500" s="158">
        <f t="shared" si="7"/>
        <v>0</v>
      </c>
    </row>
    <row r="501" spans="1:4" ht="18" hidden="1">
      <c r="A501" s="161" t="s">
        <v>178</v>
      </c>
      <c r="B501" s="162"/>
      <c r="C501" s="162"/>
      <c r="D501" s="158">
        <f t="shared" si="7"/>
        <v>0</v>
      </c>
    </row>
    <row r="502" spans="1:4" ht="18" hidden="1">
      <c r="A502" s="161" t="s">
        <v>180</v>
      </c>
      <c r="B502" s="157"/>
      <c r="C502" s="157"/>
      <c r="D502" s="158">
        <f t="shared" si="7"/>
        <v>0</v>
      </c>
    </row>
    <row r="503" spans="1:4" ht="18" hidden="1">
      <c r="A503" s="164" t="s">
        <v>181</v>
      </c>
      <c r="B503" s="157"/>
      <c r="C503" s="157"/>
      <c r="D503" s="158">
        <f t="shared" si="7"/>
        <v>0</v>
      </c>
    </row>
    <row r="504" spans="1:4" ht="18">
      <c r="A504" s="161" t="s">
        <v>365</v>
      </c>
      <c r="B504" s="157">
        <v>47</v>
      </c>
      <c r="C504" s="157">
        <v>7500</v>
      </c>
      <c r="D504" s="158">
        <f t="shared" si="7"/>
        <v>352500</v>
      </c>
    </row>
    <row r="505" spans="1:4" ht="18" hidden="1">
      <c r="A505" s="156" t="s">
        <v>182</v>
      </c>
      <c r="B505" s="157"/>
      <c r="C505" s="157"/>
      <c r="D505" s="158">
        <f t="shared" si="7"/>
        <v>0</v>
      </c>
    </row>
    <row r="506" spans="1:4" ht="18" hidden="1">
      <c r="A506" s="161" t="s">
        <v>183</v>
      </c>
      <c r="B506" s="157"/>
      <c r="C506" s="157"/>
      <c r="D506" s="158">
        <f t="shared" si="7"/>
        <v>0</v>
      </c>
    </row>
    <row r="507" spans="1:4" ht="18" hidden="1">
      <c r="A507" s="161" t="s">
        <v>185</v>
      </c>
      <c r="B507" s="157"/>
      <c r="C507" s="157"/>
      <c r="D507" s="158">
        <f t="shared" si="7"/>
        <v>0</v>
      </c>
    </row>
    <row r="508" spans="1:4" ht="18" hidden="1">
      <c r="A508" s="161" t="s">
        <v>186</v>
      </c>
      <c r="B508" s="157"/>
      <c r="C508" s="157"/>
      <c r="D508" s="158">
        <f t="shared" si="7"/>
        <v>0</v>
      </c>
    </row>
    <row r="509" spans="1:4" ht="18" hidden="1">
      <c r="A509" s="160" t="s">
        <v>187</v>
      </c>
      <c r="B509" s="157"/>
      <c r="C509" s="157"/>
      <c r="D509" s="158">
        <f t="shared" si="7"/>
        <v>0</v>
      </c>
    </row>
    <row r="510" spans="1:4" ht="18" hidden="1">
      <c r="A510" s="161" t="s">
        <v>188</v>
      </c>
      <c r="B510" s="157"/>
      <c r="C510" s="157"/>
      <c r="D510" s="158">
        <f t="shared" si="7"/>
        <v>0</v>
      </c>
    </row>
    <row r="511" spans="1:4" ht="18" hidden="1">
      <c r="A511" s="169" t="s">
        <v>189</v>
      </c>
      <c r="B511" s="170"/>
      <c r="C511" s="170"/>
      <c r="D511" s="158">
        <f t="shared" si="7"/>
        <v>0</v>
      </c>
    </row>
    <row r="512" spans="1:4" ht="18" hidden="1">
      <c r="A512" s="159" t="s">
        <v>190</v>
      </c>
      <c r="B512" s="157"/>
      <c r="C512" s="157"/>
      <c r="D512" s="158">
        <f t="shared" si="7"/>
        <v>0</v>
      </c>
    </row>
    <row r="513" spans="1:4" ht="18" hidden="1">
      <c r="A513" s="161" t="s">
        <v>191</v>
      </c>
      <c r="B513" s="157"/>
      <c r="C513" s="157"/>
      <c r="D513" s="158">
        <f t="shared" si="7"/>
        <v>0</v>
      </c>
    </row>
    <row r="514" spans="1:4" ht="18" hidden="1">
      <c r="A514" s="161" t="s">
        <v>192</v>
      </c>
      <c r="B514" s="157"/>
      <c r="C514" s="157"/>
      <c r="D514" s="158">
        <f t="shared" si="7"/>
        <v>0</v>
      </c>
    </row>
    <row r="515" spans="1:4" ht="18" hidden="1">
      <c r="A515" s="156" t="s">
        <v>193</v>
      </c>
      <c r="B515" s="157"/>
      <c r="C515" s="157"/>
      <c r="D515" s="158">
        <f t="shared" si="7"/>
        <v>0</v>
      </c>
    </row>
    <row r="516" spans="1:4" ht="18" hidden="1">
      <c r="A516" s="161" t="s">
        <v>194</v>
      </c>
      <c r="B516" s="157"/>
      <c r="C516" s="157"/>
      <c r="D516" s="158">
        <f t="shared" ref="D516:D579" si="8">B516*C516</f>
        <v>0</v>
      </c>
    </row>
    <row r="517" spans="1:4" ht="18" hidden="1">
      <c r="A517" s="161" t="s">
        <v>195</v>
      </c>
      <c r="B517" s="157"/>
      <c r="C517" s="157"/>
      <c r="D517" s="158">
        <f t="shared" si="8"/>
        <v>0</v>
      </c>
    </row>
    <row r="518" spans="1:4" ht="18" hidden="1">
      <c r="A518" s="156" t="s">
        <v>196</v>
      </c>
      <c r="B518" s="157"/>
      <c r="C518" s="157"/>
      <c r="D518" s="158">
        <f t="shared" si="8"/>
        <v>0</v>
      </c>
    </row>
    <row r="519" spans="1:4" ht="18" hidden="1">
      <c r="A519" s="156" t="s">
        <v>197</v>
      </c>
      <c r="B519" s="157"/>
      <c r="C519" s="157"/>
      <c r="D519" s="158">
        <f t="shared" si="8"/>
        <v>0</v>
      </c>
    </row>
    <row r="520" spans="1:4" ht="18">
      <c r="A520" s="156" t="s">
        <v>198</v>
      </c>
      <c r="B520" s="157">
        <v>412</v>
      </c>
      <c r="C520" s="157">
        <v>8500</v>
      </c>
      <c r="D520" s="158">
        <f t="shared" si="8"/>
        <v>3502000</v>
      </c>
    </row>
    <row r="521" spans="1:4" ht="18" hidden="1">
      <c r="A521" s="161" t="s">
        <v>199</v>
      </c>
      <c r="B521" s="157"/>
      <c r="C521" s="157"/>
      <c r="D521" s="158">
        <f t="shared" si="8"/>
        <v>0</v>
      </c>
    </row>
    <row r="522" spans="1:4" ht="18" hidden="1">
      <c r="A522" s="156" t="s">
        <v>200</v>
      </c>
      <c r="B522" s="157"/>
      <c r="C522" s="157"/>
      <c r="D522" s="158">
        <f t="shared" si="8"/>
        <v>0</v>
      </c>
    </row>
    <row r="523" spans="1:4" ht="18" hidden="1">
      <c r="A523" s="156" t="s">
        <v>201</v>
      </c>
      <c r="B523" s="157"/>
      <c r="C523" s="157"/>
      <c r="D523" s="158">
        <f t="shared" si="8"/>
        <v>0</v>
      </c>
    </row>
    <row r="524" spans="1:4" ht="18" hidden="1">
      <c r="A524" s="156" t="s">
        <v>202</v>
      </c>
      <c r="B524" s="157"/>
      <c r="C524" s="157"/>
      <c r="D524" s="158">
        <f t="shared" si="8"/>
        <v>0</v>
      </c>
    </row>
    <row r="525" spans="1:4" ht="18" hidden="1">
      <c r="A525" s="161" t="s">
        <v>203</v>
      </c>
      <c r="B525" s="157"/>
      <c r="C525" s="157"/>
      <c r="D525" s="158">
        <f t="shared" si="8"/>
        <v>0</v>
      </c>
    </row>
    <row r="526" spans="1:4" ht="18" hidden="1">
      <c r="A526" s="164" t="s">
        <v>204</v>
      </c>
      <c r="B526" s="157"/>
      <c r="C526" s="157"/>
      <c r="D526" s="158">
        <f t="shared" si="8"/>
        <v>0</v>
      </c>
    </row>
    <row r="527" spans="1:4" ht="18" hidden="1">
      <c r="A527" s="164" t="s">
        <v>205</v>
      </c>
      <c r="B527" s="157"/>
      <c r="C527" s="157"/>
      <c r="D527" s="158">
        <f t="shared" si="8"/>
        <v>0</v>
      </c>
    </row>
    <row r="528" spans="1:4" ht="18" hidden="1">
      <c r="A528" s="164" t="s">
        <v>206</v>
      </c>
      <c r="B528" s="157"/>
      <c r="C528" s="157"/>
      <c r="D528" s="158">
        <f t="shared" si="8"/>
        <v>0</v>
      </c>
    </row>
    <row r="529" spans="1:4" ht="18" hidden="1">
      <c r="A529" s="164" t="s">
        <v>207</v>
      </c>
      <c r="B529" s="157"/>
      <c r="C529" s="157"/>
      <c r="D529" s="158">
        <f t="shared" si="8"/>
        <v>0</v>
      </c>
    </row>
    <row r="530" spans="1:4" ht="18" hidden="1">
      <c r="A530" s="156" t="s">
        <v>208</v>
      </c>
      <c r="B530" s="157"/>
      <c r="C530" s="157"/>
      <c r="D530" s="158">
        <f t="shared" si="8"/>
        <v>0</v>
      </c>
    </row>
    <row r="531" spans="1:4" ht="18" hidden="1">
      <c r="A531" s="161" t="s">
        <v>209</v>
      </c>
      <c r="B531" s="157"/>
      <c r="C531" s="157"/>
      <c r="D531" s="158">
        <f t="shared" si="8"/>
        <v>0</v>
      </c>
    </row>
    <row r="532" spans="1:4" ht="18" hidden="1">
      <c r="A532" s="187" t="s">
        <v>210</v>
      </c>
      <c r="B532" s="157"/>
      <c r="C532" s="157"/>
      <c r="D532" s="158">
        <f t="shared" si="8"/>
        <v>0</v>
      </c>
    </row>
    <row r="533" spans="1:4" ht="18" hidden="1">
      <c r="A533" s="187" t="s">
        <v>211</v>
      </c>
      <c r="B533" s="157"/>
      <c r="C533" s="157"/>
      <c r="D533" s="158">
        <f t="shared" si="8"/>
        <v>0</v>
      </c>
    </row>
    <row r="534" spans="1:4" ht="18" hidden="1">
      <c r="A534" s="187" t="s">
        <v>212</v>
      </c>
      <c r="B534" s="157"/>
      <c r="C534" s="157"/>
      <c r="D534" s="158">
        <f t="shared" si="8"/>
        <v>0</v>
      </c>
    </row>
    <row r="535" spans="1:4" ht="18" hidden="1">
      <c r="A535" s="187" t="s">
        <v>213</v>
      </c>
      <c r="B535" s="157"/>
      <c r="C535" s="157"/>
      <c r="D535" s="158">
        <f t="shared" si="8"/>
        <v>0</v>
      </c>
    </row>
    <row r="536" spans="1:4" ht="18" hidden="1">
      <c r="A536" s="161" t="s">
        <v>214</v>
      </c>
      <c r="B536" s="157"/>
      <c r="C536" s="157"/>
      <c r="D536" s="158">
        <f t="shared" si="8"/>
        <v>0</v>
      </c>
    </row>
    <row r="537" spans="1:4" ht="18" hidden="1">
      <c r="A537" s="167" t="s">
        <v>215</v>
      </c>
      <c r="B537" s="157"/>
      <c r="C537" s="157"/>
      <c r="D537" s="158">
        <f t="shared" si="8"/>
        <v>0</v>
      </c>
    </row>
    <row r="538" spans="1:4" ht="18" hidden="1">
      <c r="A538" s="161" t="s">
        <v>216</v>
      </c>
      <c r="B538" s="157"/>
      <c r="C538" s="157"/>
      <c r="D538" s="158">
        <f t="shared" si="8"/>
        <v>0</v>
      </c>
    </row>
    <row r="539" spans="1:4" ht="18" hidden="1">
      <c r="A539" s="156" t="s">
        <v>217</v>
      </c>
      <c r="B539" s="157"/>
      <c r="C539" s="157"/>
      <c r="D539" s="158">
        <f t="shared" si="8"/>
        <v>0</v>
      </c>
    </row>
    <row r="540" spans="1:4" ht="18" hidden="1">
      <c r="A540" s="161" t="s">
        <v>366</v>
      </c>
      <c r="B540" s="157"/>
      <c r="C540" s="157"/>
      <c r="D540" s="158">
        <f t="shared" si="8"/>
        <v>0</v>
      </c>
    </row>
    <row r="541" spans="1:4" ht="18" hidden="1">
      <c r="A541" s="161" t="s">
        <v>218</v>
      </c>
      <c r="B541" s="157"/>
      <c r="C541" s="157"/>
      <c r="D541" s="158">
        <f t="shared" si="8"/>
        <v>0</v>
      </c>
    </row>
    <row r="542" spans="1:4" ht="18">
      <c r="A542" s="161" t="s">
        <v>219</v>
      </c>
      <c r="B542" s="157">
        <v>340</v>
      </c>
      <c r="C542" s="157">
        <v>19000</v>
      </c>
      <c r="D542" s="158">
        <f t="shared" si="8"/>
        <v>6460000</v>
      </c>
    </row>
    <row r="543" spans="1:4" ht="18" hidden="1">
      <c r="A543" s="175" t="s">
        <v>220</v>
      </c>
      <c r="B543" s="157"/>
      <c r="C543" s="157"/>
      <c r="D543" s="158">
        <f t="shared" si="8"/>
        <v>0</v>
      </c>
    </row>
    <row r="544" spans="1:4" ht="18" hidden="1">
      <c r="A544" s="175" t="s">
        <v>221</v>
      </c>
      <c r="B544" s="157"/>
      <c r="C544" s="157"/>
      <c r="D544" s="158">
        <f t="shared" si="8"/>
        <v>0</v>
      </c>
    </row>
    <row r="545" spans="1:4" ht="18" hidden="1">
      <c r="A545" s="161" t="s">
        <v>222</v>
      </c>
      <c r="B545" s="157"/>
      <c r="C545" s="157"/>
      <c r="D545" s="158">
        <f t="shared" si="8"/>
        <v>0</v>
      </c>
    </row>
    <row r="546" spans="1:4" ht="18" hidden="1">
      <c r="A546" s="159" t="s">
        <v>223</v>
      </c>
      <c r="B546" s="157"/>
      <c r="C546" s="157"/>
      <c r="D546" s="158">
        <f t="shared" si="8"/>
        <v>0</v>
      </c>
    </row>
    <row r="547" spans="1:4" ht="18" hidden="1">
      <c r="A547" s="161" t="s">
        <v>224</v>
      </c>
      <c r="B547" s="157"/>
      <c r="C547" s="157"/>
      <c r="D547" s="158">
        <f t="shared" si="8"/>
        <v>0</v>
      </c>
    </row>
    <row r="548" spans="1:4" ht="18" hidden="1">
      <c r="A548" s="159" t="s">
        <v>367</v>
      </c>
      <c r="B548" s="157"/>
      <c r="C548" s="157"/>
      <c r="D548" s="158">
        <f t="shared" si="8"/>
        <v>0</v>
      </c>
    </row>
    <row r="549" spans="1:4" ht="18" hidden="1">
      <c r="A549" s="161" t="s">
        <v>225</v>
      </c>
      <c r="B549" s="157"/>
      <c r="C549" s="157"/>
      <c r="D549" s="158">
        <f t="shared" si="8"/>
        <v>0</v>
      </c>
    </row>
    <row r="550" spans="1:4" ht="18" hidden="1">
      <c r="A550" s="161" t="s">
        <v>226</v>
      </c>
      <c r="B550" s="157"/>
      <c r="C550" s="157"/>
      <c r="D550" s="158">
        <f t="shared" si="8"/>
        <v>0</v>
      </c>
    </row>
    <row r="551" spans="1:4" ht="18" hidden="1">
      <c r="A551" s="161" t="s">
        <v>368</v>
      </c>
      <c r="B551" s="157"/>
      <c r="C551" s="157"/>
      <c r="D551" s="158">
        <f t="shared" si="8"/>
        <v>0</v>
      </c>
    </row>
    <row r="552" spans="1:4" ht="18" hidden="1">
      <c r="A552" s="161" t="s">
        <v>369</v>
      </c>
      <c r="B552" s="157"/>
      <c r="C552" s="157"/>
      <c r="D552" s="158">
        <f t="shared" si="8"/>
        <v>0</v>
      </c>
    </row>
    <row r="553" spans="1:4" ht="18">
      <c r="A553" s="161" t="s">
        <v>227</v>
      </c>
      <c r="B553" s="157">
        <v>10</v>
      </c>
      <c r="C553" s="157">
        <v>23000</v>
      </c>
      <c r="D553" s="158">
        <f t="shared" si="8"/>
        <v>230000</v>
      </c>
    </row>
    <row r="554" spans="1:4" ht="18" hidden="1">
      <c r="A554" s="165" t="s">
        <v>228</v>
      </c>
      <c r="B554" s="157"/>
      <c r="C554" s="157"/>
      <c r="D554" s="158">
        <f t="shared" si="8"/>
        <v>0</v>
      </c>
    </row>
    <row r="555" spans="1:4" ht="18" hidden="1">
      <c r="A555" s="161" t="s">
        <v>229</v>
      </c>
      <c r="B555" s="157"/>
      <c r="C555" s="157"/>
      <c r="D555" s="158">
        <f t="shared" si="8"/>
        <v>0</v>
      </c>
    </row>
    <row r="556" spans="1:4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4" ht="18" hidden="1">
      <c r="A557" s="161" t="s">
        <v>231</v>
      </c>
      <c r="B557" s="157"/>
      <c r="C557" s="157"/>
      <c r="D557" s="158">
        <f t="shared" si="8"/>
        <v>0</v>
      </c>
    </row>
    <row r="558" spans="1:4" ht="18" hidden="1">
      <c r="A558" s="161" t="s">
        <v>370</v>
      </c>
      <c r="B558" s="157"/>
      <c r="C558" s="157"/>
      <c r="D558" s="158">
        <f t="shared" si="8"/>
        <v>0</v>
      </c>
    </row>
    <row r="559" spans="1:4" ht="18" hidden="1">
      <c r="A559" s="161" t="s">
        <v>232</v>
      </c>
      <c r="B559" s="157"/>
      <c r="C559" s="157"/>
      <c r="D559" s="158">
        <f t="shared" si="8"/>
        <v>0</v>
      </c>
    </row>
    <row r="560" spans="1:4" ht="18" hidden="1">
      <c r="A560" s="164" t="s">
        <v>233</v>
      </c>
      <c r="B560" s="157"/>
      <c r="C560" s="157"/>
      <c r="D560" s="158">
        <f t="shared" si="8"/>
        <v>0</v>
      </c>
    </row>
    <row r="561" spans="1:4" ht="18" hidden="1">
      <c r="A561" s="164" t="s">
        <v>234</v>
      </c>
      <c r="B561" s="157"/>
      <c r="C561" s="157"/>
      <c r="D561" s="158">
        <f t="shared" si="8"/>
        <v>0</v>
      </c>
    </row>
    <row r="562" spans="1:4" ht="18" hidden="1">
      <c r="A562" s="164" t="s">
        <v>235</v>
      </c>
      <c r="B562" s="157"/>
      <c r="C562" s="157"/>
      <c r="D562" s="158">
        <f t="shared" si="8"/>
        <v>0</v>
      </c>
    </row>
    <row r="563" spans="1:4" ht="18" hidden="1">
      <c r="A563" s="164" t="s">
        <v>236</v>
      </c>
      <c r="B563" s="157"/>
      <c r="C563" s="157"/>
      <c r="D563" s="158">
        <f t="shared" si="8"/>
        <v>0</v>
      </c>
    </row>
    <row r="564" spans="1:4" ht="18" hidden="1">
      <c r="A564" s="161" t="s">
        <v>237</v>
      </c>
      <c r="B564" s="157"/>
      <c r="C564" s="157"/>
      <c r="D564" s="158">
        <f t="shared" si="8"/>
        <v>0</v>
      </c>
    </row>
    <row r="565" spans="1:4" ht="18" hidden="1">
      <c r="A565" s="161" t="s">
        <v>238</v>
      </c>
      <c r="B565" s="157"/>
      <c r="C565" s="157"/>
      <c r="D565" s="158">
        <f t="shared" si="8"/>
        <v>0</v>
      </c>
    </row>
    <row r="566" spans="1:4" ht="18" hidden="1">
      <c r="A566" s="164" t="s">
        <v>239</v>
      </c>
      <c r="B566" s="157"/>
      <c r="C566" s="157"/>
      <c r="D566" s="158">
        <f t="shared" si="8"/>
        <v>0</v>
      </c>
    </row>
    <row r="567" spans="1:4" ht="18" hidden="1">
      <c r="A567" s="164" t="s">
        <v>240</v>
      </c>
      <c r="B567" s="157"/>
      <c r="C567" s="157"/>
      <c r="D567" s="158">
        <f t="shared" si="8"/>
        <v>0</v>
      </c>
    </row>
    <row r="568" spans="1:4" ht="18" hidden="1">
      <c r="A568" s="159" t="s">
        <v>241</v>
      </c>
      <c r="B568" s="157"/>
      <c r="C568" s="157"/>
      <c r="D568" s="158">
        <f t="shared" si="8"/>
        <v>0</v>
      </c>
    </row>
    <row r="569" spans="1:4" ht="18" hidden="1">
      <c r="A569" s="156" t="s">
        <v>242</v>
      </c>
      <c r="B569" s="157"/>
      <c r="C569" s="157"/>
      <c r="D569" s="158">
        <f t="shared" si="8"/>
        <v>0</v>
      </c>
    </row>
    <row r="570" spans="1:4" ht="18" hidden="1">
      <c r="A570" s="163" t="s">
        <v>371</v>
      </c>
      <c r="B570" s="157"/>
      <c r="C570" s="157"/>
      <c r="D570" s="158">
        <f t="shared" si="8"/>
        <v>0</v>
      </c>
    </row>
    <row r="571" spans="1:4" ht="18" hidden="1">
      <c r="A571" s="163" t="s">
        <v>372</v>
      </c>
      <c r="B571" s="157"/>
      <c r="C571" s="157"/>
      <c r="D571" s="158">
        <f t="shared" si="8"/>
        <v>0</v>
      </c>
    </row>
    <row r="572" spans="1:4" ht="18" hidden="1">
      <c r="A572" s="159" t="s">
        <v>247</v>
      </c>
      <c r="B572" s="157"/>
      <c r="C572" s="157"/>
      <c r="D572" s="158">
        <f t="shared" si="8"/>
        <v>0</v>
      </c>
    </row>
    <row r="573" spans="1:4" ht="18" hidden="1">
      <c r="A573" s="161" t="s">
        <v>252</v>
      </c>
      <c r="B573" s="157"/>
      <c r="C573" s="157"/>
      <c r="D573" s="158">
        <f t="shared" si="8"/>
        <v>0</v>
      </c>
    </row>
    <row r="574" spans="1:4" ht="18" hidden="1">
      <c r="A574" s="161" t="s">
        <v>253</v>
      </c>
      <c r="B574" s="157"/>
      <c r="C574" s="157"/>
      <c r="D574" s="158">
        <f t="shared" si="8"/>
        <v>0</v>
      </c>
    </row>
    <row r="575" spans="1:4" ht="18" hidden="1">
      <c r="A575" s="173" t="s">
        <v>254</v>
      </c>
      <c r="B575" s="157"/>
      <c r="C575" s="157"/>
      <c r="D575" s="158">
        <f t="shared" si="8"/>
        <v>0</v>
      </c>
    </row>
    <row r="576" spans="1:4" ht="18" hidden="1">
      <c r="A576" s="173" t="s">
        <v>255</v>
      </c>
      <c r="B576" s="157"/>
      <c r="C576" s="157"/>
      <c r="D576" s="158">
        <f t="shared" si="8"/>
        <v>0</v>
      </c>
    </row>
    <row r="577" spans="1:4" ht="18" hidden="1">
      <c r="A577" s="187" t="s">
        <v>256</v>
      </c>
      <c r="B577" s="157"/>
      <c r="C577" s="157"/>
      <c r="D577" s="158">
        <f t="shared" si="8"/>
        <v>0</v>
      </c>
    </row>
    <row r="578" spans="1:4" ht="18" hidden="1">
      <c r="A578" s="161" t="s">
        <v>257</v>
      </c>
      <c r="B578" s="157"/>
      <c r="C578" s="157"/>
      <c r="D578" s="158">
        <f t="shared" si="8"/>
        <v>0</v>
      </c>
    </row>
    <row r="579" spans="1:4" ht="18" hidden="1">
      <c r="A579" s="161" t="s">
        <v>258</v>
      </c>
      <c r="B579" s="157"/>
      <c r="C579" s="157"/>
      <c r="D579" s="158">
        <f t="shared" si="8"/>
        <v>0</v>
      </c>
    </row>
    <row r="580" spans="1:4" ht="18" hidden="1">
      <c r="A580" s="161" t="s">
        <v>259</v>
      </c>
      <c r="B580" s="162"/>
      <c r="C580" s="162"/>
      <c r="D580" s="158">
        <f t="shared" ref="D580:D643" si="9">B580*C580</f>
        <v>0</v>
      </c>
    </row>
    <row r="581" spans="1:4" ht="18" hidden="1">
      <c r="A581" s="187" t="s">
        <v>260</v>
      </c>
      <c r="B581" s="157"/>
      <c r="C581" s="157"/>
      <c r="D581" s="158">
        <f t="shared" si="9"/>
        <v>0</v>
      </c>
    </row>
    <row r="582" spans="1:4" ht="18" hidden="1">
      <c r="A582" s="161" t="s">
        <v>261</v>
      </c>
      <c r="B582" s="162"/>
      <c r="C582" s="162"/>
      <c r="D582" s="158">
        <f t="shared" si="9"/>
        <v>0</v>
      </c>
    </row>
    <row r="583" spans="1:4" ht="18" hidden="1">
      <c r="A583" s="161" t="s">
        <v>262</v>
      </c>
      <c r="B583" s="157"/>
      <c r="C583" s="157"/>
      <c r="D583" s="158">
        <f t="shared" si="9"/>
        <v>0</v>
      </c>
    </row>
    <row r="584" spans="1:4" ht="18" hidden="1">
      <c r="A584" s="159" t="s">
        <v>264</v>
      </c>
      <c r="B584" s="157"/>
      <c r="C584" s="157"/>
      <c r="D584" s="158">
        <f t="shared" si="9"/>
        <v>0</v>
      </c>
    </row>
    <row r="585" spans="1:4" ht="18">
      <c r="A585" s="161" t="s">
        <v>265</v>
      </c>
      <c r="B585" s="157">
        <v>20</v>
      </c>
      <c r="C585" s="157">
        <v>22000</v>
      </c>
      <c r="D585" s="158">
        <f t="shared" si="9"/>
        <v>440000</v>
      </c>
    </row>
    <row r="586" spans="1:4" ht="18" hidden="1">
      <c r="A586" s="161" t="s">
        <v>266</v>
      </c>
      <c r="B586" s="157"/>
      <c r="C586" s="157"/>
      <c r="D586" s="158">
        <f t="shared" si="9"/>
        <v>0</v>
      </c>
    </row>
    <row r="587" spans="1:4" ht="18" hidden="1">
      <c r="A587" s="161" t="s">
        <v>267</v>
      </c>
      <c r="B587" s="157"/>
      <c r="C587" s="157"/>
      <c r="D587" s="158">
        <f t="shared" si="9"/>
        <v>0</v>
      </c>
    </row>
    <row r="588" spans="1:4" ht="18" hidden="1">
      <c r="A588" s="161" t="s">
        <v>268</v>
      </c>
      <c r="B588" s="157"/>
      <c r="C588" s="157"/>
      <c r="D588" s="158">
        <f t="shared" si="9"/>
        <v>0</v>
      </c>
    </row>
    <row r="589" spans="1:4" ht="18" hidden="1">
      <c r="A589" s="161" t="s">
        <v>269</v>
      </c>
      <c r="B589" s="157"/>
      <c r="C589" s="157"/>
      <c r="D589" s="158">
        <f t="shared" si="9"/>
        <v>0</v>
      </c>
    </row>
    <row r="590" spans="1:4" ht="18" hidden="1">
      <c r="A590" s="164" t="s">
        <v>270</v>
      </c>
      <c r="B590" s="157"/>
      <c r="C590" s="157"/>
      <c r="D590" s="158">
        <f t="shared" si="9"/>
        <v>0</v>
      </c>
    </row>
    <row r="591" spans="1:4" ht="18" hidden="1">
      <c r="A591" s="163" t="s">
        <v>271</v>
      </c>
      <c r="B591" s="157"/>
      <c r="C591" s="157"/>
      <c r="D591" s="158">
        <f t="shared" si="9"/>
        <v>0</v>
      </c>
    </row>
    <row r="592" spans="1:4" ht="18" hidden="1">
      <c r="A592" s="163" t="s">
        <v>272</v>
      </c>
      <c r="B592" s="157"/>
      <c r="C592" s="157"/>
      <c r="D592" s="158">
        <f t="shared" si="9"/>
        <v>0</v>
      </c>
    </row>
    <row r="593" spans="1:4" ht="18">
      <c r="A593" s="161" t="s">
        <v>273</v>
      </c>
      <c r="B593" s="157">
        <v>20</v>
      </c>
      <c r="C593" s="157">
        <v>20000</v>
      </c>
      <c r="D593" s="158">
        <f t="shared" si="9"/>
        <v>400000</v>
      </c>
    </row>
    <row r="594" spans="1:4" ht="18" hidden="1">
      <c r="A594" s="161" t="s">
        <v>274</v>
      </c>
      <c r="B594" s="157"/>
      <c r="C594" s="157"/>
      <c r="D594" s="158">
        <f t="shared" si="9"/>
        <v>0</v>
      </c>
    </row>
    <row r="595" spans="1:4" ht="18" hidden="1">
      <c r="A595" s="161" t="s">
        <v>275</v>
      </c>
      <c r="B595" s="157"/>
      <c r="C595" s="157"/>
      <c r="D595" s="158">
        <f t="shared" si="9"/>
        <v>0</v>
      </c>
    </row>
    <row r="596" spans="1:4" ht="18" hidden="1">
      <c r="A596" s="161" t="s">
        <v>276</v>
      </c>
      <c r="B596" s="157"/>
      <c r="C596" s="157"/>
      <c r="D596" s="158">
        <f t="shared" si="9"/>
        <v>0</v>
      </c>
    </row>
    <row r="597" spans="1:4" ht="18">
      <c r="A597" s="161" t="s">
        <v>277</v>
      </c>
      <c r="B597" s="157">
        <v>18</v>
      </c>
      <c r="C597" s="157">
        <v>23000</v>
      </c>
      <c r="D597" s="158">
        <f t="shared" si="9"/>
        <v>414000</v>
      </c>
    </row>
    <row r="598" spans="1:4" ht="18" hidden="1">
      <c r="A598" s="161" t="s">
        <v>278</v>
      </c>
      <c r="B598" s="157"/>
      <c r="C598" s="157"/>
      <c r="D598" s="158">
        <f t="shared" si="9"/>
        <v>0</v>
      </c>
    </row>
    <row r="599" spans="1:4" ht="18" hidden="1">
      <c r="A599" s="161" t="s">
        <v>279</v>
      </c>
      <c r="B599" s="157"/>
      <c r="C599" s="157"/>
      <c r="D599" s="158">
        <f t="shared" si="9"/>
        <v>0</v>
      </c>
    </row>
    <row r="600" spans="1:4" ht="18" hidden="1">
      <c r="A600" s="161" t="s">
        <v>280</v>
      </c>
      <c r="B600" s="162"/>
      <c r="C600" s="162"/>
      <c r="D600" s="158">
        <f t="shared" si="9"/>
        <v>0</v>
      </c>
    </row>
    <row r="601" spans="1:4" ht="18" hidden="1">
      <c r="A601" s="173" t="s">
        <v>281</v>
      </c>
      <c r="B601" s="157"/>
      <c r="C601" s="157"/>
      <c r="D601" s="158">
        <f t="shared" si="9"/>
        <v>0</v>
      </c>
    </row>
    <row r="602" spans="1:4" ht="18" hidden="1">
      <c r="A602" s="161" t="s">
        <v>282</v>
      </c>
      <c r="B602" s="157"/>
      <c r="C602" s="157"/>
      <c r="D602" s="158">
        <f t="shared" si="9"/>
        <v>0</v>
      </c>
    </row>
    <row r="603" spans="1:4" ht="18" hidden="1">
      <c r="A603" s="159" t="s">
        <v>373</v>
      </c>
      <c r="B603" s="157"/>
      <c r="C603" s="157"/>
      <c r="D603" s="158">
        <f t="shared" si="9"/>
        <v>0</v>
      </c>
    </row>
    <row r="604" spans="1:4" ht="18" hidden="1">
      <c r="A604" s="159" t="s">
        <v>283</v>
      </c>
      <c r="B604" s="157"/>
      <c r="C604" s="157"/>
      <c r="D604" s="158">
        <f t="shared" si="9"/>
        <v>0</v>
      </c>
    </row>
    <row r="605" spans="1:4" ht="18" hidden="1">
      <c r="A605" s="161" t="s">
        <v>284</v>
      </c>
      <c r="B605" s="157"/>
      <c r="C605" s="157"/>
      <c r="D605" s="158">
        <f t="shared" si="9"/>
        <v>0</v>
      </c>
    </row>
    <row r="606" spans="1:4" ht="18" hidden="1">
      <c r="A606" s="161" t="s">
        <v>374</v>
      </c>
      <c r="B606" s="157"/>
      <c r="C606" s="157"/>
      <c r="D606" s="158">
        <f t="shared" si="9"/>
        <v>0</v>
      </c>
    </row>
    <row r="607" spans="1:4" ht="18" hidden="1">
      <c r="A607" s="161" t="s">
        <v>285</v>
      </c>
      <c r="B607" s="157"/>
      <c r="C607" s="157"/>
      <c r="D607" s="158">
        <f t="shared" si="9"/>
        <v>0</v>
      </c>
    </row>
    <row r="608" spans="1:4" ht="18" hidden="1">
      <c r="A608" s="161" t="s">
        <v>375</v>
      </c>
      <c r="B608" s="157"/>
      <c r="C608" s="157"/>
      <c r="D608" s="158">
        <f t="shared" si="9"/>
        <v>0</v>
      </c>
    </row>
    <row r="609" spans="1:4" ht="18" hidden="1">
      <c r="A609" s="161" t="s">
        <v>287</v>
      </c>
      <c r="B609" s="157"/>
      <c r="C609" s="157"/>
      <c r="D609" s="158">
        <f t="shared" si="9"/>
        <v>0</v>
      </c>
    </row>
    <row r="610" spans="1:4" ht="18" hidden="1">
      <c r="A610" s="161" t="s">
        <v>288</v>
      </c>
      <c r="B610" s="157"/>
      <c r="C610" s="157"/>
      <c r="D610" s="158">
        <f t="shared" si="9"/>
        <v>0</v>
      </c>
    </row>
    <row r="611" spans="1:4" ht="18" hidden="1">
      <c r="A611" s="161" t="s">
        <v>289</v>
      </c>
      <c r="B611" s="157"/>
      <c r="C611" s="157"/>
      <c r="D611" s="158">
        <f t="shared" si="9"/>
        <v>0</v>
      </c>
    </row>
    <row r="612" spans="1:4" ht="18" hidden="1">
      <c r="A612" s="187" t="s">
        <v>291</v>
      </c>
      <c r="B612" s="157"/>
      <c r="C612" s="157"/>
      <c r="D612" s="158">
        <f t="shared" si="9"/>
        <v>0</v>
      </c>
    </row>
    <row r="613" spans="1:4" ht="18" hidden="1">
      <c r="A613" s="161" t="s">
        <v>292</v>
      </c>
      <c r="B613" s="157"/>
      <c r="C613" s="157"/>
      <c r="D613" s="158">
        <f t="shared" si="9"/>
        <v>0</v>
      </c>
    </row>
    <row r="614" spans="1:4" ht="18" hidden="1">
      <c r="A614" s="187" t="s">
        <v>293</v>
      </c>
      <c r="B614" s="157"/>
      <c r="C614" s="157"/>
      <c r="D614" s="158">
        <f t="shared" si="9"/>
        <v>0</v>
      </c>
    </row>
    <row r="615" spans="1:4" ht="18" hidden="1">
      <c r="A615" s="159" t="s">
        <v>376</v>
      </c>
      <c r="B615" s="157"/>
      <c r="C615" s="157"/>
      <c r="D615" s="158">
        <f t="shared" si="9"/>
        <v>0</v>
      </c>
    </row>
    <row r="616" spans="1:4" ht="18" hidden="1">
      <c r="A616" s="187" t="s">
        <v>294</v>
      </c>
      <c r="B616" s="157"/>
      <c r="C616" s="157"/>
      <c r="D616" s="158">
        <f t="shared" si="9"/>
        <v>0</v>
      </c>
    </row>
    <row r="617" spans="1:4" ht="18" hidden="1">
      <c r="A617" s="156" t="s">
        <v>295</v>
      </c>
      <c r="B617" s="162"/>
      <c r="C617" s="162"/>
      <c r="D617" s="158">
        <f t="shared" si="9"/>
        <v>0</v>
      </c>
    </row>
    <row r="618" spans="1:4" ht="18" hidden="1">
      <c r="A618" s="164" t="s">
        <v>299</v>
      </c>
      <c r="B618" s="157"/>
      <c r="C618" s="157"/>
      <c r="D618" s="158">
        <f t="shared" si="9"/>
        <v>0</v>
      </c>
    </row>
    <row r="619" spans="1:4" ht="18" hidden="1">
      <c r="A619" s="164" t="s">
        <v>300</v>
      </c>
      <c r="B619" s="157"/>
      <c r="C619" s="157"/>
      <c r="D619" s="158">
        <f t="shared" si="9"/>
        <v>0</v>
      </c>
    </row>
    <row r="620" spans="1:4" ht="18" hidden="1">
      <c r="A620" s="164" t="s">
        <v>301</v>
      </c>
      <c r="B620" s="157"/>
      <c r="C620" s="157"/>
      <c r="D620" s="158">
        <f t="shared" si="9"/>
        <v>0</v>
      </c>
    </row>
    <row r="621" spans="1:4" ht="18" hidden="1">
      <c r="A621" s="161" t="s">
        <v>302</v>
      </c>
      <c r="B621" s="157"/>
      <c r="C621" s="157"/>
      <c r="D621" s="158">
        <f t="shared" si="9"/>
        <v>0</v>
      </c>
    </row>
    <row r="622" spans="1:4" ht="18" hidden="1">
      <c r="A622" s="164" t="s">
        <v>303</v>
      </c>
      <c r="B622" s="157"/>
      <c r="C622" s="157"/>
      <c r="D622" s="158">
        <f t="shared" si="9"/>
        <v>0</v>
      </c>
    </row>
    <row r="623" spans="1:4" ht="18" hidden="1">
      <c r="A623" s="161" t="s">
        <v>304</v>
      </c>
      <c r="B623" s="157"/>
      <c r="C623" s="157"/>
      <c r="D623" s="158">
        <f t="shared" si="9"/>
        <v>0</v>
      </c>
    </row>
    <row r="624" spans="1:4" ht="18" hidden="1">
      <c r="A624" s="161" t="s">
        <v>305</v>
      </c>
      <c r="B624" s="157"/>
      <c r="C624" s="157"/>
      <c r="D624" s="158">
        <f t="shared" si="9"/>
        <v>0</v>
      </c>
    </row>
    <row r="625" spans="1:4" ht="18" hidden="1">
      <c r="A625" s="164" t="s">
        <v>306</v>
      </c>
      <c r="B625" s="157"/>
      <c r="C625" s="157"/>
      <c r="D625" s="158">
        <f t="shared" si="9"/>
        <v>0</v>
      </c>
    </row>
    <row r="626" spans="1:4" ht="18" hidden="1">
      <c r="A626" s="186" t="s">
        <v>307</v>
      </c>
      <c r="B626" s="157"/>
      <c r="C626" s="157"/>
      <c r="D626" s="158">
        <f t="shared" si="9"/>
        <v>0</v>
      </c>
    </row>
    <row r="627" spans="1:4" ht="18" hidden="1">
      <c r="A627" s="161" t="s">
        <v>308</v>
      </c>
      <c r="B627" s="157"/>
      <c r="C627" s="157"/>
      <c r="D627" s="158">
        <f t="shared" si="9"/>
        <v>0</v>
      </c>
    </row>
    <row r="628" spans="1:4" ht="18" hidden="1">
      <c r="A628" s="173" t="s">
        <v>309</v>
      </c>
      <c r="B628" s="157"/>
      <c r="C628" s="157"/>
      <c r="D628" s="158">
        <f t="shared" si="9"/>
        <v>0</v>
      </c>
    </row>
    <row r="629" spans="1:4" ht="18" hidden="1">
      <c r="A629" s="156" t="s">
        <v>311</v>
      </c>
      <c r="B629" s="157"/>
      <c r="C629" s="157"/>
      <c r="D629" s="158">
        <f t="shared" si="9"/>
        <v>0</v>
      </c>
    </row>
    <row r="630" spans="1:4" ht="18" hidden="1">
      <c r="A630" s="164" t="s">
        <v>312</v>
      </c>
      <c r="B630" s="157"/>
      <c r="C630" s="157"/>
      <c r="D630" s="158">
        <f t="shared" si="9"/>
        <v>0</v>
      </c>
    </row>
    <row r="631" spans="1:4" ht="18" hidden="1">
      <c r="A631" s="173" t="s">
        <v>313</v>
      </c>
      <c r="B631" s="157"/>
      <c r="C631" s="157"/>
      <c r="D631" s="158">
        <f t="shared" si="9"/>
        <v>0</v>
      </c>
    </row>
    <row r="632" spans="1:4" ht="18" hidden="1">
      <c r="A632" s="161" t="s">
        <v>314</v>
      </c>
      <c r="B632" s="157"/>
      <c r="C632" s="157"/>
      <c r="D632" s="158">
        <f t="shared" si="9"/>
        <v>0</v>
      </c>
    </row>
    <row r="633" spans="1:4" ht="18" hidden="1">
      <c r="A633" s="164" t="s">
        <v>315</v>
      </c>
      <c r="B633" s="157"/>
      <c r="C633" s="157"/>
      <c r="D633" s="158">
        <f t="shared" si="9"/>
        <v>0</v>
      </c>
    </row>
    <row r="634" spans="1:4" ht="18" hidden="1">
      <c r="A634" s="156" t="s">
        <v>377</v>
      </c>
      <c r="B634" s="157"/>
      <c r="C634" s="157"/>
      <c r="D634" s="158">
        <f t="shared" si="9"/>
        <v>0</v>
      </c>
    </row>
    <row r="635" spans="1:4" ht="18" hidden="1">
      <c r="A635" s="161" t="s">
        <v>378</v>
      </c>
      <c r="B635" s="157"/>
      <c r="C635" s="157"/>
      <c r="D635" s="158">
        <f t="shared" si="9"/>
        <v>0</v>
      </c>
    </row>
    <row r="636" spans="1:4" ht="18" hidden="1">
      <c r="A636" s="159" t="s">
        <v>318</v>
      </c>
      <c r="B636" s="157"/>
      <c r="C636" s="157"/>
      <c r="D636" s="158">
        <f t="shared" si="9"/>
        <v>0</v>
      </c>
    </row>
    <row r="637" spans="1:4" ht="18" hidden="1">
      <c r="A637" s="161" t="s">
        <v>379</v>
      </c>
      <c r="B637" s="157"/>
      <c r="C637" s="157"/>
      <c r="D637" s="158">
        <f t="shared" si="9"/>
        <v>0</v>
      </c>
    </row>
    <row r="638" spans="1:4" ht="18" hidden="1">
      <c r="A638" s="156" t="s">
        <v>319</v>
      </c>
      <c r="B638" s="157"/>
      <c r="C638" s="157"/>
      <c r="D638" s="158">
        <f t="shared" si="9"/>
        <v>0</v>
      </c>
    </row>
    <row r="639" spans="1:4" ht="18" hidden="1">
      <c r="A639" s="156" t="s">
        <v>320</v>
      </c>
      <c r="B639" s="157"/>
      <c r="C639" s="157"/>
      <c r="D639" s="158">
        <f t="shared" si="9"/>
        <v>0</v>
      </c>
    </row>
    <row r="640" spans="1:4" ht="18" hidden="1">
      <c r="A640" s="161" t="s">
        <v>321</v>
      </c>
      <c r="B640" s="157"/>
      <c r="C640" s="157"/>
      <c r="D640" s="158">
        <f t="shared" si="9"/>
        <v>0</v>
      </c>
    </row>
    <row r="641" spans="1:4" ht="18" hidden="1">
      <c r="A641" s="161" t="s">
        <v>322</v>
      </c>
      <c r="B641" s="157"/>
      <c r="C641" s="157"/>
      <c r="D641" s="158">
        <f t="shared" si="9"/>
        <v>0</v>
      </c>
    </row>
    <row r="642" spans="1:4" ht="18" hidden="1">
      <c r="A642" s="161" t="s">
        <v>323</v>
      </c>
      <c r="B642" s="157"/>
      <c r="C642" s="157"/>
      <c r="D642" s="158">
        <f t="shared" si="9"/>
        <v>0</v>
      </c>
    </row>
    <row r="643" spans="1:4" ht="18" hidden="1">
      <c r="A643" s="173" t="s">
        <v>324</v>
      </c>
      <c r="B643" s="157"/>
      <c r="C643" s="157"/>
      <c r="D643" s="158">
        <f t="shared" si="9"/>
        <v>0</v>
      </c>
    </row>
    <row r="644" spans="1:4" ht="18" hidden="1">
      <c r="A644" s="173" t="s">
        <v>325</v>
      </c>
      <c r="B644" s="157"/>
      <c r="C644" s="157"/>
      <c r="D644" s="158">
        <f t="shared" ref="D644:D671" si="10">B644*C644</f>
        <v>0</v>
      </c>
    </row>
    <row r="645" spans="1:4" ht="18" hidden="1">
      <c r="A645" s="163" t="s">
        <v>326</v>
      </c>
      <c r="B645" s="157"/>
      <c r="C645" s="157"/>
      <c r="D645" s="158">
        <f t="shared" si="10"/>
        <v>0</v>
      </c>
    </row>
    <row r="646" spans="1:4" ht="18" hidden="1">
      <c r="A646" s="173" t="s">
        <v>327</v>
      </c>
      <c r="B646" s="157"/>
      <c r="C646" s="157"/>
      <c r="D646" s="158">
        <f t="shared" si="10"/>
        <v>0</v>
      </c>
    </row>
    <row r="647" spans="1:4" ht="18" hidden="1">
      <c r="A647" s="161" t="s">
        <v>328</v>
      </c>
      <c r="B647" s="157"/>
      <c r="C647" s="157"/>
      <c r="D647" s="158">
        <f t="shared" si="10"/>
        <v>0</v>
      </c>
    </row>
    <row r="648" spans="1:4" ht="18" hidden="1">
      <c r="A648" s="161" t="s">
        <v>329</v>
      </c>
      <c r="B648" s="157"/>
      <c r="C648" s="157"/>
      <c r="D648" s="158">
        <f t="shared" si="10"/>
        <v>0</v>
      </c>
    </row>
    <row r="649" spans="1:4" ht="18" hidden="1">
      <c r="A649" s="161" t="s">
        <v>330</v>
      </c>
      <c r="B649" s="157"/>
      <c r="C649" s="157"/>
      <c r="D649" s="158">
        <f t="shared" si="10"/>
        <v>0</v>
      </c>
    </row>
    <row r="650" spans="1:4" ht="18" hidden="1">
      <c r="A650" s="161" t="s">
        <v>331</v>
      </c>
      <c r="B650" s="157"/>
      <c r="C650" s="157"/>
      <c r="D650" s="158">
        <f t="shared" si="10"/>
        <v>0</v>
      </c>
    </row>
    <row r="651" spans="1:4" ht="18" hidden="1">
      <c r="A651" s="163" t="s">
        <v>332</v>
      </c>
      <c r="B651" s="157"/>
      <c r="C651" s="157"/>
      <c r="D651" s="158">
        <f t="shared" si="10"/>
        <v>0</v>
      </c>
    </row>
    <row r="652" spans="1:4" ht="18" hidden="1">
      <c r="A652" s="161" t="s">
        <v>333</v>
      </c>
      <c r="B652" s="157"/>
      <c r="C652" s="157"/>
      <c r="D652" s="158">
        <f t="shared" si="10"/>
        <v>0</v>
      </c>
    </row>
    <row r="653" spans="1:4" ht="18" hidden="1">
      <c r="A653" s="161" t="s">
        <v>334</v>
      </c>
      <c r="B653" s="157"/>
      <c r="C653" s="157"/>
      <c r="D653" s="158">
        <f t="shared" si="10"/>
        <v>0</v>
      </c>
    </row>
    <row r="654" spans="1:4" ht="18" hidden="1">
      <c r="A654" s="156" t="s">
        <v>335</v>
      </c>
      <c r="B654" s="157"/>
      <c r="C654" s="157"/>
      <c r="D654" s="158">
        <f t="shared" si="10"/>
        <v>0</v>
      </c>
    </row>
    <row r="655" spans="1:4" ht="18" hidden="1">
      <c r="A655" s="161" t="s">
        <v>336</v>
      </c>
      <c r="B655" s="174"/>
      <c r="C655" s="174"/>
      <c r="D655" s="158">
        <f t="shared" si="10"/>
        <v>0</v>
      </c>
    </row>
    <row r="656" spans="1:4" ht="18" hidden="1">
      <c r="A656" s="161" t="s">
        <v>337</v>
      </c>
      <c r="B656" s="157"/>
      <c r="C656" s="157"/>
      <c r="D656" s="158">
        <f t="shared" si="10"/>
        <v>0</v>
      </c>
    </row>
    <row r="657" spans="1:4" ht="18" hidden="1">
      <c r="A657" s="161" t="s">
        <v>338</v>
      </c>
      <c r="B657" s="157"/>
      <c r="C657" s="157"/>
      <c r="D657" s="158">
        <f t="shared" si="10"/>
        <v>0</v>
      </c>
    </row>
    <row r="658" spans="1:4" ht="18" hidden="1">
      <c r="A658" s="163" t="s">
        <v>339</v>
      </c>
      <c r="B658" s="157"/>
      <c r="C658" s="157"/>
      <c r="D658" s="158">
        <f t="shared" si="10"/>
        <v>0</v>
      </c>
    </row>
    <row r="659" spans="1:4" ht="18" hidden="1">
      <c r="A659" s="163" t="s">
        <v>340</v>
      </c>
      <c r="B659" s="157"/>
      <c r="C659" s="157"/>
      <c r="D659" s="158">
        <f t="shared" si="10"/>
        <v>0</v>
      </c>
    </row>
    <row r="660" spans="1:4" ht="18" hidden="1">
      <c r="A660" s="161" t="s">
        <v>341</v>
      </c>
      <c r="B660" s="157"/>
      <c r="C660" s="157"/>
      <c r="D660" s="158">
        <f t="shared" si="10"/>
        <v>0</v>
      </c>
    </row>
    <row r="661" spans="1:4" ht="18" hidden="1">
      <c r="A661" s="161" t="s">
        <v>342</v>
      </c>
      <c r="B661" s="157"/>
      <c r="C661" s="157"/>
      <c r="D661" s="158">
        <f t="shared" si="10"/>
        <v>0</v>
      </c>
    </row>
    <row r="662" spans="1:4" ht="18" hidden="1">
      <c r="A662" s="163" t="s">
        <v>343</v>
      </c>
      <c r="B662" s="157"/>
      <c r="C662" s="157"/>
      <c r="D662" s="158">
        <f t="shared" si="10"/>
        <v>0</v>
      </c>
    </row>
    <row r="663" spans="1:4" ht="18" hidden="1">
      <c r="A663" s="161" t="s">
        <v>344</v>
      </c>
      <c r="B663" s="157"/>
      <c r="C663" s="157"/>
      <c r="D663" s="158">
        <f t="shared" si="10"/>
        <v>0</v>
      </c>
    </row>
    <row r="664" spans="1:4" ht="18" hidden="1">
      <c r="A664" s="161" t="s">
        <v>345</v>
      </c>
      <c r="B664" s="157"/>
      <c r="C664" s="157"/>
      <c r="D664" s="158">
        <f t="shared" si="10"/>
        <v>0</v>
      </c>
    </row>
    <row r="665" spans="1:4" ht="18" hidden="1">
      <c r="A665" s="161" t="s">
        <v>346</v>
      </c>
      <c r="B665" s="157"/>
      <c r="C665" s="157"/>
      <c r="D665" s="158">
        <f t="shared" si="10"/>
        <v>0</v>
      </c>
    </row>
    <row r="666" spans="1:4" ht="18" hidden="1">
      <c r="A666" s="161" t="s">
        <v>347</v>
      </c>
      <c r="B666" s="157"/>
      <c r="C666" s="157"/>
      <c r="D666" s="158">
        <f t="shared" si="10"/>
        <v>0</v>
      </c>
    </row>
    <row r="667" spans="1:4" ht="18" hidden="1">
      <c r="A667" s="161" t="s">
        <v>348</v>
      </c>
      <c r="B667" s="157"/>
      <c r="C667" s="157"/>
      <c r="D667" s="158">
        <f t="shared" si="10"/>
        <v>0</v>
      </c>
    </row>
    <row r="668" spans="1:4" ht="18" hidden="1">
      <c r="A668" s="161" t="s">
        <v>349</v>
      </c>
      <c r="B668" s="157"/>
      <c r="C668" s="157"/>
      <c r="D668" s="158">
        <f t="shared" si="10"/>
        <v>0</v>
      </c>
    </row>
    <row r="669" spans="1:4" ht="18" hidden="1">
      <c r="A669" s="161" t="s">
        <v>350</v>
      </c>
      <c r="B669" s="157"/>
      <c r="C669" s="157"/>
      <c r="D669" s="158">
        <f t="shared" si="10"/>
        <v>0</v>
      </c>
    </row>
    <row r="670" spans="1:4" ht="18" hidden="1">
      <c r="A670" s="161" t="s">
        <v>351</v>
      </c>
      <c r="B670" s="157"/>
      <c r="C670" s="157"/>
      <c r="D670" s="158">
        <f t="shared" si="10"/>
        <v>0</v>
      </c>
    </row>
    <row r="671" spans="1:4" ht="18" hidden="1">
      <c r="A671" s="159" t="s">
        <v>353</v>
      </c>
      <c r="B671" s="157"/>
      <c r="C671" s="157"/>
      <c r="D671" s="158">
        <f t="shared" si="10"/>
        <v>0</v>
      </c>
    </row>
    <row r="672" spans="1:4" ht="17.399999999999999">
      <c r="A672" s="188"/>
      <c r="B672" s="189">
        <f>SUM(B345:B671)</f>
        <v>3666</v>
      </c>
      <c r="C672" s="189"/>
      <c r="D672" s="189">
        <f t="shared" ref="D672" si="11">SUM(D345:D671)</f>
        <v>49961000</v>
      </c>
    </row>
    <row r="674" spans="4:4">
      <c r="D674" s="190">
        <f>D672+D340</f>
        <v>106343500</v>
      </c>
    </row>
  </sheetData>
  <protectedRanges>
    <protectedRange password="CF71" sqref="B3:C339 B1:D2" name="tho"/>
    <protectedRange password="CF71" sqref="D3:D671" name="tho_2"/>
    <protectedRange password="CF71" sqref="B342:C342 C343:C671" name="tho_4"/>
    <protectedRange password="CF71" sqref="B343:B671" name="tho_2_2"/>
  </protectedRanges>
  <autoFilter ref="A2:D672" xr:uid="{00000000-0009-0000-0000-00001D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M680"/>
  <sheetViews>
    <sheetView tabSelected="1" topLeftCell="A389" workbookViewId="0">
      <selection activeCell="M681" sqref="M681"/>
    </sheetView>
  </sheetViews>
  <sheetFormatPr defaultRowHeight="14.4"/>
  <cols>
    <col min="1" max="1" width="36.6640625" customWidth="1"/>
    <col min="3" max="3" width="13.88671875" customWidth="1"/>
    <col min="4" max="4" width="20.33203125" customWidth="1"/>
    <col min="8" max="8" width="40.109375" bestFit="1" customWidth="1"/>
    <col min="9" max="9" width="15.6640625" style="203" bestFit="1" customWidth="1"/>
    <col min="10" max="10" width="16.88671875" style="203" bestFit="1" customWidth="1"/>
    <col min="11" max="11" width="14.33203125" bestFit="1" customWidth="1"/>
    <col min="12" max="12" width="13.5546875" bestFit="1" customWidth="1"/>
  </cols>
  <sheetData>
    <row r="1" spans="1:10">
      <c r="A1" s="151" t="s">
        <v>435</v>
      </c>
      <c r="B1" s="152"/>
      <c r="C1" s="152"/>
      <c r="D1" s="152"/>
    </row>
    <row r="2" spans="1:10" ht="39.6" customHeight="1">
      <c r="A2" s="153" t="s">
        <v>381</v>
      </c>
      <c r="B2" s="154" t="s">
        <v>3</v>
      </c>
      <c r="C2" s="154" t="s">
        <v>4</v>
      </c>
      <c r="D2" s="154" t="s">
        <v>5</v>
      </c>
    </row>
    <row r="3" spans="1:10" ht="18" hidden="1">
      <c r="A3" s="171" t="s">
        <v>6</v>
      </c>
      <c r="B3" s="157"/>
      <c r="C3" s="157"/>
      <c r="D3" s="158">
        <f>B3*C3</f>
        <v>0</v>
      </c>
      <c r="I3"/>
      <c r="J3"/>
    </row>
    <row r="4" spans="1:10" ht="18" hidden="1">
      <c r="A4" s="172" t="s">
        <v>8</v>
      </c>
      <c r="B4" s="157"/>
      <c r="C4" s="157"/>
      <c r="D4" s="158">
        <f t="shared" ref="D4:D67" si="0">B4*C4</f>
        <v>0</v>
      </c>
      <c r="I4"/>
      <c r="J4"/>
    </row>
    <row r="5" spans="1:10" ht="18" hidden="1">
      <c r="A5" s="171" t="s">
        <v>10</v>
      </c>
      <c r="B5" s="157"/>
      <c r="C5" s="157"/>
      <c r="D5" s="158">
        <f t="shared" si="0"/>
        <v>0</v>
      </c>
      <c r="I5"/>
      <c r="J5"/>
    </row>
    <row r="6" spans="1:10" ht="18" hidden="1">
      <c r="A6" s="171" t="s">
        <v>11</v>
      </c>
      <c r="B6" s="157"/>
      <c r="C6" s="157"/>
      <c r="D6" s="158">
        <f t="shared" si="0"/>
        <v>0</v>
      </c>
      <c r="I6"/>
      <c r="J6"/>
    </row>
    <row r="7" spans="1:10" ht="18" hidden="1">
      <c r="A7" s="161" t="s">
        <v>12</v>
      </c>
      <c r="B7" s="157"/>
      <c r="C7" s="157"/>
      <c r="D7" s="158">
        <f t="shared" si="0"/>
        <v>0</v>
      </c>
      <c r="I7"/>
      <c r="J7"/>
    </row>
    <row r="8" spans="1:10" ht="18" hidden="1">
      <c r="A8" s="178" t="s">
        <v>13</v>
      </c>
      <c r="B8" s="157"/>
      <c r="C8" s="157"/>
      <c r="D8" s="158">
        <f t="shared" si="0"/>
        <v>0</v>
      </c>
      <c r="I8"/>
      <c r="J8"/>
    </row>
    <row r="9" spans="1:10" ht="18" hidden="1">
      <c r="A9" s="171" t="s">
        <v>14</v>
      </c>
      <c r="B9" s="157"/>
      <c r="C9" s="157"/>
      <c r="D9" s="158">
        <f t="shared" si="0"/>
        <v>0</v>
      </c>
      <c r="I9"/>
      <c r="J9"/>
    </row>
    <row r="10" spans="1:10" ht="18" hidden="1">
      <c r="A10" s="171" t="s">
        <v>15</v>
      </c>
      <c r="B10" s="157"/>
      <c r="C10" s="157"/>
      <c r="D10" s="158">
        <f t="shared" si="0"/>
        <v>0</v>
      </c>
      <c r="I10"/>
      <c r="J10"/>
    </row>
    <row r="11" spans="1:10" ht="18" hidden="1">
      <c r="A11" s="159" t="s">
        <v>16</v>
      </c>
      <c r="B11" s="157"/>
      <c r="C11" s="157"/>
      <c r="D11" s="158">
        <f t="shared" si="0"/>
        <v>0</v>
      </c>
      <c r="I11"/>
      <c r="J11"/>
    </row>
    <row r="12" spans="1:10" ht="18" hidden="1">
      <c r="A12" s="161" t="s">
        <v>18</v>
      </c>
      <c r="B12" s="157"/>
      <c r="C12" s="157"/>
      <c r="D12" s="158">
        <f t="shared" si="0"/>
        <v>0</v>
      </c>
      <c r="I12"/>
      <c r="J12"/>
    </row>
    <row r="13" spans="1:10" ht="18" hidden="1">
      <c r="A13" s="161" t="s">
        <v>19</v>
      </c>
      <c r="B13" s="157"/>
      <c r="C13" s="157"/>
      <c r="D13" s="158">
        <f t="shared" si="0"/>
        <v>0</v>
      </c>
      <c r="I13"/>
      <c r="J13"/>
    </row>
    <row r="14" spans="1:10" ht="18" hidden="1">
      <c r="A14" s="156" t="s">
        <v>20</v>
      </c>
      <c r="B14" s="157"/>
      <c r="C14" s="157"/>
      <c r="D14" s="158">
        <f t="shared" si="0"/>
        <v>0</v>
      </c>
      <c r="I14"/>
      <c r="J14"/>
    </row>
    <row r="15" spans="1:10" ht="18">
      <c r="A15" s="156" t="s">
        <v>22</v>
      </c>
      <c r="B15" s="157">
        <v>10</v>
      </c>
      <c r="C15" s="157">
        <v>13500</v>
      </c>
      <c r="D15" s="158">
        <f t="shared" si="0"/>
        <v>135000</v>
      </c>
    </row>
    <row r="16" spans="1:10" ht="18" hidden="1">
      <c r="A16" s="161" t="s">
        <v>23</v>
      </c>
      <c r="B16" s="157"/>
      <c r="C16" s="157"/>
      <c r="D16" s="158">
        <f t="shared" si="0"/>
        <v>0</v>
      </c>
      <c r="I16"/>
      <c r="J16"/>
    </row>
    <row r="17" spans="1:10" ht="18" hidden="1">
      <c r="A17" s="161" t="s">
        <v>24</v>
      </c>
      <c r="B17" s="157"/>
      <c r="C17" s="157"/>
      <c r="D17" s="158">
        <f t="shared" si="0"/>
        <v>0</v>
      </c>
      <c r="I17"/>
      <c r="J17"/>
    </row>
    <row r="18" spans="1:10" ht="18" hidden="1">
      <c r="A18" s="173" t="s">
        <v>25</v>
      </c>
      <c r="B18" s="157"/>
      <c r="C18" s="157"/>
      <c r="D18" s="158">
        <f t="shared" si="0"/>
        <v>0</v>
      </c>
      <c r="I18"/>
      <c r="J18"/>
    </row>
    <row r="19" spans="1:10" ht="18">
      <c r="A19" s="159" t="s">
        <v>26</v>
      </c>
      <c r="B19" s="157">
        <v>13</v>
      </c>
      <c r="C19" s="184">
        <v>12000</v>
      </c>
      <c r="D19" s="158">
        <f t="shared" si="0"/>
        <v>156000</v>
      </c>
    </row>
    <row r="20" spans="1:10" ht="18">
      <c r="A20" s="161" t="s">
        <v>27</v>
      </c>
      <c r="B20" s="157">
        <v>1500</v>
      </c>
      <c r="C20" s="157">
        <v>12000</v>
      </c>
      <c r="D20" s="158">
        <f t="shared" si="0"/>
        <v>18000000</v>
      </c>
    </row>
    <row r="21" spans="1:10" ht="18" hidden="1">
      <c r="A21" s="156" t="s">
        <v>28</v>
      </c>
      <c r="B21" s="157"/>
      <c r="C21" s="157"/>
      <c r="D21" s="158">
        <f t="shared" si="0"/>
        <v>0</v>
      </c>
      <c r="I21"/>
      <c r="J21"/>
    </row>
    <row r="22" spans="1:10" ht="18" hidden="1">
      <c r="A22" s="156" t="s">
        <v>29</v>
      </c>
      <c r="B22" s="157"/>
      <c r="C22" s="157"/>
      <c r="D22" s="158">
        <f t="shared" si="0"/>
        <v>0</v>
      </c>
      <c r="I22"/>
      <c r="J22"/>
    </row>
    <row r="23" spans="1:10" ht="18" hidden="1">
      <c r="A23" s="161" t="s">
        <v>30</v>
      </c>
      <c r="B23" s="157"/>
      <c r="C23" s="157"/>
      <c r="D23" s="158">
        <f t="shared" si="0"/>
        <v>0</v>
      </c>
      <c r="I23"/>
      <c r="J23"/>
    </row>
    <row r="24" spans="1:10" ht="18" hidden="1">
      <c r="A24" s="161" t="s">
        <v>31</v>
      </c>
      <c r="B24" s="157"/>
      <c r="C24" s="157"/>
      <c r="D24" s="158">
        <f t="shared" si="0"/>
        <v>0</v>
      </c>
      <c r="I24"/>
      <c r="J24"/>
    </row>
    <row r="25" spans="1:10" ht="18" hidden="1">
      <c r="A25" s="161" t="s">
        <v>32</v>
      </c>
      <c r="B25" s="157"/>
      <c r="C25" s="157"/>
      <c r="D25" s="158">
        <f t="shared" si="0"/>
        <v>0</v>
      </c>
      <c r="I25"/>
      <c r="J25"/>
    </row>
    <row r="26" spans="1:10" ht="18" hidden="1">
      <c r="A26" s="161" t="s">
        <v>33</v>
      </c>
      <c r="B26" s="157"/>
      <c r="C26" s="157"/>
      <c r="D26" s="158">
        <f t="shared" si="0"/>
        <v>0</v>
      </c>
      <c r="I26"/>
      <c r="J26"/>
    </row>
    <row r="27" spans="1:10" ht="18" hidden="1">
      <c r="A27" s="161" t="s">
        <v>34</v>
      </c>
      <c r="B27" s="157"/>
      <c r="C27" s="157"/>
      <c r="D27" s="158">
        <f t="shared" si="0"/>
        <v>0</v>
      </c>
      <c r="I27"/>
      <c r="J27"/>
    </row>
    <row r="28" spans="1:10" ht="18" hidden="1">
      <c r="A28" s="161" t="s">
        <v>35</v>
      </c>
      <c r="B28" s="157"/>
      <c r="C28" s="157"/>
      <c r="D28" s="158">
        <f t="shared" si="0"/>
        <v>0</v>
      </c>
      <c r="I28"/>
      <c r="J28"/>
    </row>
    <row r="29" spans="1:10" ht="18" hidden="1">
      <c r="A29" s="159" t="s">
        <v>36</v>
      </c>
      <c r="B29" s="162"/>
      <c r="C29" s="162"/>
      <c r="D29" s="158">
        <f t="shared" si="0"/>
        <v>0</v>
      </c>
      <c r="I29"/>
      <c r="J29"/>
    </row>
    <row r="30" spans="1:10" ht="18" hidden="1">
      <c r="A30" s="156" t="s">
        <v>37</v>
      </c>
      <c r="B30" s="157"/>
      <c r="C30" s="157"/>
      <c r="D30" s="158">
        <f t="shared" si="0"/>
        <v>0</v>
      </c>
      <c r="I30"/>
      <c r="J30"/>
    </row>
    <row r="31" spans="1:10" ht="18" hidden="1">
      <c r="A31" s="159" t="s">
        <v>38</v>
      </c>
      <c r="B31" s="157"/>
      <c r="C31" s="157"/>
      <c r="D31" s="158">
        <f t="shared" si="0"/>
        <v>0</v>
      </c>
      <c r="I31"/>
      <c r="J31"/>
    </row>
    <row r="32" spans="1:10" ht="18" hidden="1">
      <c r="A32" s="159" t="s">
        <v>40</v>
      </c>
      <c r="B32" s="157"/>
      <c r="C32" s="157"/>
      <c r="D32" s="158">
        <f t="shared" si="0"/>
        <v>0</v>
      </c>
      <c r="I32"/>
      <c r="J32"/>
    </row>
    <row r="33" spans="1:10" ht="18" hidden="1">
      <c r="A33" s="159" t="s">
        <v>41</v>
      </c>
      <c r="B33" s="157"/>
      <c r="C33" s="157"/>
      <c r="D33" s="158">
        <f t="shared" si="0"/>
        <v>0</v>
      </c>
      <c r="I33"/>
      <c r="J33"/>
    </row>
    <row r="34" spans="1:10" ht="18" hidden="1">
      <c r="A34" s="156" t="s">
        <v>42</v>
      </c>
      <c r="B34" s="157"/>
      <c r="C34" s="157"/>
      <c r="D34" s="158">
        <f t="shared" si="0"/>
        <v>0</v>
      </c>
      <c r="I34"/>
      <c r="J34"/>
    </row>
    <row r="35" spans="1:10" ht="18" hidden="1">
      <c r="A35" s="159" t="s">
        <v>43</v>
      </c>
      <c r="B35" s="157"/>
      <c r="C35" s="157"/>
      <c r="D35" s="158">
        <f t="shared" si="0"/>
        <v>0</v>
      </c>
      <c r="I35"/>
      <c r="J35"/>
    </row>
    <row r="36" spans="1:10" ht="18" hidden="1">
      <c r="A36" s="159" t="s">
        <v>44</v>
      </c>
      <c r="B36" s="157"/>
      <c r="C36" s="157"/>
      <c r="D36" s="158">
        <f t="shared" si="0"/>
        <v>0</v>
      </c>
      <c r="I36"/>
      <c r="J36"/>
    </row>
    <row r="37" spans="1:10" ht="18" hidden="1">
      <c r="A37" s="159" t="s">
        <v>45</v>
      </c>
      <c r="B37" s="157"/>
      <c r="C37" s="157"/>
      <c r="D37" s="158">
        <f t="shared" si="0"/>
        <v>0</v>
      </c>
      <c r="I37"/>
      <c r="J37"/>
    </row>
    <row r="38" spans="1:10" ht="18" hidden="1">
      <c r="A38" s="156" t="s">
        <v>46</v>
      </c>
      <c r="B38" s="157"/>
      <c r="C38" s="157"/>
      <c r="D38" s="158">
        <f t="shared" si="0"/>
        <v>0</v>
      </c>
      <c r="I38"/>
      <c r="J38"/>
    </row>
    <row r="39" spans="1:10" ht="18">
      <c r="A39" s="161" t="s">
        <v>47</v>
      </c>
      <c r="B39" s="157">
        <v>4</v>
      </c>
      <c r="C39" s="157">
        <v>28000</v>
      </c>
      <c r="D39" s="158">
        <f t="shared" si="0"/>
        <v>112000</v>
      </c>
    </row>
    <row r="40" spans="1:10" ht="18" hidden="1">
      <c r="A40" s="161" t="s">
        <v>48</v>
      </c>
      <c r="B40" s="157"/>
      <c r="C40" s="157"/>
      <c r="D40" s="158">
        <f t="shared" si="0"/>
        <v>0</v>
      </c>
      <c r="I40"/>
      <c r="J40"/>
    </row>
    <row r="41" spans="1:10" ht="18" hidden="1">
      <c r="A41" s="159" t="s">
        <v>50</v>
      </c>
      <c r="B41" s="162"/>
      <c r="C41" s="162"/>
      <c r="D41" s="158">
        <f t="shared" si="0"/>
        <v>0</v>
      </c>
      <c r="I41"/>
      <c r="J41"/>
    </row>
    <row r="42" spans="1:10" ht="18" hidden="1">
      <c r="A42" s="161" t="s">
        <v>51</v>
      </c>
      <c r="B42" s="157"/>
      <c r="C42" s="157"/>
      <c r="D42" s="158">
        <f t="shared" si="0"/>
        <v>0</v>
      </c>
      <c r="I42"/>
      <c r="J42"/>
    </row>
    <row r="43" spans="1:10" ht="18" hidden="1">
      <c r="A43" s="161" t="s">
        <v>52</v>
      </c>
      <c r="B43" s="157"/>
      <c r="C43" s="157"/>
      <c r="D43" s="158">
        <f t="shared" si="0"/>
        <v>0</v>
      </c>
      <c r="I43"/>
      <c r="J43"/>
    </row>
    <row r="44" spans="1:10" ht="18" hidden="1">
      <c r="A44" s="164" t="s">
        <v>53</v>
      </c>
      <c r="B44" s="157"/>
      <c r="C44" s="157"/>
      <c r="D44" s="158">
        <f t="shared" si="0"/>
        <v>0</v>
      </c>
      <c r="I44"/>
      <c r="J44"/>
    </row>
    <row r="45" spans="1:10" ht="18" hidden="1">
      <c r="A45" s="161" t="s">
        <v>55</v>
      </c>
      <c r="B45" s="157"/>
      <c r="C45" s="157"/>
      <c r="D45" s="158">
        <f t="shared" si="0"/>
        <v>0</v>
      </c>
      <c r="I45"/>
      <c r="J45"/>
    </row>
    <row r="46" spans="1:10" ht="18" hidden="1">
      <c r="A46" s="161" t="s">
        <v>56</v>
      </c>
      <c r="B46" s="157"/>
      <c r="C46" s="157"/>
      <c r="D46" s="158">
        <f t="shared" si="0"/>
        <v>0</v>
      </c>
      <c r="I46"/>
      <c r="J46"/>
    </row>
    <row r="47" spans="1:10" ht="18" hidden="1">
      <c r="A47" s="161" t="s">
        <v>58</v>
      </c>
      <c r="B47" s="157"/>
      <c r="C47" s="157"/>
      <c r="D47" s="158">
        <f t="shared" si="0"/>
        <v>0</v>
      </c>
      <c r="I47"/>
      <c r="J47"/>
    </row>
    <row r="48" spans="1:10" ht="18" hidden="1">
      <c r="A48" s="180" t="s">
        <v>59</v>
      </c>
      <c r="B48" s="157"/>
      <c r="C48" s="157"/>
      <c r="D48" s="158">
        <f t="shared" si="0"/>
        <v>0</v>
      </c>
      <c r="I48"/>
      <c r="J48"/>
    </row>
    <row r="49" spans="1:10" ht="18" hidden="1">
      <c r="A49" s="173" t="s">
        <v>60</v>
      </c>
      <c r="B49" s="157"/>
      <c r="C49" s="157"/>
      <c r="D49" s="158">
        <f t="shared" si="0"/>
        <v>0</v>
      </c>
      <c r="I49"/>
      <c r="J49"/>
    </row>
    <row r="50" spans="1:10" ht="18" hidden="1">
      <c r="A50" s="159" t="s">
        <v>61</v>
      </c>
      <c r="B50" s="157"/>
      <c r="C50" s="157"/>
      <c r="D50" s="158">
        <f t="shared" si="0"/>
        <v>0</v>
      </c>
      <c r="I50"/>
      <c r="J50"/>
    </row>
    <row r="51" spans="1:10" ht="18" hidden="1">
      <c r="A51" s="173" t="s">
        <v>62</v>
      </c>
      <c r="B51" s="157"/>
      <c r="C51" s="157"/>
      <c r="D51" s="158">
        <f t="shared" si="0"/>
        <v>0</v>
      </c>
      <c r="I51"/>
      <c r="J51"/>
    </row>
    <row r="52" spans="1:10" ht="18" hidden="1">
      <c r="A52" s="161" t="s">
        <v>63</v>
      </c>
      <c r="B52" s="157"/>
      <c r="C52" s="157"/>
      <c r="D52" s="158">
        <f t="shared" si="0"/>
        <v>0</v>
      </c>
      <c r="I52"/>
      <c r="J52"/>
    </row>
    <row r="53" spans="1:10" ht="18" hidden="1">
      <c r="A53" s="161" t="s">
        <v>64</v>
      </c>
      <c r="B53" s="157"/>
      <c r="C53" s="157"/>
      <c r="D53" s="158">
        <f t="shared" si="0"/>
        <v>0</v>
      </c>
      <c r="I53"/>
      <c r="J53"/>
    </row>
    <row r="54" spans="1:10" ht="18">
      <c r="A54" s="156" t="s">
        <v>65</v>
      </c>
      <c r="B54" s="157">
        <f>-300+140+160+120</f>
        <v>120</v>
      </c>
      <c r="C54" s="157">
        <v>21000</v>
      </c>
      <c r="D54" s="158">
        <f t="shared" si="0"/>
        <v>2520000</v>
      </c>
    </row>
    <row r="55" spans="1:10" ht="18" hidden="1">
      <c r="A55" s="161" t="s">
        <v>66</v>
      </c>
      <c r="B55" s="157"/>
      <c r="C55" s="157"/>
      <c r="D55" s="158">
        <f t="shared" si="0"/>
        <v>0</v>
      </c>
      <c r="I55"/>
      <c r="J55"/>
    </row>
    <row r="56" spans="1:10" ht="18" hidden="1">
      <c r="A56" s="164" t="s">
        <v>67</v>
      </c>
      <c r="B56" s="157"/>
      <c r="C56" s="157"/>
      <c r="D56" s="158">
        <f t="shared" si="0"/>
        <v>0</v>
      </c>
      <c r="I56"/>
      <c r="J56"/>
    </row>
    <row r="57" spans="1:10" ht="18" hidden="1">
      <c r="A57" s="164" t="s">
        <v>69</v>
      </c>
      <c r="B57" s="157"/>
      <c r="C57" s="157"/>
      <c r="D57" s="158">
        <f t="shared" si="0"/>
        <v>0</v>
      </c>
      <c r="I57"/>
      <c r="J57"/>
    </row>
    <row r="58" spans="1:10" ht="18" hidden="1">
      <c r="A58" s="164" t="s">
        <v>70</v>
      </c>
      <c r="B58" s="157"/>
      <c r="C58" s="157"/>
      <c r="D58" s="158">
        <f t="shared" si="0"/>
        <v>0</v>
      </c>
      <c r="I58"/>
      <c r="J58"/>
    </row>
    <row r="59" spans="1:10" ht="18" hidden="1">
      <c r="A59" s="161" t="s">
        <v>71</v>
      </c>
      <c r="B59" s="157"/>
      <c r="C59" s="157"/>
      <c r="D59" s="158">
        <f t="shared" si="0"/>
        <v>0</v>
      </c>
      <c r="I59"/>
      <c r="J59"/>
    </row>
    <row r="60" spans="1:10" ht="18" hidden="1">
      <c r="A60" s="159" t="s">
        <v>72</v>
      </c>
      <c r="B60" s="157"/>
      <c r="C60" s="157"/>
      <c r="D60" s="158">
        <f t="shared" si="0"/>
        <v>0</v>
      </c>
      <c r="I60"/>
      <c r="J60"/>
    </row>
    <row r="61" spans="1:10" ht="18">
      <c r="A61" s="161" t="s">
        <v>73</v>
      </c>
      <c r="B61" s="157">
        <v>7</v>
      </c>
      <c r="C61" s="157">
        <v>12500</v>
      </c>
      <c r="D61" s="158">
        <f t="shared" si="0"/>
        <v>87500</v>
      </c>
    </row>
    <row r="62" spans="1:10" ht="18" hidden="1">
      <c r="A62" s="180" t="s">
        <v>74</v>
      </c>
      <c r="B62" s="157"/>
      <c r="C62" s="157"/>
      <c r="D62" s="158">
        <f t="shared" si="0"/>
        <v>0</v>
      </c>
      <c r="I62"/>
      <c r="J62"/>
    </row>
    <row r="63" spans="1:10" ht="18" hidden="1">
      <c r="A63" s="164" t="s">
        <v>75</v>
      </c>
      <c r="B63" s="157"/>
      <c r="C63" s="157"/>
      <c r="D63" s="158">
        <f t="shared" si="0"/>
        <v>0</v>
      </c>
      <c r="I63"/>
      <c r="J63"/>
    </row>
    <row r="64" spans="1:10" ht="18" hidden="1">
      <c r="A64" s="161" t="s">
        <v>76</v>
      </c>
      <c r="B64" s="157"/>
      <c r="C64" s="157"/>
      <c r="D64" s="158">
        <f t="shared" si="0"/>
        <v>0</v>
      </c>
      <c r="I64"/>
      <c r="J64"/>
    </row>
    <row r="65" spans="1:10" ht="18" hidden="1">
      <c r="A65" s="185" t="s">
        <v>77</v>
      </c>
      <c r="B65" s="157"/>
      <c r="C65" s="157"/>
      <c r="D65" s="158">
        <f t="shared" si="0"/>
        <v>0</v>
      </c>
      <c r="I65"/>
      <c r="J65"/>
    </row>
    <row r="66" spans="1:10" ht="18" hidden="1">
      <c r="A66" s="161" t="s">
        <v>78</v>
      </c>
      <c r="B66" s="157"/>
      <c r="C66" s="157"/>
      <c r="D66" s="158">
        <f t="shared" si="0"/>
        <v>0</v>
      </c>
      <c r="I66"/>
      <c r="J66"/>
    </row>
    <row r="67" spans="1:10" ht="18" hidden="1">
      <c r="A67" s="161" t="s">
        <v>79</v>
      </c>
      <c r="B67" s="157"/>
      <c r="C67" s="157"/>
      <c r="D67" s="158">
        <f t="shared" si="0"/>
        <v>0</v>
      </c>
      <c r="I67"/>
      <c r="J67"/>
    </row>
    <row r="68" spans="1:10" ht="18" hidden="1">
      <c r="A68" s="160" t="s">
        <v>80</v>
      </c>
      <c r="B68" s="157"/>
      <c r="C68" s="157"/>
      <c r="D68" s="158">
        <f t="shared" ref="D68:D131" si="1">B68*C68</f>
        <v>0</v>
      </c>
      <c r="I68"/>
      <c r="J68"/>
    </row>
    <row r="69" spans="1:10" ht="18" hidden="1">
      <c r="A69" s="156" t="s">
        <v>81</v>
      </c>
      <c r="B69" s="157"/>
      <c r="C69" s="157"/>
      <c r="D69" s="158">
        <f t="shared" si="1"/>
        <v>0</v>
      </c>
      <c r="I69"/>
      <c r="J69"/>
    </row>
    <row r="70" spans="1:10" ht="18" hidden="1">
      <c r="A70" s="156" t="s">
        <v>82</v>
      </c>
      <c r="B70" s="157"/>
      <c r="C70" s="157"/>
      <c r="D70" s="158">
        <f t="shared" si="1"/>
        <v>0</v>
      </c>
      <c r="I70"/>
      <c r="J70"/>
    </row>
    <row r="71" spans="1:10" ht="18" hidden="1">
      <c r="A71" s="159" t="s">
        <v>83</v>
      </c>
      <c r="B71" s="157"/>
      <c r="C71" s="157"/>
      <c r="D71" s="158">
        <f t="shared" si="1"/>
        <v>0</v>
      </c>
      <c r="I71"/>
      <c r="J71"/>
    </row>
    <row r="72" spans="1:10" ht="18" hidden="1">
      <c r="A72" s="156" t="s">
        <v>84</v>
      </c>
      <c r="B72" s="157"/>
      <c r="C72" s="157"/>
      <c r="D72" s="158">
        <f t="shared" si="1"/>
        <v>0</v>
      </c>
      <c r="I72"/>
      <c r="J72"/>
    </row>
    <row r="73" spans="1:10" ht="18" hidden="1">
      <c r="A73" s="156" t="s">
        <v>85</v>
      </c>
      <c r="B73" s="157"/>
      <c r="C73" s="157"/>
      <c r="D73" s="158">
        <f t="shared" si="1"/>
        <v>0</v>
      </c>
      <c r="I73"/>
      <c r="J73"/>
    </row>
    <row r="74" spans="1:10" ht="18" hidden="1">
      <c r="A74" s="156" t="s">
        <v>86</v>
      </c>
      <c r="B74" s="157"/>
      <c r="C74" s="157"/>
      <c r="D74" s="158">
        <f t="shared" si="1"/>
        <v>0</v>
      </c>
      <c r="I74"/>
      <c r="J74"/>
    </row>
    <row r="75" spans="1:10" ht="18" hidden="1">
      <c r="A75" s="160" t="s">
        <v>87</v>
      </c>
      <c r="B75" s="157"/>
      <c r="C75" s="157"/>
      <c r="D75" s="158">
        <f t="shared" si="1"/>
        <v>0</v>
      </c>
      <c r="I75"/>
      <c r="J75"/>
    </row>
    <row r="76" spans="1:10" ht="18" hidden="1">
      <c r="A76" s="161" t="s">
        <v>88</v>
      </c>
      <c r="B76" s="157"/>
      <c r="C76" s="157"/>
      <c r="D76" s="158">
        <f t="shared" si="1"/>
        <v>0</v>
      </c>
      <c r="I76"/>
      <c r="J76"/>
    </row>
    <row r="77" spans="1:10" ht="18" hidden="1">
      <c r="A77" s="161" t="s">
        <v>89</v>
      </c>
      <c r="B77" s="157"/>
      <c r="C77" s="157"/>
      <c r="D77" s="158">
        <f t="shared" si="1"/>
        <v>0</v>
      </c>
      <c r="I77"/>
      <c r="J77"/>
    </row>
    <row r="78" spans="1:10" ht="18">
      <c r="A78" s="161" t="s">
        <v>90</v>
      </c>
      <c r="B78" s="157">
        <f>-100+40+25+10+40+75</f>
        <v>90</v>
      </c>
      <c r="C78" s="157">
        <v>28000</v>
      </c>
      <c r="D78" s="158">
        <f t="shared" si="1"/>
        <v>2520000</v>
      </c>
    </row>
    <row r="79" spans="1:10" ht="18" hidden="1">
      <c r="A79" s="173" t="s">
        <v>91</v>
      </c>
      <c r="B79" s="157"/>
      <c r="C79" s="157"/>
      <c r="D79" s="158">
        <f t="shared" si="1"/>
        <v>0</v>
      </c>
      <c r="I79"/>
      <c r="J79"/>
    </row>
    <row r="80" spans="1:10" ht="18">
      <c r="A80" s="161" t="s">
        <v>92</v>
      </c>
      <c r="B80" s="157">
        <f>110+10+40</f>
        <v>160</v>
      </c>
      <c r="C80" s="157">
        <v>30000</v>
      </c>
      <c r="D80" s="158">
        <f t="shared" si="1"/>
        <v>4800000</v>
      </c>
    </row>
    <row r="81" spans="1:10" ht="18">
      <c r="A81" s="161" t="s">
        <v>94</v>
      </c>
      <c r="B81" s="157">
        <v>105</v>
      </c>
      <c r="C81" s="157">
        <v>25000</v>
      </c>
      <c r="D81" s="158">
        <f t="shared" si="1"/>
        <v>2625000</v>
      </c>
    </row>
    <row r="82" spans="1:10" ht="18" hidden="1">
      <c r="A82" s="161" t="s">
        <v>95</v>
      </c>
      <c r="B82" s="157"/>
      <c r="C82" s="157"/>
      <c r="D82" s="158">
        <f t="shared" si="1"/>
        <v>0</v>
      </c>
      <c r="I82"/>
      <c r="J82"/>
    </row>
    <row r="83" spans="1:10" ht="18" hidden="1">
      <c r="A83" s="156" t="s">
        <v>96</v>
      </c>
      <c r="B83" s="162"/>
      <c r="C83" s="162"/>
      <c r="D83" s="158">
        <f t="shared" si="1"/>
        <v>0</v>
      </c>
      <c r="I83"/>
      <c r="J83"/>
    </row>
    <row r="84" spans="1:10" ht="18" hidden="1">
      <c r="A84" s="156" t="s">
        <v>97</v>
      </c>
      <c r="B84" s="162"/>
      <c r="C84" s="162"/>
      <c r="D84" s="158">
        <f t="shared" si="1"/>
        <v>0</v>
      </c>
      <c r="I84"/>
      <c r="J84"/>
    </row>
    <row r="85" spans="1:10" ht="18" hidden="1">
      <c r="A85" s="156" t="s">
        <v>98</v>
      </c>
      <c r="B85" s="162"/>
      <c r="C85" s="162"/>
      <c r="D85" s="158">
        <f t="shared" si="1"/>
        <v>0</v>
      </c>
      <c r="I85"/>
      <c r="J85"/>
    </row>
    <row r="86" spans="1:10" ht="18" hidden="1">
      <c r="A86" s="161" t="s">
        <v>99</v>
      </c>
      <c r="B86" s="157"/>
      <c r="C86" s="157"/>
      <c r="D86" s="158">
        <f t="shared" si="1"/>
        <v>0</v>
      </c>
      <c r="I86"/>
      <c r="J86"/>
    </row>
    <row r="87" spans="1:10" ht="18" hidden="1">
      <c r="A87" s="161" t="s">
        <v>100</v>
      </c>
      <c r="B87" s="157"/>
      <c r="C87" s="157"/>
      <c r="D87" s="158">
        <f t="shared" si="1"/>
        <v>0</v>
      </c>
      <c r="I87"/>
      <c r="J87"/>
    </row>
    <row r="88" spans="1:10" ht="18" hidden="1">
      <c r="A88" s="161" t="s">
        <v>101</v>
      </c>
      <c r="B88" s="157"/>
      <c r="C88" s="157"/>
      <c r="D88" s="158">
        <f t="shared" si="1"/>
        <v>0</v>
      </c>
      <c r="I88"/>
      <c r="J88"/>
    </row>
    <row r="89" spans="1:10" ht="18" hidden="1">
      <c r="A89" s="161" t="s">
        <v>102</v>
      </c>
      <c r="B89" s="157"/>
      <c r="C89" s="157"/>
      <c r="D89" s="158">
        <f t="shared" si="1"/>
        <v>0</v>
      </c>
      <c r="I89"/>
      <c r="J89"/>
    </row>
    <row r="90" spans="1:10" ht="18" hidden="1">
      <c r="A90" s="161" t="s">
        <v>103</v>
      </c>
      <c r="B90" s="157"/>
      <c r="C90" s="157"/>
      <c r="D90" s="158">
        <f t="shared" si="1"/>
        <v>0</v>
      </c>
      <c r="I90"/>
      <c r="J90"/>
    </row>
    <row r="91" spans="1:10" ht="18" hidden="1">
      <c r="A91" s="161" t="s">
        <v>104</v>
      </c>
      <c r="B91" s="157"/>
      <c r="C91" s="157"/>
      <c r="D91" s="158">
        <f t="shared" si="1"/>
        <v>0</v>
      </c>
      <c r="I91"/>
      <c r="J91"/>
    </row>
    <row r="92" spans="1:10" ht="18" hidden="1">
      <c r="A92" s="163" t="s">
        <v>105</v>
      </c>
      <c r="B92" s="157"/>
      <c r="C92" s="157"/>
      <c r="D92" s="158">
        <f t="shared" si="1"/>
        <v>0</v>
      </c>
      <c r="I92"/>
      <c r="J92"/>
    </row>
    <row r="93" spans="1:10" ht="18" hidden="1">
      <c r="A93" s="163" t="s">
        <v>106</v>
      </c>
      <c r="B93" s="157"/>
      <c r="C93" s="157"/>
      <c r="D93" s="158">
        <f t="shared" si="1"/>
        <v>0</v>
      </c>
      <c r="I93"/>
      <c r="J93"/>
    </row>
    <row r="94" spans="1:10" ht="18" hidden="1">
      <c r="A94" s="163" t="s">
        <v>107</v>
      </c>
      <c r="B94" s="157"/>
      <c r="C94" s="157"/>
      <c r="D94" s="158">
        <f t="shared" si="1"/>
        <v>0</v>
      </c>
      <c r="I94"/>
      <c r="J94"/>
    </row>
    <row r="95" spans="1:10" ht="18" hidden="1">
      <c r="A95" s="159" t="s">
        <v>108</v>
      </c>
      <c r="B95" s="157"/>
      <c r="C95" s="157"/>
      <c r="D95" s="158">
        <f t="shared" si="1"/>
        <v>0</v>
      </c>
      <c r="I95"/>
      <c r="J95"/>
    </row>
    <row r="96" spans="1:10" ht="18" hidden="1">
      <c r="A96" s="173" t="s">
        <v>109</v>
      </c>
      <c r="B96" s="157"/>
      <c r="C96" s="157"/>
      <c r="D96" s="158">
        <f t="shared" si="1"/>
        <v>0</v>
      </c>
      <c r="I96"/>
      <c r="J96"/>
    </row>
    <row r="97" spans="1:10" ht="18" hidden="1">
      <c r="A97" s="161" t="s">
        <v>110</v>
      </c>
      <c r="B97" s="157"/>
      <c r="C97" s="157"/>
      <c r="D97" s="158">
        <f t="shared" si="1"/>
        <v>0</v>
      </c>
      <c r="I97"/>
      <c r="J97"/>
    </row>
    <row r="98" spans="1:10" ht="18" hidden="1">
      <c r="A98" s="161" t="s">
        <v>111</v>
      </c>
      <c r="B98" s="157"/>
      <c r="C98" s="157"/>
      <c r="D98" s="158">
        <f t="shared" si="1"/>
        <v>0</v>
      </c>
      <c r="I98"/>
      <c r="J98"/>
    </row>
    <row r="99" spans="1:10" ht="18" hidden="1">
      <c r="A99" s="159" t="s">
        <v>112</v>
      </c>
      <c r="B99" s="157"/>
      <c r="C99" s="157"/>
      <c r="D99" s="158">
        <f t="shared" si="1"/>
        <v>0</v>
      </c>
      <c r="I99"/>
      <c r="J99"/>
    </row>
    <row r="100" spans="1:10" ht="18" hidden="1">
      <c r="A100" s="161" t="s">
        <v>113</v>
      </c>
      <c r="B100" s="162"/>
      <c r="C100" s="162"/>
      <c r="D100" s="158">
        <f t="shared" si="1"/>
        <v>0</v>
      </c>
      <c r="I100"/>
      <c r="J100"/>
    </row>
    <row r="101" spans="1:10" ht="18" hidden="1">
      <c r="A101" s="159" t="s">
        <v>114</v>
      </c>
      <c r="B101" s="157"/>
      <c r="C101" s="157"/>
      <c r="D101" s="158">
        <f t="shared" si="1"/>
        <v>0</v>
      </c>
      <c r="I101"/>
      <c r="J101"/>
    </row>
    <row r="102" spans="1:10" ht="18" hidden="1">
      <c r="A102" s="194" t="s">
        <v>115</v>
      </c>
      <c r="B102" s="157"/>
      <c r="C102" s="157"/>
      <c r="D102" s="158">
        <f t="shared" si="1"/>
        <v>0</v>
      </c>
      <c r="I102"/>
      <c r="J102"/>
    </row>
    <row r="103" spans="1:10" ht="18" hidden="1">
      <c r="A103" s="195" t="s">
        <v>116</v>
      </c>
      <c r="B103" s="157"/>
      <c r="C103" s="157"/>
      <c r="D103" s="158">
        <f t="shared" si="1"/>
        <v>0</v>
      </c>
      <c r="I103"/>
      <c r="J103"/>
    </row>
    <row r="104" spans="1:10" ht="18">
      <c r="A104" s="177" t="s">
        <v>117</v>
      </c>
      <c r="B104" s="157">
        <f>10+25+20+20</f>
        <v>75</v>
      </c>
      <c r="C104" s="157">
        <v>8500</v>
      </c>
      <c r="D104" s="158">
        <f t="shared" si="1"/>
        <v>637500</v>
      </c>
    </row>
    <row r="105" spans="1:10" ht="18" hidden="1">
      <c r="A105" s="164" t="s">
        <v>118</v>
      </c>
      <c r="B105" s="157"/>
      <c r="C105" s="157"/>
      <c r="D105" s="158">
        <f t="shared" si="1"/>
        <v>0</v>
      </c>
      <c r="I105"/>
      <c r="J105"/>
    </row>
    <row r="106" spans="1:10" ht="18" hidden="1">
      <c r="A106" s="161" t="s">
        <v>119</v>
      </c>
      <c r="B106" s="157"/>
      <c r="C106" s="157"/>
      <c r="D106" s="158">
        <f t="shared" si="1"/>
        <v>0</v>
      </c>
      <c r="I106"/>
      <c r="J106"/>
    </row>
    <row r="107" spans="1:10" ht="18" hidden="1">
      <c r="A107" s="161" t="s">
        <v>120</v>
      </c>
      <c r="B107" s="157"/>
      <c r="C107" s="157"/>
      <c r="D107" s="158">
        <f t="shared" si="1"/>
        <v>0</v>
      </c>
      <c r="I107"/>
      <c r="J107"/>
    </row>
    <row r="108" spans="1:10" ht="18" hidden="1">
      <c r="A108" s="159" t="s">
        <v>121</v>
      </c>
      <c r="B108" s="157"/>
      <c r="C108" s="157"/>
      <c r="D108" s="158">
        <f t="shared" si="1"/>
        <v>0</v>
      </c>
      <c r="I108"/>
      <c r="J108"/>
    </row>
    <row r="109" spans="1:10" ht="18" hidden="1">
      <c r="A109" s="186" t="s">
        <v>122</v>
      </c>
      <c r="B109" s="157"/>
      <c r="C109" s="157"/>
      <c r="D109" s="158">
        <f t="shared" si="1"/>
        <v>0</v>
      </c>
      <c r="I109"/>
      <c r="J109"/>
    </row>
    <row r="110" spans="1:10" ht="18" hidden="1">
      <c r="A110" s="161" t="s">
        <v>123</v>
      </c>
      <c r="B110" s="157"/>
      <c r="C110" s="157"/>
      <c r="D110" s="158">
        <f t="shared" si="1"/>
        <v>0</v>
      </c>
      <c r="I110"/>
      <c r="J110"/>
    </row>
    <row r="111" spans="1:10" ht="18" hidden="1">
      <c r="A111" s="161" t="s">
        <v>124</v>
      </c>
      <c r="B111" s="157"/>
      <c r="C111" s="157"/>
      <c r="D111" s="158">
        <f t="shared" si="1"/>
        <v>0</v>
      </c>
      <c r="I111"/>
      <c r="J111"/>
    </row>
    <row r="112" spans="1:10" ht="18" hidden="1">
      <c r="A112" s="161" t="s">
        <v>125</v>
      </c>
      <c r="B112" s="157"/>
      <c r="C112" s="157"/>
      <c r="D112" s="158">
        <f t="shared" si="1"/>
        <v>0</v>
      </c>
      <c r="I112"/>
      <c r="J112"/>
    </row>
    <row r="113" spans="1:10" ht="18" hidden="1">
      <c r="A113" s="161" t="s">
        <v>126</v>
      </c>
      <c r="B113" s="157"/>
      <c r="C113" s="157"/>
      <c r="D113" s="158">
        <f t="shared" si="1"/>
        <v>0</v>
      </c>
      <c r="I113"/>
      <c r="J113"/>
    </row>
    <row r="114" spans="1:10" ht="18" hidden="1">
      <c r="A114" s="161" t="s">
        <v>127</v>
      </c>
      <c r="B114" s="157"/>
      <c r="C114" s="157"/>
      <c r="D114" s="158">
        <f t="shared" si="1"/>
        <v>0</v>
      </c>
      <c r="I114"/>
      <c r="J114"/>
    </row>
    <row r="115" spans="1:10" ht="18" hidden="1">
      <c r="A115" s="161" t="s">
        <v>128</v>
      </c>
      <c r="B115" s="157"/>
      <c r="C115" s="157"/>
      <c r="D115" s="158">
        <f t="shared" si="1"/>
        <v>0</v>
      </c>
      <c r="I115"/>
      <c r="J115"/>
    </row>
    <row r="116" spans="1:10" ht="18" hidden="1">
      <c r="A116" s="161" t="s">
        <v>129</v>
      </c>
      <c r="B116" s="157"/>
      <c r="C116" s="157"/>
      <c r="D116" s="158">
        <f t="shared" si="1"/>
        <v>0</v>
      </c>
      <c r="I116"/>
      <c r="J116"/>
    </row>
    <row r="117" spans="1:10" ht="18" hidden="1">
      <c r="A117" s="161" t="s">
        <v>130</v>
      </c>
      <c r="B117" s="157"/>
      <c r="C117" s="157"/>
      <c r="D117" s="158">
        <f t="shared" si="1"/>
        <v>0</v>
      </c>
      <c r="I117"/>
      <c r="J117"/>
    </row>
    <row r="118" spans="1:10" ht="18" hidden="1">
      <c r="A118" s="159" t="s">
        <v>131</v>
      </c>
      <c r="B118" s="157"/>
      <c r="C118" s="157"/>
      <c r="D118" s="158">
        <f t="shared" si="1"/>
        <v>0</v>
      </c>
      <c r="I118"/>
      <c r="J118"/>
    </row>
    <row r="119" spans="1:10" ht="18" hidden="1">
      <c r="A119" s="163" t="s">
        <v>132</v>
      </c>
      <c r="B119" s="157"/>
      <c r="C119" s="157"/>
      <c r="D119" s="158">
        <f t="shared" si="1"/>
        <v>0</v>
      </c>
      <c r="I119"/>
      <c r="J119"/>
    </row>
    <row r="120" spans="1:10" ht="18" hidden="1">
      <c r="A120" s="161" t="s">
        <v>133</v>
      </c>
      <c r="B120" s="157"/>
      <c r="C120" s="157"/>
      <c r="D120" s="158">
        <f t="shared" si="1"/>
        <v>0</v>
      </c>
      <c r="I120"/>
      <c r="J120"/>
    </row>
    <row r="121" spans="1:10" ht="18" hidden="1">
      <c r="A121" s="159" t="s">
        <v>135</v>
      </c>
      <c r="B121" s="157"/>
      <c r="C121" s="157"/>
      <c r="D121" s="158">
        <f t="shared" si="1"/>
        <v>0</v>
      </c>
      <c r="I121"/>
      <c r="J121"/>
    </row>
    <row r="122" spans="1:10" ht="18" hidden="1">
      <c r="A122" s="159" t="s">
        <v>136</v>
      </c>
      <c r="B122" s="157"/>
      <c r="C122" s="157"/>
      <c r="D122" s="158">
        <f t="shared" si="1"/>
        <v>0</v>
      </c>
      <c r="I122"/>
      <c r="J122"/>
    </row>
    <row r="123" spans="1:10" ht="18" hidden="1">
      <c r="A123" s="161" t="s">
        <v>137</v>
      </c>
      <c r="B123" s="157"/>
      <c r="C123" s="157"/>
      <c r="D123" s="158">
        <f t="shared" si="1"/>
        <v>0</v>
      </c>
      <c r="I123"/>
      <c r="J123"/>
    </row>
    <row r="124" spans="1:10" ht="18" hidden="1">
      <c r="A124" s="161" t="s">
        <v>138</v>
      </c>
      <c r="B124" s="157"/>
      <c r="C124" s="157"/>
      <c r="D124" s="158">
        <f t="shared" si="1"/>
        <v>0</v>
      </c>
      <c r="I124"/>
      <c r="J124"/>
    </row>
    <row r="125" spans="1:10" ht="18" hidden="1">
      <c r="A125" s="178" t="s">
        <v>139</v>
      </c>
      <c r="B125" s="157"/>
      <c r="C125" s="157"/>
      <c r="D125" s="158">
        <f t="shared" si="1"/>
        <v>0</v>
      </c>
      <c r="I125"/>
      <c r="J125"/>
    </row>
    <row r="126" spans="1:10" ht="18">
      <c r="A126" s="173" t="s">
        <v>140</v>
      </c>
      <c r="B126" s="157">
        <v>10</v>
      </c>
      <c r="C126" s="157">
        <v>10500</v>
      </c>
      <c r="D126" s="158">
        <f t="shared" si="1"/>
        <v>105000</v>
      </c>
    </row>
    <row r="127" spans="1:10" ht="18" hidden="1">
      <c r="A127" s="156" t="s">
        <v>141</v>
      </c>
      <c r="B127" s="162"/>
      <c r="C127" s="162"/>
      <c r="D127" s="158">
        <f t="shared" si="1"/>
        <v>0</v>
      </c>
      <c r="I127"/>
      <c r="J127"/>
    </row>
    <row r="128" spans="1:10" ht="18" hidden="1">
      <c r="A128" s="156" t="s">
        <v>142</v>
      </c>
      <c r="B128" s="162"/>
      <c r="C128" s="162"/>
      <c r="D128" s="158">
        <f t="shared" si="1"/>
        <v>0</v>
      </c>
      <c r="I128"/>
      <c r="J128"/>
    </row>
    <row r="129" spans="1:10" ht="18" hidden="1">
      <c r="A129" s="156" t="s">
        <v>143</v>
      </c>
      <c r="B129" s="162"/>
      <c r="C129" s="162"/>
      <c r="D129" s="158">
        <f t="shared" si="1"/>
        <v>0</v>
      </c>
      <c r="I129"/>
      <c r="J129"/>
    </row>
    <row r="130" spans="1:10" ht="18" hidden="1">
      <c r="A130" s="156" t="s">
        <v>144</v>
      </c>
      <c r="B130" s="179"/>
      <c r="C130" s="179"/>
      <c r="D130" s="158">
        <f t="shared" si="1"/>
        <v>0</v>
      </c>
      <c r="I130"/>
      <c r="J130"/>
    </row>
    <row r="131" spans="1:10" ht="18" hidden="1">
      <c r="A131" s="183" t="s">
        <v>145</v>
      </c>
      <c r="B131" s="157"/>
      <c r="C131" s="157"/>
      <c r="D131" s="158">
        <f t="shared" si="1"/>
        <v>0</v>
      </c>
      <c r="I131"/>
      <c r="J131"/>
    </row>
    <row r="132" spans="1:10" ht="18">
      <c r="A132" s="156" t="s">
        <v>146</v>
      </c>
      <c r="B132" s="162">
        <v>5</v>
      </c>
      <c r="C132" s="162">
        <v>16000</v>
      </c>
      <c r="D132" s="158">
        <f t="shared" ref="D132:D195" si="2">B132*C132</f>
        <v>80000</v>
      </c>
    </row>
    <row r="133" spans="1:10" ht="18">
      <c r="A133" s="161" t="s">
        <v>147</v>
      </c>
      <c r="B133" s="157">
        <v>15</v>
      </c>
      <c r="C133" s="157">
        <v>9000</v>
      </c>
      <c r="D133" s="158">
        <f t="shared" si="2"/>
        <v>135000</v>
      </c>
    </row>
    <row r="134" spans="1:10" ht="18" hidden="1">
      <c r="A134" s="161" t="s">
        <v>148</v>
      </c>
      <c r="B134" s="157"/>
      <c r="C134" s="157"/>
      <c r="D134" s="158">
        <f t="shared" si="2"/>
        <v>0</v>
      </c>
      <c r="I134"/>
      <c r="J134"/>
    </row>
    <row r="135" spans="1:10" ht="18" hidden="1">
      <c r="A135" s="161" t="s">
        <v>149</v>
      </c>
      <c r="B135" s="157"/>
      <c r="C135" s="157"/>
      <c r="D135" s="158">
        <f t="shared" si="2"/>
        <v>0</v>
      </c>
      <c r="I135"/>
      <c r="J135"/>
    </row>
    <row r="136" spans="1:10" ht="18">
      <c r="A136" s="161" t="s">
        <v>150</v>
      </c>
      <c r="B136" s="157">
        <f>-60+110</f>
        <v>50</v>
      </c>
      <c r="C136" s="157">
        <v>16000</v>
      </c>
      <c r="D136" s="158">
        <f t="shared" si="2"/>
        <v>800000</v>
      </c>
    </row>
    <row r="137" spans="1:10" ht="18" hidden="1">
      <c r="A137" s="164" t="s">
        <v>151</v>
      </c>
      <c r="B137" s="157"/>
      <c r="C137" s="157"/>
      <c r="D137" s="158">
        <f t="shared" si="2"/>
        <v>0</v>
      </c>
      <c r="I137"/>
      <c r="J137"/>
    </row>
    <row r="138" spans="1:10" ht="18" hidden="1">
      <c r="A138" s="156" t="s">
        <v>152</v>
      </c>
      <c r="B138" s="157"/>
      <c r="C138" s="157"/>
      <c r="D138" s="158">
        <f t="shared" si="2"/>
        <v>0</v>
      </c>
      <c r="I138"/>
      <c r="J138"/>
    </row>
    <row r="139" spans="1:10" ht="18" hidden="1">
      <c r="A139" s="156" t="s">
        <v>153</v>
      </c>
      <c r="B139" s="157"/>
      <c r="C139" s="157"/>
      <c r="D139" s="158">
        <f t="shared" si="2"/>
        <v>0</v>
      </c>
      <c r="I139"/>
      <c r="J139"/>
    </row>
    <row r="140" spans="1:10" ht="18" hidden="1">
      <c r="A140" s="161" t="s">
        <v>154</v>
      </c>
      <c r="B140" s="157"/>
      <c r="C140" s="157"/>
      <c r="D140" s="158">
        <f t="shared" si="2"/>
        <v>0</v>
      </c>
      <c r="I140"/>
      <c r="J140"/>
    </row>
    <row r="141" spans="1:10" ht="18" hidden="1">
      <c r="A141" s="161" t="s">
        <v>155</v>
      </c>
      <c r="B141" s="157"/>
      <c r="C141" s="157"/>
      <c r="D141" s="158">
        <f t="shared" si="2"/>
        <v>0</v>
      </c>
      <c r="I141"/>
      <c r="J141"/>
    </row>
    <row r="142" spans="1:10" ht="18" hidden="1">
      <c r="A142" s="161" t="s">
        <v>156</v>
      </c>
      <c r="B142" s="162"/>
      <c r="C142" s="162"/>
      <c r="D142" s="158">
        <f t="shared" si="2"/>
        <v>0</v>
      </c>
      <c r="I142"/>
      <c r="J142"/>
    </row>
    <row r="143" spans="1:10" ht="18" hidden="1">
      <c r="A143" s="161" t="s">
        <v>157</v>
      </c>
      <c r="B143" s="162"/>
      <c r="C143" s="162"/>
      <c r="D143" s="158">
        <f t="shared" si="2"/>
        <v>0</v>
      </c>
      <c r="I143"/>
      <c r="J143"/>
    </row>
    <row r="144" spans="1:10" ht="18" hidden="1">
      <c r="A144" s="161" t="s">
        <v>158</v>
      </c>
      <c r="B144" s="157"/>
      <c r="C144" s="157"/>
      <c r="D144" s="158">
        <f t="shared" si="2"/>
        <v>0</v>
      </c>
      <c r="I144"/>
      <c r="J144"/>
    </row>
    <row r="145" spans="1:10" ht="18" hidden="1">
      <c r="A145" s="161" t="s">
        <v>159</v>
      </c>
      <c r="B145" s="162"/>
      <c r="C145" s="162"/>
      <c r="D145" s="158">
        <f t="shared" si="2"/>
        <v>0</v>
      </c>
      <c r="I145"/>
      <c r="J145"/>
    </row>
    <row r="146" spans="1:10" ht="18" hidden="1">
      <c r="A146" s="161" t="s">
        <v>160</v>
      </c>
      <c r="B146" s="162"/>
      <c r="C146" s="162"/>
      <c r="D146" s="158">
        <f t="shared" si="2"/>
        <v>0</v>
      </c>
      <c r="I146"/>
      <c r="J146"/>
    </row>
    <row r="147" spans="1:10" ht="18">
      <c r="A147" s="161" t="s">
        <v>161</v>
      </c>
      <c r="B147" s="162">
        <v>1</v>
      </c>
      <c r="C147" s="162">
        <v>80000</v>
      </c>
      <c r="D147" s="158">
        <f t="shared" si="2"/>
        <v>80000</v>
      </c>
    </row>
    <row r="148" spans="1:10" ht="18" hidden="1">
      <c r="A148" s="161" t="s">
        <v>162</v>
      </c>
      <c r="B148" s="162"/>
      <c r="C148" s="162"/>
      <c r="D148" s="158">
        <f t="shared" si="2"/>
        <v>0</v>
      </c>
      <c r="I148"/>
      <c r="J148"/>
    </row>
    <row r="149" spans="1:10" ht="18" hidden="1">
      <c r="A149" s="161" t="s">
        <v>163</v>
      </c>
      <c r="B149" s="162"/>
      <c r="C149" s="162"/>
      <c r="D149" s="158">
        <f t="shared" si="2"/>
        <v>0</v>
      </c>
      <c r="I149"/>
      <c r="J149"/>
    </row>
    <row r="150" spans="1:10" ht="18" hidden="1">
      <c r="A150" s="161" t="s">
        <v>164</v>
      </c>
      <c r="B150" s="162"/>
      <c r="C150" s="162"/>
      <c r="D150" s="158">
        <f t="shared" si="2"/>
        <v>0</v>
      </c>
      <c r="I150"/>
      <c r="J150"/>
    </row>
    <row r="151" spans="1:10" ht="18" hidden="1">
      <c r="A151" s="161" t="s">
        <v>165</v>
      </c>
      <c r="B151" s="162"/>
      <c r="C151" s="162"/>
      <c r="D151" s="158">
        <f t="shared" si="2"/>
        <v>0</v>
      </c>
      <c r="I151"/>
      <c r="J151"/>
    </row>
    <row r="152" spans="1:10" ht="18" hidden="1">
      <c r="A152" s="161" t="s">
        <v>166</v>
      </c>
      <c r="B152" s="162"/>
      <c r="C152" s="162"/>
      <c r="D152" s="158">
        <f t="shared" si="2"/>
        <v>0</v>
      </c>
      <c r="I152"/>
      <c r="J152"/>
    </row>
    <row r="153" spans="1:10" ht="18" hidden="1">
      <c r="A153" s="161" t="s">
        <v>167</v>
      </c>
      <c r="B153" s="157"/>
      <c r="C153" s="157"/>
      <c r="D153" s="158">
        <f t="shared" si="2"/>
        <v>0</v>
      </c>
      <c r="I153"/>
      <c r="J153"/>
    </row>
    <row r="154" spans="1:10" ht="18" hidden="1">
      <c r="A154" s="161" t="s">
        <v>168</v>
      </c>
      <c r="B154" s="157"/>
      <c r="C154" s="157"/>
      <c r="D154" s="158">
        <f t="shared" si="2"/>
        <v>0</v>
      </c>
      <c r="I154"/>
      <c r="J154"/>
    </row>
    <row r="155" spans="1:10" ht="18" hidden="1">
      <c r="A155" s="161" t="s">
        <v>169</v>
      </c>
      <c r="B155" s="157"/>
      <c r="C155" s="157"/>
      <c r="D155" s="158">
        <f t="shared" si="2"/>
        <v>0</v>
      </c>
      <c r="I155"/>
      <c r="J155"/>
    </row>
    <row r="156" spans="1:10" ht="18" hidden="1">
      <c r="A156" s="161" t="s">
        <v>170</v>
      </c>
      <c r="B156" s="157"/>
      <c r="C156" s="157"/>
      <c r="D156" s="158">
        <f t="shared" si="2"/>
        <v>0</v>
      </c>
      <c r="I156"/>
      <c r="J156"/>
    </row>
    <row r="157" spans="1:10" ht="18" hidden="1">
      <c r="A157" s="164" t="s">
        <v>171</v>
      </c>
      <c r="B157" s="157"/>
      <c r="C157" s="157"/>
      <c r="D157" s="158">
        <f t="shared" si="2"/>
        <v>0</v>
      </c>
      <c r="I157"/>
      <c r="J157"/>
    </row>
    <row r="158" spans="1:10" ht="18" hidden="1">
      <c r="A158" s="180" t="s">
        <v>172</v>
      </c>
      <c r="B158" s="157"/>
      <c r="C158" s="157"/>
      <c r="D158" s="158">
        <f t="shared" si="2"/>
        <v>0</v>
      </c>
      <c r="I158"/>
      <c r="J158"/>
    </row>
    <row r="159" spans="1:10" ht="18" hidden="1">
      <c r="A159" s="161" t="s">
        <v>173</v>
      </c>
      <c r="B159" s="157"/>
      <c r="C159" s="157"/>
      <c r="D159" s="158">
        <f t="shared" si="2"/>
        <v>0</v>
      </c>
      <c r="I159"/>
      <c r="J159"/>
    </row>
    <row r="160" spans="1:10" ht="18" hidden="1">
      <c r="A160" s="161" t="s">
        <v>174</v>
      </c>
      <c r="B160" s="157"/>
      <c r="C160" s="157"/>
      <c r="D160" s="158">
        <f t="shared" si="2"/>
        <v>0</v>
      </c>
      <c r="I160"/>
      <c r="J160"/>
    </row>
    <row r="161" spans="1:10" ht="18" hidden="1">
      <c r="A161" s="161" t="s">
        <v>175</v>
      </c>
      <c r="B161" s="157"/>
      <c r="C161" s="157"/>
      <c r="D161" s="158">
        <f t="shared" si="2"/>
        <v>0</v>
      </c>
      <c r="I161"/>
      <c r="J161"/>
    </row>
    <row r="162" spans="1:10" ht="18" hidden="1">
      <c r="A162" s="161" t="s">
        <v>176</v>
      </c>
      <c r="B162" s="162"/>
      <c r="C162" s="162"/>
      <c r="D162" s="158">
        <f t="shared" si="2"/>
        <v>0</v>
      </c>
      <c r="I162"/>
      <c r="J162"/>
    </row>
    <row r="163" spans="1:10" ht="18" hidden="1">
      <c r="A163" s="161" t="s">
        <v>177</v>
      </c>
      <c r="B163" s="162"/>
      <c r="C163" s="162"/>
      <c r="D163" s="158">
        <f t="shared" si="2"/>
        <v>0</v>
      </c>
      <c r="I163"/>
      <c r="J163"/>
    </row>
    <row r="164" spans="1:10" ht="18" hidden="1">
      <c r="A164" s="161" t="s">
        <v>178</v>
      </c>
      <c r="B164" s="162"/>
      <c r="C164" s="162"/>
      <c r="D164" s="158">
        <f t="shared" si="2"/>
        <v>0</v>
      </c>
      <c r="I164"/>
      <c r="J164"/>
    </row>
    <row r="165" spans="1:10" ht="18" hidden="1">
      <c r="A165" s="161" t="s">
        <v>179</v>
      </c>
      <c r="B165" s="157"/>
      <c r="C165" s="157"/>
      <c r="D165" s="158">
        <f t="shared" si="2"/>
        <v>0</v>
      </c>
      <c r="I165"/>
      <c r="J165"/>
    </row>
    <row r="166" spans="1:10" ht="18" hidden="1">
      <c r="A166" s="161" t="s">
        <v>180</v>
      </c>
      <c r="B166" s="157"/>
      <c r="C166" s="157"/>
      <c r="D166" s="158">
        <f t="shared" si="2"/>
        <v>0</v>
      </c>
      <c r="I166"/>
      <c r="J166"/>
    </row>
    <row r="167" spans="1:10" ht="18" hidden="1">
      <c r="A167" s="164" t="s">
        <v>181</v>
      </c>
      <c r="B167" s="157"/>
      <c r="C167" s="157"/>
      <c r="D167" s="158">
        <f t="shared" si="2"/>
        <v>0</v>
      </c>
      <c r="I167"/>
      <c r="J167"/>
    </row>
    <row r="168" spans="1:10" ht="18" hidden="1">
      <c r="A168" s="156" t="s">
        <v>182</v>
      </c>
      <c r="B168" s="157"/>
      <c r="C168" s="157"/>
      <c r="D168" s="158">
        <f t="shared" si="2"/>
        <v>0</v>
      </c>
      <c r="I168"/>
      <c r="J168"/>
    </row>
    <row r="169" spans="1:10" ht="18" hidden="1">
      <c r="A169" s="161" t="s">
        <v>183</v>
      </c>
      <c r="B169" s="157"/>
      <c r="C169" s="181"/>
      <c r="D169" s="158">
        <f t="shared" si="2"/>
        <v>0</v>
      </c>
      <c r="I169"/>
      <c r="J169"/>
    </row>
    <row r="170" spans="1:10" ht="18" hidden="1">
      <c r="A170" s="182" t="s">
        <v>184</v>
      </c>
      <c r="B170" s="157"/>
      <c r="C170" s="157"/>
      <c r="D170" s="158">
        <f t="shared" si="2"/>
        <v>0</v>
      </c>
      <c r="I170"/>
      <c r="J170"/>
    </row>
    <row r="171" spans="1:10" ht="18">
      <c r="A171" s="161" t="s">
        <v>185</v>
      </c>
      <c r="B171" s="157">
        <v>265</v>
      </c>
      <c r="C171" s="157">
        <v>8500</v>
      </c>
      <c r="D171" s="158">
        <f t="shared" si="2"/>
        <v>2252500</v>
      </c>
    </row>
    <row r="172" spans="1:10" ht="18" hidden="1">
      <c r="A172" s="161" t="s">
        <v>186</v>
      </c>
      <c r="B172" s="157"/>
      <c r="C172" s="157"/>
      <c r="D172" s="158">
        <f t="shared" si="2"/>
        <v>0</v>
      </c>
      <c r="I172"/>
      <c r="J172"/>
    </row>
    <row r="173" spans="1:10" ht="18" hidden="1">
      <c r="A173" s="160" t="s">
        <v>187</v>
      </c>
      <c r="B173" s="157"/>
      <c r="C173" s="157"/>
      <c r="D173" s="158">
        <f t="shared" si="2"/>
        <v>0</v>
      </c>
      <c r="I173"/>
      <c r="J173"/>
    </row>
    <row r="174" spans="1:10" ht="18" hidden="1">
      <c r="A174" s="161" t="s">
        <v>188</v>
      </c>
      <c r="B174" s="157"/>
      <c r="C174" s="157"/>
      <c r="D174" s="158">
        <f t="shared" si="2"/>
        <v>0</v>
      </c>
      <c r="I174"/>
      <c r="J174"/>
    </row>
    <row r="175" spans="1:10" ht="18" hidden="1">
      <c r="A175" s="169" t="s">
        <v>189</v>
      </c>
      <c r="B175" s="170"/>
      <c r="C175" s="170"/>
      <c r="D175" s="158">
        <f t="shared" si="2"/>
        <v>0</v>
      </c>
      <c r="I175"/>
      <c r="J175"/>
    </row>
    <row r="176" spans="1:10" ht="18" hidden="1">
      <c r="A176" s="159" t="s">
        <v>190</v>
      </c>
      <c r="B176" s="157"/>
      <c r="C176" s="157"/>
      <c r="D176" s="158">
        <f t="shared" si="2"/>
        <v>0</v>
      </c>
      <c r="I176"/>
      <c r="J176"/>
    </row>
    <row r="177" spans="1:4" customFormat="1" ht="18" hidden="1">
      <c r="A177" s="161" t="s">
        <v>191</v>
      </c>
      <c r="B177" s="157"/>
      <c r="C177" s="157"/>
      <c r="D177" s="158">
        <f t="shared" si="2"/>
        <v>0</v>
      </c>
    </row>
    <row r="178" spans="1:4" customFormat="1" ht="18" hidden="1">
      <c r="A178" s="161" t="s">
        <v>192</v>
      </c>
      <c r="B178" s="157"/>
      <c r="C178" s="157"/>
      <c r="D178" s="158">
        <f t="shared" si="2"/>
        <v>0</v>
      </c>
    </row>
    <row r="179" spans="1:4" customFormat="1" ht="18" hidden="1">
      <c r="A179" s="156" t="s">
        <v>193</v>
      </c>
      <c r="B179" s="157"/>
      <c r="C179" s="157"/>
      <c r="D179" s="158">
        <f t="shared" si="2"/>
        <v>0</v>
      </c>
    </row>
    <row r="180" spans="1:4" customFormat="1" ht="18" hidden="1">
      <c r="A180" s="161" t="s">
        <v>194</v>
      </c>
      <c r="B180" s="157"/>
      <c r="C180" s="157"/>
      <c r="D180" s="158">
        <f t="shared" si="2"/>
        <v>0</v>
      </c>
    </row>
    <row r="181" spans="1:4" customFormat="1" ht="18" hidden="1">
      <c r="A181" s="161" t="s">
        <v>195</v>
      </c>
      <c r="B181" s="157"/>
      <c r="C181" s="157"/>
      <c r="D181" s="158">
        <f t="shared" si="2"/>
        <v>0</v>
      </c>
    </row>
    <row r="182" spans="1:4" customFormat="1" ht="18" hidden="1">
      <c r="A182" s="156" t="s">
        <v>196</v>
      </c>
      <c r="B182" s="157"/>
      <c r="C182" s="157"/>
      <c r="D182" s="158">
        <f t="shared" si="2"/>
        <v>0</v>
      </c>
    </row>
    <row r="183" spans="1:4" customFormat="1" ht="18" hidden="1">
      <c r="A183" s="156" t="s">
        <v>197</v>
      </c>
      <c r="B183" s="157"/>
      <c r="C183" s="157"/>
      <c r="D183" s="158">
        <f t="shared" si="2"/>
        <v>0</v>
      </c>
    </row>
    <row r="184" spans="1:4" customFormat="1" ht="18" hidden="1">
      <c r="A184" s="156" t="s">
        <v>198</v>
      </c>
      <c r="B184" s="157"/>
      <c r="C184" s="157"/>
      <c r="D184" s="158">
        <f t="shared" si="2"/>
        <v>0</v>
      </c>
    </row>
    <row r="185" spans="1:4" customFormat="1" ht="18" hidden="1">
      <c r="A185" s="161" t="s">
        <v>199</v>
      </c>
      <c r="B185" s="157"/>
      <c r="C185" s="157"/>
      <c r="D185" s="158">
        <f t="shared" si="2"/>
        <v>0</v>
      </c>
    </row>
    <row r="186" spans="1:4" customFormat="1" ht="18" hidden="1">
      <c r="A186" s="156" t="s">
        <v>200</v>
      </c>
      <c r="B186" s="157"/>
      <c r="C186" s="157"/>
      <c r="D186" s="158">
        <f t="shared" si="2"/>
        <v>0</v>
      </c>
    </row>
    <row r="187" spans="1:4" customFormat="1" ht="18" hidden="1">
      <c r="A187" s="156" t="s">
        <v>201</v>
      </c>
      <c r="B187" s="157"/>
      <c r="C187" s="157"/>
      <c r="D187" s="158">
        <f t="shared" si="2"/>
        <v>0</v>
      </c>
    </row>
    <row r="188" spans="1:4" customFormat="1" ht="18" hidden="1">
      <c r="A188" s="156" t="s">
        <v>202</v>
      </c>
      <c r="B188" s="157"/>
      <c r="C188" s="157"/>
      <c r="D188" s="158">
        <f t="shared" si="2"/>
        <v>0</v>
      </c>
    </row>
    <row r="189" spans="1:4" customFormat="1" ht="18" hidden="1">
      <c r="A189" s="161" t="s">
        <v>203</v>
      </c>
      <c r="B189" s="157"/>
      <c r="C189" s="157"/>
      <c r="D189" s="158">
        <f t="shared" si="2"/>
        <v>0</v>
      </c>
    </row>
    <row r="190" spans="1:4" customFormat="1" ht="18" hidden="1">
      <c r="A190" s="164" t="s">
        <v>204</v>
      </c>
      <c r="B190" s="157"/>
      <c r="C190" s="157"/>
      <c r="D190" s="158">
        <f t="shared" si="2"/>
        <v>0</v>
      </c>
    </row>
    <row r="191" spans="1:4" customFormat="1" ht="18" hidden="1">
      <c r="A191" s="164" t="s">
        <v>205</v>
      </c>
      <c r="B191" s="157"/>
      <c r="C191" s="157"/>
      <c r="D191" s="158">
        <f t="shared" si="2"/>
        <v>0</v>
      </c>
    </row>
    <row r="192" spans="1:4" customFormat="1" ht="18" hidden="1">
      <c r="A192" s="164" t="s">
        <v>206</v>
      </c>
      <c r="B192" s="157"/>
      <c r="C192" s="157"/>
      <c r="D192" s="158">
        <f t="shared" si="2"/>
        <v>0</v>
      </c>
    </row>
    <row r="193" spans="1:10" ht="18" hidden="1">
      <c r="A193" s="164" t="s">
        <v>207</v>
      </c>
      <c r="B193" s="157"/>
      <c r="C193" s="157"/>
      <c r="D193" s="158">
        <f t="shared" si="2"/>
        <v>0</v>
      </c>
      <c r="I193"/>
      <c r="J193"/>
    </row>
    <row r="194" spans="1:10" ht="18" hidden="1">
      <c r="A194" s="156" t="s">
        <v>208</v>
      </c>
      <c r="B194" s="157"/>
      <c r="C194" s="157"/>
      <c r="D194" s="158">
        <f t="shared" si="2"/>
        <v>0</v>
      </c>
      <c r="I194"/>
      <c r="J194"/>
    </row>
    <row r="195" spans="1:10" ht="18" hidden="1">
      <c r="A195" s="161" t="s">
        <v>209</v>
      </c>
      <c r="B195" s="157"/>
      <c r="C195" s="157"/>
      <c r="D195" s="158">
        <f t="shared" si="2"/>
        <v>0</v>
      </c>
      <c r="I195"/>
      <c r="J195"/>
    </row>
    <row r="196" spans="1:10" ht="18" hidden="1">
      <c r="A196" s="187" t="s">
        <v>210</v>
      </c>
      <c r="B196" s="157"/>
      <c r="C196" s="157"/>
      <c r="D196" s="158">
        <f t="shared" ref="D196:D259" si="3">B196*C196</f>
        <v>0</v>
      </c>
      <c r="I196"/>
      <c r="J196"/>
    </row>
    <row r="197" spans="1:10" ht="18" hidden="1">
      <c r="A197" s="187" t="s">
        <v>211</v>
      </c>
      <c r="B197" s="157"/>
      <c r="C197" s="157"/>
      <c r="D197" s="158">
        <f t="shared" si="3"/>
        <v>0</v>
      </c>
      <c r="I197"/>
      <c r="J197"/>
    </row>
    <row r="198" spans="1:10" ht="18" hidden="1">
      <c r="A198" s="187" t="s">
        <v>212</v>
      </c>
      <c r="B198" s="157"/>
      <c r="C198" s="157"/>
      <c r="D198" s="158">
        <f t="shared" si="3"/>
        <v>0</v>
      </c>
      <c r="I198"/>
      <c r="J198"/>
    </row>
    <row r="199" spans="1:10" ht="18" hidden="1">
      <c r="A199" s="187" t="s">
        <v>213</v>
      </c>
      <c r="B199" s="157"/>
      <c r="C199" s="157"/>
      <c r="D199" s="158">
        <f t="shared" si="3"/>
        <v>0</v>
      </c>
      <c r="I199"/>
      <c r="J199"/>
    </row>
    <row r="200" spans="1:10" ht="18" hidden="1">
      <c r="A200" s="161" t="s">
        <v>214</v>
      </c>
      <c r="B200" s="157"/>
      <c r="C200" s="157"/>
      <c r="D200" s="158">
        <f t="shared" si="3"/>
        <v>0</v>
      </c>
      <c r="I200"/>
      <c r="J200"/>
    </row>
    <row r="201" spans="1:10" ht="18" hidden="1">
      <c r="A201" s="167" t="s">
        <v>384</v>
      </c>
      <c r="B201" s="157"/>
      <c r="C201" s="157"/>
      <c r="D201" s="158">
        <f t="shared" si="3"/>
        <v>0</v>
      </c>
      <c r="I201"/>
      <c r="J201"/>
    </row>
    <row r="202" spans="1:10" ht="18">
      <c r="A202" s="161" t="s">
        <v>216</v>
      </c>
      <c r="B202" s="157">
        <v>100</v>
      </c>
      <c r="C202" s="157">
        <v>21000</v>
      </c>
      <c r="D202" s="158">
        <f t="shared" si="3"/>
        <v>2100000</v>
      </c>
    </row>
    <row r="203" spans="1:10" ht="18">
      <c r="A203" s="156" t="s">
        <v>217</v>
      </c>
      <c r="B203" s="157">
        <v>190</v>
      </c>
      <c r="C203" s="157">
        <v>22000</v>
      </c>
      <c r="D203" s="158">
        <f t="shared" si="3"/>
        <v>4180000</v>
      </c>
    </row>
    <row r="204" spans="1:10" ht="18" hidden="1">
      <c r="A204" s="161" t="s">
        <v>218</v>
      </c>
      <c r="B204" s="157"/>
      <c r="C204" s="157"/>
      <c r="D204" s="158">
        <f t="shared" si="3"/>
        <v>0</v>
      </c>
      <c r="I204"/>
      <c r="J204"/>
    </row>
    <row r="205" spans="1:10" ht="18">
      <c r="A205" s="161" t="s">
        <v>219</v>
      </c>
      <c r="B205" s="157">
        <f>-400+580</f>
        <v>180</v>
      </c>
      <c r="C205" s="157">
        <v>19000</v>
      </c>
      <c r="D205" s="158">
        <f t="shared" si="3"/>
        <v>3420000</v>
      </c>
    </row>
    <row r="206" spans="1:10" ht="18" hidden="1">
      <c r="A206" s="175" t="s">
        <v>220</v>
      </c>
      <c r="B206" s="157"/>
      <c r="C206" s="157"/>
      <c r="D206" s="158">
        <f t="shared" si="3"/>
        <v>0</v>
      </c>
      <c r="I206"/>
      <c r="J206"/>
    </row>
    <row r="207" spans="1:10" ht="18" hidden="1">
      <c r="A207" s="175" t="s">
        <v>221</v>
      </c>
      <c r="B207" s="157"/>
      <c r="C207" s="157"/>
      <c r="D207" s="158">
        <f t="shared" si="3"/>
        <v>0</v>
      </c>
      <c r="I207"/>
      <c r="J207"/>
    </row>
    <row r="208" spans="1:10" ht="18" hidden="1">
      <c r="A208" s="161" t="s">
        <v>222</v>
      </c>
      <c r="B208" s="157"/>
      <c r="C208" s="157"/>
      <c r="D208" s="158">
        <f t="shared" si="3"/>
        <v>0</v>
      </c>
      <c r="I208"/>
      <c r="J208"/>
    </row>
    <row r="209" spans="1:10" ht="18" hidden="1">
      <c r="A209" s="159" t="s">
        <v>223</v>
      </c>
      <c r="B209" s="157"/>
      <c r="C209" s="157"/>
      <c r="D209" s="158">
        <f t="shared" si="3"/>
        <v>0</v>
      </c>
      <c r="I209"/>
      <c r="J209"/>
    </row>
    <row r="210" spans="1:10" ht="18" hidden="1">
      <c r="A210" s="161" t="s">
        <v>224</v>
      </c>
      <c r="B210" s="157"/>
      <c r="C210" s="157"/>
      <c r="D210" s="158">
        <f t="shared" si="3"/>
        <v>0</v>
      </c>
      <c r="I210"/>
      <c r="J210"/>
    </row>
    <row r="211" spans="1:10" ht="18">
      <c r="A211" s="161" t="s">
        <v>225</v>
      </c>
      <c r="B211" s="157">
        <v>10</v>
      </c>
      <c r="C211" s="157">
        <v>12000</v>
      </c>
      <c r="D211" s="158">
        <f t="shared" si="3"/>
        <v>120000</v>
      </c>
    </row>
    <row r="212" spans="1:10" ht="18" hidden="1">
      <c r="A212" s="161" t="s">
        <v>226</v>
      </c>
      <c r="B212" s="157"/>
      <c r="C212" s="157"/>
      <c r="D212" s="158">
        <f t="shared" si="3"/>
        <v>0</v>
      </c>
      <c r="I212"/>
      <c r="J212"/>
    </row>
    <row r="213" spans="1:10" ht="18" hidden="1">
      <c r="A213" s="161" t="s">
        <v>227</v>
      </c>
      <c r="B213" s="157"/>
      <c r="C213" s="157"/>
      <c r="D213" s="158">
        <f t="shared" si="3"/>
        <v>0</v>
      </c>
      <c r="I213"/>
      <c r="J213"/>
    </row>
    <row r="214" spans="1:10" ht="18" hidden="1">
      <c r="A214" s="165" t="s">
        <v>228</v>
      </c>
      <c r="B214" s="157"/>
      <c r="C214" s="157"/>
      <c r="D214" s="158">
        <f t="shared" si="3"/>
        <v>0</v>
      </c>
      <c r="I214"/>
      <c r="J214"/>
    </row>
    <row r="215" spans="1:10" ht="18" hidden="1">
      <c r="A215" s="161" t="s">
        <v>229</v>
      </c>
      <c r="B215" s="157"/>
      <c r="C215" s="157"/>
      <c r="D215" s="158">
        <f t="shared" si="3"/>
        <v>0</v>
      </c>
      <c r="I215"/>
      <c r="J215"/>
    </row>
    <row r="216" spans="1:10" ht="18">
      <c r="A216" s="161" t="s">
        <v>230</v>
      </c>
      <c r="B216" s="157">
        <f>-300+200+120+10</f>
        <v>30</v>
      </c>
      <c r="C216" s="157">
        <v>15000</v>
      </c>
      <c r="D216" s="158">
        <f t="shared" si="3"/>
        <v>450000</v>
      </c>
    </row>
    <row r="217" spans="1:10" ht="18" hidden="1">
      <c r="A217" s="161" t="s">
        <v>231</v>
      </c>
      <c r="B217" s="157"/>
      <c r="C217" s="157"/>
      <c r="D217" s="158">
        <f t="shared" si="3"/>
        <v>0</v>
      </c>
      <c r="I217"/>
      <c r="J217"/>
    </row>
    <row r="218" spans="1:10" ht="18" hidden="1">
      <c r="A218" s="161" t="s">
        <v>232</v>
      </c>
      <c r="B218" s="157"/>
      <c r="C218" s="157"/>
      <c r="D218" s="158">
        <f t="shared" si="3"/>
        <v>0</v>
      </c>
      <c r="I218"/>
      <c r="J218"/>
    </row>
    <row r="219" spans="1:10" ht="18" hidden="1">
      <c r="A219" s="164" t="s">
        <v>233</v>
      </c>
      <c r="B219" s="157"/>
      <c r="C219" s="157"/>
      <c r="D219" s="158">
        <f t="shared" si="3"/>
        <v>0</v>
      </c>
      <c r="I219"/>
      <c r="J219"/>
    </row>
    <row r="220" spans="1:10" ht="18" hidden="1">
      <c r="A220" s="164" t="s">
        <v>234</v>
      </c>
      <c r="B220" s="157"/>
      <c r="C220" s="157"/>
      <c r="D220" s="158">
        <f t="shared" si="3"/>
        <v>0</v>
      </c>
      <c r="I220"/>
      <c r="J220"/>
    </row>
    <row r="221" spans="1:10" ht="18" hidden="1">
      <c r="A221" s="164" t="s">
        <v>235</v>
      </c>
      <c r="B221" s="157"/>
      <c r="C221" s="157"/>
      <c r="D221" s="158">
        <f t="shared" si="3"/>
        <v>0</v>
      </c>
      <c r="I221"/>
      <c r="J221"/>
    </row>
    <row r="222" spans="1:10" ht="18" hidden="1">
      <c r="A222" s="164" t="s">
        <v>236</v>
      </c>
      <c r="B222" s="157"/>
      <c r="C222" s="157"/>
      <c r="D222" s="158">
        <f t="shared" si="3"/>
        <v>0</v>
      </c>
      <c r="I222"/>
      <c r="J222"/>
    </row>
    <row r="223" spans="1:10" ht="18" hidden="1">
      <c r="A223" s="161" t="s">
        <v>237</v>
      </c>
      <c r="B223" s="157"/>
      <c r="C223" s="157"/>
      <c r="D223" s="158">
        <f t="shared" si="3"/>
        <v>0</v>
      </c>
      <c r="I223"/>
      <c r="J223"/>
    </row>
    <row r="224" spans="1:10" ht="18" hidden="1">
      <c r="A224" s="161" t="s">
        <v>238</v>
      </c>
      <c r="B224" s="157"/>
      <c r="C224" s="157"/>
      <c r="D224" s="158">
        <f t="shared" si="3"/>
        <v>0</v>
      </c>
      <c r="I224"/>
      <c r="J224"/>
    </row>
    <row r="225" spans="1:4" customFormat="1" ht="18" hidden="1">
      <c r="A225" s="164" t="s">
        <v>239</v>
      </c>
      <c r="B225" s="157"/>
      <c r="C225" s="157"/>
      <c r="D225" s="158">
        <f t="shared" si="3"/>
        <v>0</v>
      </c>
    </row>
    <row r="226" spans="1:4" customFormat="1" ht="18" hidden="1">
      <c r="A226" s="164" t="s">
        <v>240</v>
      </c>
      <c r="B226" s="157"/>
      <c r="C226" s="157"/>
      <c r="D226" s="158">
        <f t="shared" si="3"/>
        <v>0</v>
      </c>
    </row>
    <row r="227" spans="1:4" customFormat="1" ht="18" hidden="1">
      <c r="A227" s="159" t="s">
        <v>241</v>
      </c>
      <c r="B227" s="157"/>
      <c r="C227" s="157"/>
      <c r="D227" s="158">
        <f t="shared" si="3"/>
        <v>0</v>
      </c>
    </row>
    <row r="228" spans="1:4" customFormat="1" ht="18" hidden="1">
      <c r="A228" s="156" t="s">
        <v>242</v>
      </c>
      <c r="B228" s="157"/>
      <c r="C228" s="157"/>
      <c r="D228" s="158">
        <f t="shared" si="3"/>
        <v>0</v>
      </c>
    </row>
    <row r="229" spans="1:4" customFormat="1" ht="18" hidden="1">
      <c r="A229" s="159" t="s">
        <v>243</v>
      </c>
      <c r="B229" s="157"/>
      <c r="C229" s="157"/>
      <c r="D229" s="158">
        <f t="shared" si="3"/>
        <v>0</v>
      </c>
    </row>
    <row r="230" spans="1:4" customFormat="1" ht="18" hidden="1">
      <c r="A230" s="164" t="s">
        <v>244</v>
      </c>
      <c r="B230" s="157"/>
      <c r="C230" s="157"/>
      <c r="D230" s="158">
        <f t="shared" si="3"/>
        <v>0</v>
      </c>
    </row>
    <row r="231" spans="1:4" customFormat="1" ht="18" hidden="1">
      <c r="A231" s="159" t="s">
        <v>245</v>
      </c>
      <c r="B231" s="157"/>
      <c r="C231" s="157"/>
      <c r="D231" s="158">
        <f t="shared" si="3"/>
        <v>0</v>
      </c>
    </row>
    <row r="232" spans="1:4" customFormat="1" ht="18" hidden="1">
      <c r="A232" s="159" t="s">
        <v>246</v>
      </c>
      <c r="B232" s="157"/>
      <c r="C232" s="157"/>
      <c r="D232" s="158">
        <f t="shared" si="3"/>
        <v>0</v>
      </c>
    </row>
    <row r="233" spans="1:4" customFormat="1" ht="18" hidden="1">
      <c r="A233" s="159" t="s">
        <v>247</v>
      </c>
      <c r="B233" s="157"/>
      <c r="C233" s="157"/>
      <c r="D233" s="158">
        <f t="shared" si="3"/>
        <v>0</v>
      </c>
    </row>
    <row r="234" spans="1:4" customFormat="1" ht="18" hidden="1">
      <c r="A234" s="161" t="s">
        <v>248</v>
      </c>
      <c r="B234" s="157"/>
      <c r="C234" s="157"/>
      <c r="D234" s="158">
        <f t="shared" si="3"/>
        <v>0</v>
      </c>
    </row>
    <row r="235" spans="1:4" customFormat="1" ht="18" hidden="1">
      <c r="A235" s="161" t="s">
        <v>249</v>
      </c>
      <c r="B235" s="157"/>
      <c r="C235" s="157"/>
      <c r="D235" s="158">
        <f t="shared" si="3"/>
        <v>0</v>
      </c>
    </row>
    <row r="236" spans="1:4" customFormat="1" ht="18" hidden="1">
      <c r="A236" s="159" t="s">
        <v>250</v>
      </c>
      <c r="B236" s="157"/>
      <c r="C236" s="157"/>
      <c r="D236" s="158">
        <f t="shared" si="3"/>
        <v>0</v>
      </c>
    </row>
    <row r="237" spans="1:4" customFormat="1" ht="18" hidden="1">
      <c r="A237" s="175" t="s">
        <v>251</v>
      </c>
      <c r="B237" s="157"/>
      <c r="C237" s="157"/>
      <c r="D237" s="158">
        <f t="shared" si="3"/>
        <v>0</v>
      </c>
    </row>
    <row r="238" spans="1:4" customFormat="1" ht="18" hidden="1">
      <c r="A238" s="161" t="s">
        <v>252</v>
      </c>
      <c r="B238" s="157"/>
      <c r="C238" s="157"/>
      <c r="D238" s="158">
        <f t="shared" si="3"/>
        <v>0</v>
      </c>
    </row>
    <row r="239" spans="1:4" customFormat="1" ht="18" hidden="1">
      <c r="A239" s="161" t="s">
        <v>253</v>
      </c>
      <c r="B239" s="157"/>
      <c r="C239" s="157"/>
      <c r="D239" s="158">
        <f t="shared" si="3"/>
        <v>0</v>
      </c>
    </row>
    <row r="240" spans="1:4" customFormat="1" ht="18" hidden="1">
      <c r="A240" s="173" t="s">
        <v>254</v>
      </c>
      <c r="B240" s="157"/>
      <c r="C240" s="157"/>
      <c r="D240" s="158">
        <f t="shared" si="3"/>
        <v>0</v>
      </c>
    </row>
    <row r="241" spans="1:10" ht="18" hidden="1">
      <c r="A241" s="173" t="s">
        <v>255</v>
      </c>
      <c r="B241" s="157"/>
      <c r="C241" s="157"/>
      <c r="D241" s="158">
        <f t="shared" si="3"/>
        <v>0</v>
      </c>
      <c r="I241"/>
      <c r="J241"/>
    </row>
    <row r="242" spans="1:10" ht="18" hidden="1">
      <c r="A242" s="187" t="s">
        <v>256</v>
      </c>
      <c r="B242" s="157"/>
      <c r="C242" s="157"/>
      <c r="D242" s="158">
        <f t="shared" si="3"/>
        <v>0</v>
      </c>
      <c r="I242"/>
      <c r="J242"/>
    </row>
    <row r="243" spans="1:10" ht="18" hidden="1">
      <c r="A243" s="161" t="s">
        <v>257</v>
      </c>
      <c r="B243" s="157"/>
      <c r="C243" s="157"/>
      <c r="D243" s="158">
        <f t="shared" si="3"/>
        <v>0</v>
      </c>
      <c r="I243"/>
      <c r="J243"/>
    </row>
    <row r="244" spans="1:10" ht="18" hidden="1">
      <c r="A244" s="161" t="s">
        <v>258</v>
      </c>
      <c r="B244" s="157"/>
      <c r="C244" s="157"/>
      <c r="D244" s="158">
        <f t="shared" si="3"/>
        <v>0</v>
      </c>
      <c r="I244"/>
      <c r="J244"/>
    </row>
    <row r="245" spans="1:10" ht="18" hidden="1">
      <c r="A245" s="161" t="s">
        <v>259</v>
      </c>
      <c r="B245" s="162"/>
      <c r="C245" s="162"/>
      <c r="D245" s="158">
        <f t="shared" si="3"/>
        <v>0</v>
      </c>
      <c r="I245"/>
      <c r="J245"/>
    </row>
    <row r="246" spans="1:10" ht="18" hidden="1">
      <c r="A246" s="187" t="s">
        <v>260</v>
      </c>
      <c r="B246" s="157"/>
      <c r="C246" s="157"/>
      <c r="D246" s="158">
        <f t="shared" si="3"/>
        <v>0</v>
      </c>
      <c r="I246"/>
      <c r="J246"/>
    </row>
    <row r="247" spans="1:10" ht="18" hidden="1">
      <c r="A247" s="161" t="s">
        <v>261</v>
      </c>
      <c r="B247" s="162"/>
      <c r="C247" s="162"/>
      <c r="D247" s="158">
        <f t="shared" si="3"/>
        <v>0</v>
      </c>
      <c r="I247"/>
      <c r="J247"/>
    </row>
    <row r="248" spans="1:10" ht="18">
      <c r="A248" s="161" t="s">
        <v>262</v>
      </c>
      <c r="B248" s="157">
        <v>6</v>
      </c>
      <c r="C248" s="157">
        <v>14000</v>
      </c>
      <c r="D248" s="158">
        <f t="shared" si="3"/>
        <v>84000</v>
      </c>
    </row>
    <row r="249" spans="1:10" ht="18" hidden="1">
      <c r="A249" s="159" t="s">
        <v>263</v>
      </c>
      <c r="B249" s="157"/>
      <c r="C249" s="157"/>
      <c r="D249" s="158">
        <f t="shared" si="3"/>
        <v>0</v>
      </c>
      <c r="I249"/>
      <c r="J249"/>
    </row>
    <row r="250" spans="1:10" ht="18" hidden="1">
      <c r="A250" s="159" t="s">
        <v>264</v>
      </c>
      <c r="B250" s="157"/>
      <c r="C250" s="157"/>
      <c r="D250" s="158">
        <f t="shared" si="3"/>
        <v>0</v>
      </c>
      <c r="I250"/>
      <c r="J250"/>
    </row>
    <row r="251" spans="1:10" ht="18">
      <c r="A251" s="161" t="s">
        <v>265</v>
      </c>
      <c r="B251" s="157">
        <f>-20+28</f>
        <v>8</v>
      </c>
      <c r="C251" s="157">
        <v>22000</v>
      </c>
      <c r="D251" s="158">
        <f t="shared" si="3"/>
        <v>176000</v>
      </c>
    </row>
    <row r="252" spans="1:10" ht="18" hidden="1">
      <c r="A252" s="161" t="s">
        <v>266</v>
      </c>
      <c r="B252" s="157"/>
      <c r="C252" s="157"/>
      <c r="D252" s="158">
        <f t="shared" si="3"/>
        <v>0</v>
      </c>
      <c r="I252"/>
      <c r="J252"/>
    </row>
    <row r="253" spans="1:10" ht="18" hidden="1">
      <c r="A253" s="161" t="s">
        <v>267</v>
      </c>
      <c r="B253" s="157"/>
      <c r="C253" s="157"/>
      <c r="D253" s="158">
        <f t="shared" si="3"/>
        <v>0</v>
      </c>
      <c r="I253"/>
      <c r="J253"/>
    </row>
    <row r="254" spans="1:10" ht="18" hidden="1">
      <c r="A254" s="161" t="s">
        <v>268</v>
      </c>
      <c r="B254" s="157"/>
      <c r="C254" s="157"/>
      <c r="D254" s="158">
        <f t="shared" si="3"/>
        <v>0</v>
      </c>
      <c r="I254"/>
      <c r="J254"/>
    </row>
    <row r="255" spans="1:10" ht="18" hidden="1">
      <c r="A255" s="161" t="s">
        <v>269</v>
      </c>
      <c r="B255" s="157"/>
      <c r="C255" s="157"/>
      <c r="D255" s="158">
        <f t="shared" si="3"/>
        <v>0</v>
      </c>
      <c r="I255"/>
      <c r="J255"/>
    </row>
    <row r="256" spans="1:10" ht="18" hidden="1">
      <c r="A256" s="164" t="s">
        <v>270</v>
      </c>
      <c r="B256" s="157"/>
      <c r="C256" s="157"/>
      <c r="D256" s="158">
        <f t="shared" si="3"/>
        <v>0</v>
      </c>
      <c r="I256"/>
      <c r="J256"/>
    </row>
    <row r="257" spans="1:10" ht="18" hidden="1">
      <c r="A257" s="163" t="s">
        <v>271</v>
      </c>
      <c r="B257" s="157"/>
      <c r="C257" s="157"/>
      <c r="D257" s="158">
        <f t="shared" si="3"/>
        <v>0</v>
      </c>
      <c r="I257"/>
      <c r="J257"/>
    </row>
    <row r="258" spans="1:10" ht="18" hidden="1">
      <c r="A258" s="163" t="s">
        <v>272</v>
      </c>
      <c r="B258" s="157"/>
      <c r="C258" s="157"/>
      <c r="D258" s="158">
        <f t="shared" si="3"/>
        <v>0</v>
      </c>
      <c r="I258"/>
      <c r="J258"/>
    </row>
    <row r="259" spans="1:10" ht="18">
      <c r="A259" s="161" t="s">
        <v>273</v>
      </c>
      <c r="B259" s="157">
        <f>-20+20+7+10+35</f>
        <v>52</v>
      </c>
      <c r="C259" s="157">
        <v>20000</v>
      </c>
      <c r="D259" s="158">
        <f t="shared" si="3"/>
        <v>1040000</v>
      </c>
    </row>
    <row r="260" spans="1:10" ht="18" hidden="1">
      <c r="A260" s="161" t="s">
        <v>274</v>
      </c>
      <c r="B260" s="157"/>
      <c r="C260" s="157"/>
      <c r="D260" s="158">
        <f t="shared" ref="D260:D323" si="4">B260*C260</f>
        <v>0</v>
      </c>
      <c r="I260"/>
      <c r="J260"/>
    </row>
    <row r="261" spans="1:10" ht="18" hidden="1">
      <c r="A261" s="161" t="s">
        <v>275</v>
      </c>
      <c r="B261" s="157"/>
      <c r="C261" s="157"/>
      <c r="D261" s="158">
        <f t="shared" si="4"/>
        <v>0</v>
      </c>
      <c r="I261"/>
      <c r="J261"/>
    </row>
    <row r="262" spans="1:10" ht="18" hidden="1">
      <c r="A262" s="161" t="s">
        <v>276</v>
      </c>
      <c r="B262" s="157"/>
      <c r="C262" s="157"/>
      <c r="D262" s="158">
        <f t="shared" si="4"/>
        <v>0</v>
      </c>
      <c r="I262"/>
      <c r="J262"/>
    </row>
    <row r="263" spans="1:10" ht="18">
      <c r="A263" s="161" t="s">
        <v>277</v>
      </c>
      <c r="B263" s="157">
        <f>-20+8+5+30+25</f>
        <v>48</v>
      </c>
      <c r="C263" s="157">
        <v>23000</v>
      </c>
      <c r="D263" s="158">
        <f t="shared" si="4"/>
        <v>1104000</v>
      </c>
    </row>
    <row r="264" spans="1:10" ht="18" hidden="1">
      <c r="A264" s="161" t="s">
        <v>278</v>
      </c>
      <c r="B264" s="157"/>
      <c r="C264" s="157"/>
      <c r="D264" s="158">
        <f t="shared" si="4"/>
        <v>0</v>
      </c>
      <c r="I264"/>
      <c r="J264"/>
    </row>
    <row r="265" spans="1:10" ht="18" hidden="1">
      <c r="A265" s="161" t="s">
        <v>279</v>
      </c>
      <c r="B265" s="157"/>
      <c r="C265" s="157"/>
      <c r="D265" s="158">
        <f t="shared" si="4"/>
        <v>0</v>
      </c>
      <c r="I265"/>
      <c r="J265"/>
    </row>
    <row r="266" spans="1:10" ht="18" hidden="1">
      <c r="A266" s="161" t="s">
        <v>280</v>
      </c>
      <c r="B266" s="162"/>
      <c r="C266" s="162"/>
      <c r="D266" s="158">
        <f t="shared" si="4"/>
        <v>0</v>
      </c>
      <c r="I266"/>
      <c r="J266"/>
    </row>
    <row r="267" spans="1:10" ht="18" hidden="1">
      <c r="A267" s="173" t="s">
        <v>281</v>
      </c>
      <c r="B267" s="157"/>
      <c r="C267" s="157"/>
      <c r="D267" s="158">
        <f t="shared" si="4"/>
        <v>0</v>
      </c>
      <c r="I267"/>
      <c r="J267"/>
    </row>
    <row r="268" spans="1:10" ht="18" hidden="1">
      <c r="A268" s="161" t="s">
        <v>282</v>
      </c>
      <c r="B268" s="157"/>
      <c r="C268" s="157"/>
      <c r="D268" s="158">
        <f t="shared" si="4"/>
        <v>0</v>
      </c>
      <c r="I268"/>
      <c r="J268"/>
    </row>
    <row r="269" spans="1:10" ht="18" hidden="1">
      <c r="A269" s="159" t="s">
        <v>283</v>
      </c>
      <c r="B269" s="157"/>
      <c r="C269" s="157"/>
      <c r="D269" s="158">
        <f t="shared" si="4"/>
        <v>0</v>
      </c>
      <c r="I269"/>
      <c r="J269"/>
    </row>
    <row r="270" spans="1:10" ht="18" hidden="1">
      <c r="A270" s="161" t="s">
        <v>284</v>
      </c>
      <c r="B270" s="157"/>
      <c r="C270" s="157"/>
      <c r="D270" s="158">
        <f t="shared" si="4"/>
        <v>0</v>
      </c>
      <c r="I270"/>
      <c r="J270"/>
    </row>
    <row r="271" spans="1:10" ht="18" hidden="1">
      <c r="A271" s="161" t="s">
        <v>285</v>
      </c>
      <c r="B271" s="157"/>
      <c r="C271" s="157"/>
      <c r="D271" s="158">
        <f t="shared" si="4"/>
        <v>0</v>
      </c>
      <c r="I271"/>
      <c r="J271"/>
    </row>
    <row r="272" spans="1:10" ht="18" hidden="1">
      <c r="A272" s="161" t="s">
        <v>286</v>
      </c>
      <c r="B272" s="157"/>
      <c r="C272" s="157"/>
      <c r="D272" s="158">
        <f t="shared" si="4"/>
        <v>0</v>
      </c>
      <c r="I272"/>
      <c r="J272"/>
    </row>
    <row r="273" spans="1:10" ht="18" hidden="1">
      <c r="A273" s="161" t="s">
        <v>287</v>
      </c>
      <c r="B273" s="157"/>
      <c r="C273" s="157"/>
      <c r="D273" s="158">
        <f t="shared" si="4"/>
        <v>0</v>
      </c>
      <c r="I273"/>
      <c r="J273"/>
    </row>
    <row r="274" spans="1:10" ht="18">
      <c r="A274" s="161" t="s">
        <v>288</v>
      </c>
      <c r="B274" s="157">
        <v>15</v>
      </c>
      <c r="C274" s="157">
        <v>16000</v>
      </c>
      <c r="D274" s="158">
        <f t="shared" si="4"/>
        <v>240000</v>
      </c>
    </row>
    <row r="275" spans="1:10" ht="18" hidden="1">
      <c r="A275" s="161" t="s">
        <v>289</v>
      </c>
      <c r="B275" s="157"/>
      <c r="C275" s="157"/>
      <c r="D275" s="158">
        <f t="shared" si="4"/>
        <v>0</v>
      </c>
      <c r="I275"/>
      <c r="J275"/>
    </row>
    <row r="276" spans="1:10" ht="18" hidden="1">
      <c r="A276" s="161" t="s">
        <v>290</v>
      </c>
      <c r="B276" s="157"/>
      <c r="C276" s="157"/>
      <c r="D276" s="158">
        <f t="shared" si="4"/>
        <v>0</v>
      </c>
      <c r="I276"/>
      <c r="J276"/>
    </row>
    <row r="277" spans="1:10" ht="18" hidden="1">
      <c r="A277" s="187" t="s">
        <v>291</v>
      </c>
      <c r="B277" s="157"/>
      <c r="C277" s="157"/>
      <c r="D277" s="158">
        <f t="shared" si="4"/>
        <v>0</v>
      </c>
      <c r="I277"/>
      <c r="J277"/>
    </row>
    <row r="278" spans="1:10" ht="18" hidden="1">
      <c r="A278" s="161" t="s">
        <v>292</v>
      </c>
      <c r="B278" s="157"/>
      <c r="C278" s="157"/>
      <c r="D278" s="158">
        <f t="shared" si="4"/>
        <v>0</v>
      </c>
      <c r="I278"/>
      <c r="J278"/>
    </row>
    <row r="279" spans="1:10" ht="18" hidden="1">
      <c r="A279" s="187" t="s">
        <v>293</v>
      </c>
      <c r="B279" s="157"/>
      <c r="C279" s="157"/>
      <c r="D279" s="158">
        <f t="shared" si="4"/>
        <v>0</v>
      </c>
      <c r="I279"/>
      <c r="J279"/>
    </row>
    <row r="280" spans="1:10" ht="18" hidden="1">
      <c r="A280" s="187" t="s">
        <v>294</v>
      </c>
      <c r="B280" s="157"/>
      <c r="C280" s="157"/>
      <c r="D280" s="158">
        <f t="shared" si="4"/>
        <v>0</v>
      </c>
      <c r="I280"/>
      <c r="J280"/>
    </row>
    <row r="281" spans="1:10" ht="18" hidden="1">
      <c r="A281" s="156" t="s">
        <v>295</v>
      </c>
      <c r="B281" s="162"/>
      <c r="C281" s="162"/>
      <c r="D281" s="158">
        <f t="shared" si="4"/>
        <v>0</v>
      </c>
      <c r="I281"/>
      <c r="J281"/>
    </row>
    <row r="282" spans="1:10" ht="18" hidden="1">
      <c r="A282" s="156" t="s">
        <v>296</v>
      </c>
      <c r="B282" s="157"/>
      <c r="C282" s="157"/>
      <c r="D282" s="158">
        <f t="shared" si="4"/>
        <v>0</v>
      </c>
      <c r="I282"/>
      <c r="J282"/>
    </row>
    <row r="283" spans="1:10" ht="18" hidden="1">
      <c r="A283" s="159" t="s">
        <v>297</v>
      </c>
      <c r="B283" s="157"/>
      <c r="C283" s="157"/>
      <c r="D283" s="158">
        <f t="shared" si="4"/>
        <v>0</v>
      </c>
      <c r="I283"/>
      <c r="J283"/>
    </row>
    <row r="284" spans="1:10" ht="18" hidden="1">
      <c r="A284" s="159" t="s">
        <v>298</v>
      </c>
      <c r="B284" s="157"/>
      <c r="C284" s="157"/>
      <c r="D284" s="158">
        <f t="shared" si="4"/>
        <v>0</v>
      </c>
      <c r="I284"/>
      <c r="J284"/>
    </row>
    <row r="285" spans="1:10" ht="18" hidden="1">
      <c r="A285" s="164" t="s">
        <v>299</v>
      </c>
      <c r="B285" s="157"/>
      <c r="C285" s="157"/>
      <c r="D285" s="158">
        <f t="shared" si="4"/>
        <v>0</v>
      </c>
      <c r="I285"/>
      <c r="J285"/>
    </row>
    <row r="286" spans="1:10" ht="18" hidden="1">
      <c r="A286" s="164" t="s">
        <v>300</v>
      </c>
      <c r="B286" s="157"/>
      <c r="C286" s="157"/>
      <c r="D286" s="158">
        <f t="shared" si="4"/>
        <v>0</v>
      </c>
      <c r="I286"/>
      <c r="J286"/>
    </row>
    <row r="287" spans="1:10" ht="18" hidden="1">
      <c r="A287" s="164" t="s">
        <v>301</v>
      </c>
      <c r="B287" s="157"/>
      <c r="C287" s="157"/>
      <c r="D287" s="158">
        <f t="shared" si="4"/>
        <v>0</v>
      </c>
      <c r="I287"/>
      <c r="J287"/>
    </row>
    <row r="288" spans="1:10" ht="18" hidden="1">
      <c r="A288" s="161" t="s">
        <v>302</v>
      </c>
      <c r="B288" s="157"/>
      <c r="C288" s="157"/>
      <c r="D288" s="158">
        <f t="shared" si="4"/>
        <v>0</v>
      </c>
      <c r="I288"/>
      <c r="J288"/>
    </row>
    <row r="289" spans="1:10" ht="18" hidden="1">
      <c r="A289" s="164" t="s">
        <v>303</v>
      </c>
      <c r="B289" s="157"/>
      <c r="C289" s="157"/>
      <c r="D289" s="158">
        <f t="shared" si="4"/>
        <v>0</v>
      </c>
      <c r="I289"/>
      <c r="J289"/>
    </row>
    <row r="290" spans="1:10" ht="18" hidden="1">
      <c r="A290" s="161" t="s">
        <v>304</v>
      </c>
      <c r="B290" s="157"/>
      <c r="C290" s="157"/>
      <c r="D290" s="158">
        <f t="shared" si="4"/>
        <v>0</v>
      </c>
      <c r="I290"/>
      <c r="J290"/>
    </row>
    <row r="291" spans="1:10" ht="18">
      <c r="A291" s="161" t="s">
        <v>305</v>
      </c>
      <c r="B291" s="157">
        <v>25</v>
      </c>
      <c r="C291" s="157">
        <v>6500</v>
      </c>
      <c r="D291" s="158">
        <f t="shared" si="4"/>
        <v>162500</v>
      </c>
    </row>
    <row r="292" spans="1:10" ht="18" hidden="1">
      <c r="A292" s="164" t="s">
        <v>306</v>
      </c>
      <c r="B292" s="157"/>
      <c r="C292" s="157"/>
      <c r="D292" s="158">
        <f t="shared" si="4"/>
        <v>0</v>
      </c>
      <c r="I292"/>
      <c r="J292"/>
    </row>
    <row r="293" spans="1:10" ht="18" hidden="1">
      <c r="A293" s="186" t="s">
        <v>307</v>
      </c>
      <c r="B293" s="157"/>
      <c r="C293" s="157"/>
      <c r="D293" s="158">
        <f t="shared" si="4"/>
        <v>0</v>
      </c>
      <c r="I293"/>
      <c r="J293"/>
    </row>
    <row r="294" spans="1:10" ht="18">
      <c r="A294" s="161" t="s">
        <v>308</v>
      </c>
      <c r="B294" s="157">
        <v>35</v>
      </c>
      <c r="C294" s="157">
        <v>10000</v>
      </c>
      <c r="D294" s="158">
        <f t="shared" si="4"/>
        <v>350000</v>
      </c>
    </row>
    <row r="295" spans="1:10" ht="18" hidden="1">
      <c r="A295" s="173" t="s">
        <v>309</v>
      </c>
      <c r="B295" s="157"/>
      <c r="C295" s="157"/>
      <c r="D295" s="158">
        <f t="shared" si="4"/>
        <v>0</v>
      </c>
      <c r="I295"/>
      <c r="J295"/>
    </row>
    <row r="296" spans="1:10" ht="18" hidden="1">
      <c r="A296" s="173" t="s">
        <v>310</v>
      </c>
      <c r="B296" s="157"/>
      <c r="C296" s="157"/>
      <c r="D296" s="158">
        <f t="shared" si="4"/>
        <v>0</v>
      </c>
      <c r="I296"/>
      <c r="J296"/>
    </row>
    <row r="297" spans="1:10" ht="18" hidden="1">
      <c r="A297" s="156" t="s">
        <v>311</v>
      </c>
      <c r="B297" s="157"/>
      <c r="C297" s="157"/>
      <c r="D297" s="158">
        <f t="shared" si="4"/>
        <v>0</v>
      </c>
      <c r="I297"/>
      <c r="J297"/>
    </row>
    <row r="298" spans="1:10" ht="18" hidden="1">
      <c r="A298" s="164" t="s">
        <v>312</v>
      </c>
      <c r="B298" s="157"/>
      <c r="C298" s="157"/>
      <c r="D298" s="158">
        <f t="shared" si="4"/>
        <v>0</v>
      </c>
      <c r="I298"/>
      <c r="J298"/>
    </row>
    <row r="299" spans="1:10" ht="18" hidden="1">
      <c r="A299" s="173" t="s">
        <v>313</v>
      </c>
      <c r="B299" s="157"/>
      <c r="C299" s="157"/>
      <c r="D299" s="158">
        <f t="shared" si="4"/>
        <v>0</v>
      </c>
      <c r="I299"/>
      <c r="J299"/>
    </row>
    <row r="300" spans="1:10" ht="18" hidden="1">
      <c r="A300" s="161" t="s">
        <v>314</v>
      </c>
      <c r="B300" s="157"/>
      <c r="C300" s="157"/>
      <c r="D300" s="158">
        <f t="shared" si="4"/>
        <v>0</v>
      </c>
      <c r="I300"/>
      <c r="J300"/>
    </row>
    <row r="301" spans="1:10" ht="18" hidden="1">
      <c r="A301" s="164" t="s">
        <v>315</v>
      </c>
      <c r="B301" s="157"/>
      <c r="C301" s="157"/>
      <c r="D301" s="158">
        <f t="shared" si="4"/>
        <v>0</v>
      </c>
      <c r="I301"/>
      <c r="J301"/>
    </row>
    <row r="302" spans="1:10" ht="18" hidden="1">
      <c r="A302" s="161" t="s">
        <v>316</v>
      </c>
      <c r="B302" s="157"/>
      <c r="C302" s="157"/>
      <c r="D302" s="158">
        <f t="shared" si="4"/>
        <v>0</v>
      </c>
      <c r="I302"/>
      <c r="J302"/>
    </row>
    <row r="303" spans="1:10" ht="18" hidden="1">
      <c r="A303" s="161" t="s">
        <v>317</v>
      </c>
      <c r="B303" s="157"/>
      <c r="C303" s="157"/>
      <c r="D303" s="158">
        <f t="shared" si="4"/>
        <v>0</v>
      </c>
      <c r="I303"/>
      <c r="J303"/>
    </row>
    <row r="304" spans="1:10" ht="18" hidden="1">
      <c r="A304" s="159" t="s">
        <v>318</v>
      </c>
      <c r="B304" s="157"/>
      <c r="C304" s="157"/>
      <c r="D304" s="158">
        <f t="shared" si="4"/>
        <v>0</v>
      </c>
      <c r="I304"/>
      <c r="J304"/>
    </row>
    <row r="305" spans="1:4" customFormat="1" ht="18" hidden="1">
      <c r="A305" s="156" t="s">
        <v>319</v>
      </c>
      <c r="B305" s="157"/>
      <c r="C305" s="157"/>
      <c r="D305" s="158">
        <f t="shared" si="4"/>
        <v>0</v>
      </c>
    </row>
    <row r="306" spans="1:4" customFormat="1" ht="18" hidden="1">
      <c r="A306" s="156" t="s">
        <v>320</v>
      </c>
      <c r="B306" s="157"/>
      <c r="C306" s="157"/>
      <c r="D306" s="158">
        <f t="shared" si="4"/>
        <v>0</v>
      </c>
    </row>
    <row r="307" spans="1:4" customFormat="1" ht="18" hidden="1">
      <c r="A307" s="161" t="s">
        <v>321</v>
      </c>
      <c r="B307" s="157"/>
      <c r="C307" s="157"/>
      <c r="D307" s="158">
        <f t="shared" si="4"/>
        <v>0</v>
      </c>
    </row>
    <row r="308" spans="1:4" customFormat="1" ht="18" hidden="1">
      <c r="A308" s="161" t="s">
        <v>322</v>
      </c>
      <c r="B308" s="157"/>
      <c r="C308" s="157"/>
      <c r="D308" s="158">
        <f t="shared" si="4"/>
        <v>0</v>
      </c>
    </row>
    <row r="309" spans="1:4" customFormat="1" ht="18" hidden="1">
      <c r="A309" s="161" t="s">
        <v>323</v>
      </c>
      <c r="B309" s="157"/>
      <c r="C309" s="157"/>
      <c r="D309" s="158">
        <f t="shared" si="4"/>
        <v>0</v>
      </c>
    </row>
    <row r="310" spans="1:4" customFormat="1" ht="18" hidden="1">
      <c r="A310" s="173" t="s">
        <v>324</v>
      </c>
      <c r="B310" s="157"/>
      <c r="C310" s="157"/>
      <c r="D310" s="158">
        <f t="shared" si="4"/>
        <v>0</v>
      </c>
    </row>
    <row r="311" spans="1:4" customFormat="1" ht="18" hidden="1">
      <c r="A311" s="173" t="s">
        <v>325</v>
      </c>
      <c r="B311" s="157"/>
      <c r="C311" s="157"/>
      <c r="D311" s="158">
        <f t="shared" si="4"/>
        <v>0</v>
      </c>
    </row>
    <row r="312" spans="1:4" customFormat="1" ht="18" hidden="1">
      <c r="A312" s="163" t="s">
        <v>326</v>
      </c>
      <c r="B312" s="157"/>
      <c r="C312" s="157"/>
      <c r="D312" s="158">
        <f t="shared" si="4"/>
        <v>0</v>
      </c>
    </row>
    <row r="313" spans="1:4" customFormat="1" ht="18" hidden="1">
      <c r="A313" s="173" t="s">
        <v>327</v>
      </c>
      <c r="B313" s="157"/>
      <c r="C313" s="157"/>
      <c r="D313" s="158">
        <f t="shared" si="4"/>
        <v>0</v>
      </c>
    </row>
    <row r="314" spans="1:4" customFormat="1" ht="18" hidden="1">
      <c r="A314" s="161" t="s">
        <v>328</v>
      </c>
      <c r="B314" s="157"/>
      <c r="C314" s="157"/>
      <c r="D314" s="158">
        <f t="shared" si="4"/>
        <v>0</v>
      </c>
    </row>
    <row r="315" spans="1:4" customFormat="1" ht="18" hidden="1">
      <c r="A315" s="161" t="s">
        <v>329</v>
      </c>
      <c r="B315" s="157"/>
      <c r="C315" s="157"/>
      <c r="D315" s="158">
        <f t="shared" si="4"/>
        <v>0</v>
      </c>
    </row>
    <row r="316" spans="1:4" customFormat="1" ht="18" hidden="1">
      <c r="A316" s="161" t="s">
        <v>330</v>
      </c>
      <c r="B316" s="157"/>
      <c r="C316" s="157"/>
      <c r="D316" s="158">
        <f t="shared" si="4"/>
        <v>0</v>
      </c>
    </row>
    <row r="317" spans="1:4" customFormat="1" ht="18" hidden="1">
      <c r="A317" s="161" t="s">
        <v>331</v>
      </c>
      <c r="B317" s="157"/>
      <c r="C317" s="157"/>
      <c r="D317" s="158">
        <f t="shared" si="4"/>
        <v>0</v>
      </c>
    </row>
    <row r="318" spans="1:4" customFormat="1" ht="18" hidden="1">
      <c r="A318" s="163" t="s">
        <v>332</v>
      </c>
      <c r="B318" s="157"/>
      <c r="C318" s="157"/>
      <c r="D318" s="158">
        <f t="shared" si="4"/>
        <v>0</v>
      </c>
    </row>
    <row r="319" spans="1:4" customFormat="1" ht="18" hidden="1">
      <c r="A319" s="161" t="s">
        <v>333</v>
      </c>
      <c r="B319" s="157"/>
      <c r="C319" s="157"/>
      <c r="D319" s="158">
        <f t="shared" si="4"/>
        <v>0</v>
      </c>
    </row>
    <row r="320" spans="1:4" customFormat="1" ht="18" hidden="1">
      <c r="A320" s="161" t="s">
        <v>334</v>
      </c>
      <c r="B320" s="157"/>
      <c r="C320" s="157"/>
      <c r="D320" s="158">
        <f t="shared" si="4"/>
        <v>0</v>
      </c>
    </row>
    <row r="321" spans="1:10" ht="18" hidden="1">
      <c r="A321" s="156" t="s">
        <v>335</v>
      </c>
      <c r="B321" s="157"/>
      <c r="C321" s="157"/>
      <c r="D321" s="158">
        <f t="shared" si="4"/>
        <v>0</v>
      </c>
      <c r="I321"/>
      <c r="J321"/>
    </row>
    <row r="322" spans="1:10" ht="18" hidden="1">
      <c r="A322" s="161" t="s">
        <v>336</v>
      </c>
      <c r="B322" s="174"/>
      <c r="C322" s="174"/>
      <c r="D322" s="158">
        <f t="shared" si="4"/>
        <v>0</v>
      </c>
      <c r="I322"/>
      <c r="J322"/>
    </row>
    <row r="323" spans="1:10" ht="18" hidden="1">
      <c r="A323" s="161" t="s">
        <v>337</v>
      </c>
      <c r="B323" s="157"/>
      <c r="C323" s="157"/>
      <c r="D323" s="158">
        <f t="shared" si="4"/>
        <v>0</v>
      </c>
      <c r="I323"/>
      <c r="J323"/>
    </row>
    <row r="324" spans="1:10" ht="18" hidden="1">
      <c r="A324" s="161" t="s">
        <v>338</v>
      </c>
      <c r="B324" s="157"/>
      <c r="C324" s="157"/>
      <c r="D324" s="158">
        <f t="shared" ref="D324:D387" si="5">B324*C324</f>
        <v>0</v>
      </c>
      <c r="I324"/>
      <c r="J324"/>
    </row>
    <row r="325" spans="1:10" ht="18" hidden="1">
      <c r="A325" s="163" t="s">
        <v>339</v>
      </c>
      <c r="B325" s="157"/>
      <c r="C325" s="157"/>
      <c r="D325" s="158">
        <f t="shared" si="5"/>
        <v>0</v>
      </c>
      <c r="I325"/>
      <c r="J325"/>
    </row>
    <row r="326" spans="1:10" ht="18" hidden="1">
      <c r="A326" s="163" t="s">
        <v>340</v>
      </c>
      <c r="B326" s="157"/>
      <c r="C326" s="157"/>
      <c r="D326" s="158">
        <f t="shared" si="5"/>
        <v>0</v>
      </c>
      <c r="I326"/>
      <c r="J326"/>
    </row>
    <row r="327" spans="1:10" ht="18">
      <c r="A327" s="161" t="s">
        <v>341</v>
      </c>
      <c r="B327" s="157">
        <v>4</v>
      </c>
      <c r="C327" s="157">
        <v>30000</v>
      </c>
      <c r="D327" s="158">
        <f t="shared" si="5"/>
        <v>120000</v>
      </c>
    </row>
    <row r="328" spans="1:10" ht="18" hidden="1">
      <c r="A328" s="161" t="s">
        <v>342</v>
      </c>
      <c r="B328" s="157"/>
      <c r="C328" s="157"/>
      <c r="D328" s="158">
        <f t="shared" si="5"/>
        <v>0</v>
      </c>
      <c r="I328"/>
      <c r="J328"/>
    </row>
    <row r="329" spans="1:10" ht="18" hidden="1">
      <c r="A329" s="163" t="s">
        <v>343</v>
      </c>
      <c r="B329" s="157"/>
      <c r="C329" s="157"/>
      <c r="D329" s="158">
        <f t="shared" si="5"/>
        <v>0</v>
      </c>
      <c r="I329"/>
      <c r="J329"/>
    </row>
    <row r="330" spans="1:10" ht="18" hidden="1">
      <c r="A330" s="161" t="s">
        <v>344</v>
      </c>
      <c r="B330" s="157"/>
      <c r="C330" s="157"/>
      <c r="D330" s="158">
        <f t="shared" si="5"/>
        <v>0</v>
      </c>
      <c r="I330"/>
      <c r="J330"/>
    </row>
    <row r="331" spans="1:10" ht="18" hidden="1">
      <c r="A331" s="161" t="s">
        <v>345</v>
      </c>
      <c r="B331" s="157"/>
      <c r="C331" s="157"/>
      <c r="D331" s="158">
        <f t="shared" si="5"/>
        <v>0</v>
      </c>
      <c r="I331"/>
      <c r="J331"/>
    </row>
    <row r="332" spans="1:10" ht="18" hidden="1">
      <c r="A332" s="161" t="s">
        <v>346</v>
      </c>
      <c r="B332" s="157"/>
      <c r="C332" s="157"/>
      <c r="D332" s="158">
        <f t="shared" si="5"/>
        <v>0</v>
      </c>
      <c r="I332"/>
      <c r="J332"/>
    </row>
    <row r="333" spans="1:10" ht="18" hidden="1">
      <c r="A333" s="161" t="s">
        <v>347</v>
      </c>
      <c r="B333" s="157"/>
      <c r="C333" s="157"/>
      <c r="D333" s="158">
        <f t="shared" si="5"/>
        <v>0</v>
      </c>
      <c r="I333"/>
      <c r="J333"/>
    </row>
    <row r="334" spans="1:10" ht="18" hidden="1">
      <c r="A334" s="161" t="s">
        <v>348</v>
      </c>
      <c r="B334" s="157"/>
      <c r="C334" s="157"/>
      <c r="D334" s="158">
        <f t="shared" si="5"/>
        <v>0</v>
      </c>
      <c r="I334"/>
      <c r="J334"/>
    </row>
    <row r="335" spans="1:10" ht="18" hidden="1">
      <c r="A335" s="161" t="s">
        <v>349</v>
      </c>
      <c r="B335" s="157"/>
      <c r="C335" s="157"/>
      <c r="D335" s="158">
        <f t="shared" si="5"/>
        <v>0</v>
      </c>
      <c r="I335"/>
      <c r="J335"/>
    </row>
    <row r="336" spans="1:10" ht="18" hidden="1">
      <c r="A336" s="161" t="s">
        <v>350</v>
      </c>
      <c r="B336" s="157"/>
      <c r="C336" s="157"/>
      <c r="D336" s="158">
        <f t="shared" si="5"/>
        <v>0</v>
      </c>
      <c r="I336"/>
      <c r="J336"/>
    </row>
    <row r="337" spans="1:10" ht="18" hidden="1">
      <c r="A337" s="161" t="s">
        <v>351</v>
      </c>
      <c r="B337" s="157"/>
      <c r="C337" s="157"/>
      <c r="D337" s="158">
        <f t="shared" si="5"/>
        <v>0</v>
      </c>
      <c r="I337"/>
      <c r="J337"/>
    </row>
    <row r="338" spans="1:10" ht="18" hidden="1">
      <c r="A338" s="159" t="s">
        <v>352</v>
      </c>
      <c r="B338" s="157"/>
      <c r="C338" s="157"/>
      <c r="D338" s="158">
        <f t="shared" si="5"/>
        <v>0</v>
      </c>
      <c r="I338"/>
      <c r="J338"/>
    </row>
    <row r="339" spans="1:10" ht="18" hidden="1">
      <c r="A339" s="159" t="s">
        <v>353</v>
      </c>
      <c r="B339" s="157"/>
      <c r="C339" s="157"/>
      <c r="D339" s="158">
        <f t="shared" si="5"/>
        <v>0</v>
      </c>
      <c r="I339"/>
      <c r="J339"/>
    </row>
    <row r="340" spans="1:10" ht="18">
      <c r="A340" s="188"/>
      <c r="B340" s="189">
        <f>SUM(B3:B339)</f>
        <v>3133</v>
      </c>
      <c r="C340" s="189"/>
      <c r="D340" s="158">
        <f>SUM(D15:D327)</f>
        <v>48592000</v>
      </c>
    </row>
    <row r="341" spans="1:10" ht="18" hidden="1">
      <c r="D341" s="158">
        <f t="shared" si="5"/>
        <v>0</v>
      </c>
      <c r="I341"/>
      <c r="J341"/>
    </row>
    <row r="342" spans="1:10" ht="18">
      <c r="A342" s="151" t="s">
        <v>436</v>
      </c>
      <c r="B342" s="152"/>
      <c r="C342" s="152"/>
      <c r="D342" s="158"/>
    </row>
    <row r="343" spans="1:10" ht="26.4">
      <c r="A343" s="208" t="s">
        <v>381</v>
      </c>
      <c r="B343" s="154" t="s">
        <v>3</v>
      </c>
      <c r="C343" s="154" t="s">
        <v>4</v>
      </c>
      <c r="D343" s="158" t="s">
        <v>5</v>
      </c>
    </row>
    <row r="344" spans="1:10" ht="18" hidden="1">
      <c r="A344" s="209"/>
      <c r="B344" s="155"/>
      <c r="C344" s="155"/>
      <c r="D344" s="158">
        <f t="shared" si="5"/>
        <v>0</v>
      </c>
      <c r="I344"/>
      <c r="J344"/>
    </row>
    <row r="345" spans="1:10" ht="18" hidden="1">
      <c r="A345" s="171" t="s">
        <v>6</v>
      </c>
      <c r="B345" s="157"/>
      <c r="C345" s="157"/>
      <c r="D345" s="158">
        <f t="shared" si="5"/>
        <v>0</v>
      </c>
      <c r="I345"/>
      <c r="J345"/>
    </row>
    <row r="346" spans="1:10" ht="18" hidden="1">
      <c r="A346" s="172" t="s">
        <v>8</v>
      </c>
      <c r="B346" s="157"/>
      <c r="C346" s="157"/>
      <c r="D346" s="158">
        <f t="shared" si="5"/>
        <v>0</v>
      </c>
      <c r="I346"/>
      <c r="J346"/>
    </row>
    <row r="347" spans="1:10" ht="18" hidden="1">
      <c r="A347" s="171" t="s">
        <v>10</v>
      </c>
      <c r="B347" s="157"/>
      <c r="C347" s="157"/>
      <c r="D347" s="158">
        <f t="shared" si="5"/>
        <v>0</v>
      </c>
      <c r="I347"/>
      <c r="J347"/>
    </row>
    <row r="348" spans="1:10" ht="18">
      <c r="A348" s="171" t="s">
        <v>11</v>
      </c>
      <c r="B348" s="157">
        <v>190</v>
      </c>
      <c r="C348" s="157">
        <v>7300</v>
      </c>
      <c r="D348" s="158">
        <f t="shared" si="5"/>
        <v>1387000</v>
      </c>
    </row>
    <row r="349" spans="1:10" ht="18" hidden="1">
      <c r="A349" s="161" t="s">
        <v>12</v>
      </c>
      <c r="B349" s="157"/>
      <c r="C349" s="157"/>
      <c r="D349" s="158">
        <f t="shared" si="5"/>
        <v>0</v>
      </c>
      <c r="I349"/>
      <c r="J349"/>
    </row>
    <row r="350" spans="1:10" ht="18" hidden="1">
      <c r="A350" s="178" t="s">
        <v>13</v>
      </c>
      <c r="B350" s="157"/>
      <c r="C350" s="157"/>
      <c r="D350" s="158">
        <f t="shared" si="5"/>
        <v>0</v>
      </c>
      <c r="I350"/>
      <c r="J350"/>
    </row>
    <row r="351" spans="1:10" ht="18" hidden="1">
      <c r="A351" s="171" t="s">
        <v>14</v>
      </c>
      <c r="B351" s="157"/>
      <c r="C351" s="157"/>
      <c r="D351" s="158">
        <f t="shared" si="5"/>
        <v>0</v>
      </c>
      <c r="I351"/>
      <c r="J351"/>
    </row>
    <row r="352" spans="1:10" ht="18" hidden="1">
      <c r="A352" s="171" t="s">
        <v>15</v>
      </c>
      <c r="B352" s="157"/>
      <c r="C352" s="157"/>
      <c r="D352" s="158">
        <f t="shared" si="5"/>
        <v>0</v>
      </c>
      <c r="I352"/>
      <c r="J352"/>
    </row>
    <row r="353" spans="1:10" ht="18" hidden="1">
      <c r="A353" s="159" t="s">
        <v>355</v>
      </c>
      <c r="B353" s="157"/>
      <c r="C353" s="157"/>
      <c r="D353" s="158">
        <f t="shared" si="5"/>
        <v>0</v>
      </c>
      <c r="I353"/>
      <c r="J353"/>
    </row>
    <row r="354" spans="1:10" ht="18" hidden="1">
      <c r="A354" s="161" t="s">
        <v>18</v>
      </c>
      <c r="B354" s="157"/>
      <c r="C354" s="157"/>
      <c r="D354" s="158">
        <f t="shared" si="5"/>
        <v>0</v>
      </c>
      <c r="I354"/>
      <c r="J354"/>
    </row>
    <row r="355" spans="1:10" ht="18">
      <c r="A355" s="161" t="s">
        <v>19</v>
      </c>
      <c r="B355" s="157">
        <v>4</v>
      </c>
      <c r="C355" s="157">
        <v>8000</v>
      </c>
      <c r="D355" s="158">
        <f t="shared" si="5"/>
        <v>32000</v>
      </c>
    </row>
    <row r="356" spans="1:10" ht="18" hidden="1">
      <c r="A356" s="156" t="s">
        <v>20</v>
      </c>
      <c r="B356" s="157"/>
      <c r="C356" s="157"/>
      <c r="D356" s="158">
        <f t="shared" si="5"/>
        <v>0</v>
      </c>
      <c r="I356"/>
      <c r="J356"/>
    </row>
    <row r="357" spans="1:10" ht="18" hidden="1">
      <c r="A357" s="156" t="s">
        <v>22</v>
      </c>
      <c r="B357" s="157"/>
      <c r="C357" s="157"/>
      <c r="D357" s="158">
        <f t="shared" si="5"/>
        <v>0</v>
      </c>
      <c r="I357"/>
      <c r="J357"/>
    </row>
    <row r="358" spans="1:10" ht="18" hidden="1">
      <c r="A358" s="161" t="s">
        <v>23</v>
      </c>
      <c r="B358" s="157"/>
      <c r="C358" s="157"/>
      <c r="D358" s="158">
        <f t="shared" si="5"/>
        <v>0</v>
      </c>
      <c r="I358"/>
      <c r="J358"/>
    </row>
    <row r="359" spans="1:10" ht="18" hidden="1">
      <c r="A359" s="161" t="s">
        <v>24</v>
      </c>
      <c r="B359" s="157"/>
      <c r="C359" s="157"/>
      <c r="D359" s="158">
        <f t="shared" si="5"/>
        <v>0</v>
      </c>
      <c r="I359"/>
      <c r="J359"/>
    </row>
    <row r="360" spans="1:10" ht="18" hidden="1">
      <c r="A360" s="173" t="s">
        <v>25</v>
      </c>
      <c r="B360" s="157"/>
      <c r="C360" s="157"/>
      <c r="D360" s="158">
        <f t="shared" si="5"/>
        <v>0</v>
      </c>
      <c r="I360"/>
      <c r="J360"/>
    </row>
    <row r="361" spans="1:10" ht="18" hidden="1">
      <c r="A361" s="159" t="s">
        <v>26</v>
      </c>
      <c r="B361" s="157"/>
      <c r="C361" s="157"/>
      <c r="D361" s="158">
        <f t="shared" si="5"/>
        <v>0</v>
      </c>
      <c r="I361"/>
      <c r="J361"/>
    </row>
    <row r="362" spans="1:10" ht="18">
      <c r="A362" s="161" t="s">
        <v>27</v>
      </c>
      <c r="B362" s="157">
        <f>-1500+2900</f>
        <v>1400</v>
      </c>
      <c r="C362" s="157">
        <v>12000</v>
      </c>
      <c r="D362" s="158">
        <f t="shared" si="5"/>
        <v>16800000</v>
      </c>
    </row>
    <row r="363" spans="1:10" ht="18" hidden="1">
      <c r="A363" s="156" t="s">
        <v>28</v>
      </c>
      <c r="B363" s="157"/>
      <c r="C363" s="157"/>
      <c r="D363" s="158">
        <f t="shared" si="5"/>
        <v>0</v>
      </c>
      <c r="I363"/>
      <c r="J363"/>
    </row>
    <row r="364" spans="1:10" ht="18" hidden="1">
      <c r="A364" s="156" t="s">
        <v>29</v>
      </c>
      <c r="B364" s="157"/>
      <c r="C364" s="157"/>
      <c r="D364" s="158">
        <f t="shared" si="5"/>
        <v>0</v>
      </c>
      <c r="I364"/>
      <c r="J364"/>
    </row>
    <row r="365" spans="1:10" ht="18" hidden="1">
      <c r="A365" s="161" t="s">
        <v>30</v>
      </c>
      <c r="B365" s="157"/>
      <c r="C365" s="157"/>
      <c r="D365" s="158">
        <f t="shared" si="5"/>
        <v>0</v>
      </c>
      <c r="I365"/>
      <c r="J365"/>
    </row>
    <row r="366" spans="1:10" ht="18" hidden="1">
      <c r="A366" s="161" t="s">
        <v>31</v>
      </c>
      <c r="B366" s="157"/>
      <c r="C366" s="157"/>
      <c r="D366" s="158">
        <f t="shared" si="5"/>
        <v>0</v>
      </c>
      <c r="I366"/>
      <c r="J366"/>
    </row>
    <row r="367" spans="1:10" ht="18" hidden="1">
      <c r="A367" s="161" t="s">
        <v>32</v>
      </c>
      <c r="B367" s="157"/>
      <c r="C367" s="157"/>
      <c r="D367" s="158">
        <f t="shared" si="5"/>
        <v>0</v>
      </c>
      <c r="I367"/>
      <c r="J367"/>
    </row>
    <row r="368" spans="1:10" ht="18" hidden="1">
      <c r="A368" s="161" t="s">
        <v>33</v>
      </c>
      <c r="B368" s="157"/>
      <c r="C368" s="157"/>
      <c r="D368" s="158">
        <f t="shared" si="5"/>
        <v>0</v>
      </c>
      <c r="I368"/>
      <c r="J368"/>
    </row>
    <row r="369" spans="1:4" customFormat="1" ht="18" hidden="1">
      <c r="A369" s="161" t="s">
        <v>34</v>
      </c>
      <c r="B369" s="157"/>
      <c r="C369" s="157"/>
      <c r="D369" s="158">
        <f t="shared" si="5"/>
        <v>0</v>
      </c>
    </row>
    <row r="370" spans="1:4" customFormat="1" ht="18" hidden="1">
      <c r="A370" s="161" t="s">
        <v>35</v>
      </c>
      <c r="B370" s="157"/>
      <c r="C370" s="157"/>
      <c r="D370" s="158">
        <f t="shared" si="5"/>
        <v>0</v>
      </c>
    </row>
    <row r="371" spans="1:4" customFormat="1" ht="18" hidden="1">
      <c r="A371" s="156" t="s">
        <v>37</v>
      </c>
      <c r="B371" s="157"/>
      <c r="C371" s="157"/>
      <c r="D371" s="158">
        <f t="shared" si="5"/>
        <v>0</v>
      </c>
    </row>
    <row r="372" spans="1:4" customFormat="1" ht="18" hidden="1">
      <c r="A372" s="156" t="s">
        <v>46</v>
      </c>
      <c r="B372" s="157"/>
      <c r="C372" s="157"/>
      <c r="D372" s="158">
        <f t="shared" si="5"/>
        <v>0</v>
      </c>
    </row>
    <row r="373" spans="1:4" customFormat="1" ht="18" hidden="1">
      <c r="A373" s="161" t="s">
        <v>47</v>
      </c>
      <c r="B373" s="157"/>
      <c r="C373" s="157"/>
      <c r="D373" s="158">
        <f t="shared" si="5"/>
        <v>0</v>
      </c>
    </row>
    <row r="374" spans="1:4" customFormat="1" ht="18" hidden="1">
      <c r="A374" s="161" t="s">
        <v>48</v>
      </c>
      <c r="B374" s="157"/>
      <c r="C374" s="157"/>
      <c r="D374" s="158">
        <f t="shared" si="5"/>
        <v>0</v>
      </c>
    </row>
    <row r="375" spans="1:4" customFormat="1" ht="18" hidden="1">
      <c r="A375" s="159" t="s">
        <v>356</v>
      </c>
      <c r="B375" s="162"/>
      <c r="C375" s="162"/>
      <c r="D375" s="158">
        <f t="shared" si="5"/>
        <v>0</v>
      </c>
    </row>
    <row r="376" spans="1:4" customFormat="1" ht="18" hidden="1">
      <c r="A376" s="159" t="s">
        <v>50</v>
      </c>
      <c r="B376" s="162"/>
      <c r="C376" s="162"/>
      <c r="D376" s="158">
        <f t="shared" si="5"/>
        <v>0</v>
      </c>
    </row>
    <row r="377" spans="1:4" customFormat="1" ht="18" hidden="1">
      <c r="A377" s="161" t="s">
        <v>51</v>
      </c>
      <c r="B377" s="157"/>
      <c r="C377" s="157"/>
      <c r="D377" s="158">
        <f t="shared" si="5"/>
        <v>0</v>
      </c>
    </row>
    <row r="378" spans="1:4" customFormat="1" ht="18" hidden="1">
      <c r="A378" s="161" t="s">
        <v>52</v>
      </c>
      <c r="B378" s="157"/>
      <c r="C378" s="157"/>
      <c r="D378" s="158">
        <f t="shared" si="5"/>
        <v>0</v>
      </c>
    </row>
    <row r="379" spans="1:4" customFormat="1" ht="18" hidden="1">
      <c r="A379" s="164" t="s">
        <v>53</v>
      </c>
      <c r="B379" s="157"/>
      <c r="C379" s="157"/>
      <c r="D379" s="158">
        <f t="shared" si="5"/>
        <v>0</v>
      </c>
    </row>
    <row r="380" spans="1:4" customFormat="1" ht="18" hidden="1">
      <c r="A380" s="161" t="s">
        <v>55</v>
      </c>
      <c r="B380" s="157"/>
      <c r="C380" s="157"/>
      <c r="D380" s="158">
        <f t="shared" si="5"/>
        <v>0</v>
      </c>
    </row>
    <row r="381" spans="1:4" customFormat="1" ht="18" hidden="1">
      <c r="A381" s="161" t="s">
        <v>56</v>
      </c>
      <c r="B381" s="157"/>
      <c r="C381" s="157"/>
      <c r="D381" s="158">
        <f t="shared" si="5"/>
        <v>0</v>
      </c>
    </row>
    <row r="382" spans="1:4" customFormat="1" ht="18" hidden="1">
      <c r="A382" s="161" t="s">
        <v>58</v>
      </c>
      <c r="B382" s="157"/>
      <c r="C382" s="157"/>
      <c r="D382" s="158">
        <f t="shared" si="5"/>
        <v>0</v>
      </c>
    </row>
    <row r="383" spans="1:4" customFormat="1" ht="18" hidden="1">
      <c r="A383" s="161" t="s">
        <v>59</v>
      </c>
      <c r="B383" s="157"/>
      <c r="C383" s="157"/>
      <c r="D383" s="158">
        <f t="shared" si="5"/>
        <v>0</v>
      </c>
    </row>
    <row r="384" spans="1:4" customFormat="1" ht="18" hidden="1">
      <c r="A384" s="173" t="s">
        <v>60</v>
      </c>
      <c r="B384" s="157"/>
      <c r="C384" s="157"/>
      <c r="D384" s="158">
        <f t="shared" si="5"/>
        <v>0</v>
      </c>
    </row>
    <row r="385" spans="1:10" ht="18" hidden="1">
      <c r="A385" s="159" t="s">
        <v>61</v>
      </c>
      <c r="B385" s="157"/>
      <c r="C385" s="157"/>
      <c r="D385" s="158">
        <f t="shared" si="5"/>
        <v>0</v>
      </c>
      <c r="I385"/>
      <c r="J385"/>
    </row>
    <row r="386" spans="1:10" ht="18" hidden="1">
      <c r="A386" s="173" t="s">
        <v>62</v>
      </c>
      <c r="B386" s="157"/>
      <c r="C386" s="157"/>
      <c r="D386" s="158">
        <f t="shared" si="5"/>
        <v>0</v>
      </c>
      <c r="I386"/>
      <c r="J386"/>
    </row>
    <row r="387" spans="1:10" ht="18" hidden="1">
      <c r="A387" s="161" t="s">
        <v>63</v>
      </c>
      <c r="B387" s="157"/>
      <c r="C387" s="157"/>
      <c r="D387" s="158">
        <f t="shared" si="5"/>
        <v>0</v>
      </c>
      <c r="I387"/>
      <c r="J387"/>
    </row>
    <row r="388" spans="1:10" ht="18" hidden="1">
      <c r="A388" s="161" t="s">
        <v>64</v>
      </c>
      <c r="B388" s="157"/>
      <c r="C388" s="157"/>
      <c r="D388" s="158">
        <f t="shared" ref="D388:D451" si="6">B388*C388</f>
        <v>0</v>
      </c>
      <c r="I388"/>
      <c r="J388"/>
    </row>
    <row r="389" spans="1:10" ht="18">
      <c r="A389" s="156" t="s">
        <v>65</v>
      </c>
      <c r="B389" s="157">
        <v>300</v>
      </c>
      <c r="C389" s="157">
        <v>21000</v>
      </c>
      <c r="D389" s="158">
        <f t="shared" si="6"/>
        <v>6300000</v>
      </c>
    </row>
    <row r="390" spans="1:10" ht="18" hidden="1">
      <c r="A390" s="180" t="s">
        <v>66</v>
      </c>
      <c r="B390" s="157"/>
      <c r="C390" s="157"/>
      <c r="D390" s="158">
        <f t="shared" si="6"/>
        <v>0</v>
      </c>
      <c r="I390"/>
      <c r="J390"/>
    </row>
    <row r="391" spans="1:10" ht="18" hidden="1">
      <c r="A391" s="164" t="s">
        <v>67</v>
      </c>
      <c r="B391" s="157"/>
      <c r="C391" s="157"/>
      <c r="D391" s="158">
        <f t="shared" si="6"/>
        <v>0</v>
      </c>
      <c r="I391"/>
      <c r="J391"/>
    </row>
    <row r="392" spans="1:10" ht="18" hidden="1">
      <c r="A392" s="164" t="s">
        <v>69</v>
      </c>
      <c r="B392" s="157"/>
      <c r="C392" s="157"/>
      <c r="D392" s="158">
        <f t="shared" si="6"/>
        <v>0</v>
      </c>
      <c r="I392"/>
      <c r="J392"/>
    </row>
    <row r="393" spans="1:10" ht="18" hidden="1">
      <c r="A393" s="164" t="s">
        <v>70</v>
      </c>
      <c r="B393" s="157"/>
      <c r="C393" s="157"/>
      <c r="D393" s="158">
        <f t="shared" si="6"/>
        <v>0</v>
      </c>
      <c r="I393"/>
      <c r="J393"/>
    </row>
    <row r="394" spans="1:10" ht="18" hidden="1">
      <c r="A394" s="161" t="s">
        <v>71</v>
      </c>
      <c r="B394" s="157"/>
      <c r="C394" s="157"/>
      <c r="D394" s="158">
        <f t="shared" si="6"/>
        <v>0</v>
      </c>
      <c r="I394"/>
      <c r="J394"/>
    </row>
    <row r="395" spans="1:10" ht="18" hidden="1">
      <c r="A395" s="159" t="s">
        <v>72</v>
      </c>
      <c r="B395" s="157"/>
      <c r="C395" s="157"/>
      <c r="D395" s="158">
        <f t="shared" si="6"/>
        <v>0</v>
      </c>
      <c r="I395"/>
      <c r="J395"/>
    </row>
    <row r="396" spans="1:10" ht="18" hidden="1">
      <c r="A396" s="161" t="s">
        <v>73</v>
      </c>
      <c r="B396" s="157"/>
      <c r="C396" s="157"/>
      <c r="D396" s="158">
        <f t="shared" si="6"/>
        <v>0</v>
      </c>
      <c r="I396"/>
      <c r="J396"/>
    </row>
    <row r="397" spans="1:10" ht="18" hidden="1">
      <c r="A397" s="161" t="s">
        <v>74</v>
      </c>
      <c r="B397" s="157"/>
      <c r="C397" s="157"/>
      <c r="D397" s="158">
        <f t="shared" si="6"/>
        <v>0</v>
      </c>
      <c r="I397"/>
      <c r="J397"/>
    </row>
    <row r="398" spans="1:10" ht="18" hidden="1">
      <c r="A398" s="164" t="s">
        <v>75</v>
      </c>
      <c r="B398" s="157"/>
      <c r="C398" s="157"/>
      <c r="D398" s="158">
        <f t="shared" si="6"/>
        <v>0</v>
      </c>
      <c r="I398"/>
      <c r="J398"/>
    </row>
    <row r="399" spans="1:10" ht="18" hidden="1">
      <c r="A399" s="161" t="s">
        <v>76</v>
      </c>
      <c r="B399" s="157"/>
      <c r="C399" s="157"/>
      <c r="D399" s="158">
        <f t="shared" si="6"/>
        <v>0</v>
      </c>
      <c r="I399"/>
      <c r="J399"/>
    </row>
    <row r="400" spans="1:10" ht="18" hidden="1">
      <c r="A400" s="185" t="s">
        <v>77</v>
      </c>
      <c r="B400" s="157"/>
      <c r="C400" s="157"/>
      <c r="D400" s="158">
        <f t="shared" si="6"/>
        <v>0</v>
      </c>
      <c r="I400"/>
      <c r="J400"/>
    </row>
    <row r="401" spans="1:10" ht="18" hidden="1">
      <c r="A401" s="161" t="s">
        <v>78</v>
      </c>
      <c r="B401" s="157"/>
      <c r="C401" s="157"/>
      <c r="D401" s="158">
        <f t="shared" si="6"/>
        <v>0</v>
      </c>
      <c r="I401"/>
      <c r="J401"/>
    </row>
    <row r="402" spans="1:10" ht="18" hidden="1">
      <c r="A402" s="161" t="s">
        <v>79</v>
      </c>
      <c r="B402" s="157"/>
      <c r="C402" s="157"/>
      <c r="D402" s="158">
        <f t="shared" si="6"/>
        <v>0</v>
      </c>
      <c r="I402"/>
      <c r="J402"/>
    </row>
    <row r="403" spans="1:10" ht="18" hidden="1">
      <c r="A403" s="160" t="s">
        <v>80</v>
      </c>
      <c r="B403" s="157"/>
      <c r="C403" s="157"/>
      <c r="D403" s="158">
        <f t="shared" si="6"/>
        <v>0</v>
      </c>
      <c r="I403"/>
      <c r="J403"/>
    </row>
    <row r="404" spans="1:10" ht="18" hidden="1">
      <c r="A404" s="168" t="s">
        <v>81</v>
      </c>
      <c r="B404" s="157"/>
      <c r="C404" s="157"/>
      <c r="D404" s="158">
        <f t="shared" si="6"/>
        <v>0</v>
      </c>
      <c r="I404"/>
      <c r="J404"/>
    </row>
    <row r="405" spans="1:10" ht="18" hidden="1">
      <c r="A405" s="156" t="s">
        <v>82</v>
      </c>
      <c r="B405" s="157"/>
      <c r="C405" s="157"/>
      <c r="D405" s="158">
        <f t="shared" si="6"/>
        <v>0</v>
      </c>
      <c r="I405"/>
      <c r="J405"/>
    </row>
    <row r="406" spans="1:10" ht="18" hidden="1">
      <c r="A406" s="159" t="s">
        <v>83</v>
      </c>
      <c r="B406" s="157"/>
      <c r="C406" s="157"/>
      <c r="D406" s="158">
        <f t="shared" si="6"/>
        <v>0</v>
      </c>
      <c r="I406"/>
      <c r="J406"/>
    </row>
    <row r="407" spans="1:10" ht="18" hidden="1">
      <c r="A407" s="156" t="s">
        <v>84</v>
      </c>
      <c r="B407" s="157"/>
      <c r="C407" s="157"/>
      <c r="D407" s="158">
        <f t="shared" si="6"/>
        <v>0</v>
      </c>
      <c r="I407"/>
      <c r="J407"/>
    </row>
    <row r="408" spans="1:10" ht="18" hidden="1">
      <c r="A408" s="156" t="s">
        <v>85</v>
      </c>
      <c r="B408" s="157"/>
      <c r="C408" s="157"/>
      <c r="D408" s="158">
        <f t="shared" si="6"/>
        <v>0</v>
      </c>
      <c r="I408"/>
      <c r="J408"/>
    </row>
    <row r="409" spans="1:10" ht="18" hidden="1">
      <c r="A409" s="156" t="s">
        <v>86</v>
      </c>
      <c r="B409" s="157"/>
      <c r="C409" s="157"/>
      <c r="D409" s="158">
        <f t="shared" si="6"/>
        <v>0</v>
      </c>
      <c r="I409"/>
      <c r="J409"/>
    </row>
    <row r="410" spans="1:10" ht="18" hidden="1">
      <c r="A410" s="160" t="s">
        <v>87</v>
      </c>
      <c r="B410" s="157"/>
      <c r="C410" s="157"/>
      <c r="D410" s="158">
        <f t="shared" si="6"/>
        <v>0</v>
      </c>
      <c r="I410"/>
      <c r="J410"/>
    </row>
    <row r="411" spans="1:10" ht="18" hidden="1">
      <c r="A411" s="161" t="s">
        <v>88</v>
      </c>
      <c r="B411" s="157"/>
      <c r="C411" s="157"/>
      <c r="D411" s="158">
        <f t="shared" si="6"/>
        <v>0</v>
      </c>
      <c r="I411"/>
      <c r="J411"/>
    </row>
    <row r="412" spans="1:10" ht="18" hidden="1">
      <c r="A412" s="161" t="s">
        <v>89</v>
      </c>
      <c r="B412" s="157"/>
      <c r="C412" s="157"/>
      <c r="D412" s="158">
        <f t="shared" si="6"/>
        <v>0</v>
      </c>
      <c r="I412"/>
      <c r="J412"/>
    </row>
    <row r="413" spans="1:10" ht="18" hidden="1">
      <c r="A413" s="156" t="s">
        <v>357</v>
      </c>
      <c r="B413" s="157"/>
      <c r="C413" s="157"/>
      <c r="D413" s="158">
        <f t="shared" si="6"/>
        <v>0</v>
      </c>
      <c r="I413"/>
      <c r="J413"/>
    </row>
    <row r="414" spans="1:10" ht="18">
      <c r="A414" s="161" t="s">
        <v>90</v>
      </c>
      <c r="B414" s="157">
        <v>100</v>
      </c>
      <c r="C414" s="157">
        <v>28000</v>
      </c>
      <c r="D414" s="158">
        <f t="shared" si="6"/>
        <v>2800000</v>
      </c>
    </row>
    <row r="415" spans="1:10" ht="18" hidden="1">
      <c r="A415" s="173" t="s">
        <v>91</v>
      </c>
      <c r="B415" s="157"/>
      <c r="C415" s="157"/>
      <c r="D415" s="158">
        <f t="shared" si="6"/>
        <v>0</v>
      </c>
      <c r="I415"/>
      <c r="J415"/>
    </row>
    <row r="416" spans="1:10" ht="18" hidden="1">
      <c r="A416" s="161" t="s">
        <v>92</v>
      </c>
      <c r="B416" s="157"/>
      <c r="C416" s="157"/>
      <c r="D416" s="158">
        <f t="shared" si="6"/>
        <v>0</v>
      </c>
      <c r="I416"/>
      <c r="J416"/>
    </row>
    <row r="417" spans="1:10" ht="18" hidden="1">
      <c r="A417" s="161" t="s">
        <v>94</v>
      </c>
      <c r="B417" s="157"/>
      <c r="C417" s="157"/>
      <c r="D417" s="158">
        <f t="shared" si="6"/>
        <v>0</v>
      </c>
      <c r="I417"/>
      <c r="J417"/>
    </row>
    <row r="418" spans="1:10" ht="18" hidden="1">
      <c r="A418" s="161" t="s">
        <v>95</v>
      </c>
      <c r="B418" s="157"/>
      <c r="C418" s="157"/>
      <c r="D418" s="158">
        <f t="shared" si="6"/>
        <v>0</v>
      </c>
      <c r="I418"/>
      <c r="J418"/>
    </row>
    <row r="419" spans="1:10" ht="18" hidden="1">
      <c r="A419" s="156" t="s">
        <v>96</v>
      </c>
      <c r="B419" s="162"/>
      <c r="C419" s="162"/>
      <c r="D419" s="158">
        <f t="shared" si="6"/>
        <v>0</v>
      </c>
      <c r="I419"/>
      <c r="J419"/>
    </row>
    <row r="420" spans="1:10" ht="18" hidden="1">
      <c r="A420" s="156" t="s">
        <v>97</v>
      </c>
      <c r="B420" s="162"/>
      <c r="C420" s="162"/>
      <c r="D420" s="158">
        <f t="shared" si="6"/>
        <v>0</v>
      </c>
      <c r="I420"/>
      <c r="J420"/>
    </row>
    <row r="421" spans="1:10" ht="18" hidden="1">
      <c r="A421" s="156" t="s">
        <v>98</v>
      </c>
      <c r="B421" s="162"/>
      <c r="C421" s="162"/>
      <c r="D421" s="158">
        <f t="shared" si="6"/>
        <v>0</v>
      </c>
      <c r="I421"/>
      <c r="J421"/>
    </row>
    <row r="422" spans="1:10" ht="18" hidden="1">
      <c r="A422" s="161" t="s">
        <v>99</v>
      </c>
      <c r="B422" s="157"/>
      <c r="C422" s="157"/>
      <c r="D422" s="158">
        <f t="shared" si="6"/>
        <v>0</v>
      </c>
      <c r="I422"/>
      <c r="J422"/>
    </row>
    <row r="423" spans="1:10" ht="18" hidden="1">
      <c r="A423" s="161" t="s">
        <v>100</v>
      </c>
      <c r="B423" s="157"/>
      <c r="C423" s="157"/>
      <c r="D423" s="158">
        <f t="shared" si="6"/>
        <v>0</v>
      </c>
      <c r="I423"/>
      <c r="J423"/>
    </row>
    <row r="424" spans="1:10" ht="18" hidden="1">
      <c r="A424" s="161" t="s">
        <v>101</v>
      </c>
      <c r="B424" s="157"/>
      <c r="C424" s="157"/>
      <c r="D424" s="158">
        <f t="shared" si="6"/>
        <v>0</v>
      </c>
      <c r="I424"/>
      <c r="J424"/>
    </row>
    <row r="425" spans="1:10" ht="18" hidden="1">
      <c r="A425" s="161" t="s">
        <v>102</v>
      </c>
      <c r="B425" s="157"/>
      <c r="C425" s="157"/>
      <c r="D425" s="158">
        <f t="shared" si="6"/>
        <v>0</v>
      </c>
      <c r="I425"/>
      <c r="J425"/>
    </row>
    <row r="426" spans="1:10" ht="18" hidden="1">
      <c r="A426" s="161" t="s">
        <v>103</v>
      </c>
      <c r="B426" s="157"/>
      <c r="C426" s="157"/>
      <c r="D426" s="158">
        <f t="shared" si="6"/>
        <v>0</v>
      </c>
      <c r="I426"/>
      <c r="J426"/>
    </row>
    <row r="427" spans="1:10" ht="18">
      <c r="A427" s="161" t="s">
        <v>104</v>
      </c>
      <c r="B427" s="157">
        <v>15</v>
      </c>
      <c r="C427" s="157">
        <v>9000</v>
      </c>
      <c r="D427" s="158">
        <f t="shared" si="6"/>
        <v>135000</v>
      </c>
    </row>
    <row r="428" spans="1:10" ht="18" hidden="1">
      <c r="A428" s="163" t="s">
        <v>105</v>
      </c>
      <c r="B428" s="157"/>
      <c r="C428" s="157"/>
      <c r="D428" s="158">
        <f t="shared" si="6"/>
        <v>0</v>
      </c>
      <c r="I428"/>
      <c r="J428"/>
    </row>
    <row r="429" spans="1:10" ht="18" hidden="1">
      <c r="A429" s="163" t="s">
        <v>106</v>
      </c>
      <c r="B429" s="157"/>
      <c r="C429" s="157"/>
      <c r="D429" s="158">
        <f t="shared" si="6"/>
        <v>0</v>
      </c>
      <c r="I429"/>
      <c r="J429"/>
    </row>
    <row r="430" spans="1:10" ht="18" hidden="1">
      <c r="A430" s="163" t="s">
        <v>107</v>
      </c>
      <c r="B430" s="157"/>
      <c r="C430" s="157"/>
      <c r="D430" s="158">
        <f t="shared" si="6"/>
        <v>0</v>
      </c>
      <c r="I430"/>
      <c r="J430"/>
    </row>
    <row r="431" spans="1:10" ht="18" hidden="1">
      <c r="A431" s="159" t="s">
        <v>108</v>
      </c>
      <c r="B431" s="157"/>
      <c r="C431" s="157"/>
      <c r="D431" s="158">
        <f t="shared" si="6"/>
        <v>0</v>
      </c>
      <c r="I431"/>
      <c r="J431"/>
    </row>
    <row r="432" spans="1:10" ht="18" hidden="1">
      <c r="A432" s="173" t="s">
        <v>109</v>
      </c>
      <c r="B432" s="157"/>
      <c r="C432" s="157"/>
      <c r="D432" s="158">
        <f t="shared" si="6"/>
        <v>0</v>
      </c>
      <c r="I432"/>
      <c r="J432"/>
    </row>
    <row r="433" spans="1:4" customFormat="1" ht="18" hidden="1">
      <c r="A433" s="159" t="s">
        <v>358</v>
      </c>
      <c r="B433" s="157"/>
      <c r="C433" s="157"/>
      <c r="D433" s="158">
        <f t="shared" si="6"/>
        <v>0</v>
      </c>
    </row>
    <row r="434" spans="1:4" customFormat="1" ht="18" hidden="1">
      <c r="A434" s="161" t="s">
        <v>110</v>
      </c>
      <c r="B434" s="157"/>
      <c r="C434" s="157"/>
      <c r="D434" s="158">
        <f t="shared" si="6"/>
        <v>0</v>
      </c>
    </row>
    <row r="435" spans="1:4" customFormat="1" ht="18" hidden="1">
      <c r="A435" s="161" t="s">
        <v>111</v>
      </c>
      <c r="B435" s="157"/>
      <c r="C435" s="157"/>
      <c r="D435" s="158">
        <f t="shared" si="6"/>
        <v>0</v>
      </c>
    </row>
    <row r="436" spans="1:4" customFormat="1" ht="18" hidden="1">
      <c r="A436" s="159" t="s">
        <v>359</v>
      </c>
      <c r="B436" s="157"/>
      <c r="C436" s="157"/>
      <c r="D436" s="158">
        <f t="shared" si="6"/>
        <v>0</v>
      </c>
    </row>
    <row r="437" spans="1:4" customFormat="1" ht="18" hidden="1">
      <c r="A437" s="159" t="s">
        <v>360</v>
      </c>
      <c r="B437" s="157"/>
      <c r="C437" s="157"/>
      <c r="D437" s="158">
        <f t="shared" si="6"/>
        <v>0</v>
      </c>
    </row>
    <row r="438" spans="1:4" customFormat="1" ht="18" hidden="1">
      <c r="A438" s="161" t="s">
        <v>113</v>
      </c>
      <c r="B438" s="162"/>
      <c r="C438" s="162"/>
      <c r="D438" s="158">
        <f t="shared" si="6"/>
        <v>0</v>
      </c>
    </row>
    <row r="439" spans="1:4" customFormat="1" ht="18" hidden="1">
      <c r="A439" s="163" t="s">
        <v>115</v>
      </c>
      <c r="B439" s="157"/>
      <c r="C439" s="157"/>
      <c r="D439" s="158">
        <f t="shared" si="6"/>
        <v>0</v>
      </c>
    </row>
    <row r="440" spans="1:4" customFormat="1" ht="18" hidden="1">
      <c r="A440" s="159" t="s">
        <v>116</v>
      </c>
      <c r="B440" s="157"/>
      <c r="C440" s="157"/>
      <c r="D440" s="158">
        <f t="shared" si="6"/>
        <v>0</v>
      </c>
    </row>
    <row r="441" spans="1:4" customFormat="1" ht="18" hidden="1">
      <c r="A441" s="159" t="s">
        <v>361</v>
      </c>
      <c r="B441" s="157"/>
      <c r="C441" s="157"/>
      <c r="D441" s="158">
        <f t="shared" si="6"/>
        <v>0</v>
      </c>
    </row>
    <row r="442" spans="1:4" customFormat="1" ht="18" hidden="1">
      <c r="A442" s="161" t="s">
        <v>117</v>
      </c>
      <c r="B442" s="157"/>
      <c r="C442" s="157"/>
      <c r="D442" s="158">
        <f t="shared" si="6"/>
        <v>0</v>
      </c>
    </row>
    <row r="443" spans="1:4" customFormat="1" ht="18" hidden="1">
      <c r="A443" s="164" t="s">
        <v>118</v>
      </c>
      <c r="B443" s="157"/>
      <c r="C443" s="157"/>
      <c r="D443" s="158">
        <f t="shared" si="6"/>
        <v>0</v>
      </c>
    </row>
    <row r="444" spans="1:4" customFormat="1" ht="18" hidden="1">
      <c r="A444" s="177" t="s">
        <v>119</v>
      </c>
      <c r="B444" s="157"/>
      <c r="C444" s="157"/>
      <c r="D444" s="158">
        <f t="shared" si="6"/>
        <v>0</v>
      </c>
    </row>
    <row r="445" spans="1:4" customFormat="1" ht="18" hidden="1">
      <c r="A445" s="177" t="s">
        <v>120</v>
      </c>
      <c r="B445" s="157"/>
      <c r="C445" s="157"/>
      <c r="D445" s="158">
        <f t="shared" si="6"/>
        <v>0</v>
      </c>
    </row>
    <row r="446" spans="1:4" customFormat="1" ht="18" hidden="1">
      <c r="A446" s="195" t="s">
        <v>121</v>
      </c>
      <c r="B446" s="157"/>
      <c r="C446" s="157"/>
      <c r="D446" s="158">
        <f t="shared" si="6"/>
        <v>0</v>
      </c>
    </row>
    <row r="447" spans="1:4" customFormat="1" ht="18" hidden="1">
      <c r="A447" s="186" t="s">
        <v>122</v>
      </c>
      <c r="B447" s="157"/>
      <c r="C447" s="157"/>
      <c r="D447" s="158">
        <f t="shared" si="6"/>
        <v>0</v>
      </c>
    </row>
    <row r="448" spans="1:4" customFormat="1" ht="18" hidden="1">
      <c r="A448" s="161" t="s">
        <v>123</v>
      </c>
      <c r="B448" s="157"/>
      <c r="C448" s="157"/>
      <c r="D448" s="158">
        <f t="shared" si="6"/>
        <v>0</v>
      </c>
    </row>
    <row r="449" spans="1:10" ht="18">
      <c r="A449" s="161" t="s">
        <v>124</v>
      </c>
      <c r="B449" s="157">
        <v>20</v>
      </c>
      <c r="C449" s="157">
        <v>17000</v>
      </c>
      <c r="D449" s="158">
        <f t="shared" si="6"/>
        <v>340000</v>
      </c>
    </row>
    <row r="450" spans="1:10" ht="18" hidden="1">
      <c r="A450" s="161" t="s">
        <v>125</v>
      </c>
      <c r="B450" s="157"/>
      <c r="C450" s="157"/>
      <c r="D450" s="158">
        <f t="shared" si="6"/>
        <v>0</v>
      </c>
      <c r="I450"/>
      <c r="J450"/>
    </row>
    <row r="451" spans="1:10" ht="18" hidden="1">
      <c r="A451" s="161" t="s">
        <v>126</v>
      </c>
      <c r="B451" s="157"/>
      <c r="C451" s="157"/>
      <c r="D451" s="158">
        <f t="shared" si="6"/>
        <v>0</v>
      </c>
      <c r="I451"/>
      <c r="J451"/>
    </row>
    <row r="452" spans="1:10" ht="18" hidden="1">
      <c r="A452" s="161" t="s">
        <v>128</v>
      </c>
      <c r="B452" s="157"/>
      <c r="C452" s="157"/>
      <c r="D452" s="158">
        <f t="shared" ref="D452:D515" si="7">B452*C452</f>
        <v>0</v>
      </c>
      <c r="I452"/>
      <c r="J452"/>
    </row>
    <row r="453" spans="1:10" ht="18" hidden="1">
      <c r="A453" s="161" t="s">
        <v>129</v>
      </c>
      <c r="B453" s="157"/>
      <c r="C453" s="157"/>
      <c r="D453" s="158">
        <f t="shared" si="7"/>
        <v>0</v>
      </c>
      <c r="I453"/>
      <c r="J453"/>
    </row>
    <row r="454" spans="1:10" ht="18" hidden="1">
      <c r="A454" s="161" t="s">
        <v>362</v>
      </c>
      <c r="B454" s="157"/>
      <c r="C454" s="157"/>
      <c r="D454" s="158">
        <f t="shared" si="7"/>
        <v>0</v>
      </c>
      <c r="I454"/>
      <c r="J454"/>
    </row>
    <row r="455" spans="1:10" ht="18" hidden="1">
      <c r="A455" s="161" t="s">
        <v>130</v>
      </c>
      <c r="B455" s="157"/>
      <c r="C455" s="157"/>
      <c r="D455" s="158">
        <f t="shared" si="7"/>
        <v>0</v>
      </c>
      <c r="I455"/>
      <c r="J455"/>
    </row>
    <row r="456" spans="1:10" ht="18" hidden="1">
      <c r="A456" s="159" t="s">
        <v>131</v>
      </c>
      <c r="B456" s="157"/>
      <c r="C456" s="157"/>
      <c r="D456" s="158">
        <f t="shared" si="7"/>
        <v>0</v>
      </c>
      <c r="I456"/>
      <c r="J456"/>
    </row>
    <row r="457" spans="1:10" ht="18" hidden="1">
      <c r="A457" s="163" t="s">
        <v>132</v>
      </c>
      <c r="B457" s="157"/>
      <c r="C457" s="157"/>
      <c r="D457" s="158">
        <f t="shared" si="7"/>
        <v>0</v>
      </c>
      <c r="I457"/>
      <c r="J457"/>
    </row>
    <row r="458" spans="1:10" ht="18" hidden="1">
      <c r="A458" s="161" t="s">
        <v>133</v>
      </c>
      <c r="B458" s="157"/>
      <c r="C458" s="157"/>
      <c r="D458" s="158">
        <f t="shared" si="7"/>
        <v>0</v>
      </c>
      <c r="I458"/>
      <c r="J458"/>
    </row>
    <row r="459" spans="1:10" ht="18" hidden="1">
      <c r="A459" s="159" t="s">
        <v>135</v>
      </c>
      <c r="B459" s="157"/>
      <c r="C459" s="157"/>
      <c r="D459" s="158">
        <f t="shared" si="7"/>
        <v>0</v>
      </c>
      <c r="I459"/>
      <c r="J459"/>
    </row>
    <row r="460" spans="1:10" ht="18" hidden="1">
      <c r="A460" s="159" t="s">
        <v>136</v>
      </c>
      <c r="B460" s="157"/>
      <c r="C460" s="157"/>
      <c r="D460" s="158">
        <f t="shared" si="7"/>
        <v>0</v>
      </c>
      <c r="I460"/>
      <c r="J460"/>
    </row>
    <row r="461" spans="1:10" ht="18" hidden="1">
      <c r="A461" s="161" t="s">
        <v>137</v>
      </c>
      <c r="B461" s="157"/>
      <c r="C461" s="157"/>
      <c r="D461" s="158">
        <f t="shared" si="7"/>
        <v>0</v>
      </c>
      <c r="I461"/>
      <c r="J461"/>
    </row>
    <row r="462" spans="1:10" ht="18" hidden="1">
      <c r="A462" s="178" t="s">
        <v>139</v>
      </c>
      <c r="B462" s="157"/>
      <c r="C462" s="157"/>
      <c r="D462" s="158">
        <f t="shared" si="7"/>
        <v>0</v>
      </c>
      <c r="I462"/>
      <c r="J462"/>
    </row>
    <row r="463" spans="1:10" ht="18" hidden="1">
      <c r="A463" s="173" t="s">
        <v>140</v>
      </c>
      <c r="B463" s="157"/>
      <c r="C463" s="157"/>
      <c r="D463" s="158">
        <f t="shared" si="7"/>
        <v>0</v>
      </c>
      <c r="I463"/>
      <c r="J463"/>
    </row>
    <row r="464" spans="1:10" ht="18" hidden="1">
      <c r="A464" s="156" t="s">
        <v>141</v>
      </c>
      <c r="B464" s="162"/>
      <c r="C464" s="162"/>
      <c r="D464" s="158">
        <f t="shared" si="7"/>
        <v>0</v>
      </c>
      <c r="I464"/>
      <c r="J464"/>
    </row>
    <row r="465" spans="1:10" ht="18" hidden="1">
      <c r="A465" s="156" t="s">
        <v>142</v>
      </c>
      <c r="B465" s="162"/>
      <c r="C465" s="162"/>
      <c r="D465" s="158">
        <f t="shared" si="7"/>
        <v>0</v>
      </c>
      <c r="I465"/>
      <c r="J465"/>
    </row>
    <row r="466" spans="1:10" ht="18" hidden="1">
      <c r="A466" s="156" t="s">
        <v>143</v>
      </c>
      <c r="B466" s="162"/>
      <c r="C466" s="162"/>
      <c r="D466" s="158">
        <f t="shared" si="7"/>
        <v>0</v>
      </c>
      <c r="I466"/>
      <c r="J466"/>
    </row>
    <row r="467" spans="1:10" ht="18" hidden="1">
      <c r="A467" s="156" t="s">
        <v>144</v>
      </c>
      <c r="B467" s="179"/>
      <c r="C467" s="179"/>
      <c r="D467" s="158">
        <f t="shared" si="7"/>
        <v>0</v>
      </c>
      <c r="I467"/>
      <c r="J467"/>
    </row>
    <row r="468" spans="1:10" ht="18" hidden="1">
      <c r="A468" s="183" t="s">
        <v>145</v>
      </c>
      <c r="B468" s="157"/>
      <c r="C468" s="157"/>
      <c r="D468" s="158">
        <f t="shared" si="7"/>
        <v>0</v>
      </c>
      <c r="I468"/>
      <c r="J468"/>
    </row>
    <row r="469" spans="1:10" ht="18" hidden="1">
      <c r="A469" s="156" t="s">
        <v>146</v>
      </c>
      <c r="B469" s="162"/>
      <c r="C469" s="162"/>
      <c r="D469" s="158">
        <f t="shared" si="7"/>
        <v>0</v>
      </c>
      <c r="I469"/>
      <c r="J469"/>
    </row>
    <row r="470" spans="1:10" ht="18" hidden="1">
      <c r="A470" s="161" t="s">
        <v>147</v>
      </c>
      <c r="B470" s="157"/>
      <c r="C470" s="157"/>
      <c r="D470" s="158">
        <f t="shared" si="7"/>
        <v>0</v>
      </c>
      <c r="I470"/>
      <c r="J470"/>
    </row>
    <row r="471" spans="1:10" ht="18" hidden="1">
      <c r="A471" s="161" t="s">
        <v>148</v>
      </c>
      <c r="B471" s="157"/>
      <c r="C471" s="157"/>
      <c r="D471" s="158">
        <f t="shared" si="7"/>
        <v>0</v>
      </c>
      <c r="I471"/>
      <c r="J471"/>
    </row>
    <row r="472" spans="1:10" ht="18">
      <c r="A472" s="161" t="s">
        <v>150</v>
      </c>
      <c r="B472" s="157">
        <v>60</v>
      </c>
      <c r="C472" s="157">
        <v>16000</v>
      </c>
      <c r="D472" s="158">
        <f t="shared" si="7"/>
        <v>960000</v>
      </c>
    </row>
    <row r="473" spans="1:10" ht="18" hidden="1">
      <c r="A473" s="164" t="s">
        <v>151</v>
      </c>
      <c r="B473" s="157"/>
      <c r="C473" s="157"/>
      <c r="D473" s="158">
        <f t="shared" si="7"/>
        <v>0</v>
      </c>
      <c r="I473"/>
      <c r="J473"/>
    </row>
    <row r="474" spans="1:10" ht="18" hidden="1">
      <c r="A474" s="156" t="s">
        <v>152</v>
      </c>
      <c r="B474" s="157"/>
      <c r="C474" s="157"/>
      <c r="D474" s="158">
        <f t="shared" si="7"/>
        <v>0</v>
      </c>
      <c r="I474"/>
      <c r="J474"/>
    </row>
    <row r="475" spans="1:10" ht="18" hidden="1">
      <c r="A475" s="156" t="s">
        <v>153</v>
      </c>
      <c r="B475" s="157"/>
      <c r="C475" s="157"/>
      <c r="D475" s="158">
        <f t="shared" si="7"/>
        <v>0</v>
      </c>
      <c r="I475"/>
      <c r="J475"/>
    </row>
    <row r="476" spans="1:10" ht="18" hidden="1">
      <c r="A476" s="161" t="s">
        <v>154</v>
      </c>
      <c r="B476" s="157"/>
      <c r="C476" s="157"/>
      <c r="D476" s="158">
        <f t="shared" si="7"/>
        <v>0</v>
      </c>
      <c r="I476"/>
      <c r="J476"/>
    </row>
    <row r="477" spans="1:10" ht="18" hidden="1">
      <c r="A477" s="161" t="s">
        <v>363</v>
      </c>
      <c r="B477" s="157"/>
      <c r="C477" s="157"/>
      <c r="D477" s="158">
        <f t="shared" si="7"/>
        <v>0</v>
      </c>
      <c r="I477"/>
      <c r="J477"/>
    </row>
    <row r="478" spans="1:10" ht="18" hidden="1">
      <c r="A478" s="161" t="s">
        <v>156</v>
      </c>
      <c r="B478" s="162"/>
      <c r="C478" s="162"/>
      <c r="D478" s="158">
        <f t="shared" si="7"/>
        <v>0</v>
      </c>
      <c r="I478"/>
      <c r="J478"/>
    </row>
    <row r="479" spans="1:10" ht="18" hidden="1">
      <c r="A479" s="161" t="s">
        <v>157</v>
      </c>
      <c r="B479" s="162"/>
      <c r="C479" s="162"/>
      <c r="D479" s="158">
        <f t="shared" si="7"/>
        <v>0</v>
      </c>
      <c r="I479"/>
      <c r="J479"/>
    </row>
    <row r="480" spans="1:10" ht="18" hidden="1">
      <c r="A480" s="161" t="s">
        <v>158</v>
      </c>
      <c r="B480" s="157"/>
      <c r="C480" s="157"/>
      <c r="D480" s="158">
        <f t="shared" si="7"/>
        <v>0</v>
      </c>
      <c r="I480"/>
      <c r="J480"/>
    </row>
    <row r="481" spans="1:4" customFormat="1" ht="18" hidden="1">
      <c r="A481" s="161" t="s">
        <v>159</v>
      </c>
      <c r="B481" s="162"/>
      <c r="C481" s="162"/>
      <c r="D481" s="158">
        <f t="shared" si="7"/>
        <v>0</v>
      </c>
    </row>
    <row r="482" spans="1:4" customFormat="1" ht="18" hidden="1">
      <c r="A482" s="161" t="s">
        <v>160</v>
      </c>
      <c r="B482" s="162"/>
      <c r="C482" s="162"/>
      <c r="D482" s="158">
        <f t="shared" si="7"/>
        <v>0</v>
      </c>
    </row>
    <row r="483" spans="1:4" customFormat="1" ht="18" hidden="1">
      <c r="A483" s="161" t="s">
        <v>161</v>
      </c>
      <c r="B483" s="162"/>
      <c r="C483" s="162"/>
      <c r="D483" s="158">
        <f t="shared" si="7"/>
        <v>0</v>
      </c>
    </row>
    <row r="484" spans="1:4" customFormat="1" ht="18" hidden="1">
      <c r="A484" s="161" t="s">
        <v>162</v>
      </c>
      <c r="B484" s="162"/>
      <c r="C484" s="162"/>
      <c r="D484" s="158">
        <f t="shared" si="7"/>
        <v>0</v>
      </c>
    </row>
    <row r="485" spans="1:4" customFormat="1" ht="18" hidden="1">
      <c r="A485" s="161" t="s">
        <v>163</v>
      </c>
      <c r="B485" s="162"/>
      <c r="C485" s="162"/>
      <c r="D485" s="158">
        <f t="shared" si="7"/>
        <v>0</v>
      </c>
    </row>
    <row r="486" spans="1:4" customFormat="1" ht="18" hidden="1">
      <c r="A486" s="161" t="s">
        <v>164</v>
      </c>
      <c r="B486" s="162"/>
      <c r="C486" s="162"/>
      <c r="D486" s="158">
        <f t="shared" si="7"/>
        <v>0</v>
      </c>
    </row>
    <row r="487" spans="1:4" customFormat="1" ht="18" hidden="1">
      <c r="A487" s="161" t="s">
        <v>165</v>
      </c>
      <c r="B487" s="162"/>
      <c r="C487" s="162"/>
      <c r="D487" s="158">
        <f t="shared" si="7"/>
        <v>0</v>
      </c>
    </row>
    <row r="488" spans="1:4" customFormat="1" ht="18" hidden="1">
      <c r="A488" s="161" t="s">
        <v>166</v>
      </c>
      <c r="B488" s="162"/>
      <c r="C488" s="162"/>
      <c r="D488" s="158">
        <f t="shared" si="7"/>
        <v>0</v>
      </c>
    </row>
    <row r="489" spans="1:4" customFormat="1" ht="18" hidden="1">
      <c r="A489" s="161" t="s">
        <v>167</v>
      </c>
      <c r="B489" s="157"/>
      <c r="C489" s="157"/>
      <c r="D489" s="158">
        <f t="shared" si="7"/>
        <v>0</v>
      </c>
    </row>
    <row r="490" spans="1:4" customFormat="1" ht="18" hidden="1">
      <c r="A490" s="161" t="s">
        <v>364</v>
      </c>
      <c r="B490" s="157"/>
      <c r="C490" s="157"/>
      <c r="D490" s="158">
        <f t="shared" si="7"/>
        <v>0</v>
      </c>
    </row>
    <row r="491" spans="1:4" customFormat="1" ht="18" hidden="1">
      <c r="A491" s="161" t="s">
        <v>168</v>
      </c>
      <c r="B491" s="157"/>
      <c r="C491" s="157"/>
      <c r="D491" s="158">
        <f t="shared" si="7"/>
        <v>0</v>
      </c>
    </row>
    <row r="492" spans="1:4" customFormat="1" ht="18" hidden="1">
      <c r="A492" s="161" t="s">
        <v>169</v>
      </c>
      <c r="B492" s="157"/>
      <c r="C492" s="157"/>
      <c r="D492" s="158">
        <f t="shared" si="7"/>
        <v>0</v>
      </c>
    </row>
    <row r="493" spans="1:4" customFormat="1" ht="18" hidden="1">
      <c r="A493" s="161" t="s">
        <v>170</v>
      </c>
      <c r="B493" s="157"/>
      <c r="C493" s="157"/>
      <c r="D493" s="158">
        <f t="shared" si="7"/>
        <v>0</v>
      </c>
    </row>
    <row r="494" spans="1:4" customFormat="1" ht="18" hidden="1">
      <c r="A494" s="164" t="s">
        <v>171</v>
      </c>
      <c r="B494" s="157"/>
      <c r="C494" s="157"/>
      <c r="D494" s="158">
        <f t="shared" si="7"/>
        <v>0</v>
      </c>
    </row>
    <row r="495" spans="1:4" customFormat="1" ht="18" hidden="1">
      <c r="A495" s="161" t="s">
        <v>172</v>
      </c>
      <c r="B495" s="157"/>
      <c r="C495" s="157"/>
      <c r="D495" s="158">
        <f t="shared" si="7"/>
        <v>0</v>
      </c>
    </row>
    <row r="496" spans="1:4" customFormat="1" ht="18" hidden="1">
      <c r="A496" s="161" t="s">
        <v>173</v>
      </c>
      <c r="B496" s="157"/>
      <c r="C496" s="157"/>
      <c r="D496" s="158">
        <f t="shared" si="7"/>
        <v>0</v>
      </c>
    </row>
    <row r="497" spans="1:4" customFormat="1" ht="18" hidden="1">
      <c r="A497" s="161" t="s">
        <v>174</v>
      </c>
      <c r="B497" s="157"/>
      <c r="C497" s="157"/>
      <c r="D497" s="158">
        <f t="shared" si="7"/>
        <v>0</v>
      </c>
    </row>
    <row r="498" spans="1:4" customFormat="1" ht="18" hidden="1">
      <c r="A498" s="161" t="s">
        <v>175</v>
      </c>
      <c r="B498" s="157"/>
      <c r="C498" s="157"/>
      <c r="D498" s="158">
        <f t="shared" si="7"/>
        <v>0</v>
      </c>
    </row>
    <row r="499" spans="1:4" customFormat="1" ht="18" hidden="1">
      <c r="A499" s="161" t="s">
        <v>176</v>
      </c>
      <c r="B499" s="162"/>
      <c r="C499" s="162"/>
      <c r="D499" s="158">
        <f t="shared" si="7"/>
        <v>0</v>
      </c>
    </row>
    <row r="500" spans="1:4" customFormat="1" ht="18" hidden="1">
      <c r="A500" s="180" t="s">
        <v>177</v>
      </c>
      <c r="B500" s="162"/>
      <c r="C500" s="162"/>
      <c r="D500" s="158">
        <f t="shared" si="7"/>
        <v>0</v>
      </c>
    </row>
    <row r="501" spans="1:4" customFormat="1" ht="18" hidden="1">
      <c r="A501" s="161" t="s">
        <v>178</v>
      </c>
      <c r="B501" s="162"/>
      <c r="C501" s="162"/>
      <c r="D501" s="158">
        <f t="shared" si="7"/>
        <v>0</v>
      </c>
    </row>
    <row r="502" spans="1:4" customFormat="1" ht="18" hidden="1">
      <c r="A502" s="161" t="s">
        <v>180</v>
      </c>
      <c r="B502" s="157"/>
      <c r="C502" s="157"/>
      <c r="D502" s="158">
        <f t="shared" si="7"/>
        <v>0</v>
      </c>
    </row>
    <row r="503" spans="1:4" customFormat="1" ht="18" hidden="1">
      <c r="A503" s="164" t="s">
        <v>181</v>
      </c>
      <c r="B503" s="157"/>
      <c r="C503" s="157"/>
      <c r="D503" s="158">
        <f t="shared" si="7"/>
        <v>0</v>
      </c>
    </row>
    <row r="504" spans="1:4" customFormat="1" ht="18" hidden="1">
      <c r="A504" s="161" t="s">
        <v>365</v>
      </c>
      <c r="B504" s="157"/>
      <c r="C504" s="157"/>
      <c r="D504" s="158">
        <f t="shared" si="7"/>
        <v>0</v>
      </c>
    </row>
    <row r="505" spans="1:4" customFormat="1" ht="18" hidden="1">
      <c r="A505" s="156" t="s">
        <v>182</v>
      </c>
      <c r="B505" s="157"/>
      <c r="C505" s="157"/>
      <c r="D505" s="158">
        <f t="shared" si="7"/>
        <v>0</v>
      </c>
    </row>
    <row r="506" spans="1:4" customFormat="1" ht="18" hidden="1">
      <c r="A506" s="161" t="s">
        <v>183</v>
      </c>
      <c r="B506" s="157"/>
      <c r="C506" s="157"/>
      <c r="D506" s="158">
        <f t="shared" si="7"/>
        <v>0</v>
      </c>
    </row>
    <row r="507" spans="1:4" customFormat="1" ht="18" hidden="1">
      <c r="A507" s="161" t="s">
        <v>185</v>
      </c>
      <c r="B507" s="157"/>
      <c r="C507" s="157"/>
      <c r="D507" s="158">
        <f t="shared" si="7"/>
        <v>0</v>
      </c>
    </row>
    <row r="508" spans="1:4" customFormat="1" ht="18" hidden="1">
      <c r="A508" s="161" t="s">
        <v>186</v>
      </c>
      <c r="B508" s="157"/>
      <c r="C508" s="157"/>
      <c r="D508" s="158">
        <f t="shared" si="7"/>
        <v>0</v>
      </c>
    </row>
    <row r="509" spans="1:4" customFormat="1" ht="18" hidden="1">
      <c r="A509" s="160" t="s">
        <v>187</v>
      </c>
      <c r="B509" s="157"/>
      <c r="C509" s="157"/>
      <c r="D509" s="158">
        <f t="shared" si="7"/>
        <v>0</v>
      </c>
    </row>
    <row r="510" spans="1:4" customFormat="1" ht="18" hidden="1">
      <c r="A510" s="161" t="s">
        <v>188</v>
      </c>
      <c r="B510" s="157"/>
      <c r="C510" s="157"/>
      <c r="D510" s="158">
        <f t="shared" si="7"/>
        <v>0</v>
      </c>
    </row>
    <row r="511" spans="1:4" customFormat="1" ht="18" hidden="1">
      <c r="A511" s="169" t="s">
        <v>189</v>
      </c>
      <c r="B511" s="170"/>
      <c r="C511" s="170"/>
      <c r="D511" s="158">
        <f t="shared" si="7"/>
        <v>0</v>
      </c>
    </row>
    <row r="512" spans="1:4" customFormat="1" ht="18" hidden="1">
      <c r="A512" s="159" t="s">
        <v>190</v>
      </c>
      <c r="B512" s="157"/>
      <c r="C512" s="157"/>
      <c r="D512" s="158">
        <f t="shared" si="7"/>
        <v>0</v>
      </c>
    </row>
    <row r="513" spans="1:10" ht="18" hidden="1">
      <c r="A513" s="161" t="s">
        <v>191</v>
      </c>
      <c r="B513" s="157"/>
      <c r="C513" s="157"/>
      <c r="D513" s="158">
        <f t="shared" si="7"/>
        <v>0</v>
      </c>
      <c r="I513"/>
      <c r="J513"/>
    </row>
    <row r="514" spans="1:10" ht="18" hidden="1">
      <c r="A514" s="161" t="s">
        <v>192</v>
      </c>
      <c r="B514" s="157"/>
      <c r="C514" s="157"/>
      <c r="D514" s="158">
        <f t="shared" si="7"/>
        <v>0</v>
      </c>
      <c r="I514"/>
      <c r="J514"/>
    </row>
    <row r="515" spans="1:10" ht="18" hidden="1">
      <c r="A515" s="156" t="s">
        <v>193</v>
      </c>
      <c r="B515" s="157"/>
      <c r="C515" s="157"/>
      <c r="D515" s="158">
        <f t="shared" si="7"/>
        <v>0</v>
      </c>
      <c r="I515"/>
      <c r="J515"/>
    </row>
    <row r="516" spans="1:10" ht="18" hidden="1">
      <c r="A516" s="161" t="s">
        <v>194</v>
      </c>
      <c r="B516" s="157"/>
      <c r="C516" s="157"/>
      <c r="D516" s="158">
        <f t="shared" ref="D516:D579" si="8">B516*C516</f>
        <v>0</v>
      </c>
      <c r="I516"/>
      <c r="J516"/>
    </row>
    <row r="517" spans="1:10" ht="18" hidden="1">
      <c r="A517" s="161" t="s">
        <v>195</v>
      </c>
      <c r="B517" s="157"/>
      <c r="C517" s="157"/>
      <c r="D517" s="158">
        <f t="shared" si="8"/>
        <v>0</v>
      </c>
      <c r="I517"/>
      <c r="J517"/>
    </row>
    <row r="518" spans="1:10" ht="18" hidden="1">
      <c r="A518" s="156" t="s">
        <v>196</v>
      </c>
      <c r="B518" s="157"/>
      <c r="C518" s="157"/>
      <c r="D518" s="158">
        <f t="shared" si="8"/>
        <v>0</v>
      </c>
      <c r="I518"/>
      <c r="J518"/>
    </row>
    <row r="519" spans="1:10" ht="18" hidden="1">
      <c r="A519" s="156" t="s">
        <v>197</v>
      </c>
      <c r="B519" s="157"/>
      <c r="C519" s="157"/>
      <c r="D519" s="158">
        <f t="shared" si="8"/>
        <v>0</v>
      </c>
      <c r="I519"/>
      <c r="J519"/>
    </row>
    <row r="520" spans="1:10" ht="18">
      <c r="A520" s="156" t="s">
        <v>198</v>
      </c>
      <c r="B520" s="157">
        <v>450</v>
      </c>
      <c r="C520" s="157">
        <v>8500</v>
      </c>
      <c r="D520" s="158">
        <f t="shared" si="8"/>
        <v>3825000</v>
      </c>
    </row>
    <row r="521" spans="1:10" ht="18" hidden="1">
      <c r="A521" s="161" t="s">
        <v>199</v>
      </c>
      <c r="B521" s="157"/>
      <c r="C521" s="157"/>
      <c r="D521" s="158">
        <f t="shared" si="8"/>
        <v>0</v>
      </c>
      <c r="I521"/>
      <c r="J521"/>
    </row>
    <row r="522" spans="1:10" ht="18" hidden="1">
      <c r="A522" s="156" t="s">
        <v>200</v>
      </c>
      <c r="B522" s="157"/>
      <c r="C522" s="157"/>
      <c r="D522" s="158">
        <f t="shared" si="8"/>
        <v>0</v>
      </c>
      <c r="I522"/>
      <c r="J522"/>
    </row>
    <row r="523" spans="1:10" ht="18" hidden="1">
      <c r="A523" s="156" t="s">
        <v>201</v>
      </c>
      <c r="B523" s="157"/>
      <c r="C523" s="157"/>
      <c r="D523" s="158">
        <f t="shared" si="8"/>
        <v>0</v>
      </c>
      <c r="I523"/>
      <c r="J523"/>
    </row>
    <row r="524" spans="1:10" ht="18" hidden="1">
      <c r="A524" s="156" t="s">
        <v>202</v>
      </c>
      <c r="B524" s="157"/>
      <c r="C524" s="157"/>
      <c r="D524" s="158">
        <f t="shared" si="8"/>
        <v>0</v>
      </c>
      <c r="I524"/>
      <c r="J524"/>
    </row>
    <row r="525" spans="1:10" ht="18" hidden="1">
      <c r="A525" s="161" t="s">
        <v>203</v>
      </c>
      <c r="B525" s="157"/>
      <c r="C525" s="157"/>
      <c r="D525" s="158">
        <f t="shared" si="8"/>
        <v>0</v>
      </c>
      <c r="I525"/>
      <c r="J525"/>
    </row>
    <row r="526" spans="1:10" ht="18" hidden="1">
      <c r="A526" s="164" t="s">
        <v>204</v>
      </c>
      <c r="B526" s="157"/>
      <c r="C526" s="157"/>
      <c r="D526" s="158">
        <f t="shared" si="8"/>
        <v>0</v>
      </c>
      <c r="I526"/>
      <c r="J526"/>
    </row>
    <row r="527" spans="1:10" ht="18" hidden="1">
      <c r="A527" s="164" t="s">
        <v>205</v>
      </c>
      <c r="B527" s="157"/>
      <c r="C527" s="157"/>
      <c r="D527" s="158">
        <f t="shared" si="8"/>
        <v>0</v>
      </c>
      <c r="I527"/>
      <c r="J527"/>
    </row>
    <row r="528" spans="1:10" ht="18" hidden="1">
      <c r="A528" s="164" t="s">
        <v>206</v>
      </c>
      <c r="B528" s="157"/>
      <c r="C528" s="157"/>
      <c r="D528" s="158">
        <f t="shared" si="8"/>
        <v>0</v>
      </c>
      <c r="I528"/>
      <c r="J528"/>
    </row>
    <row r="529" spans="1:10" ht="18" hidden="1">
      <c r="A529" s="164" t="s">
        <v>207</v>
      </c>
      <c r="B529" s="157"/>
      <c r="C529" s="157"/>
      <c r="D529" s="158">
        <f t="shared" si="8"/>
        <v>0</v>
      </c>
      <c r="I529"/>
      <c r="J529"/>
    </row>
    <row r="530" spans="1:10" ht="18" hidden="1">
      <c r="A530" s="156" t="s">
        <v>208</v>
      </c>
      <c r="B530" s="157"/>
      <c r="C530" s="157"/>
      <c r="D530" s="158">
        <f t="shared" si="8"/>
        <v>0</v>
      </c>
      <c r="I530"/>
      <c r="J530"/>
    </row>
    <row r="531" spans="1:10" ht="18" hidden="1">
      <c r="A531" s="161" t="s">
        <v>209</v>
      </c>
      <c r="B531" s="157"/>
      <c r="C531" s="157"/>
      <c r="D531" s="158">
        <f t="shared" si="8"/>
        <v>0</v>
      </c>
      <c r="I531"/>
      <c r="J531"/>
    </row>
    <row r="532" spans="1:10" ht="18" hidden="1">
      <c r="A532" s="187" t="s">
        <v>210</v>
      </c>
      <c r="B532" s="157"/>
      <c r="C532" s="157"/>
      <c r="D532" s="158">
        <f t="shared" si="8"/>
        <v>0</v>
      </c>
      <c r="I532"/>
      <c r="J532"/>
    </row>
    <row r="533" spans="1:10" ht="18" hidden="1">
      <c r="A533" s="187" t="s">
        <v>211</v>
      </c>
      <c r="B533" s="157"/>
      <c r="C533" s="157"/>
      <c r="D533" s="158">
        <f t="shared" si="8"/>
        <v>0</v>
      </c>
      <c r="I533"/>
      <c r="J533"/>
    </row>
    <row r="534" spans="1:10" ht="18" hidden="1">
      <c r="A534" s="187" t="s">
        <v>212</v>
      </c>
      <c r="B534" s="157"/>
      <c r="C534" s="157"/>
      <c r="D534" s="158">
        <f t="shared" si="8"/>
        <v>0</v>
      </c>
      <c r="I534"/>
      <c r="J534"/>
    </row>
    <row r="535" spans="1:10" ht="18" hidden="1">
      <c r="A535" s="187" t="s">
        <v>213</v>
      </c>
      <c r="B535" s="157"/>
      <c r="C535" s="157"/>
      <c r="D535" s="158">
        <f t="shared" si="8"/>
        <v>0</v>
      </c>
      <c r="I535"/>
      <c r="J535"/>
    </row>
    <row r="536" spans="1:10" ht="18" hidden="1">
      <c r="A536" s="161" t="s">
        <v>214</v>
      </c>
      <c r="B536" s="157"/>
      <c r="C536" s="157"/>
      <c r="D536" s="158">
        <f t="shared" si="8"/>
        <v>0</v>
      </c>
      <c r="I536"/>
      <c r="J536"/>
    </row>
    <row r="537" spans="1:10" ht="18" hidden="1">
      <c r="A537" s="167" t="s">
        <v>215</v>
      </c>
      <c r="B537" s="157"/>
      <c r="C537" s="157"/>
      <c r="D537" s="158">
        <f t="shared" si="8"/>
        <v>0</v>
      </c>
      <c r="I537"/>
      <c r="J537"/>
    </row>
    <row r="538" spans="1:10" ht="18" hidden="1">
      <c r="A538" s="161" t="s">
        <v>216</v>
      </c>
      <c r="B538" s="157"/>
      <c r="C538" s="157"/>
      <c r="D538" s="158">
        <f t="shared" si="8"/>
        <v>0</v>
      </c>
      <c r="I538"/>
      <c r="J538"/>
    </row>
    <row r="539" spans="1:10" ht="18" hidden="1">
      <c r="A539" s="156" t="s">
        <v>217</v>
      </c>
      <c r="B539" s="157"/>
      <c r="C539" s="157"/>
      <c r="D539" s="158">
        <f t="shared" si="8"/>
        <v>0</v>
      </c>
      <c r="I539"/>
      <c r="J539"/>
    </row>
    <row r="540" spans="1:10" ht="18" hidden="1">
      <c r="A540" s="161" t="s">
        <v>366</v>
      </c>
      <c r="B540" s="157"/>
      <c r="C540" s="157"/>
      <c r="D540" s="158">
        <f t="shared" si="8"/>
        <v>0</v>
      </c>
      <c r="I540"/>
      <c r="J540"/>
    </row>
    <row r="541" spans="1:10" ht="18" hidden="1">
      <c r="A541" s="161" t="s">
        <v>218</v>
      </c>
      <c r="B541" s="157"/>
      <c r="C541" s="157"/>
      <c r="D541" s="158">
        <f t="shared" si="8"/>
        <v>0</v>
      </c>
      <c r="I541"/>
      <c r="J541"/>
    </row>
    <row r="542" spans="1:10" ht="18">
      <c r="A542" s="161" t="s">
        <v>219</v>
      </c>
      <c r="B542" s="157">
        <v>400</v>
      </c>
      <c r="C542" s="157">
        <v>19000</v>
      </c>
      <c r="D542" s="158">
        <f t="shared" si="8"/>
        <v>7600000</v>
      </c>
    </row>
    <row r="543" spans="1:10" ht="18" hidden="1">
      <c r="A543" s="175" t="s">
        <v>220</v>
      </c>
      <c r="B543" s="157"/>
      <c r="C543" s="157"/>
      <c r="D543" s="158">
        <f t="shared" si="8"/>
        <v>0</v>
      </c>
      <c r="I543"/>
      <c r="J543"/>
    </row>
    <row r="544" spans="1:10" ht="18" hidden="1">
      <c r="A544" s="175" t="s">
        <v>221</v>
      </c>
      <c r="B544" s="157"/>
      <c r="C544" s="157"/>
      <c r="D544" s="158">
        <f t="shared" si="8"/>
        <v>0</v>
      </c>
      <c r="I544"/>
      <c r="J544"/>
    </row>
    <row r="545" spans="1:10" ht="18" hidden="1">
      <c r="A545" s="161" t="s">
        <v>222</v>
      </c>
      <c r="B545" s="157"/>
      <c r="C545" s="157"/>
      <c r="D545" s="158">
        <f t="shared" si="8"/>
        <v>0</v>
      </c>
      <c r="I545"/>
      <c r="J545"/>
    </row>
    <row r="546" spans="1:10" ht="18" hidden="1">
      <c r="A546" s="159" t="s">
        <v>223</v>
      </c>
      <c r="B546" s="157"/>
      <c r="C546" s="157"/>
      <c r="D546" s="158">
        <f t="shared" si="8"/>
        <v>0</v>
      </c>
      <c r="I546"/>
      <c r="J546"/>
    </row>
    <row r="547" spans="1:10" ht="18" hidden="1">
      <c r="A547" s="161" t="s">
        <v>224</v>
      </c>
      <c r="B547" s="157"/>
      <c r="C547" s="157"/>
      <c r="D547" s="158">
        <f t="shared" si="8"/>
        <v>0</v>
      </c>
      <c r="I547"/>
      <c r="J547"/>
    </row>
    <row r="548" spans="1:10" ht="18" hidden="1">
      <c r="A548" s="159" t="s">
        <v>367</v>
      </c>
      <c r="B548" s="157"/>
      <c r="C548" s="157"/>
      <c r="D548" s="158">
        <f t="shared" si="8"/>
        <v>0</v>
      </c>
      <c r="I548"/>
      <c r="J548"/>
    </row>
    <row r="549" spans="1:10" ht="18" hidden="1">
      <c r="A549" s="161" t="s">
        <v>225</v>
      </c>
      <c r="B549" s="157"/>
      <c r="C549" s="157"/>
      <c r="D549" s="158">
        <f t="shared" si="8"/>
        <v>0</v>
      </c>
      <c r="I549"/>
      <c r="J549"/>
    </row>
    <row r="550" spans="1:10" ht="18" hidden="1">
      <c r="A550" s="161" t="s">
        <v>226</v>
      </c>
      <c r="B550" s="157"/>
      <c r="C550" s="157"/>
      <c r="D550" s="158">
        <f t="shared" si="8"/>
        <v>0</v>
      </c>
      <c r="I550"/>
      <c r="J550"/>
    </row>
    <row r="551" spans="1:10" ht="18" hidden="1">
      <c r="A551" s="161" t="s">
        <v>368</v>
      </c>
      <c r="B551" s="157"/>
      <c r="C551" s="157"/>
      <c r="D551" s="158">
        <f t="shared" si="8"/>
        <v>0</v>
      </c>
      <c r="I551"/>
      <c r="J551"/>
    </row>
    <row r="552" spans="1:10" ht="18" hidden="1">
      <c r="A552" s="161" t="s">
        <v>369</v>
      </c>
      <c r="B552" s="157"/>
      <c r="C552" s="157"/>
      <c r="D552" s="158">
        <f t="shared" si="8"/>
        <v>0</v>
      </c>
      <c r="I552"/>
      <c r="J552"/>
    </row>
    <row r="553" spans="1:10" ht="18" hidden="1">
      <c r="A553" s="161" t="s">
        <v>227</v>
      </c>
      <c r="B553" s="157"/>
      <c r="C553" s="157"/>
      <c r="D553" s="158">
        <f t="shared" si="8"/>
        <v>0</v>
      </c>
      <c r="I553"/>
      <c r="J553"/>
    </row>
    <row r="554" spans="1:10" ht="18" hidden="1">
      <c r="A554" s="165" t="s">
        <v>228</v>
      </c>
      <c r="B554" s="157"/>
      <c r="C554" s="157"/>
      <c r="D554" s="158">
        <f t="shared" si="8"/>
        <v>0</v>
      </c>
      <c r="I554"/>
      <c r="J554"/>
    </row>
    <row r="555" spans="1:10" ht="18" hidden="1">
      <c r="A555" s="161" t="s">
        <v>229</v>
      </c>
      <c r="B555" s="157"/>
      <c r="C555" s="157"/>
      <c r="D555" s="158">
        <f t="shared" si="8"/>
        <v>0</v>
      </c>
      <c r="I555"/>
      <c r="J555"/>
    </row>
    <row r="556" spans="1:10" ht="18">
      <c r="A556" s="161" t="s">
        <v>230</v>
      </c>
      <c r="B556" s="157">
        <v>300</v>
      </c>
      <c r="C556" s="157">
        <v>15000</v>
      </c>
      <c r="D556" s="158">
        <f t="shared" si="8"/>
        <v>4500000</v>
      </c>
    </row>
    <row r="557" spans="1:10" ht="18" hidden="1">
      <c r="A557" s="161" t="s">
        <v>231</v>
      </c>
      <c r="B557" s="157"/>
      <c r="C557" s="157"/>
      <c r="D557" s="158">
        <f t="shared" si="8"/>
        <v>0</v>
      </c>
      <c r="I557"/>
      <c r="J557"/>
    </row>
    <row r="558" spans="1:10" ht="18" hidden="1">
      <c r="A558" s="161" t="s">
        <v>370</v>
      </c>
      <c r="B558" s="157"/>
      <c r="C558" s="157"/>
      <c r="D558" s="158">
        <f t="shared" si="8"/>
        <v>0</v>
      </c>
      <c r="I558"/>
      <c r="J558"/>
    </row>
    <row r="559" spans="1:10" ht="18" hidden="1">
      <c r="A559" s="161" t="s">
        <v>232</v>
      </c>
      <c r="B559" s="157"/>
      <c r="C559" s="157"/>
      <c r="D559" s="158">
        <f t="shared" si="8"/>
        <v>0</v>
      </c>
      <c r="I559"/>
      <c r="J559"/>
    </row>
    <row r="560" spans="1:10" ht="18" hidden="1">
      <c r="A560" s="164" t="s">
        <v>233</v>
      </c>
      <c r="B560" s="157"/>
      <c r="C560" s="157"/>
      <c r="D560" s="158">
        <f t="shared" si="8"/>
        <v>0</v>
      </c>
      <c r="I560"/>
      <c r="J560"/>
    </row>
    <row r="561" spans="1:4" customFormat="1" ht="18" hidden="1">
      <c r="A561" s="164" t="s">
        <v>234</v>
      </c>
      <c r="B561" s="157"/>
      <c r="C561" s="157"/>
      <c r="D561" s="158">
        <f t="shared" si="8"/>
        <v>0</v>
      </c>
    </row>
    <row r="562" spans="1:4" customFormat="1" ht="18" hidden="1">
      <c r="A562" s="164" t="s">
        <v>235</v>
      </c>
      <c r="B562" s="157"/>
      <c r="C562" s="157"/>
      <c r="D562" s="158">
        <f t="shared" si="8"/>
        <v>0</v>
      </c>
    </row>
    <row r="563" spans="1:4" customFormat="1" ht="18" hidden="1">
      <c r="A563" s="164" t="s">
        <v>236</v>
      </c>
      <c r="B563" s="157"/>
      <c r="C563" s="157"/>
      <c r="D563" s="158">
        <f t="shared" si="8"/>
        <v>0</v>
      </c>
    </row>
    <row r="564" spans="1:4" customFormat="1" ht="18" hidden="1">
      <c r="A564" s="161" t="s">
        <v>237</v>
      </c>
      <c r="B564" s="157"/>
      <c r="C564" s="157"/>
      <c r="D564" s="158">
        <f t="shared" si="8"/>
        <v>0</v>
      </c>
    </row>
    <row r="565" spans="1:4" customFormat="1" ht="18" hidden="1">
      <c r="A565" s="161" t="s">
        <v>238</v>
      </c>
      <c r="B565" s="157"/>
      <c r="C565" s="157"/>
      <c r="D565" s="158">
        <f t="shared" si="8"/>
        <v>0</v>
      </c>
    </row>
    <row r="566" spans="1:4" customFormat="1" ht="18" hidden="1">
      <c r="A566" s="164" t="s">
        <v>239</v>
      </c>
      <c r="B566" s="157"/>
      <c r="C566" s="157"/>
      <c r="D566" s="158">
        <f t="shared" si="8"/>
        <v>0</v>
      </c>
    </row>
    <row r="567" spans="1:4" customFormat="1" ht="18" hidden="1">
      <c r="A567" s="164" t="s">
        <v>240</v>
      </c>
      <c r="B567" s="157"/>
      <c r="C567" s="157"/>
      <c r="D567" s="158">
        <f t="shared" si="8"/>
        <v>0</v>
      </c>
    </row>
    <row r="568" spans="1:4" customFormat="1" ht="18" hidden="1">
      <c r="A568" s="159" t="s">
        <v>241</v>
      </c>
      <c r="B568" s="157"/>
      <c r="C568" s="157"/>
      <c r="D568" s="158">
        <f t="shared" si="8"/>
        <v>0</v>
      </c>
    </row>
    <row r="569" spans="1:4" customFormat="1" ht="18" hidden="1">
      <c r="A569" s="156" t="s">
        <v>242</v>
      </c>
      <c r="B569" s="157"/>
      <c r="C569" s="157"/>
      <c r="D569" s="158">
        <f t="shared" si="8"/>
        <v>0</v>
      </c>
    </row>
    <row r="570" spans="1:4" customFormat="1" ht="18" hidden="1">
      <c r="A570" s="163" t="s">
        <v>371</v>
      </c>
      <c r="B570" s="157"/>
      <c r="C570" s="157"/>
      <c r="D570" s="158">
        <f t="shared" si="8"/>
        <v>0</v>
      </c>
    </row>
    <row r="571" spans="1:4" customFormat="1" ht="18" hidden="1">
      <c r="A571" s="163" t="s">
        <v>372</v>
      </c>
      <c r="B571" s="157"/>
      <c r="C571" s="157"/>
      <c r="D571" s="158">
        <f t="shared" si="8"/>
        <v>0</v>
      </c>
    </row>
    <row r="572" spans="1:4" customFormat="1" ht="18" hidden="1">
      <c r="A572" s="159" t="s">
        <v>247</v>
      </c>
      <c r="B572" s="157"/>
      <c r="C572" s="157"/>
      <c r="D572" s="158">
        <f t="shared" si="8"/>
        <v>0</v>
      </c>
    </row>
    <row r="573" spans="1:4" customFormat="1" ht="18" hidden="1">
      <c r="A573" s="161" t="s">
        <v>252</v>
      </c>
      <c r="B573" s="157"/>
      <c r="C573" s="157"/>
      <c r="D573" s="158">
        <f t="shared" si="8"/>
        <v>0</v>
      </c>
    </row>
    <row r="574" spans="1:4" customFormat="1" ht="18" hidden="1">
      <c r="A574" s="161" t="s">
        <v>253</v>
      </c>
      <c r="B574" s="157"/>
      <c r="C574" s="157"/>
      <c r="D574" s="158">
        <f t="shared" si="8"/>
        <v>0</v>
      </c>
    </row>
    <row r="575" spans="1:4" customFormat="1" ht="18" hidden="1">
      <c r="A575" s="173" t="s">
        <v>254</v>
      </c>
      <c r="B575" s="157"/>
      <c r="C575" s="157"/>
      <c r="D575" s="158">
        <f t="shared" si="8"/>
        <v>0</v>
      </c>
    </row>
    <row r="576" spans="1:4" customFormat="1" ht="18" hidden="1">
      <c r="A576" s="173" t="s">
        <v>255</v>
      </c>
      <c r="B576" s="157"/>
      <c r="C576" s="157"/>
      <c r="D576" s="158">
        <f t="shared" si="8"/>
        <v>0</v>
      </c>
    </row>
    <row r="577" spans="1:10" ht="18" hidden="1">
      <c r="A577" s="187" t="s">
        <v>256</v>
      </c>
      <c r="B577" s="157"/>
      <c r="C577" s="157"/>
      <c r="D577" s="158">
        <f t="shared" si="8"/>
        <v>0</v>
      </c>
      <c r="I577"/>
      <c r="J577"/>
    </row>
    <row r="578" spans="1:10" ht="18" hidden="1">
      <c r="A578" s="161" t="s">
        <v>257</v>
      </c>
      <c r="B578" s="157"/>
      <c r="C578" s="157"/>
      <c r="D578" s="158">
        <f t="shared" si="8"/>
        <v>0</v>
      </c>
      <c r="I578"/>
      <c r="J578"/>
    </row>
    <row r="579" spans="1:10" ht="18" hidden="1">
      <c r="A579" s="161" t="s">
        <v>258</v>
      </c>
      <c r="B579" s="157"/>
      <c r="C579" s="157"/>
      <c r="D579" s="158">
        <f t="shared" si="8"/>
        <v>0</v>
      </c>
      <c r="I579"/>
      <c r="J579"/>
    </row>
    <row r="580" spans="1:10" ht="18" hidden="1">
      <c r="A580" s="161" t="s">
        <v>259</v>
      </c>
      <c r="B580" s="162"/>
      <c r="C580" s="162"/>
      <c r="D580" s="158">
        <f t="shared" ref="D580:D643" si="9">B580*C580</f>
        <v>0</v>
      </c>
      <c r="I580"/>
      <c r="J580"/>
    </row>
    <row r="581" spans="1:10" ht="18" hidden="1">
      <c r="A581" s="187" t="s">
        <v>260</v>
      </c>
      <c r="B581" s="157"/>
      <c r="C581" s="157"/>
      <c r="D581" s="158">
        <f t="shared" si="9"/>
        <v>0</v>
      </c>
      <c r="I581"/>
      <c r="J581"/>
    </row>
    <row r="582" spans="1:10" ht="18" hidden="1">
      <c r="A582" s="161" t="s">
        <v>261</v>
      </c>
      <c r="B582" s="162"/>
      <c r="C582" s="162"/>
      <c r="D582" s="158">
        <f t="shared" si="9"/>
        <v>0</v>
      </c>
      <c r="I582"/>
      <c r="J582"/>
    </row>
    <row r="583" spans="1:10" ht="18" hidden="1">
      <c r="A583" s="161" t="s">
        <v>262</v>
      </c>
      <c r="B583" s="157"/>
      <c r="C583" s="157"/>
      <c r="D583" s="158">
        <f t="shared" si="9"/>
        <v>0</v>
      </c>
      <c r="I583"/>
      <c r="J583"/>
    </row>
    <row r="584" spans="1:10" ht="18" hidden="1">
      <c r="A584" s="159" t="s">
        <v>264</v>
      </c>
      <c r="B584" s="157"/>
      <c r="C584" s="157"/>
      <c r="D584" s="158">
        <f t="shared" si="9"/>
        <v>0</v>
      </c>
      <c r="I584"/>
      <c r="J584"/>
    </row>
    <row r="585" spans="1:10" ht="18">
      <c r="A585" s="161" t="s">
        <v>265</v>
      </c>
      <c r="B585" s="157">
        <v>20</v>
      </c>
      <c r="C585" s="157">
        <v>22000</v>
      </c>
      <c r="D585" s="158">
        <f t="shared" si="9"/>
        <v>440000</v>
      </c>
    </row>
    <row r="586" spans="1:10" ht="18" hidden="1">
      <c r="A586" s="161" t="s">
        <v>266</v>
      </c>
      <c r="B586" s="157"/>
      <c r="C586" s="157"/>
      <c r="D586" s="158">
        <f t="shared" si="9"/>
        <v>0</v>
      </c>
      <c r="I586"/>
      <c r="J586"/>
    </row>
    <row r="587" spans="1:10" ht="18" hidden="1">
      <c r="A587" s="161" t="s">
        <v>267</v>
      </c>
      <c r="B587" s="157"/>
      <c r="C587" s="157"/>
      <c r="D587" s="158">
        <f t="shared" si="9"/>
        <v>0</v>
      </c>
      <c r="I587"/>
      <c r="J587"/>
    </row>
    <row r="588" spans="1:10" ht="18" hidden="1">
      <c r="A588" s="161" t="s">
        <v>268</v>
      </c>
      <c r="B588" s="157"/>
      <c r="C588" s="157"/>
      <c r="D588" s="158">
        <f t="shared" si="9"/>
        <v>0</v>
      </c>
      <c r="I588"/>
      <c r="J588"/>
    </row>
    <row r="589" spans="1:10" ht="18" hidden="1">
      <c r="A589" s="161" t="s">
        <v>269</v>
      </c>
      <c r="B589" s="157"/>
      <c r="C589" s="157"/>
      <c r="D589" s="158">
        <f t="shared" si="9"/>
        <v>0</v>
      </c>
      <c r="I589"/>
      <c r="J589"/>
    </row>
    <row r="590" spans="1:10" ht="18" hidden="1">
      <c r="A590" s="164" t="s">
        <v>270</v>
      </c>
      <c r="B590" s="157"/>
      <c r="C590" s="157"/>
      <c r="D590" s="158">
        <f t="shared" si="9"/>
        <v>0</v>
      </c>
      <c r="I590"/>
      <c r="J590"/>
    </row>
    <row r="591" spans="1:10" ht="18" hidden="1">
      <c r="A591" s="163" t="s">
        <v>271</v>
      </c>
      <c r="B591" s="157"/>
      <c r="C591" s="157"/>
      <c r="D591" s="158">
        <f t="shared" si="9"/>
        <v>0</v>
      </c>
      <c r="I591"/>
      <c r="J591"/>
    </row>
    <row r="592" spans="1:10" ht="18" hidden="1">
      <c r="A592" s="163" t="s">
        <v>272</v>
      </c>
      <c r="B592" s="157"/>
      <c r="C592" s="157"/>
      <c r="D592" s="158">
        <f t="shared" si="9"/>
        <v>0</v>
      </c>
      <c r="I592"/>
      <c r="J592"/>
    </row>
    <row r="593" spans="1:11" ht="18">
      <c r="A593" s="161" t="s">
        <v>273</v>
      </c>
      <c r="B593" s="157">
        <v>20</v>
      </c>
      <c r="C593" s="157">
        <v>20000</v>
      </c>
      <c r="D593" s="158">
        <f t="shared" si="9"/>
        <v>400000</v>
      </c>
    </row>
    <row r="594" spans="1:11" ht="18" hidden="1">
      <c r="A594" s="161" t="s">
        <v>274</v>
      </c>
      <c r="B594" s="157"/>
      <c r="C594" s="157"/>
      <c r="D594" s="158">
        <f t="shared" si="9"/>
        <v>0</v>
      </c>
      <c r="I594"/>
      <c r="J594"/>
    </row>
    <row r="595" spans="1:11" ht="18" hidden="1">
      <c r="A595" s="161" t="s">
        <v>275</v>
      </c>
      <c r="B595" s="157"/>
      <c r="C595" s="157"/>
      <c r="D595" s="158">
        <f t="shared" si="9"/>
        <v>0</v>
      </c>
      <c r="I595"/>
      <c r="J595"/>
    </row>
    <row r="596" spans="1:11" ht="18" hidden="1">
      <c r="A596" s="161" t="s">
        <v>276</v>
      </c>
      <c r="B596" s="157"/>
      <c r="C596" s="157"/>
      <c r="D596" s="158">
        <f t="shared" si="9"/>
        <v>0</v>
      </c>
      <c r="I596"/>
      <c r="J596"/>
    </row>
    <row r="597" spans="1:11" ht="18">
      <c r="A597" s="161" t="s">
        <v>277</v>
      </c>
      <c r="B597" s="157">
        <v>20</v>
      </c>
      <c r="C597" s="157">
        <v>23000</v>
      </c>
      <c r="D597" s="158">
        <f t="shared" si="9"/>
        <v>460000</v>
      </c>
      <c r="H597" s="202"/>
      <c r="I597" s="204" t="s">
        <v>442</v>
      </c>
      <c r="J597" s="204" t="s">
        <v>437</v>
      </c>
      <c r="K597" s="204" t="s">
        <v>443</v>
      </c>
    </row>
    <row r="598" spans="1:11" ht="18" hidden="1">
      <c r="A598" s="161" t="s">
        <v>278</v>
      </c>
      <c r="B598" s="157"/>
      <c r="C598" s="157"/>
      <c r="D598" s="158">
        <f t="shared" si="9"/>
        <v>0</v>
      </c>
      <c r="K598" s="203"/>
    </row>
    <row r="599" spans="1:11" ht="18" hidden="1">
      <c r="A599" s="161" t="s">
        <v>279</v>
      </c>
      <c r="B599" s="157"/>
      <c r="C599" s="157"/>
      <c r="D599" s="158">
        <f t="shared" si="9"/>
        <v>0</v>
      </c>
      <c r="K599" s="203"/>
    </row>
    <row r="600" spans="1:11" ht="18" hidden="1">
      <c r="A600" s="161" t="s">
        <v>280</v>
      </c>
      <c r="B600" s="162"/>
      <c r="C600" s="162"/>
      <c r="D600" s="158">
        <f t="shared" si="9"/>
        <v>0</v>
      </c>
      <c r="K600" s="203"/>
    </row>
    <row r="601" spans="1:11" ht="18" hidden="1">
      <c r="A601" s="173" t="s">
        <v>281</v>
      </c>
      <c r="B601" s="157"/>
      <c r="C601" s="157"/>
      <c r="D601" s="158">
        <f t="shared" si="9"/>
        <v>0</v>
      </c>
      <c r="K601" s="203"/>
    </row>
    <row r="602" spans="1:11" ht="18" hidden="1">
      <c r="A602" s="161" t="s">
        <v>282</v>
      </c>
      <c r="B602" s="157"/>
      <c r="C602" s="157"/>
      <c r="D602" s="158">
        <f t="shared" si="9"/>
        <v>0</v>
      </c>
      <c r="K602" s="203"/>
    </row>
    <row r="603" spans="1:11" ht="18" hidden="1">
      <c r="A603" s="159" t="s">
        <v>373</v>
      </c>
      <c r="B603" s="157"/>
      <c r="C603" s="157"/>
      <c r="D603" s="158">
        <f t="shared" si="9"/>
        <v>0</v>
      </c>
      <c r="K603" s="203"/>
    </row>
    <row r="604" spans="1:11" ht="18" hidden="1">
      <c r="A604" s="159" t="s">
        <v>283</v>
      </c>
      <c r="B604" s="157"/>
      <c r="C604" s="157"/>
      <c r="D604" s="158">
        <f t="shared" si="9"/>
        <v>0</v>
      </c>
      <c r="K604" s="203"/>
    </row>
    <row r="605" spans="1:11" ht="18" hidden="1">
      <c r="A605" s="161" t="s">
        <v>284</v>
      </c>
      <c r="B605" s="157"/>
      <c r="C605" s="157"/>
      <c r="D605" s="158">
        <f t="shared" si="9"/>
        <v>0</v>
      </c>
      <c r="K605" s="203"/>
    </row>
    <row r="606" spans="1:11" ht="18" hidden="1">
      <c r="A606" s="161" t="s">
        <v>374</v>
      </c>
      <c r="B606" s="157"/>
      <c r="C606" s="157"/>
      <c r="D606" s="158">
        <f t="shared" si="9"/>
        <v>0</v>
      </c>
      <c r="K606" s="203"/>
    </row>
    <row r="607" spans="1:11" ht="18" hidden="1">
      <c r="A607" s="161" t="s">
        <v>285</v>
      </c>
      <c r="B607" s="157"/>
      <c r="C607" s="157"/>
      <c r="D607" s="158">
        <f t="shared" si="9"/>
        <v>0</v>
      </c>
      <c r="K607" s="203"/>
    </row>
    <row r="608" spans="1:11" ht="18" hidden="1">
      <c r="A608" s="161" t="s">
        <v>375</v>
      </c>
      <c r="B608" s="157"/>
      <c r="C608" s="157"/>
      <c r="D608" s="158">
        <f t="shared" si="9"/>
        <v>0</v>
      </c>
      <c r="K608" s="203"/>
    </row>
    <row r="609" spans="1:11" ht="18" hidden="1">
      <c r="A609" s="161" t="s">
        <v>287</v>
      </c>
      <c r="B609" s="157"/>
      <c r="C609" s="157"/>
      <c r="D609" s="158">
        <f t="shared" si="9"/>
        <v>0</v>
      </c>
      <c r="K609" s="203"/>
    </row>
    <row r="610" spans="1:11" ht="18" hidden="1">
      <c r="A610" s="161" t="s">
        <v>288</v>
      </c>
      <c r="B610" s="157"/>
      <c r="C610" s="157"/>
      <c r="D610" s="158">
        <f t="shared" si="9"/>
        <v>0</v>
      </c>
      <c r="K610" s="203"/>
    </row>
    <row r="611" spans="1:11" ht="18" hidden="1">
      <c r="A611" s="161" t="s">
        <v>289</v>
      </c>
      <c r="B611" s="157"/>
      <c r="C611" s="157"/>
      <c r="D611" s="158">
        <f t="shared" si="9"/>
        <v>0</v>
      </c>
      <c r="K611" s="203"/>
    </row>
    <row r="612" spans="1:11" ht="18" hidden="1">
      <c r="A612" s="187" t="s">
        <v>291</v>
      </c>
      <c r="B612" s="157"/>
      <c r="C612" s="157"/>
      <c r="D612" s="158">
        <f t="shared" si="9"/>
        <v>0</v>
      </c>
      <c r="K612" s="203"/>
    </row>
    <row r="613" spans="1:11" ht="18" hidden="1">
      <c r="A613" s="161" t="s">
        <v>292</v>
      </c>
      <c r="B613" s="157"/>
      <c r="C613" s="157"/>
      <c r="D613" s="158">
        <f t="shared" si="9"/>
        <v>0</v>
      </c>
      <c r="K613" s="203"/>
    </row>
    <row r="614" spans="1:11" ht="18" hidden="1">
      <c r="A614" s="187" t="s">
        <v>293</v>
      </c>
      <c r="B614" s="157"/>
      <c r="C614" s="157"/>
      <c r="D614" s="158">
        <f t="shared" si="9"/>
        <v>0</v>
      </c>
      <c r="K614" s="203"/>
    </row>
    <row r="615" spans="1:11" ht="18" hidden="1">
      <c r="A615" s="159" t="s">
        <v>376</v>
      </c>
      <c r="B615" s="157"/>
      <c r="C615" s="157"/>
      <c r="D615" s="158">
        <f t="shared" si="9"/>
        <v>0</v>
      </c>
      <c r="K615" s="203"/>
    </row>
    <row r="616" spans="1:11" ht="18" hidden="1">
      <c r="A616" s="187" t="s">
        <v>294</v>
      </c>
      <c r="B616" s="157"/>
      <c r="C616" s="157"/>
      <c r="D616" s="158">
        <f t="shared" si="9"/>
        <v>0</v>
      </c>
      <c r="K616" s="203"/>
    </row>
    <row r="617" spans="1:11" ht="18" hidden="1">
      <c r="A617" s="156" t="s">
        <v>295</v>
      </c>
      <c r="B617" s="162"/>
      <c r="C617" s="162"/>
      <c r="D617" s="158">
        <f t="shared" si="9"/>
        <v>0</v>
      </c>
      <c r="K617" s="203"/>
    </row>
    <row r="618" spans="1:11" ht="18" hidden="1">
      <c r="A618" s="164" t="s">
        <v>299</v>
      </c>
      <c r="B618" s="157"/>
      <c r="C618" s="157"/>
      <c r="D618" s="158">
        <f t="shared" si="9"/>
        <v>0</v>
      </c>
      <c r="K618" s="203"/>
    </row>
    <row r="619" spans="1:11" ht="18" hidden="1">
      <c r="A619" s="164" t="s">
        <v>300</v>
      </c>
      <c r="B619" s="157"/>
      <c r="C619" s="157"/>
      <c r="D619" s="158">
        <f t="shared" si="9"/>
        <v>0</v>
      </c>
      <c r="K619" s="203"/>
    </row>
    <row r="620" spans="1:11" ht="18" hidden="1">
      <c r="A620" s="164" t="s">
        <v>301</v>
      </c>
      <c r="B620" s="157"/>
      <c r="C620" s="157"/>
      <c r="D620" s="158">
        <f t="shared" si="9"/>
        <v>0</v>
      </c>
      <c r="K620" s="203"/>
    </row>
    <row r="621" spans="1:11" ht="18" hidden="1">
      <c r="A621" s="161" t="s">
        <v>302</v>
      </c>
      <c r="B621" s="157"/>
      <c r="C621" s="157"/>
      <c r="D621" s="158">
        <f t="shared" si="9"/>
        <v>0</v>
      </c>
      <c r="K621" s="203"/>
    </row>
    <row r="622" spans="1:11" ht="18" hidden="1">
      <c r="A622" s="164" t="s">
        <v>303</v>
      </c>
      <c r="B622" s="157"/>
      <c r="C622" s="157"/>
      <c r="D622" s="158">
        <f t="shared" si="9"/>
        <v>0</v>
      </c>
      <c r="K622" s="203"/>
    </row>
    <row r="623" spans="1:11" ht="18" hidden="1">
      <c r="A623" s="161" t="s">
        <v>304</v>
      </c>
      <c r="B623" s="157"/>
      <c r="C623" s="157"/>
      <c r="D623" s="158">
        <f t="shared" si="9"/>
        <v>0</v>
      </c>
      <c r="K623" s="203"/>
    </row>
    <row r="624" spans="1:11" ht="18" hidden="1">
      <c r="A624" s="161" t="s">
        <v>305</v>
      </c>
      <c r="B624" s="157"/>
      <c r="C624" s="157"/>
      <c r="D624" s="158">
        <f t="shared" si="9"/>
        <v>0</v>
      </c>
      <c r="K624" s="203"/>
    </row>
    <row r="625" spans="1:11" ht="18" hidden="1">
      <c r="A625" s="164" t="s">
        <v>306</v>
      </c>
      <c r="B625" s="157"/>
      <c r="C625" s="157"/>
      <c r="D625" s="158">
        <f t="shared" si="9"/>
        <v>0</v>
      </c>
      <c r="K625" s="203"/>
    </row>
    <row r="626" spans="1:11" ht="18" hidden="1">
      <c r="A626" s="186" t="s">
        <v>307</v>
      </c>
      <c r="B626" s="157"/>
      <c r="C626" s="157"/>
      <c r="D626" s="158">
        <f t="shared" si="9"/>
        <v>0</v>
      </c>
      <c r="K626" s="203"/>
    </row>
    <row r="627" spans="1:11" ht="18" hidden="1">
      <c r="A627" s="161" t="s">
        <v>308</v>
      </c>
      <c r="B627" s="157"/>
      <c r="C627" s="157"/>
      <c r="D627" s="158">
        <f t="shared" si="9"/>
        <v>0</v>
      </c>
      <c r="K627" s="203"/>
    </row>
    <row r="628" spans="1:11" ht="18" hidden="1">
      <c r="A628" s="173" t="s">
        <v>309</v>
      </c>
      <c r="B628" s="157"/>
      <c r="C628" s="157"/>
      <c r="D628" s="158">
        <f t="shared" si="9"/>
        <v>0</v>
      </c>
      <c r="K628" s="203"/>
    </row>
    <row r="629" spans="1:11" ht="18" hidden="1">
      <c r="A629" s="156" t="s">
        <v>311</v>
      </c>
      <c r="B629" s="157"/>
      <c r="C629" s="157"/>
      <c r="D629" s="158">
        <f t="shared" si="9"/>
        <v>0</v>
      </c>
      <c r="K629" s="203"/>
    </row>
    <row r="630" spans="1:11" ht="18" hidden="1">
      <c r="A630" s="164" t="s">
        <v>312</v>
      </c>
      <c r="B630" s="157"/>
      <c r="C630" s="157"/>
      <c r="D630" s="158">
        <f t="shared" si="9"/>
        <v>0</v>
      </c>
      <c r="K630" s="203"/>
    </row>
    <row r="631" spans="1:11" ht="18" hidden="1">
      <c r="A631" s="173" t="s">
        <v>313</v>
      </c>
      <c r="B631" s="157"/>
      <c r="C631" s="157"/>
      <c r="D631" s="158">
        <f t="shared" si="9"/>
        <v>0</v>
      </c>
      <c r="K631" s="203"/>
    </row>
    <row r="632" spans="1:11" ht="18" hidden="1">
      <c r="A632" s="161" t="s">
        <v>314</v>
      </c>
      <c r="B632" s="157"/>
      <c r="C632" s="157"/>
      <c r="D632" s="158">
        <f t="shared" si="9"/>
        <v>0</v>
      </c>
      <c r="K632" s="203"/>
    </row>
    <row r="633" spans="1:11" ht="18" hidden="1">
      <c r="A633" s="164" t="s">
        <v>315</v>
      </c>
      <c r="B633" s="157"/>
      <c r="C633" s="157"/>
      <c r="D633" s="158">
        <f t="shared" si="9"/>
        <v>0</v>
      </c>
      <c r="K633" s="203"/>
    </row>
    <row r="634" spans="1:11" ht="18" hidden="1">
      <c r="A634" s="156" t="s">
        <v>377</v>
      </c>
      <c r="B634" s="157"/>
      <c r="C634" s="157"/>
      <c r="D634" s="158">
        <f t="shared" si="9"/>
        <v>0</v>
      </c>
      <c r="K634" s="203"/>
    </row>
    <row r="635" spans="1:11" ht="18" hidden="1">
      <c r="A635" s="161" t="s">
        <v>378</v>
      </c>
      <c r="B635" s="157"/>
      <c r="C635" s="157"/>
      <c r="D635" s="158">
        <f t="shared" si="9"/>
        <v>0</v>
      </c>
      <c r="K635" s="203"/>
    </row>
    <row r="636" spans="1:11" ht="18" hidden="1">
      <c r="A636" s="159" t="s">
        <v>318</v>
      </c>
      <c r="B636" s="157"/>
      <c r="C636" s="157"/>
      <c r="D636" s="158">
        <f t="shared" si="9"/>
        <v>0</v>
      </c>
      <c r="K636" s="203"/>
    </row>
    <row r="637" spans="1:11" ht="18" hidden="1">
      <c r="A637" s="161" t="s">
        <v>379</v>
      </c>
      <c r="B637" s="157"/>
      <c r="C637" s="157"/>
      <c r="D637" s="158">
        <f t="shared" si="9"/>
        <v>0</v>
      </c>
      <c r="K637" s="203"/>
    </row>
    <row r="638" spans="1:11" ht="18" hidden="1">
      <c r="A638" s="156" t="s">
        <v>319</v>
      </c>
      <c r="B638" s="157"/>
      <c r="C638" s="157"/>
      <c r="D638" s="158">
        <f t="shared" si="9"/>
        <v>0</v>
      </c>
      <c r="K638" s="203"/>
    </row>
    <row r="639" spans="1:11" ht="18" hidden="1">
      <c r="A639" s="156" t="s">
        <v>320</v>
      </c>
      <c r="B639" s="157"/>
      <c r="C639" s="157"/>
      <c r="D639" s="158">
        <f t="shared" si="9"/>
        <v>0</v>
      </c>
      <c r="K639" s="203"/>
    </row>
    <row r="640" spans="1:11" ht="18" hidden="1">
      <c r="A640" s="161" t="s">
        <v>321</v>
      </c>
      <c r="B640" s="157"/>
      <c r="C640" s="157"/>
      <c r="D640" s="158">
        <f t="shared" si="9"/>
        <v>0</v>
      </c>
      <c r="K640" s="203"/>
    </row>
    <row r="641" spans="1:11" ht="18" hidden="1">
      <c r="A641" s="161" t="s">
        <v>322</v>
      </c>
      <c r="B641" s="157"/>
      <c r="C641" s="157"/>
      <c r="D641" s="158">
        <f t="shared" si="9"/>
        <v>0</v>
      </c>
      <c r="K641" s="203"/>
    </row>
    <row r="642" spans="1:11" ht="18" hidden="1">
      <c r="A642" s="161" t="s">
        <v>323</v>
      </c>
      <c r="B642" s="157"/>
      <c r="C642" s="157"/>
      <c r="D642" s="158">
        <f t="shared" si="9"/>
        <v>0</v>
      </c>
      <c r="K642" s="203"/>
    </row>
    <row r="643" spans="1:11" ht="18" hidden="1">
      <c r="A643" s="173" t="s">
        <v>324</v>
      </c>
      <c r="B643" s="157"/>
      <c r="C643" s="157"/>
      <c r="D643" s="158">
        <f t="shared" si="9"/>
        <v>0</v>
      </c>
      <c r="K643" s="203"/>
    </row>
    <row r="644" spans="1:11" ht="18" hidden="1">
      <c r="A644" s="173" t="s">
        <v>325</v>
      </c>
      <c r="B644" s="157"/>
      <c r="C644" s="157"/>
      <c r="D644" s="158">
        <f t="shared" ref="D644:D671" si="10">B644*C644</f>
        <v>0</v>
      </c>
      <c r="K644" s="203"/>
    </row>
    <row r="645" spans="1:11" ht="18" hidden="1">
      <c r="A645" s="163" t="s">
        <v>326</v>
      </c>
      <c r="B645" s="157"/>
      <c r="C645" s="157"/>
      <c r="D645" s="158">
        <f t="shared" si="10"/>
        <v>0</v>
      </c>
      <c r="K645" s="203"/>
    </row>
    <row r="646" spans="1:11" ht="18" hidden="1">
      <c r="A646" s="173" t="s">
        <v>327</v>
      </c>
      <c r="B646" s="157"/>
      <c r="C646" s="157"/>
      <c r="D646" s="158">
        <f t="shared" si="10"/>
        <v>0</v>
      </c>
      <c r="K646" s="203"/>
    </row>
    <row r="647" spans="1:11" ht="18" hidden="1">
      <c r="A647" s="161" t="s">
        <v>328</v>
      </c>
      <c r="B647" s="157"/>
      <c r="C647" s="157"/>
      <c r="D647" s="158">
        <f t="shared" si="10"/>
        <v>0</v>
      </c>
      <c r="K647" s="203"/>
    </row>
    <row r="648" spans="1:11" ht="18" hidden="1">
      <c r="A648" s="161" t="s">
        <v>329</v>
      </c>
      <c r="B648" s="157"/>
      <c r="C648" s="157"/>
      <c r="D648" s="158">
        <f t="shared" si="10"/>
        <v>0</v>
      </c>
      <c r="K648" s="203"/>
    </row>
    <row r="649" spans="1:11" ht="18" hidden="1">
      <c r="A649" s="161" t="s">
        <v>330</v>
      </c>
      <c r="B649" s="157"/>
      <c r="C649" s="157"/>
      <c r="D649" s="158">
        <f t="shared" si="10"/>
        <v>0</v>
      </c>
      <c r="K649" s="203"/>
    </row>
    <row r="650" spans="1:11" ht="18" hidden="1">
      <c r="A650" s="161" t="s">
        <v>331</v>
      </c>
      <c r="B650" s="157"/>
      <c r="C650" s="157"/>
      <c r="D650" s="158">
        <f t="shared" si="10"/>
        <v>0</v>
      </c>
      <c r="K650" s="203"/>
    </row>
    <row r="651" spans="1:11" ht="18" hidden="1">
      <c r="A651" s="163" t="s">
        <v>332</v>
      </c>
      <c r="B651" s="157"/>
      <c r="C651" s="157"/>
      <c r="D651" s="158">
        <f t="shared" si="10"/>
        <v>0</v>
      </c>
      <c r="K651" s="203"/>
    </row>
    <row r="652" spans="1:11" ht="18" hidden="1">
      <c r="A652" s="161" t="s">
        <v>333</v>
      </c>
      <c r="B652" s="157"/>
      <c r="C652" s="157"/>
      <c r="D652" s="158">
        <f t="shared" si="10"/>
        <v>0</v>
      </c>
      <c r="K652" s="203"/>
    </row>
    <row r="653" spans="1:11" ht="18" hidden="1">
      <c r="A653" s="161" t="s">
        <v>334</v>
      </c>
      <c r="B653" s="157"/>
      <c r="C653" s="157"/>
      <c r="D653" s="158">
        <f t="shared" si="10"/>
        <v>0</v>
      </c>
      <c r="K653" s="203"/>
    </row>
    <row r="654" spans="1:11" ht="18" hidden="1">
      <c r="A654" s="156" t="s">
        <v>335</v>
      </c>
      <c r="B654" s="157"/>
      <c r="C654" s="157"/>
      <c r="D654" s="158">
        <f t="shared" si="10"/>
        <v>0</v>
      </c>
      <c r="K654" s="203"/>
    </row>
    <row r="655" spans="1:11" ht="18" hidden="1">
      <c r="A655" s="161" t="s">
        <v>336</v>
      </c>
      <c r="B655" s="174"/>
      <c r="C655" s="174"/>
      <c r="D655" s="158">
        <f t="shared" si="10"/>
        <v>0</v>
      </c>
      <c r="K655" s="203"/>
    </row>
    <row r="656" spans="1:11" ht="18" hidden="1">
      <c r="A656" s="161" t="s">
        <v>337</v>
      </c>
      <c r="B656" s="157"/>
      <c r="C656" s="157"/>
      <c r="D656" s="158">
        <f t="shared" si="10"/>
        <v>0</v>
      </c>
      <c r="K656" s="203"/>
    </row>
    <row r="657" spans="1:11" ht="18" hidden="1">
      <c r="A657" s="161" t="s">
        <v>338</v>
      </c>
      <c r="B657" s="157"/>
      <c r="C657" s="157"/>
      <c r="D657" s="158">
        <f t="shared" si="10"/>
        <v>0</v>
      </c>
      <c r="K657" s="203"/>
    </row>
    <row r="658" spans="1:11" ht="18" hidden="1">
      <c r="A658" s="163" t="s">
        <v>339</v>
      </c>
      <c r="B658" s="157"/>
      <c r="C658" s="157"/>
      <c r="D658" s="158">
        <f t="shared" si="10"/>
        <v>0</v>
      </c>
      <c r="K658" s="203"/>
    </row>
    <row r="659" spans="1:11" ht="18" hidden="1">
      <c r="A659" s="163" t="s">
        <v>340</v>
      </c>
      <c r="B659" s="157"/>
      <c r="C659" s="157"/>
      <c r="D659" s="158">
        <f t="shared" si="10"/>
        <v>0</v>
      </c>
      <c r="K659" s="203"/>
    </row>
    <row r="660" spans="1:11" ht="18" hidden="1">
      <c r="A660" s="161" t="s">
        <v>341</v>
      </c>
      <c r="B660" s="157"/>
      <c r="C660" s="157"/>
      <c r="D660" s="158">
        <f t="shared" si="10"/>
        <v>0</v>
      </c>
      <c r="K660" s="203"/>
    </row>
    <row r="661" spans="1:11" ht="18" hidden="1">
      <c r="A661" s="161" t="s">
        <v>342</v>
      </c>
      <c r="B661" s="157"/>
      <c r="C661" s="157"/>
      <c r="D661" s="158">
        <f t="shared" si="10"/>
        <v>0</v>
      </c>
      <c r="K661" s="203"/>
    </row>
    <row r="662" spans="1:11" ht="18" hidden="1">
      <c r="A662" s="163" t="s">
        <v>343</v>
      </c>
      <c r="B662" s="157"/>
      <c r="C662" s="157"/>
      <c r="D662" s="158">
        <f t="shared" si="10"/>
        <v>0</v>
      </c>
      <c r="K662" s="203"/>
    </row>
    <row r="663" spans="1:11" ht="18" hidden="1">
      <c r="A663" s="161" t="s">
        <v>344</v>
      </c>
      <c r="B663" s="157"/>
      <c r="C663" s="157"/>
      <c r="D663" s="158">
        <f t="shared" si="10"/>
        <v>0</v>
      </c>
      <c r="K663" s="203"/>
    </row>
    <row r="664" spans="1:11" ht="18" hidden="1">
      <c r="A664" s="161" t="s">
        <v>345</v>
      </c>
      <c r="B664" s="157"/>
      <c r="C664" s="157"/>
      <c r="D664" s="158">
        <f t="shared" si="10"/>
        <v>0</v>
      </c>
      <c r="K664" s="203"/>
    </row>
    <row r="665" spans="1:11" ht="18" hidden="1">
      <c r="A665" s="161" t="s">
        <v>346</v>
      </c>
      <c r="B665" s="157"/>
      <c r="C665" s="157"/>
      <c r="D665" s="158">
        <f t="shared" si="10"/>
        <v>0</v>
      </c>
      <c r="K665" s="203"/>
    </row>
    <row r="666" spans="1:11" ht="18" hidden="1">
      <c r="A666" s="161" t="s">
        <v>347</v>
      </c>
      <c r="B666" s="157"/>
      <c r="C666" s="157"/>
      <c r="D666" s="158">
        <f t="shared" si="10"/>
        <v>0</v>
      </c>
      <c r="K666" s="203"/>
    </row>
    <row r="667" spans="1:11" ht="18" hidden="1">
      <c r="A667" s="161" t="s">
        <v>348</v>
      </c>
      <c r="B667" s="157"/>
      <c r="C667" s="157"/>
      <c r="D667" s="158">
        <f t="shared" si="10"/>
        <v>0</v>
      </c>
      <c r="K667" s="203"/>
    </row>
    <row r="668" spans="1:11" ht="18" hidden="1">
      <c r="A668" s="161" t="s">
        <v>349</v>
      </c>
      <c r="B668" s="157"/>
      <c r="C668" s="157"/>
      <c r="D668" s="158">
        <f t="shared" si="10"/>
        <v>0</v>
      </c>
      <c r="K668" s="203"/>
    </row>
    <row r="669" spans="1:11" ht="18" hidden="1">
      <c r="A669" s="161" t="s">
        <v>350</v>
      </c>
      <c r="B669" s="157"/>
      <c r="C669" s="157"/>
      <c r="D669" s="158">
        <f t="shared" si="10"/>
        <v>0</v>
      </c>
      <c r="K669" s="203"/>
    </row>
    <row r="670" spans="1:11" ht="18" hidden="1">
      <c r="A670" s="161" t="s">
        <v>351</v>
      </c>
      <c r="B670" s="157"/>
      <c r="C670" s="157"/>
      <c r="D670" s="158">
        <f t="shared" si="10"/>
        <v>0</v>
      </c>
      <c r="K670" s="203"/>
    </row>
    <row r="671" spans="1:11" ht="18" hidden="1">
      <c r="A671" s="159" t="s">
        <v>353</v>
      </c>
      <c r="B671" s="157"/>
      <c r="C671" s="157"/>
      <c r="D671" s="158">
        <f t="shared" si="10"/>
        <v>0</v>
      </c>
      <c r="K671" s="203"/>
    </row>
    <row r="672" spans="1:11" ht="17.399999999999999">
      <c r="A672" s="188"/>
      <c r="B672" s="189">
        <f>SUM(B345:B671)</f>
        <v>3299</v>
      </c>
      <c r="C672" s="189"/>
      <c r="D672" s="189">
        <f t="shared" ref="D672" si="11">SUM(D345:D671)</f>
        <v>45979000</v>
      </c>
      <c r="H672" s="202" t="s">
        <v>441</v>
      </c>
      <c r="K672" s="203">
        <v>7119866168</v>
      </c>
    </row>
    <row r="673" spans="4:13">
      <c r="H673" t="s">
        <v>439</v>
      </c>
      <c r="I673" s="203">
        <v>62029488</v>
      </c>
      <c r="J673" s="203">
        <v>152606200</v>
      </c>
      <c r="K673" s="203">
        <f>SUBTOTAL(9,I673:J673)</f>
        <v>214635688</v>
      </c>
    </row>
    <row r="674" spans="4:13">
      <c r="H674" t="s">
        <v>440</v>
      </c>
      <c r="I674" s="203">
        <v>68602092</v>
      </c>
      <c r="J674" s="203">
        <v>90109250</v>
      </c>
      <c r="K674" s="203">
        <f>SUBTOTAL(9,I674:J674)</f>
        <v>158711342</v>
      </c>
    </row>
    <row r="675" spans="4:13">
      <c r="D675" s="190">
        <f>D672+D340</f>
        <v>94571000</v>
      </c>
      <c r="K675" s="203"/>
    </row>
    <row r="676" spans="4:13">
      <c r="H676" t="s">
        <v>438</v>
      </c>
      <c r="K676" s="203">
        <f>+K673+K672-K674</f>
        <v>7175790514</v>
      </c>
    </row>
    <row r="679" spans="4:13">
      <c r="J679" s="203">
        <v>5126593068</v>
      </c>
      <c r="K679" s="203">
        <v>2935776538</v>
      </c>
      <c r="L679" s="190"/>
    </row>
    <row r="680" spans="4:13">
      <c r="K680">
        <v>2343422730</v>
      </c>
      <c r="L680" s="190">
        <f>+K680-J674</f>
        <v>2253313480</v>
      </c>
      <c r="M680" t="s">
        <v>444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1E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tho" rangeCreator="" othersAccessPermission="edit"/>
    <arrUserId title="tho_4" rangeCreator="" othersAccessPermission="edit"/>
  </rangeList>
  <rangeList sheetStid="3" master="">
    <arrUserId title="tho" rangeCreator="" othersAccessPermission="edit"/>
    <arrUserId title="tho2_2_1_1_1_1_1_2_1" rangeCreator="" othersAccessPermission="edit"/>
    <arrUserId title="tho2_2_1_1_1_1_1_2_1_1" rangeCreator="" othersAccessPermission="edit"/>
    <arrUserId title="tho_4" rangeCreator="" othersAccessPermission="edit"/>
  </rangeList>
  <rangeList sheetStid="4" master="">
    <arrUserId title="tho" rangeCreator="" othersAccessPermission="edit"/>
    <arrUserId title="tho2_2_1_1_1_1_1_2_1" rangeCreator="" othersAccessPermission="edit"/>
    <arrUserId title="tho2_2_1_1_1_1_1_2_1_1" rangeCreator="" othersAccessPermission="edit"/>
    <arrUserId title="tho_4" rangeCreator="" othersAccessPermission="edit"/>
  </rangeList>
  <rangeList sheetStid="5" master="">
    <arrUserId title="tho" rangeCreator="" othersAccessPermission="edit"/>
    <arrUserId title="tho2_2_1_1_1_1_1_2_1" rangeCreator="" othersAccessPermission="edit"/>
    <arrUserId title="tho2_2_1_1_1_1_1_2_1_1" rangeCreator="" othersAccessPermission="edit"/>
    <arrUserId title="tho_4" rangeCreator="" othersAccessPermission="edit"/>
  </rangeList>
  <rangeList sheetStid="6" master="">
    <arrUserId title="tho" rangeCreator="" othersAccessPermission="edit"/>
    <arrUserId title="tho_2" rangeCreator="" othersAccessPermission="edit"/>
    <arrUserId title="tho_1" rangeCreator="" othersAccessPermission="edit"/>
  </rangeList>
  <rangeList sheetStid="7" master="">
    <arrUserId title="tho" rangeCreator="" othersAccessPermission="edit"/>
    <arrUserId title="tho_2" rangeCreator="" othersAccessPermission="edit"/>
    <arrUserId title="tho_1" rangeCreator="" othersAccessPermission="edit"/>
  </rangeList>
  <rangeList sheetStid="8" master="">
    <arrUserId title="tho" rangeCreator="" othersAccessPermission="edit"/>
    <arrUserId title="tho_2" rangeCreator="" othersAccessPermission="edit"/>
    <arrUserId title="tho_1" rangeCreator="" othersAccessPermission="edit"/>
  </rangeList>
  <rangeList sheetStid="9" master="">
    <arrUserId title="tho" rangeCreator="" othersAccessPermission="edit"/>
    <arrUserId title="tho_2" rangeCreator="" othersAccessPermission="edit"/>
    <arrUserId title="tho_1" rangeCreator="" othersAccessPermission="edit"/>
  </rangeList>
  <rangeList sheetStid="10" master="">
    <arrUserId title="tho" rangeCreator="" othersAccessPermission="edit"/>
    <arrUserId title="tho_2" rangeCreator="" othersAccessPermission="edit"/>
    <arrUserId title="tho_1" rangeCreator="" othersAccessPermission="edit"/>
    <arrUserId title="tho_3" rangeCreator="" othersAccessPermission="edit"/>
    <arrUserId title="tho_4" rangeCreator="" othersAccessPermission="edit"/>
    <arrUserId title="tho_5" rangeCreator="" othersAccessPermission="edit"/>
    <arrUserId title="tho_6" rangeCreator="" othersAccessPermission="edit"/>
    <arrUserId title="tho_7" rangeCreator="" othersAccessPermission="edit"/>
    <arrUserId title="tho_8" rangeCreator="" othersAccessPermission="edit"/>
    <arrUserId title="tho_9" rangeCreator="" othersAccessPermission="edit"/>
    <arrUserId title="tho_10" rangeCreator="" othersAccessPermission="edit"/>
    <arrUserId title="tho_11" rangeCreator="" othersAccessPermission="edit"/>
    <arrUserId title="tho_12" rangeCreator="" othersAccessPermission="edit"/>
    <arrUserId title="tho_13" rangeCreator="" othersAccessPermission="edit"/>
    <arrUserId title="tho_14" rangeCreator="" othersAccessPermission="edit"/>
    <arrUserId title="tho_15" rangeCreator="" othersAccessPermission="edit"/>
    <arrUserId title="tho_16" rangeCreator="" othersAccessPermission="edit"/>
    <arrUserId title="tho_17" rangeCreator="" othersAccessPermission="edit"/>
    <arrUserId title="tho_18" rangeCreator="" othersAccessPermission="edit"/>
    <arrUserId title="tho_19" rangeCreator="" othersAccessPermission="edit"/>
    <arrUserId title="tho_20" rangeCreator="" othersAccessPermission="edit"/>
    <arrUserId title="tho_21" rangeCreator="" othersAccessPermission="edit"/>
    <arrUserId title="tho_22" rangeCreator="" othersAccessPermission="edit"/>
    <arrUserId title="tho_23" rangeCreator="" othersAccessPermission="edit"/>
    <arrUserId title="tho_24" rangeCreator="" othersAccessPermission="edit"/>
    <arrUserId title="tho_25" rangeCreator="" othersAccessPermission="edit"/>
    <arrUserId title="tho_26" rangeCreator="" othersAccessPermission="edit"/>
    <arrUserId title="tho_27" rangeCreator="" othersAccessPermission="edit"/>
    <arrUserId title="tho_28" rangeCreator="" othersAccessPermission="edit"/>
    <arrUserId title="tho_29" rangeCreator="" othersAccessPermission="edit"/>
    <arrUserId title="tho_30" rangeCreator="" othersAccessPermission="edit"/>
    <arrUserId title="tho_31" rangeCreator="" othersAccessPermission="edit"/>
    <arrUserId title="tho_32" rangeCreator="" othersAccessPermission="edit"/>
    <arrUserId title="tho_33" rangeCreator="" othersAccessPermission="edit"/>
    <arrUserId title="tho_34" rangeCreator="" othersAccessPermission="edit"/>
    <arrUserId title="tho_35" rangeCreator="" othersAccessPermission="edit"/>
    <arrUserId title="tho_36" rangeCreator="" othersAccessPermission="edit"/>
    <arrUserId title="tho_37" rangeCreator="" othersAccessPermission="edit"/>
    <arrUserId title="tho_38" rangeCreator="" othersAccessPermission="edit"/>
    <arrUserId title="tho_39" rangeCreator="" othersAccessPermission="edit"/>
    <arrUserId title="tho_40" rangeCreator="" othersAccessPermission="edit"/>
    <arrUserId title="tho_41" rangeCreator="" othersAccessPermission="edit"/>
    <arrUserId title="tho_42" rangeCreator="" othersAccessPermission="edit"/>
    <arrUserId title="tho_43" rangeCreator="" othersAccessPermission="edit"/>
    <arrUserId title="tho_44" rangeCreator="" othersAccessPermission="edit"/>
    <arrUserId title="tho_45" rangeCreator="" othersAccessPermission="edit"/>
    <arrUserId title="tho_46" rangeCreator="" othersAccessPermission="edit"/>
    <arrUserId title="tho_47" rangeCreator="" othersAccessPermission="edit"/>
    <arrUserId title="tho_48" rangeCreator="" othersAccessPermission="edit"/>
    <arrUserId title="tho_49" rangeCreator="" othersAccessPermission="edit"/>
    <arrUserId title="tho_50" rangeCreator="" othersAccessPermission="edit"/>
    <arrUserId title="tho_51" rangeCreator="" othersAccessPermission="edit"/>
    <arrUserId title="tho_52" rangeCreator="" othersAccessPermission="edit"/>
    <arrUserId title="tho_53" rangeCreator="" othersAccessPermission="edit"/>
    <arrUserId title="tho_54" rangeCreator="" othersAccessPermission="edit"/>
    <arrUserId title="tho_55" rangeCreator="" othersAccessPermission="edit"/>
    <arrUserId title="tho_56" rangeCreator="" othersAccessPermission="edit"/>
    <arrUserId title="tho_57" rangeCreator="" othersAccessPermission="edit"/>
    <arrUserId title="tho_58" rangeCreator="" othersAccessPermission="edit"/>
    <arrUserId title="tho_59" rangeCreator="" othersAccessPermission="edit"/>
    <arrUserId title="tho_60" rangeCreator="" othersAccessPermission="edit"/>
    <arrUserId title="tho_61" rangeCreator="" othersAccessPermission="edit"/>
    <arrUserId title="tho_62" rangeCreator="" othersAccessPermission="edit"/>
    <arrUserId title="tho_63" rangeCreator="" othersAccessPermission="edit"/>
    <arrUserId title="tho_64" rangeCreator="" othersAccessPermission="edit"/>
    <arrUserId title="tho_65" rangeCreator="" othersAccessPermission="edit"/>
    <arrUserId title="tho_66" rangeCreator="" othersAccessPermission="edit"/>
    <arrUserId title="tho_67" rangeCreator="" othersAccessPermission="edit"/>
    <arrUserId title="tho_68" rangeCreator="" othersAccessPermission="edit"/>
    <arrUserId title="tho_69" rangeCreator="" othersAccessPermission="edit"/>
    <arrUserId title="tho_70" rangeCreator="" othersAccessPermission="edit"/>
    <arrUserId title="tho_71" rangeCreator="" othersAccessPermission="edit"/>
    <arrUserId title="tho_72" rangeCreator="" othersAccessPermission="edit"/>
    <arrUserId title="tho_73" rangeCreator="" othersAccessPermission="edit"/>
    <arrUserId title="tho_74" rangeCreator="" othersAccessPermission="edit"/>
    <arrUserId title="tho_75" rangeCreator="" othersAccessPermission="edit"/>
    <arrUserId title="tho_76" rangeCreator="" othersAccessPermission="edit"/>
    <arrUserId title="tho_77" rangeCreator="" othersAccessPermission="edit"/>
    <arrUserId title="tho_78" rangeCreator="" othersAccessPermission="edit"/>
    <arrUserId title="tho_79" rangeCreator="" othersAccessPermission="edit"/>
    <arrUserId title="tho_80" rangeCreator="" othersAccessPermission="edit"/>
    <arrUserId title="tho_81" rangeCreator="" othersAccessPermission="edit"/>
    <arrUserId title="tho_82" rangeCreator="" othersAccessPermission="edit"/>
    <arrUserId title="tho_83" rangeCreator="" othersAccessPermission="edit"/>
    <arrUserId title="tho_84" rangeCreator="" othersAccessPermission="edit"/>
    <arrUserId title="tho_85" rangeCreator="" othersAccessPermission="edit"/>
    <arrUserId title="tho_86" rangeCreator="" othersAccessPermission="edit"/>
    <arrUserId title="tho_87" rangeCreator="" othersAccessPermission="edit"/>
    <arrUserId title="tho_88" rangeCreator="" othersAccessPermission="edit"/>
    <arrUserId title="tho_89" rangeCreator="" othersAccessPermission="edit"/>
    <arrUserId title="tho_90" rangeCreator="" othersAccessPermission="edit"/>
    <arrUserId title="tho_91" rangeCreator="" othersAccessPermission="edit"/>
    <arrUserId title="tho_92" rangeCreator="" othersAccessPermission="edit"/>
    <arrUserId title="tho_93" rangeCreator="" othersAccessPermission="edit"/>
    <arrUserId title="tho_94" rangeCreator="" othersAccessPermission="edit"/>
    <arrUserId title="tho_95" rangeCreator="" othersAccessPermission="edit"/>
    <arrUserId title="tho_96" rangeCreator="" othersAccessPermission="edit"/>
    <arrUserId title="tho_97" rangeCreator="" othersAccessPermission="edit"/>
    <arrUserId title="tho_98" rangeCreator="" othersAccessPermission="edit"/>
    <arrUserId title="tho_99" rangeCreator="" othersAccessPermission="edit"/>
  </rangeList>
  <rangeList sheetStid="11" master="">
    <arrUserId title="tho" rangeCreator="" othersAccessPermission="edit"/>
    <arrUserId title="tho_2" rangeCreator="" othersAccessPermission="edit"/>
    <arrUserId title="tho_1" rangeCreator="" othersAccessPermission="edit"/>
  </rangeList>
  <rangeList sheetStid="1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1.7</vt:lpstr>
      <vt:lpstr>2.7</vt:lpstr>
      <vt:lpstr>3.7</vt:lpstr>
      <vt:lpstr>4.7</vt:lpstr>
      <vt:lpstr>5.7</vt:lpstr>
      <vt:lpstr>6.7 </vt:lpstr>
      <vt:lpstr>7.7</vt:lpstr>
      <vt:lpstr>8.7</vt:lpstr>
      <vt:lpstr>9.7</vt:lpstr>
      <vt:lpstr>10.7</vt:lpstr>
      <vt:lpstr>11.7</vt:lpstr>
      <vt:lpstr>12.7</vt:lpstr>
      <vt:lpstr>13.7</vt:lpstr>
      <vt:lpstr>14.7</vt:lpstr>
      <vt:lpstr>15.7</vt:lpstr>
      <vt:lpstr>16.7</vt:lpstr>
      <vt:lpstr>17.7</vt:lpstr>
      <vt:lpstr>18.7</vt:lpstr>
      <vt:lpstr>19.7</vt:lpstr>
      <vt:lpstr>20.7</vt:lpstr>
      <vt:lpstr>21.7</vt:lpstr>
      <vt:lpstr>22.7</vt:lpstr>
      <vt:lpstr>23.7</vt:lpstr>
      <vt:lpstr>24.7</vt:lpstr>
      <vt:lpstr>25.7</vt:lpstr>
      <vt:lpstr>26.7</vt:lpstr>
      <vt:lpstr>27.7</vt:lpstr>
      <vt:lpstr>28.7</vt:lpstr>
      <vt:lpstr>29.7</vt:lpstr>
      <vt:lpstr>30.7</vt:lpstr>
      <vt:lpstr>31.7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Duong</cp:lastModifiedBy>
  <dcterms:created xsi:type="dcterms:W3CDTF">2024-06-30T04:58:00Z</dcterms:created>
  <dcterms:modified xsi:type="dcterms:W3CDTF">2025-03-26T16:30:27Z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71EE6DCDB53847B09578CDAE24969A90_12</vt:lpwstr>
  </property>
  <property fmtid="{D5CDD505-2E9C-101B-9397-08002B2CF9AE}" pid="3" name="KSOProductBuildVer">
    <vt:lpwstr>1033-12.2.0.17119</vt:lpwstr>
  </property>
</Properties>
</file>